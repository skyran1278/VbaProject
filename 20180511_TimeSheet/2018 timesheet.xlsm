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kyran/Downloads/"/>
    </mc:Choice>
  </mc:AlternateContent>
  <xr:revisionPtr revIDLastSave="0" documentId="10_ncr:8100000_{339524DB-F273-4F47-8B3D-732B1F53925D}" xr6:coauthVersionLast="32" xr6:coauthVersionMax="32" xr10:uidLastSave="{00000000-0000-0000-0000-000000000000}"/>
  <bookViews>
    <workbookView xWindow="0" yWindow="460" windowWidth="28800" windowHeight="15940" tabRatio="810" activeTab="1" xr2:uid="{00000000-000D-0000-FFFF-FFFF00000000}"/>
  </bookViews>
  <sheets>
    <sheet name="原始DATA" sheetId="66" r:id="rId1"/>
    <sheet name="修改後DATA" sheetId="65" r:id="rId2"/>
    <sheet name="MY" sheetId="46" r:id="rId3"/>
    <sheet name="Justin " sheetId="13" r:id="rId4"/>
    <sheet name="Amber" sheetId="9" r:id="rId5"/>
    <sheet name="Ruby" sheetId="20" r:id="rId6"/>
    <sheet name="Lorah" sheetId="37" r:id="rId7"/>
    <sheet name="Nick" sheetId="48" r:id="rId8"/>
    <sheet name="Jason" sheetId="57" r:id="rId9"/>
    <sheet name="Owen" sheetId="56" r:id="rId10"/>
    <sheet name="Leo" sheetId="67" r:id="rId11"/>
    <sheet name="工作表1" sheetId="27" r:id="rId12"/>
    <sheet name="Paul " sheetId="41" r:id="rId13"/>
    <sheet name="Willy" sheetId="59" r:id="rId14"/>
    <sheet name="Albert" sheetId="33" r:id="rId15"/>
    <sheet name="Denver" sheetId="14" r:id="rId16"/>
    <sheet name="未使用" sheetId="42" r:id="rId17"/>
    <sheet name="Wilson" sheetId="55" r:id="rId18"/>
    <sheet name="統計" sheetId="63" r:id="rId19"/>
    <sheet name="Anne" sheetId="50" r:id="rId20"/>
    <sheet name="Yvonne" sheetId="58" r:id="rId21"/>
    <sheet name="B6" sheetId="38" r:id="rId22"/>
    <sheet name="TL" sheetId="25" r:id="rId23"/>
    <sheet name="吳悠 " sheetId="35" r:id="rId24"/>
    <sheet name="Sam" sheetId="21" r:id="rId25"/>
    <sheet name="LZ(done)" sheetId="16" r:id="rId26"/>
  </sheets>
  <definedNames>
    <definedName name="_xlnm.Print_Titles" localSheetId="14">Albert!$1:$6</definedName>
    <definedName name="_xlnm.Print_Titles" localSheetId="4">Amber!$1:$6</definedName>
    <definedName name="_xlnm.Print_Titles" localSheetId="19">Anne!$1:$6</definedName>
    <definedName name="_xlnm.Print_Titles" localSheetId="21">'B6'!$1:$6</definedName>
    <definedName name="_xlnm.Print_Titles" localSheetId="15">Denver!$1:$6</definedName>
    <definedName name="_xlnm.Print_Titles" localSheetId="8">Jason!$1:$6</definedName>
    <definedName name="_xlnm.Print_Titles" localSheetId="3">'Justin '!$1:$6</definedName>
    <definedName name="_xlnm.Print_Titles" localSheetId="10">Leo!$1:$6</definedName>
    <definedName name="_xlnm.Print_Titles" localSheetId="6">Lorah!$1:$6</definedName>
    <definedName name="_xlnm.Print_Titles" localSheetId="25">'LZ(done)'!$1:$6</definedName>
    <definedName name="_xlnm.Print_Titles" localSheetId="2">MY!$1:$6</definedName>
    <definedName name="_xlnm.Print_Titles" localSheetId="7">Nick!$1:$6</definedName>
    <definedName name="_xlnm.Print_Titles" localSheetId="9">Owen!$1:$6</definedName>
    <definedName name="_xlnm.Print_Titles" localSheetId="12">'Paul '!$1:$6</definedName>
    <definedName name="_xlnm.Print_Titles" localSheetId="5">Ruby!$1:$6</definedName>
    <definedName name="_xlnm.Print_Titles" localSheetId="24">Sam!$1:$6</definedName>
    <definedName name="_xlnm.Print_Titles" localSheetId="22">TL!$1:$6</definedName>
    <definedName name="_xlnm.Print_Titles" localSheetId="13">Willy!$1:$6</definedName>
    <definedName name="_xlnm.Print_Titles" localSheetId="17">Wilson!$1:$6</definedName>
    <definedName name="_xlnm.Print_Titles" localSheetId="20">Yvonne!$1:$6</definedName>
    <definedName name="_xlnm.Print_Titles" localSheetId="23">'吳悠 '!$1:$6</definedName>
    <definedName name="_xlnm.Print_Area" localSheetId="4">Amber!$D$1:$O$73</definedName>
    <definedName name="_xlnm.Print_Area" localSheetId="19">Anne!$D$1:$O$21</definedName>
    <definedName name="_xlnm.Print_Area" localSheetId="15">Denver!$D$1:$O$10</definedName>
    <definedName name="_xlnm.Print_Area" localSheetId="8">Jason!$D$1:$O$107</definedName>
    <definedName name="_xlnm.Print_Area" localSheetId="3">'Justin '!$D$1:$O$69</definedName>
    <definedName name="_xlnm.Print_Area" localSheetId="10">Leo!$D$1:$O$113</definedName>
    <definedName name="_xlnm.Print_Area" localSheetId="6">Lorah!$D$1:$O$99</definedName>
    <definedName name="_xlnm.Print_Area" localSheetId="2">MY!$D$1:$O$129</definedName>
    <definedName name="_xlnm.Print_Area" localSheetId="7">Nick!$D$1:$O$111</definedName>
    <definedName name="_xlnm.Print_Area" localSheetId="9">Owen!$D$1:$O$81</definedName>
    <definedName name="_xlnm.Print_Area" localSheetId="12">'Paul '!$D$1:$N$22</definedName>
    <definedName name="_xlnm.Print_Area" localSheetId="5">Ruby!$D$1:$O$107</definedName>
    <definedName name="_xlnm.Print_Area" localSheetId="24">Sam!$D$1:$O$81</definedName>
    <definedName name="_xlnm.Print_Area" localSheetId="13">Willy!$D$1:$M$38</definedName>
    <definedName name="_xlnm.Print_Area" localSheetId="17">Wilson!$D$1:$O$52</definedName>
    <definedName name="_xlnm.Print_Area" localSheetId="20">Yvonne!$D$1:$O$23</definedName>
  </definedNames>
  <calcPr calcId="179017" calcMode="manual"/>
  <fileRecoveryPr autoRecover="0"/>
</workbook>
</file>

<file path=xl/calcChain.xml><?xml version="1.0" encoding="utf-8"?>
<calcChain xmlns="http://schemas.openxmlformats.org/spreadsheetml/2006/main">
  <c r="K7" i="46" l="1"/>
  <c r="M7" i="46" s="1"/>
  <c r="H7" i="46"/>
  <c r="I7" i="46" s="1"/>
  <c r="J7" i="46" s="1"/>
  <c r="J8" i="46"/>
  <c r="G7" i="46"/>
  <c r="E2" i="56" l="1"/>
  <c r="H8" i="33" l="1"/>
  <c r="I8" i="33"/>
  <c r="J8" i="33"/>
  <c r="K8" i="33"/>
  <c r="H10" i="33"/>
  <c r="I10" i="33"/>
  <c r="J10" i="33"/>
  <c r="K10" i="33"/>
  <c r="K11" i="33"/>
  <c r="H12" i="33"/>
  <c r="I12" i="33"/>
  <c r="J12" i="33"/>
  <c r="K12" i="33"/>
  <c r="K13" i="33"/>
  <c r="H14" i="33"/>
  <c r="I14" i="33"/>
  <c r="J14" i="33"/>
  <c r="K14" i="33"/>
  <c r="K15" i="33"/>
  <c r="H16" i="33"/>
  <c r="I16" i="33"/>
  <c r="J16" i="33"/>
  <c r="K16" i="33"/>
  <c r="K17" i="33"/>
  <c r="H18" i="33"/>
  <c r="I18" i="33"/>
  <c r="J18" i="33"/>
  <c r="K18" i="33"/>
  <c r="K19" i="33"/>
  <c r="H20" i="33"/>
  <c r="I20" i="33"/>
  <c r="J20" i="33"/>
  <c r="K20" i="33"/>
  <c r="K21" i="33"/>
  <c r="H22" i="33"/>
  <c r="I22" i="33"/>
  <c r="J22" i="33"/>
  <c r="K22" i="33"/>
  <c r="K23" i="33"/>
  <c r="H24" i="33"/>
  <c r="I24" i="33"/>
  <c r="J24" i="33"/>
  <c r="K24" i="33"/>
  <c r="K25" i="33"/>
  <c r="H26" i="33"/>
  <c r="I26" i="33"/>
  <c r="J26" i="33"/>
  <c r="K26" i="33"/>
  <c r="K27" i="33"/>
  <c r="H28" i="33"/>
  <c r="I28" i="33"/>
  <c r="J28" i="33"/>
  <c r="K28" i="33"/>
  <c r="K29" i="33"/>
  <c r="H30" i="33"/>
  <c r="I30" i="33"/>
  <c r="J30" i="33"/>
  <c r="K30" i="33"/>
  <c r="K9" i="33"/>
  <c r="K7" i="33"/>
  <c r="L6" i="33"/>
  <c r="K22" i="41" l="1"/>
  <c r="M22" i="41" s="1"/>
  <c r="J22" i="41"/>
  <c r="H22" i="41"/>
  <c r="G22" i="41"/>
  <c r="F22" i="41"/>
  <c r="K21" i="41"/>
  <c r="M21" i="41" s="1"/>
  <c r="G21" i="41"/>
  <c r="F21" i="41"/>
  <c r="K20" i="41"/>
  <c r="M20" i="41" s="1"/>
  <c r="J20" i="41"/>
  <c r="H20" i="41"/>
  <c r="G20" i="41"/>
  <c r="F20" i="41"/>
  <c r="K19" i="41"/>
  <c r="M19" i="41" s="1"/>
  <c r="G19" i="41"/>
  <c r="F19" i="41"/>
  <c r="K18" i="41"/>
  <c r="M18" i="41" s="1"/>
  <c r="J18" i="41"/>
  <c r="H18" i="41"/>
  <c r="G18" i="41"/>
  <c r="F18" i="41"/>
  <c r="K17" i="41"/>
  <c r="M17" i="41" s="1"/>
  <c r="G17" i="41"/>
  <c r="F17" i="41"/>
  <c r="K16" i="41"/>
  <c r="M16" i="41" s="1"/>
  <c r="J16" i="41"/>
  <c r="H16" i="41"/>
  <c r="G16" i="41"/>
  <c r="F16" i="41"/>
  <c r="K15" i="41"/>
  <c r="M15" i="41" s="1"/>
  <c r="G15" i="41"/>
  <c r="F15" i="41"/>
  <c r="K14" i="41"/>
  <c r="M14" i="41" s="1"/>
  <c r="J14" i="41"/>
  <c r="H14" i="41"/>
  <c r="G14" i="41"/>
  <c r="K13" i="41"/>
  <c r="M13" i="41" s="1"/>
  <c r="G13" i="41"/>
  <c r="F13" i="41"/>
  <c r="H19" i="41" l="1"/>
  <c r="J19" i="41" s="1"/>
  <c r="H21" i="41"/>
  <c r="J21" i="41" s="1"/>
  <c r="H17" i="41"/>
  <c r="J17" i="41" s="1"/>
  <c r="H15" i="41"/>
  <c r="J15" i="41" s="1"/>
  <c r="H13" i="41"/>
  <c r="J13" i="41" s="1"/>
  <c r="L6" i="20" l="1"/>
  <c r="L6" i="37"/>
  <c r="L6" i="48"/>
  <c r="L6" i="57"/>
  <c r="E2" i="20"/>
  <c r="G48" i="67"/>
  <c r="H48" i="67"/>
  <c r="I48" i="67"/>
  <c r="G49" i="67"/>
  <c r="H49" i="67"/>
  <c r="I49" i="67"/>
  <c r="J49" i="67" s="1"/>
  <c r="G50" i="67"/>
  <c r="H50" i="67"/>
  <c r="I50" i="67"/>
  <c r="J50" i="67" s="1"/>
  <c r="K50" i="67"/>
  <c r="M50" i="67" s="1"/>
  <c r="K49" i="67"/>
  <c r="N49" i="67" s="1"/>
  <c r="F49" i="67"/>
  <c r="L6" i="13"/>
  <c r="L6" i="46"/>
  <c r="L6" i="9"/>
  <c r="N50" i="67" l="1"/>
  <c r="M49" i="67"/>
  <c r="K7" i="13"/>
  <c r="I93" i="46" l="1"/>
  <c r="I31" i="46"/>
  <c r="F30" i="33" l="1"/>
  <c r="G30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7" i="33"/>
  <c r="G7" i="33"/>
  <c r="F8" i="33"/>
  <c r="G8" i="33"/>
  <c r="F9" i="33"/>
  <c r="G9" i="33"/>
  <c r="F10" i="33"/>
  <c r="G10" i="33"/>
  <c r="I10" i="14"/>
  <c r="I8" i="14"/>
  <c r="F8" i="14"/>
  <c r="G8" i="14"/>
  <c r="H8" i="14"/>
  <c r="K8" i="14"/>
  <c r="M8" i="14" s="1"/>
  <c r="F9" i="14"/>
  <c r="G9" i="14"/>
  <c r="K9" i="14"/>
  <c r="M9" i="14" s="1"/>
  <c r="F10" i="14"/>
  <c r="G10" i="14"/>
  <c r="H9" i="14" s="1"/>
  <c r="I9" i="14" s="1"/>
  <c r="H10" i="14"/>
  <c r="K10" i="14"/>
  <c r="N10" i="14" s="1"/>
  <c r="F8" i="55"/>
  <c r="G8" i="55"/>
  <c r="H8" i="55"/>
  <c r="I8" i="55"/>
  <c r="J8" i="55"/>
  <c r="K8" i="55"/>
  <c r="N8" i="55" s="1"/>
  <c r="F9" i="55"/>
  <c r="G9" i="55"/>
  <c r="K9" i="55"/>
  <c r="M9" i="55" s="1"/>
  <c r="F10" i="55"/>
  <c r="G10" i="55"/>
  <c r="H9" i="55" s="1"/>
  <c r="H10" i="55"/>
  <c r="I10" i="55"/>
  <c r="J10" i="55"/>
  <c r="K10" i="55"/>
  <c r="M10" i="55" s="1"/>
  <c r="F11" i="55"/>
  <c r="G11" i="55"/>
  <c r="K11" i="55"/>
  <c r="N11" i="55" s="1"/>
  <c r="M11" i="55"/>
  <c r="F12" i="55"/>
  <c r="G12" i="55"/>
  <c r="H12" i="55"/>
  <c r="I12" i="55"/>
  <c r="J12" i="55"/>
  <c r="K12" i="55"/>
  <c r="N12" i="55" s="1"/>
  <c r="M12" i="55"/>
  <c r="F13" i="55"/>
  <c r="G13" i="55"/>
  <c r="K13" i="55"/>
  <c r="M13" i="55" s="1"/>
  <c r="F14" i="55"/>
  <c r="G14" i="55"/>
  <c r="H13" i="55" s="1"/>
  <c r="I13" i="55" s="1"/>
  <c r="H14" i="55"/>
  <c r="I14" i="55"/>
  <c r="J14" i="55"/>
  <c r="K14" i="55"/>
  <c r="M14" i="55" s="1"/>
  <c r="N14" i="55"/>
  <c r="F15" i="55"/>
  <c r="G15" i="55"/>
  <c r="K15" i="55"/>
  <c r="N15" i="55" s="1"/>
  <c r="M15" i="55"/>
  <c r="F16" i="55"/>
  <c r="G16" i="55"/>
  <c r="H16" i="55"/>
  <c r="I16" i="55"/>
  <c r="J16" i="55"/>
  <c r="K16" i="55"/>
  <c r="N16" i="55" s="1"/>
  <c r="F17" i="55"/>
  <c r="G17" i="55"/>
  <c r="K17" i="55"/>
  <c r="M17" i="55" s="1"/>
  <c r="F18" i="55"/>
  <c r="G18" i="55"/>
  <c r="H17" i="55" s="1"/>
  <c r="H18" i="55"/>
  <c r="I18" i="55"/>
  <c r="J18" i="55"/>
  <c r="K18" i="55"/>
  <c r="M18" i="55" s="1"/>
  <c r="F19" i="55"/>
  <c r="G19" i="55"/>
  <c r="K19" i="55"/>
  <c r="M19" i="55"/>
  <c r="N19" i="55"/>
  <c r="F20" i="55"/>
  <c r="G20" i="55"/>
  <c r="H20" i="55"/>
  <c r="I20" i="55"/>
  <c r="J20" i="55"/>
  <c r="K20" i="55"/>
  <c r="M20" i="55"/>
  <c r="N20" i="55"/>
  <c r="F21" i="55"/>
  <c r="G21" i="55"/>
  <c r="K21" i="55"/>
  <c r="M21" i="55" s="1"/>
  <c r="F22" i="55"/>
  <c r="G22" i="55"/>
  <c r="H22" i="55"/>
  <c r="I22" i="55"/>
  <c r="J22" i="55"/>
  <c r="K22" i="55"/>
  <c r="M22" i="55" s="1"/>
  <c r="N22" i="55"/>
  <c r="F23" i="55"/>
  <c r="G23" i="55"/>
  <c r="K23" i="55"/>
  <c r="N23" i="55" s="1"/>
  <c r="M23" i="55"/>
  <c r="F24" i="55"/>
  <c r="G24" i="55"/>
  <c r="H24" i="55"/>
  <c r="I24" i="55"/>
  <c r="J24" i="55"/>
  <c r="K24" i="55"/>
  <c r="N24" i="55" s="1"/>
  <c r="F25" i="55"/>
  <c r="G25" i="55"/>
  <c r="K25" i="55"/>
  <c r="M25" i="55" s="1"/>
  <c r="F26" i="55"/>
  <c r="G26" i="55"/>
  <c r="H25" i="55" s="1"/>
  <c r="I25" i="55" s="1"/>
  <c r="H26" i="55"/>
  <c r="I26" i="55"/>
  <c r="J26" i="55"/>
  <c r="K26" i="55"/>
  <c r="M26" i="55" s="1"/>
  <c r="F27" i="55"/>
  <c r="G27" i="55"/>
  <c r="K27" i="55"/>
  <c r="N27" i="55" s="1"/>
  <c r="M27" i="55"/>
  <c r="F28" i="55"/>
  <c r="G28" i="55"/>
  <c r="H28" i="55"/>
  <c r="I28" i="55"/>
  <c r="J28" i="55"/>
  <c r="K28" i="55"/>
  <c r="N28" i="55" s="1"/>
  <c r="M28" i="55"/>
  <c r="F29" i="55"/>
  <c r="G29" i="55"/>
  <c r="K29" i="55"/>
  <c r="M29" i="55" s="1"/>
  <c r="F30" i="55"/>
  <c r="G30" i="55"/>
  <c r="H29" i="55" s="1"/>
  <c r="I29" i="55" s="1"/>
  <c r="H30" i="55"/>
  <c r="I30" i="55"/>
  <c r="J30" i="55"/>
  <c r="K30" i="55"/>
  <c r="M30" i="55" s="1"/>
  <c r="N30" i="55"/>
  <c r="F31" i="55"/>
  <c r="G31" i="55"/>
  <c r="K31" i="55"/>
  <c r="N31" i="55" s="1"/>
  <c r="F32" i="55"/>
  <c r="G32" i="55"/>
  <c r="H32" i="55"/>
  <c r="I32" i="55"/>
  <c r="J32" i="55"/>
  <c r="K32" i="55"/>
  <c r="N32" i="55" s="1"/>
  <c r="F33" i="55"/>
  <c r="G33" i="55"/>
  <c r="K33" i="55"/>
  <c r="M33" i="55" s="1"/>
  <c r="F34" i="55"/>
  <c r="G34" i="55"/>
  <c r="H33" i="55" s="1"/>
  <c r="H34" i="55"/>
  <c r="I34" i="55"/>
  <c r="J34" i="55"/>
  <c r="K34" i="55"/>
  <c r="M34" i="55" s="1"/>
  <c r="F35" i="55"/>
  <c r="G35" i="55"/>
  <c r="K35" i="55"/>
  <c r="N35" i="55" s="1"/>
  <c r="M35" i="55"/>
  <c r="F36" i="55"/>
  <c r="G36" i="55"/>
  <c r="H36" i="55"/>
  <c r="I36" i="55"/>
  <c r="J36" i="55"/>
  <c r="K36" i="55"/>
  <c r="N36" i="55" s="1"/>
  <c r="M36" i="55"/>
  <c r="F37" i="55"/>
  <c r="G37" i="55"/>
  <c r="K37" i="55"/>
  <c r="M37" i="55" s="1"/>
  <c r="F38" i="55"/>
  <c r="G38" i="55"/>
  <c r="H38" i="55"/>
  <c r="I38" i="55"/>
  <c r="J38" i="55"/>
  <c r="K38" i="55"/>
  <c r="M38" i="55" s="1"/>
  <c r="F39" i="55"/>
  <c r="G39" i="55"/>
  <c r="K39" i="55"/>
  <c r="N39" i="55" s="1"/>
  <c r="M39" i="55"/>
  <c r="F40" i="55"/>
  <c r="G40" i="55"/>
  <c r="H40" i="55"/>
  <c r="I40" i="55"/>
  <c r="J40" i="55"/>
  <c r="K40" i="55"/>
  <c r="N40" i="55" s="1"/>
  <c r="F41" i="55"/>
  <c r="G41" i="55"/>
  <c r="K41" i="55"/>
  <c r="M41" i="55" s="1"/>
  <c r="F42" i="55"/>
  <c r="G42" i="55"/>
  <c r="H41" i="55" s="1"/>
  <c r="H42" i="55"/>
  <c r="I42" i="55"/>
  <c r="J42" i="55"/>
  <c r="K42" i="55"/>
  <c r="M42" i="55" s="1"/>
  <c r="F43" i="55"/>
  <c r="G43" i="55"/>
  <c r="K43" i="55"/>
  <c r="N43" i="55" s="1"/>
  <c r="M43" i="55"/>
  <c r="F44" i="55"/>
  <c r="G44" i="55"/>
  <c r="H44" i="55"/>
  <c r="I44" i="55"/>
  <c r="J44" i="55"/>
  <c r="K44" i="55"/>
  <c r="N44" i="55" s="1"/>
  <c r="M44" i="55"/>
  <c r="F45" i="55"/>
  <c r="G45" i="55"/>
  <c r="H45" i="55"/>
  <c r="I45" i="55"/>
  <c r="J45" i="55"/>
  <c r="F46" i="55"/>
  <c r="G46" i="55"/>
  <c r="K45" i="55" s="1"/>
  <c r="H46" i="55"/>
  <c r="I46" i="55"/>
  <c r="J46" i="55"/>
  <c r="K46" i="55"/>
  <c r="M46" i="55" s="1"/>
  <c r="F47" i="55"/>
  <c r="G47" i="55"/>
  <c r="K47" i="55"/>
  <c r="N47" i="55" s="1"/>
  <c r="F48" i="55"/>
  <c r="G48" i="55"/>
  <c r="H48" i="55"/>
  <c r="I48" i="55"/>
  <c r="J48" i="55"/>
  <c r="K48" i="55"/>
  <c r="N48" i="55" s="1"/>
  <c r="M48" i="55"/>
  <c r="F49" i="55"/>
  <c r="G49" i="55"/>
  <c r="K49" i="55"/>
  <c r="M49" i="55" s="1"/>
  <c r="F50" i="55"/>
  <c r="G50" i="55"/>
  <c r="H50" i="55"/>
  <c r="I50" i="55"/>
  <c r="J50" i="55"/>
  <c r="K50" i="55"/>
  <c r="M50" i="55" s="1"/>
  <c r="F51" i="55"/>
  <c r="G51" i="55"/>
  <c r="H51" i="55"/>
  <c r="I51" i="55"/>
  <c r="J51" i="55"/>
  <c r="F52" i="55"/>
  <c r="G52" i="55"/>
  <c r="H52" i="55"/>
  <c r="I52" i="55"/>
  <c r="J52" i="55"/>
  <c r="K52" i="55"/>
  <c r="M52" i="55" s="1"/>
  <c r="N52" i="55"/>
  <c r="F8" i="59"/>
  <c r="G8" i="59"/>
  <c r="H8" i="59"/>
  <c r="I8" i="59"/>
  <c r="J8" i="59"/>
  <c r="K8" i="59"/>
  <c r="F9" i="59"/>
  <c r="G9" i="59"/>
  <c r="K9" i="59"/>
  <c r="F10" i="59"/>
  <c r="G10" i="59"/>
  <c r="H10" i="59"/>
  <c r="I10" i="59"/>
  <c r="J10" i="59"/>
  <c r="K10" i="59"/>
  <c r="F11" i="59"/>
  <c r="G11" i="59"/>
  <c r="K11" i="59"/>
  <c r="F12" i="59"/>
  <c r="G12" i="59"/>
  <c r="H12" i="59"/>
  <c r="I12" i="59"/>
  <c r="J12" i="59"/>
  <c r="K12" i="59"/>
  <c r="F13" i="59"/>
  <c r="G13" i="59"/>
  <c r="K13" i="59"/>
  <c r="F14" i="59"/>
  <c r="G14" i="59"/>
  <c r="H14" i="59"/>
  <c r="I14" i="59"/>
  <c r="J14" i="59"/>
  <c r="K14" i="59"/>
  <c r="F15" i="59"/>
  <c r="G15" i="59"/>
  <c r="F16" i="59"/>
  <c r="G16" i="59"/>
  <c r="H15" i="59" s="1"/>
  <c r="I15" i="59" s="1"/>
  <c r="H16" i="59"/>
  <c r="I16" i="59"/>
  <c r="J16" i="59"/>
  <c r="K16" i="59"/>
  <c r="F17" i="59"/>
  <c r="G17" i="59"/>
  <c r="K17" i="59"/>
  <c r="F18" i="59"/>
  <c r="G18" i="59"/>
  <c r="H18" i="59"/>
  <c r="I18" i="59"/>
  <c r="J18" i="59"/>
  <c r="K18" i="59"/>
  <c r="F19" i="59"/>
  <c r="G19" i="59"/>
  <c r="K19" i="59"/>
  <c r="F20" i="59"/>
  <c r="G20" i="59"/>
  <c r="H20" i="59"/>
  <c r="I20" i="59"/>
  <c r="J20" i="59"/>
  <c r="K20" i="59"/>
  <c r="F21" i="59"/>
  <c r="G21" i="59"/>
  <c r="K21" i="59"/>
  <c r="F22" i="59"/>
  <c r="G22" i="59"/>
  <c r="H21" i="59" s="1"/>
  <c r="I21" i="59" s="1"/>
  <c r="H22" i="59"/>
  <c r="I22" i="59"/>
  <c r="J22" i="59"/>
  <c r="K22" i="59"/>
  <c r="F23" i="59"/>
  <c r="G23" i="59"/>
  <c r="K23" i="59"/>
  <c r="F24" i="59"/>
  <c r="G24" i="59"/>
  <c r="H24" i="59"/>
  <c r="I24" i="59"/>
  <c r="J24" i="59"/>
  <c r="K24" i="59"/>
  <c r="F25" i="59"/>
  <c r="G25" i="59"/>
  <c r="K25" i="59"/>
  <c r="F26" i="59"/>
  <c r="G26" i="59"/>
  <c r="H25" i="59" s="1"/>
  <c r="H26" i="59"/>
  <c r="I26" i="59"/>
  <c r="J26" i="59"/>
  <c r="K26" i="59"/>
  <c r="F27" i="59"/>
  <c r="G27" i="59"/>
  <c r="K27" i="59"/>
  <c r="F28" i="59"/>
  <c r="G28" i="59"/>
  <c r="H28" i="59"/>
  <c r="I28" i="59"/>
  <c r="J28" i="59"/>
  <c r="K28" i="59"/>
  <c r="F29" i="59"/>
  <c r="G29" i="59"/>
  <c r="K29" i="59"/>
  <c r="F30" i="59"/>
  <c r="G30" i="59"/>
  <c r="H30" i="59"/>
  <c r="I30" i="59"/>
  <c r="J30" i="59"/>
  <c r="K30" i="59"/>
  <c r="F31" i="59"/>
  <c r="G31" i="59"/>
  <c r="K31" i="59"/>
  <c r="F32" i="59"/>
  <c r="G32" i="59"/>
  <c r="H32" i="59"/>
  <c r="I32" i="59"/>
  <c r="J32" i="59"/>
  <c r="K32" i="59"/>
  <c r="F33" i="59"/>
  <c r="G33" i="59"/>
  <c r="K33" i="59"/>
  <c r="F34" i="59"/>
  <c r="G34" i="59"/>
  <c r="H34" i="59"/>
  <c r="I34" i="59"/>
  <c r="J34" i="59"/>
  <c r="K34" i="59"/>
  <c r="F35" i="59"/>
  <c r="G35" i="59"/>
  <c r="K35" i="59"/>
  <c r="F36" i="59"/>
  <c r="G36" i="59"/>
  <c r="H36" i="59"/>
  <c r="I36" i="59"/>
  <c r="J36" i="59"/>
  <c r="K36" i="59"/>
  <c r="F37" i="59"/>
  <c r="G37" i="59"/>
  <c r="K37" i="59"/>
  <c r="F38" i="59"/>
  <c r="G38" i="59"/>
  <c r="H37" i="59" s="1"/>
  <c r="I37" i="59" s="1"/>
  <c r="H38" i="59"/>
  <c r="I38" i="59"/>
  <c r="J38" i="59"/>
  <c r="K38" i="59"/>
  <c r="I1" i="41"/>
  <c r="F8" i="41"/>
  <c r="G8" i="41"/>
  <c r="H8" i="41"/>
  <c r="I8" i="41"/>
  <c r="J8" i="41"/>
  <c r="K8" i="41"/>
  <c r="M8" i="41" s="1"/>
  <c r="F9" i="41"/>
  <c r="G9" i="41"/>
  <c r="K9" i="41"/>
  <c r="M9" i="41" s="1"/>
  <c r="F10" i="41"/>
  <c r="G10" i="41"/>
  <c r="H10" i="41"/>
  <c r="I10" i="41"/>
  <c r="J10" i="41"/>
  <c r="K10" i="41"/>
  <c r="M10" i="41" s="1"/>
  <c r="F11" i="41"/>
  <c r="G11" i="41"/>
  <c r="K11" i="41"/>
  <c r="M11" i="41" s="1"/>
  <c r="F12" i="41"/>
  <c r="G12" i="41"/>
  <c r="H12" i="41"/>
  <c r="I12" i="41"/>
  <c r="J12" i="41"/>
  <c r="K12" i="41"/>
  <c r="M12" i="41" s="1"/>
  <c r="H49" i="55" l="1"/>
  <c r="N46" i="55"/>
  <c r="N29" i="55"/>
  <c r="N13" i="55"/>
  <c r="H9" i="33"/>
  <c r="H13" i="59"/>
  <c r="I13" i="59" s="1"/>
  <c r="M40" i="55"/>
  <c r="H37" i="55"/>
  <c r="M24" i="55"/>
  <c r="H21" i="55"/>
  <c r="J21" i="55" s="1"/>
  <c r="M8" i="55"/>
  <c r="M10" i="14"/>
  <c r="H9" i="59"/>
  <c r="I9" i="59" s="1"/>
  <c r="M47" i="55"/>
  <c r="N37" i="55"/>
  <c r="N21" i="55"/>
  <c r="N38" i="55"/>
  <c r="M31" i="55"/>
  <c r="H7" i="33"/>
  <c r="I7" i="33" s="1"/>
  <c r="M32" i="55"/>
  <c r="M16" i="55"/>
  <c r="N26" i="55"/>
  <c r="N25" i="55"/>
  <c r="N10" i="55"/>
  <c r="N9" i="55"/>
  <c r="H25" i="33"/>
  <c r="H21" i="33"/>
  <c r="H17" i="33"/>
  <c r="H13" i="33"/>
  <c r="N42" i="55"/>
  <c r="N41" i="55"/>
  <c r="H27" i="59"/>
  <c r="I27" i="59" s="1"/>
  <c r="H11" i="59"/>
  <c r="I11" i="59" s="1"/>
  <c r="H43" i="55"/>
  <c r="I43" i="55" s="1"/>
  <c r="H27" i="55"/>
  <c r="I27" i="55" s="1"/>
  <c r="H11" i="55"/>
  <c r="I11" i="55" s="1"/>
  <c r="J9" i="33"/>
  <c r="I9" i="33"/>
  <c r="H11" i="41"/>
  <c r="J11" i="41" s="1"/>
  <c r="H23" i="59"/>
  <c r="H39" i="55"/>
  <c r="H23" i="55"/>
  <c r="J23" i="55" s="1"/>
  <c r="N8" i="14"/>
  <c r="N50" i="55"/>
  <c r="N49" i="55"/>
  <c r="N34" i="55"/>
  <c r="N33" i="55"/>
  <c r="N18" i="55"/>
  <c r="N17" i="55"/>
  <c r="H27" i="33"/>
  <c r="H23" i="33"/>
  <c r="H19" i="33"/>
  <c r="H15" i="33"/>
  <c r="H35" i="59"/>
  <c r="I35" i="59" s="1"/>
  <c r="H19" i="59"/>
  <c r="I19" i="59" s="1"/>
  <c r="K51" i="55"/>
  <c r="N51" i="55" s="1"/>
  <c r="H35" i="55"/>
  <c r="J35" i="55" s="1"/>
  <c r="H19" i="55"/>
  <c r="J19" i="55" s="1"/>
  <c r="H29" i="33"/>
  <c r="H47" i="55"/>
  <c r="J47" i="55" s="1"/>
  <c r="H31" i="55"/>
  <c r="I31" i="55" s="1"/>
  <c r="H15" i="55"/>
  <c r="J15" i="55" s="1"/>
  <c r="J7" i="33"/>
  <c r="J15" i="59"/>
  <c r="H33" i="59"/>
  <c r="I33" i="59" s="1"/>
  <c r="H17" i="59"/>
  <c r="J17" i="59" s="1"/>
  <c r="K15" i="59"/>
  <c r="H31" i="59"/>
  <c r="J31" i="59" s="1"/>
  <c r="H29" i="59"/>
  <c r="I29" i="59" s="1"/>
  <c r="H9" i="41"/>
  <c r="I9" i="41" s="1"/>
  <c r="I11" i="41"/>
  <c r="N9" i="14"/>
  <c r="M45" i="55"/>
  <c r="N45" i="55"/>
  <c r="M51" i="55"/>
  <c r="I47" i="55"/>
  <c r="J31" i="55"/>
  <c r="I15" i="55"/>
  <c r="J9" i="55"/>
  <c r="I9" i="55"/>
  <c r="J37" i="55"/>
  <c r="I37" i="55"/>
  <c r="J25" i="55"/>
  <c r="J43" i="55"/>
  <c r="J27" i="55"/>
  <c r="J11" i="55"/>
  <c r="J41" i="55"/>
  <c r="I41" i="55"/>
  <c r="J49" i="55"/>
  <c r="I49" i="55"/>
  <c r="I33" i="55"/>
  <c r="J33" i="55"/>
  <c r="I17" i="55"/>
  <c r="J17" i="55"/>
  <c r="J39" i="55"/>
  <c r="I39" i="55"/>
  <c r="J29" i="55"/>
  <c r="J13" i="55"/>
  <c r="J21" i="59"/>
  <c r="J11" i="59"/>
  <c r="I25" i="59"/>
  <c r="J25" i="59"/>
  <c r="J37" i="59"/>
  <c r="J9" i="59"/>
  <c r="J29" i="59"/>
  <c r="I23" i="59"/>
  <c r="J23" i="59"/>
  <c r="J13" i="59"/>
  <c r="J35" i="59"/>
  <c r="J19" i="59"/>
  <c r="J27" i="59"/>
  <c r="L6" i="56"/>
  <c r="F8" i="56"/>
  <c r="G8" i="56"/>
  <c r="H8" i="56"/>
  <c r="I8" i="56"/>
  <c r="J8" i="56" s="1"/>
  <c r="K8" i="56"/>
  <c r="N8" i="56" s="1"/>
  <c r="F9" i="56"/>
  <c r="G9" i="56"/>
  <c r="K9" i="56"/>
  <c r="N9" i="56" s="1"/>
  <c r="M9" i="56"/>
  <c r="F10" i="56"/>
  <c r="G10" i="56"/>
  <c r="H10" i="56"/>
  <c r="I10" i="56"/>
  <c r="J10" i="56" s="1"/>
  <c r="K10" i="56"/>
  <c r="N10" i="56" s="1"/>
  <c r="F11" i="56"/>
  <c r="G11" i="56"/>
  <c r="K11" i="56"/>
  <c r="N11" i="56" s="1"/>
  <c r="F12" i="56"/>
  <c r="G12" i="56"/>
  <c r="H11" i="56" s="1"/>
  <c r="J11" i="56" s="1"/>
  <c r="H12" i="56"/>
  <c r="I12" i="56"/>
  <c r="J12" i="56" s="1"/>
  <c r="K12" i="56"/>
  <c r="N12" i="56" s="1"/>
  <c r="M12" i="56"/>
  <c r="F13" i="56"/>
  <c r="G13" i="56"/>
  <c r="K13" i="56"/>
  <c r="N13" i="56" s="1"/>
  <c r="F14" i="56"/>
  <c r="G14" i="56"/>
  <c r="H14" i="56"/>
  <c r="I14" i="56"/>
  <c r="J14" i="56" s="1"/>
  <c r="K14" i="56"/>
  <c r="N14" i="56" s="1"/>
  <c r="F15" i="56"/>
  <c r="G15" i="56"/>
  <c r="H15" i="56"/>
  <c r="I15" i="56"/>
  <c r="J15" i="56" s="1"/>
  <c r="F16" i="56"/>
  <c r="G16" i="56"/>
  <c r="H16" i="56"/>
  <c r="I16" i="56"/>
  <c r="J16" i="56" s="1"/>
  <c r="K16" i="56"/>
  <c r="N16" i="56" s="1"/>
  <c r="F17" i="56"/>
  <c r="G17" i="56"/>
  <c r="K17" i="56"/>
  <c r="N17" i="56" s="1"/>
  <c r="F18" i="56"/>
  <c r="G18" i="56"/>
  <c r="H18" i="56"/>
  <c r="I18" i="56"/>
  <c r="J18" i="56" s="1"/>
  <c r="K18" i="56"/>
  <c r="N18" i="56" s="1"/>
  <c r="M18" i="56"/>
  <c r="F19" i="56"/>
  <c r="G19" i="56"/>
  <c r="H19" i="56"/>
  <c r="I19" i="56"/>
  <c r="J19" i="56" s="1"/>
  <c r="F20" i="56"/>
  <c r="G20" i="56"/>
  <c r="K19" i="56" s="1"/>
  <c r="H20" i="56"/>
  <c r="I20" i="56"/>
  <c r="J20" i="56" s="1"/>
  <c r="K20" i="56"/>
  <c r="N20" i="56" s="1"/>
  <c r="F21" i="56"/>
  <c r="G21" i="56"/>
  <c r="K21" i="56"/>
  <c r="N21" i="56" s="1"/>
  <c r="F22" i="56"/>
  <c r="G22" i="56"/>
  <c r="H22" i="56"/>
  <c r="I22" i="56"/>
  <c r="J22" i="56" s="1"/>
  <c r="K22" i="56"/>
  <c r="N22" i="56" s="1"/>
  <c r="F23" i="56"/>
  <c r="G23" i="56"/>
  <c r="K23" i="56"/>
  <c r="N23" i="56" s="1"/>
  <c r="F24" i="56"/>
  <c r="G24" i="56"/>
  <c r="H24" i="56"/>
  <c r="I24" i="56"/>
  <c r="J24" i="56" s="1"/>
  <c r="K24" i="56"/>
  <c r="N24" i="56" s="1"/>
  <c r="M24" i="56"/>
  <c r="F25" i="56"/>
  <c r="G25" i="56"/>
  <c r="H25" i="56"/>
  <c r="I25" i="56"/>
  <c r="J25" i="56" s="1"/>
  <c r="F26" i="56"/>
  <c r="G26" i="56"/>
  <c r="H26" i="56"/>
  <c r="I26" i="56"/>
  <c r="J26" i="56" s="1"/>
  <c r="K26" i="56"/>
  <c r="N26" i="56" s="1"/>
  <c r="F27" i="56"/>
  <c r="G27" i="56"/>
  <c r="K27" i="56"/>
  <c r="N27" i="56" s="1"/>
  <c r="F28" i="56"/>
  <c r="G28" i="56"/>
  <c r="H27" i="56" s="1"/>
  <c r="I27" i="56" s="1"/>
  <c r="J27" i="56" s="1"/>
  <c r="H28" i="56"/>
  <c r="I28" i="56"/>
  <c r="J28" i="56" s="1"/>
  <c r="K28" i="56"/>
  <c r="N28" i="56" s="1"/>
  <c r="M28" i="56"/>
  <c r="F29" i="56"/>
  <c r="G29" i="56"/>
  <c r="H29" i="56"/>
  <c r="I29" i="56"/>
  <c r="J29" i="56" s="1"/>
  <c r="F30" i="56"/>
  <c r="G30" i="56"/>
  <c r="K29" i="56" s="1"/>
  <c r="H30" i="56"/>
  <c r="I30" i="56"/>
  <c r="J30" i="56" s="1"/>
  <c r="K30" i="56"/>
  <c r="N30" i="56" s="1"/>
  <c r="F31" i="56"/>
  <c r="G31" i="56"/>
  <c r="K31" i="56"/>
  <c r="N31" i="56" s="1"/>
  <c r="F32" i="56"/>
  <c r="G32" i="56"/>
  <c r="H32" i="56"/>
  <c r="I32" i="56"/>
  <c r="J32" i="56" s="1"/>
  <c r="K32" i="56"/>
  <c r="N32" i="56" s="1"/>
  <c r="M32" i="56"/>
  <c r="F33" i="56"/>
  <c r="G33" i="56"/>
  <c r="H33" i="56"/>
  <c r="I33" i="56"/>
  <c r="J33" i="56" s="1"/>
  <c r="F34" i="56"/>
  <c r="G34" i="56"/>
  <c r="H34" i="56"/>
  <c r="I34" i="56"/>
  <c r="J34" i="56" s="1"/>
  <c r="K34" i="56"/>
  <c r="N34" i="56" s="1"/>
  <c r="F35" i="56"/>
  <c r="G35" i="56"/>
  <c r="K35" i="56"/>
  <c r="N35" i="56" s="1"/>
  <c r="F36" i="56"/>
  <c r="G36" i="56"/>
  <c r="H35" i="56" s="1"/>
  <c r="I35" i="56" s="1"/>
  <c r="J35" i="56" s="1"/>
  <c r="H36" i="56"/>
  <c r="I36" i="56"/>
  <c r="J36" i="56" s="1"/>
  <c r="K36" i="56"/>
  <c r="N36" i="56" s="1"/>
  <c r="M36" i="56"/>
  <c r="F37" i="56"/>
  <c r="G37" i="56"/>
  <c r="H37" i="56"/>
  <c r="I37" i="56"/>
  <c r="J37" i="56" s="1"/>
  <c r="F38" i="56"/>
  <c r="G38" i="56"/>
  <c r="K37" i="56" s="1"/>
  <c r="H38" i="56"/>
  <c r="I38" i="56"/>
  <c r="J38" i="56" s="1"/>
  <c r="K38" i="56"/>
  <c r="N38" i="56" s="1"/>
  <c r="F39" i="56"/>
  <c r="G39" i="56"/>
  <c r="K39" i="56"/>
  <c r="N39" i="56" s="1"/>
  <c r="F40" i="56"/>
  <c r="G40" i="56"/>
  <c r="H40" i="56"/>
  <c r="I40" i="56"/>
  <c r="J40" i="56" s="1"/>
  <c r="K40" i="56"/>
  <c r="N40" i="56" s="1"/>
  <c r="M40" i="56"/>
  <c r="F41" i="56"/>
  <c r="G41" i="56"/>
  <c r="K41" i="56"/>
  <c r="N41" i="56" s="1"/>
  <c r="M41" i="56"/>
  <c r="F42" i="56"/>
  <c r="G42" i="56"/>
  <c r="H42" i="56"/>
  <c r="I42" i="56"/>
  <c r="J42" i="56" s="1"/>
  <c r="K42" i="56"/>
  <c r="N42" i="56" s="1"/>
  <c r="F43" i="56"/>
  <c r="G43" i="56"/>
  <c r="K43" i="56"/>
  <c r="N43" i="56" s="1"/>
  <c r="F44" i="56"/>
  <c r="G44" i="56"/>
  <c r="H43" i="56" s="1"/>
  <c r="I43" i="56" s="1"/>
  <c r="J43" i="56" s="1"/>
  <c r="H44" i="56"/>
  <c r="I44" i="56"/>
  <c r="J44" i="56" s="1"/>
  <c r="K44" i="56"/>
  <c r="N44" i="56" s="1"/>
  <c r="M44" i="56"/>
  <c r="F45" i="56"/>
  <c r="G45" i="56"/>
  <c r="H45" i="56"/>
  <c r="I45" i="56"/>
  <c r="J45" i="56" s="1"/>
  <c r="F46" i="56"/>
  <c r="G46" i="56"/>
  <c r="K45" i="56" s="1"/>
  <c r="H46" i="56"/>
  <c r="I46" i="56"/>
  <c r="J46" i="56" s="1"/>
  <c r="K46" i="56"/>
  <c r="N46" i="56" s="1"/>
  <c r="F47" i="56"/>
  <c r="G47" i="56"/>
  <c r="K47" i="56"/>
  <c r="N47" i="56" s="1"/>
  <c r="F48" i="56"/>
  <c r="G48" i="56"/>
  <c r="H48" i="56"/>
  <c r="I48" i="56"/>
  <c r="J48" i="56" s="1"/>
  <c r="K48" i="56"/>
  <c r="N48" i="56" s="1"/>
  <c r="M48" i="56"/>
  <c r="F49" i="56"/>
  <c r="G49" i="56"/>
  <c r="H49" i="56"/>
  <c r="I49" i="56"/>
  <c r="J49" i="56" s="1"/>
  <c r="F50" i="56"/>
  <c r="G50" i="56"/>
  <c r="H50" i="56"/>
  <c r="I50" i="56"/>
  <c r="J50" i="56" s="1"/>
  <c r="K50" i="56"/>
  <c r="N50" i="56" s="1"/>
  <c r="F51" i="56"/>
  <c r="G51" i="56"/>
  <c r="K51" i="56"/>
  <c r="N51" i="56" s="1"/>
  <c r="F52" i="56"/>
  <c r="G52" i="56"/>
  <c r="H51" i="56" s="1"/>
  <c r="I51" i="56" s="1"/>
  <c r="J51" i="56" s="1"/>
  <c r="H52" i="56"/>
  <c r="I52" i="56"/>
  <c r="J52" i="56" s="1"/>
  <c r="K52" i="56"/>
  <c r="N52" i="56" s="1"/>
  <c r="M52" i="56"/>
  <c r="F53" i="56"/>
  <c r="G53" i="56"/>
  <c r="K53" i="56"/>
  <c r="N53" i="56" s="1"/>
  <c r="M53" i="56"/>
  <c r="F54" i="56"/>
  <c r="G54" i="56"/>
  <c r="H53" i="56" s="1"/>
  <c r="I53" i="56" s="1"/>
  <c r="J53" i="56" s="1"/>
  <c r="H54" i="56"/>
  <c r="I54" i="56"/>
  <c r="J54" i="56" s="1"/>
  <c r="K54" i="56"/>
  <c r="N54" i="56" s="1"/>
  <c r="F55" i="56"/>
  <c r="G55" i="56"/>
  <c r="H55" i="56"/>
  <c r="I55" i="56"/>
  <c r="J55" i="56" s="1"/>
  <c r="F56" i="56"/>
  <c r="G56" i="56"/>
  <c r="H56" i="56"/>
  <c r="I56" i="56"/>
  <c r="J56" i="56" s="1"/>
  <c r="K56" i="56"/>
  <c r="N56" i="56" s="1"/>
  <c r="M56" i="56"/>
  <c r="F57" i="56"/>
  <c r="G57" i="56"/>
  <c r="K57" i="56"/>
  <c r="N57" i="56" s="1"/>
  <c r="M57" i="56"/>
  <c r="F58" i="56"/>
  <c r="G58" i="56"/>
  <c r="H58" i="56"/>
  <c r="I58" i="56"/>
  <c r="J58" i="56" s="1"/>
  <c r="K58" i="56"/>
  <c r="N58" i="56" s="1"/>
  <c r="F59" i="56"/>
  <c r="G59" i="56"/>
  <c r="K59" i="56"/>
  <c r="N59" i="56" s="1"/>
  <c r="F60" i="56"/>
  <c r="G60" i="56"/>
  <c r="H59" i="56" s="1"/>
  <c r="I59" i="56" s="1"/>
  <c r="J59" i="56" s="1"/>
  <c r="H60" i="56"/>
  <c r="I60" i="56"/>
  <c r="J60" i="56" s="1"/>
  <c r="K60" i="56"/>
  <c r="N60" i="56" s="1"/>
  <c r="M60" i="56"/>
  <c r="F61" i="56"/>
  <c r="G61" i="56"/>
  <c r="K61" i="56"/>
  <c r="N61" i="56" s="1"/>
  <c r="M61" i="56"/>
  <c r="F62" i="56"/>
  <c r="G62" i="56"/>
  <c r="H61" i="56" s="1"/>
  <c r="I61" i="56" s="1"/>
  <c r="J61" i="56" s="1"/>
  <c r="H62" i="56"/>
  <c r="I62" i="56"/>
  <c r="J62" i="56" s="1"/>
  <c r="K62" i="56"/>
  <c r="N62" i="56" s="1"/>
  <c r="F63" i="56"/>
  <c r="G63" i="56"/>
  <c r="K63" i="56"/>
  <c r="N63" i="56" s="1"/>
  <c r="F64" i="56"/>
  <c r="G64" i="56"/>
  <c r="H64" i="56"/>
  <c r="I64" i="56"/>
  <c r="J64" i="56" s="1"/>
  <c r="K64" i="56"/>
  <c r="N64" i="56" s="1"/>
  <c r="M64" i="56"/>
  <c r="F65" i="56"/>
  <c r="G65" i="56"/>
  <c r="K65" i="56"/>
  <c r="N65" i="56" s="1"/>
  <c r="M65" i="56"/>
  <c r="F66" i="56"/>
  <c r="G66" i="56"/>
  <c r="H66" i="56"/>
  <c r="I66" i="56"/>
  <c r="J66" i="56" s="1"/>
  <c r="K66" i="56"/>
  <c r="N66" i="56" s="1"/>
  <c r="F67" i="56"/>
  <c r="G67" i="56"/>
  <c r="K67" i="56"/>
  <c r="N67" i="56" s="1"/>
  <c r="F68" i="56"/>
  <c r="G68" i="56"/>
  <c r="H67" i="56" s="1"/>
  <c r="I67" i="56" s="1"/>
  <c r="J67" i="56" s="1"/>
  <c r="H68" i="56"/>
  <c r="I68" i="56"/>
  <c r="J68" i="56" s="1"/>
  <c r="K68" i="56"/>
  <c r="N68" i="56" s="1"/>
  <c r="M68" i="56"/>
  <c r="F69" i="56"/>
  <c r="G69" i="56"/>
  <c r="K69" i="56"/>
  <c r="N69" i="56" s="1"/>
  <c r="M69" i="56"/>
  <c r="F70" i="56"/>
  <c r="G70" i="56"/>
  <c r="H69" i="56" s="1"/>
  <c r="I69" i="56" s="1"/>
  <c r="J69" i="56" s="1"/>
  <c r="H70" i="56"/>
  <c r="I70" i="56"/>
  <c r="J70" i="56" s="1"/>
  <c r="K70" i="56"/>
  <c r="N70" i="56" s="1"/>
  <c r="J17" i="9"/>
  <c r="F8" i="9"/>
  <c r="G8" i="9"/>
  <c r="H8" i="9"/>
  <c r="I8" i="9"/>
  <c r="J8" i="9" s="1"/>
  <c r="K8" i="9"/>
  <c r="N8" i="9" s="1"/>
  <c r="F9" i="9"/>
  <c r="G9" i="9"/>
  <c r="K9" i="9"/>
  <c r="N9" i="9" s="1"/>
  <c r="F10" i="9"/>
  <c r="G10" i="9"/>
  <c r="H10" i="9"/>
  <c r="I10" i="9"/>
  <c r="J10" i="9" s="1"/>
  <c r="K10" i="9"/>
  <c r="N10" i="9" s="1"/>
  <c r="F11" i="9"/>
  <c r="G11" i="9"/>
  <c r="K11" i="9"/>
  <c r="N11" i="9" s="1"/>
  <c r="F12" i="9"/>
  <c r="G12" i="9"/>
  <c r="H12" i="9"/>
  <c r="I12" i="9"/>
  <c r="J12" i="9" s="1"/>
  <c r="K12" i="9"/>
  <c r="N12" i="9" s="1"/>
  <c r="F13" i="9"/>
  <c r="G13" i="9"/>
  <c r="K13" i="9"/>
  <c r="N13" i="9" s="1"/>
  <c r="F14" i="9"/>
  <c r="G14" i="9"/>
  <c r="H13" i="9" s="1"/>
  <c r="J13" i="9" s="1"/>
  <c r="H14" i="9"/>
  <c r="I14" i="9"/>
  <c r="J14" i="9" s="1"/>
  <c r="K14" i="9"/>
  <c r="N14" i="9" s="1"/>
  <c r="F15" i="9"/>
  <c r="G15" i="9"/>
  <c r="K15" i="9"/>
  <c r="N15" i="9" s="1"/>
  <c r="M15" i="9"/>
  <c r="F16" i="9"/>
  <c r="G16" i="9"/>
  <c r="H15" i="9" s="1"/>
  <c r="J15" i="9" s="1"/>
  <c r="H16" i="9"/>
  <c r="I16" i="9"/>
  <c r="J16" i="9" s="1"/>
  <c r="K16" i="9"/>
  <c r="N16" i="9" s="1"/>
  <c r="F17" i="9"/>
  <c r="G17" i="9"/>
  <c r="K17" i="9"/>
  <c r="N17" i="9" s="1"/>
  <c r="F18" i="9"/>
  <c r="G18" i="9"/>
  <c r="H18" i="9"/>
  <c r="I18" i="9"/>
  <c r="J18" i="9" s="1"/>
  <c r="K18" i="9"/>
  <c r="N18" i="9" s="1"/>
  <c r="F19" i="9"/>
  <c r="G19" i="9"/>
  <c r="K19" i="9"/>
  <c r="N19" i="9" s="1"/>
  <c r="F20" i="9"/>
  <c r="G20" i="9"/>
  <c r="H20" i="9"/>
  <c r="I20" i="9"/>
  <c r="J20" i="9" s="1"/>
  <c r="K20" i="9"/>
  <c r="N20" i="9" s="1"/>
  <c r="F21" i="9"/>
  <c r="G21" i="9"/>
  <c r="K21" i="9"/>
  <c r="N21" i="9" s="1"/>
  <c r="F22" i="9"/>
  <c r="G22" i="9"/>
  <c r="H22" i="9"/>
  <c r="I22" i="9"/>
  <c r="J22" i="9" s="1"/>
  <c r="K22" i="9"/>
  <c r="N22" i="9" s="1"/>
  <c r="F23" i="9"/>
  <c r="G23" i="9"/>
  <c r="H23" i="9"/>
  <c r="I23" i="9"/>
  <c r="J23" i="9" s="1"/>
  <c r="F24" i="9"/>
  <c r="G24" i="9"/>
  <c r="H24" i="9"/>
  <c r="I24" i="9"/>
  <c r="J24" i="9" s="1"/>
  <c r="K24" i="9"/>
  <c r="N24" i="9" s="1"/>
  <c r="F25" i="9"/>
  <c r="G25" i="9"/>
  <c r="K25" i="9"/>
  <c r="N25" i="9" s="1"/>
  <c r="F26" i="9"/>
  <c r="G26" i="9"/>
  <c r="H26" i="9"/>
  <c r="I26" i="9"/>
  <c r="J26" i="9" s="1"/>
  <c r="K26" i="9"/>
  <c r="N26" i="9" s="1"/>
  <c r="M26" i="9"/>
  <c r="F27" i="9"/>
  <c r="G27" i="9"/>
  <c r="K27" i="9"/>
  <c r="N27" i="9" s="1"/>
  <c r="F28" i="9"/>
  <c r="G28" i="9"/>
  <c r="H28" i="9"/>
  <c r="I28" i="9"/>
  <c r="J28" i="9" s="1"/>
  <c r="K28" i="9"/>
  <c r="N28" i="9" s="1"/>
  <c r="F29" i="9"/>
  <c r="G29" i="9"/>
  <c r="K29" i="9"/>
  <c r="N29" i="9" s="1"/>
  <c r="F30" i="9"/>
  <c r="G30" i="9"/>
  <c r="H30" i="9"/>
  <c r="I30" i="9"/>
  <c r="J30" i="9" s="1"/>
  <c r="K30" i="9"/>
  <c r="N30" i="9" s="1"/>
  <c r="F31" i="9"/>
  <c r="G31" i="9"/>
  <c r="K31" i="9"/>
  <c r="N31" i="9" s="1"/>
  <c r="F32" i="9"/>
  <c r="G32" i="9"/>
  <c r="H32" i="9"/>
  <c r="I32" i="9"/>
  <c r="J32" i="9" s="1"/>
  <c r="K32" i="9"/>
  <c r="N32" i="9" s="1"/>
  <c r="F33" i="9"/>
  <c r="G33" i="9"/>
  <c r="K33" i="9"/>
  <c r="N33" i="9" s="1"/>
  <c r="F34" i="9"/>
  <c r="G34" i="9"/>
  <c r="H34" i="9"/>
  <c r="I34" i="9"/>
  <c r="J34" i="9" s="1"/>
  <c r="K34" i="9"/>
  <c r="N34" i="9" s="1"/>
  <c r="M34" i="9"/>
  <c r="F35" i="9"/>
  <c r="G35" i="9"/>
  <c r="H35" i="9"/>
  <c r="I35" i="9"/>
  <c r="J35" i="9" s="1"/>
  <c r="F36" i="9"/>
  <c r="G36" i="9"/>
  <c r="H36" i="9"/>
  <c r="I36" i="9"/>
  <c r="J36" i="9" s="1"/>
  <c r="K36" i="9"/>
  <c r="N36" i="9" s="1"/>
  <c r="F37" i="9"/>
  <c r="G37" i="9"/>
  <c r="K37" i="9"/>
  <c r="N37" i="9" s="1"/>
  <c r="F38" i="9"/>
  <c r="G38" i="9"/>
  <c r="H37" i="9" s="1"/>
  <c r="I37" i="9" s="1"/>
  <c r="J37" i="9" s="1"/>
  <c r="H38" i="9"/>
  <c r="I38" i="9"/>
  <c r="J38" i="9" s="1"/>
  <c r="K38" i="9"/>
  <c r="N38" i="9" s="1"/>
  <c r="F39" i="9"/>
  <c r="G39" i="9"/>
  <c r="K39" i="9"/>
  <c r="N39" i="9" s="1"/>
  <c r="F40" i="9"/>
  <c r="G40" i="9"/>
  <c r="H39" i="9" s="1"/>
  <c r="J39" i="9" s="1"/>
  <c r="H40" i="9"/>
  <c r="I40" i="9"/>
  <c r="J40" i="9" s="1"/>
  <c r="K40" i="9"/>
  <c r="N40" i="9" s="1"/>
  <c r="F41" i="9"/>
  <c r="G41" i="9"/>
  <c r="K41" i="9"/>
  <c r="N41" i="9" s="1"/>
  <c r="F42" i="9"/>
  <c r="G42" i="9"/>
  <c r="H42" i="9"/>
  <c r="I42" i="9"/>
  <c r="J42" i="9" s="1"/>
  <c r="K42" i="9"/>
  <c r="N42" i="9" s="1"/>
  <c r="F43" i="9"/>
  <c r="G43" i="9"/>
  <c r="K43" i="9"/>
  <c r="N43" i="9" s="1"/>
  <c r="F44" i="9"/>
  <c r="G44" i="9"/>
  <c r="H44" i="9"/>
  <c r="I44" i="9"/>
  <c r="J44" i="9" s="1"/>
  <c r="K44" i="9"/>
  <c r="N44" i="9" s="1"/>
  <c r="F45" i="9"/>
  <c r="G45" i="9"/>
  <c r="K45" i="9"/>
  <c r="N45" i="9" s="1"/>
  <c r="F46" i="9"/>
  <c r="G46" i="9"/>
  <c r="H45" i="9" s="1"/>
  <c r="I45" i="9" s="1"/>
  <c r="J45" i="9" s="1"/>
  <c r="H46" i="9"/>
  <c r="I46" i="9"/>
  <c r="J46" i="9" s="1"/>
  <c r="K46" i="9"/>
  <c r="N46" i="9" s="1"/>
  <c r="F47" i="9"/>
  <c r="G47" i="9"/>
  <c r="K47" i="9"/>
  <c r="N47" i="9" s="1"/>
  <c r="F48" i="9"/>
  <c r="G48" i="9"/>
  <c r="H47" i="9" s="1"/>
  <c r="J47" i="9" s="1"/>
  <c r="H48" i="9"/>
  <c r="I48" i="9"/>
  <c r="J48" i="9" s="1"/>
  <c r="K48" i="9"/>
  <c r="N48" i="9" s="1"/>
  <c r="F49" i="9"/>
  <c r="G49" i="9"/>
  <c r="K49" i="9"/>
  <c r="N49" i="9" s="1"/>
  <c r="F50" i="9"/>
  <c r="G50" i="9"/>
  <c r="H50" i="9"/>
  <c r="I50" i="9"/>
  <c r="J50" i="9" s="1"/>
  <c r="K50" i="9"/>
  <c r="N50" i="9" s="1"/>
  <c r="F51" i="9"/>
  <c r="G51" i="9"/>
  <c r="K51" i="9"/>
  <c r="N51" i="9" s="1"/>
  <c r="F52" i="9"/>
  <c r="G52" i="9"/>
  <c r="H52" i="9"/>
  <c r="I52" i="9"/>
  <c r="J52" i="9" s="1"/>
  <c r="K52" i="9"/>
  <c r="N52" i="9" s="1"/>
  <c r="F53" i="9"/>
  <c r="G53" i="9"/>
  <c r="K53" i="9"/>
  <c r="N53" i="9" s="1"/>
  <c r="F54" i="9"/>
  <c r="G54" i="9"/>
  <c r="H54" i="9"/>
  <c r="I54" i="9"/>
  <c r="J54" i="9" s="1"/>
  <c r="K54" i="9"/>
  <c r="N54" i="9" s="1"/>
  <c r="F55" i="9"/>
  <c r="G55" i="9"/>
  <c r="K55" i="9"/>
  <c r="N55" i="9" s="1"/>
  <c r="F56" i="9"/>
  <c r="G56" i="9"/>
  <c r="H56" i="9"/>
  <c r="I56" i="9"/>
  <c r="J56" i="9" s="1"/>
  <c r="K56" i="9"/>
  <c r="N56" i="9" s="1"/>
  <c r="F57" i="9"/>
  <c r="G57" i="9"/>
  <c r="H57" i="9"/>
  <c r="I57" i="9"/>
  <c r="J57" i="9" s="1"/>
  <c r="F58" i="9"/>
  <c r="G58" i="9"/>
  <c r="H58" i="9"/>
  <c r="I58" i="9"/>
  <c r="J58" i="9" s="1"/>
  <c r="K58" i="9"/>
  <c r="N58" i="9" s="1"/>
  <c r="M58" i="9"/>
  <c r="F59" i="9"/>
  <c r="G59" i="9"/>
  <c r="K59" i="9"/>
  <c r="N59" i="9" s="1"/>
  <c r="F60" i="9"/>
  <c r="G60" i="9"/>
  <c r="H60" i="9"/>
  <c r="I60" i="9"/>
  <c r="J60" i="9" s="1"/>
  <c r="K60" i="9"/>
  <c r="N60" i="9" s="1"/>
  <c r="F61" i="9"/>
  <c r="G61" i="9"/>
  <c r="H61" i="9"/>
  <c r="I61" i="9"/>
  <c r="J61" i="9" s="1"/>
  <c r="F62" i="9"/>
  <c r="G62" i="9"/>
  <c r="K61" i="9" s="1"/>
  <c r="H62" i="9"/>
  <c r="I62" i="9"/>
  <c r="J62" i="9" s="1"/>
  <c r="K62" i="9"/>
  <c r="N62" i="9" s="1"/>
  <c r="F7" i="9"/>
  <c r="G7" i="9"/>
  <c r="K7" i="9"/>
  <c r="M7" i="9" s="1"/>
  <c r="H7" i="9"/>
  <c r="J7" i="9" s="1"/>
  <c r="L6" i="67"/>
  <c r="F8" i="67"/>
  <c r="G8" i="67"/>
  <c r="H8" i="67"/>
  <c r="I8" i="67"/>
  <c r="J8" i="67" s="1"/>
  <c r="K8" i="67"/>
  <c r="N8" i="67" s="1"/>
  <c r="F9" i="67"/>
  <c r="G9" i="67"/>
  <c r="K9" i="67"/>
  <c r="N9" i="67" s="1"/>
  <c r="F10" i="67"/>
  <c r="G10" i="67"/>
  <c r="H10" i="67"/>
  <c r="I10" i="67"/>
  <c r="J10" i="67" s="1"/>
  <c r="K10" i="67"/>
  <c r="M10" i="67" s="1"/>
  <c r="F11" i="67"/>
  <c r="G11" i="67"/>
  <c r="H11" i="67"/>
  <c r="I11" i="67"/>
  <c r="J11" i="67" s="1"/>
  <c r="F12" i="67"/>
  <c r="G12" i="67"/>
  <c r="H12" i="67"/>
  <c r="I12" i="67"/>
  <c r="J12" i="67" s="1"/>
  <c r="K12" i="67"/>
  <c r="N12" i="67" s="1"/>
  <c r="F13" i="67"/>
  <c r="G13" i="67"/>
  <c r="H13" i="67"/>
  <c r="I13" i="67"/>
  <c r="J13" i="67" s="1"/>
  <c r="F14" i="67"/>
  <c r="G14" i="67"/>
  <c r="H14" i="67"/>
  <c r="I14" i="67"/>
  <c r="J14" i="67" s="1"/>
  <c r="K14" i="67"/>
  <c r="M14" i="67" s="1"/>
  <c r="F15" i="67"/>
  <c r="G15" i="67"/>
  <c r="H15" i="67"/>
  <c r="I15" i="67"/>
  <c r="J15" i="67" s="1"/>
  <c r="F16" i="67"/>
  <c r="G16" i="67"/>
  <c r="H16" i="67"/>
  <c r="I16" i="67"/>
  <c r="J16" i="67" s="1"/>
  <c r="K16" i="67"/>
  <c r="N16" i="67" s="1"/>
  <c r="F17" i="67"/>
  <c r="G17" i="67"/>
  <c r="K17" i="67"/>
  <c r="N17" i="67" s="1"/>
  <c r="F18" i="67"/>
  <c r="G18" i="67"/>
  <c r="H18" i="67"/>
  <c r="I18" i="67"/>
  <c r="J18" i="67" s="1"/>
  <c r="K18" i="67"/>
  <c r="M18" i="67" s="1"/>
  <c r="F19" i="67"/>
  <c r="G19" i="67"/>
  <c r="H19" i="67"/>
  <c r="I19" i="67"/>
  <c r="J19" i="67" s="1"/>
  <c r="F20" i="67"/>
  <c r="G20" i="67"/>
  <c r="H20" i="67"/>
  <c r="I20" i="67"/>
  <c r="J20" i="67" s="1"/>
  <c r="K20" i="67"/>
  <c r="N20" i="67" s="1"/>
  <c r="F21" i="67"/>
  <c r="G21" i="67"/>
  <c r="K21" i="67"/>
  <c r="M21" i="67" s="1"/>
  <c r="N21" i="67"/>
  <c r="F22" i="67"/>
  <c r="G22" i="67"/>
  <c r="H22" i="67"/>
  <c r="I22" i="67"/>
  <c r="J22" i="67" s="1"/>
  <c r="K22" i="67"/>
  <c r="N22" i="67" s="1"/>
  <c r="F23" i="67"/>
  <c r="G23" i="67"/>
  <c r="K23" i="67"/>
  <c r="M23" i="67" s="1"/>
  <c r="F24" i="67"/>
  <c r="G24" i="67"/>
  <c r="H24" i="67"/>
  <c r="I24" i="67"/>
  <c r="J24" i="67" s="1"/>
  <c r="K24" i="67"/>
  <c r="N24" i="67" s="1"/>
  <c r="F25" i="67"/>
  <c r="G25" i="67"/>
  <c r="H25" i="67"/>
  <c r="I25" i="67"/>
  <c r="J25" i="67" s="1"/>
  <c r="F26" i="67"/>
  <c r="G26" i="67"/>
  <c r="H26" i="67"/>
  <c r="I26" i="67"/>
  <c r="J26" i="67" s="1"/>
  <c r="K26" i="67"/>
  <c r="N26" i="67" s="1"/>
  <c r="F27" i="67"/>
  <c r="G27" i="67"/>
  <c r="K27" i="67"/>
  <c r="M27" i="67" s="1"/>
  <c r="F28" i="67"/>
  <c r="G28" i="67"/>
  <c r="H28" i="67"/>
  <c r="I28" i="67"/>
  <c r="J28" i="67" s="1"/>
  <c r="K28" i="67"/>
  <c r="N28" i="67" s="1"/>
  <c r="F29" i="67"/>
  <c r="G29" i="67"/>
  <c r="H29" i="67"/>
  <c r="I29" i="67"/>
  <c r="J29" i="67" s="1"/>
  <c r="F30" i="67"/>
  <c r="G30" i="67"/>
  <c r="H30" i="67"/>
  <c r="I30" i="67"/>
  <c r="J30" i="67" s="1"/>
  <c r="K30" i="67"/>
  <c r="M30" i="67" s="1"/>
  <c r="F31" i="67"/>
  <c r="G31" i="67"/>
  <c r="K31" i="67"/>
  <c r="N31" i="67" s="1"/>
  <c r="F32" i="67"/>
  <c r="G32" i="67"/>
  <c r="H32" i="67"/>
  <c r="I32" i="67"/>
  <c r="J32" i="67" s="1"/>
  <c r="K32" i="67"/>
  <c r="N32" i="67" s="1"/>
  <c r="F33" i="67"/>
  <c r="G33" i="67"/>
  <c r="H33" i="67"/>
  <c r="I33" i="67"/>
  <c r="J33" i="67" s="1"/>
  <c r="F34" i="67"/>
  <c r="G34" i="67"/>
  <c r="H34" i="67"/>
  <c r="I34" i="67"/>
  <c r="J34" i="67" s="1"/>
  <c r="K34" i="67"/>
  <c r="N34" i="67" s="1"/>
  <c r="M34" i="67"/>
  <c r="F35" i="67"/>
  <c r="G35" i="67"/>
  <c r="H35" i="67"/>
  <c r="I35" i="67"/>
  <c r="J35" i="67" s="1"/>
  <c r="F36" i="67"/>
  <c r="G36" i="67"/>
  <c r="H36" i="67"/>
  <c r="I36" i="67"/>
  <c r="J36" i="67" s="1"/>
  <c r="K36" i="67"/>
  <c r="M36" i="67" s="1"/>
  <c r="F37" i="67"/>
  <c r="G37" i="67"/>
  <c r="H37" i="67"/>
  <c r="I37" i="67"/>
  <c r="J37" i="67" s="1"/>
  <c r="F38" i="67"/>
  <c r="G38" i="67"/>
  <c r="H38" i="67"/>
  <c r="I38" i="67"/>
  <c r="J38" i="67" s="1"/>
  <c r="K38" i="67"/>
  <c r="F39" i="67"/>
  <c r="G39" i="67"/>
  <c r="K39" i="67"/>
  <c r="M39" i="67" s="1"/>
  <c r="F40" i="67"/>
  <c r="G40" i="67"/>
  <c r="H39" i="67" s="1"/>
  <c r="I39" i="67" s="1"/>
  <c r="J39" i="67" s="1"/>
  <c r="H40" i="67"/>
  <c r="I40" i="67"/>
  <c r="J40" i="67" s="1"/>
  <c r="K40" i="67"/>
  <c r="N40" i="67" s="1"/>
  <c r="F41" i="67"/>
  <c r="G41" i="67"/>
  <c r="H41" i="67"/>
  <c r="I41" i="67"/>
  <c r="J41" i="67" s="1"/>
  <c r="F42" i="67"/>
  <c r="G42" i="67"/>
  <c r="K41" i="67" s="1"/>
  <c r="N41" i="67" s="1"/>
  <c r="H42" i="67"/>
  <c r="I42" i="67"/>
  <c r="J42" i="67" s="1"/>
  <c r="K42" i="67"/>
  <c r="M42" i="67" s="1"/>
  <c r="F43" i="67"/>
  <c r="G43" i="67"/>
  <c r="K43" i="67"/>
  <c r="N43" i="67" s="1"/>
  <c r="F44" i="67"/>
  <c r="G44" i="67"/>
  <c r="H44" i="67"/>
  <c r="I44" i="67"/>
  <c r="J44" i="67" s="1"/>
  <c r="K44" i="67"/>
  <c r="M44" i="67" s="1"/>
  <c r="F45" i="67"/>
  <c r="G45" i="67"/>
  <c r="H45" i="67"/>
  <c r="I45" i="67"/>
  <c r="J45" i="67" s="1"/>
  <c r="F46" i="67"/>
  <c r="G46" i="67"/>
  <c r="H46" i="67"/>
  <c r="I46" i="67"/>
  <c r="J46" i="67" s="1"/>
  <c r="K46" i="67"/>
  <c r="M46" i="67" s="1"/>
  <c r="F47" i="67"/>
  <c r="G47" i="67"/>
  <c r="H47" i="67" s="1"/>
  <c r="I47" i="67" s="1"/>
  <c r="J47" i="67" s="1"/>
  <c r="K47" i="67"/>
  <c r="N47" i="67" s="1"/>
  <c r="F48" i="67"/>
  <c r="J48" i="67"/>
  <c r="K48" i="67"/>
  <c r="N48" i="67" s="1"/>
  <c r="F50" i="67"/>
  <c r="F51" i="67"/>
  <c r="G51" i="67"/>
  <c r="K51" i="67"/>
  <c r="N51" i="67" s="1"/>
  <c r="F52" i="67"/>
  <c r="G52" i="67"/>
  <c r="H52" i="67"/>
  <c r="I52" i="67"/>
  <c r="J52" i="67" s="1"/>
  <c r="K52" i="67"/>
  <c r="N52" i="67" s="1"/>
  <c r="F53" i="67"/>
  <c r="G53" i="67"/>
  <c r="H53" i="67"/>
  <c r="I53" i="67"/>
  <c r="J53" i="67" s="1"/>
  <c r="F54" i="67"/>
  <c r="G54" i="67"/>
  <c r="H54" i="67"/>
  <c r="I54" i="67"/>
  <c r="J54" i="67" s="1"/>
  <c r="K54" i="67"/>
  <c r="M54" i="67" s="1"/>
  <c r="F55" i="67"/>
  <c r="G55" i="67"/>
  <c r="K55" i="67"/>
  <c r="M55" i="67" s="1"/>
  <c r="F56" i="67"/>
  <c r="G56" i="67"/>
  <c r="H56" i="67"/>
  <c r="I56" i="67"/>
  <c r="J56" i="67" s="1"/>
  <c r="K56" i="67"/>
  <c r="N56" i="67" s="1"/>
  <c r="M56" i="67"/>
  <c r="F57" i="67"/>
  <c r="G57" i="67"/>
  <c r="H57" i="67"/>
  <c r="I57" i="67"/>
  <c r="J57" i="67" s="1"/>
  <c r="F58" i="67"/>
  <c r="G58" i="67"/>
  <c r="H58" i="67"/>
  <c r="I58" i="67"/>
  <c r="J58" i="67" s="1"/>
  <c r="K58" i="67"/>
  <c r="N58" i="67" s="1"/>
  <c r="F59" i="67"/>
  <c r="G59" i="67"/>
  <c r="H59" i="67"/>
  <c r="I59" i="67"/>
  <c r="J59" i="67" s="1"/>
  <c r="F60" i="67"/>
  <c r="G60" i="67"/>
  <c r="H60" i="67"/>
  <c r="I60" i="67"/>
  <c r="J60" i="67" s="1"/>
  <c r="K60" i="67"/>
  <c r="M60" i="67" s="1"/>
  <c r="F61" i="67"/>
  <c r="G61" i="67"/>
  <c r="K61" i="67"/>
  <c r="M61" i="67" s="1"/>
  <c r="F62" i="67"/>
  <c r="G62" i="67"/>
  <c r="H62" i="67"/>
  <c r="I62" i="67"/>
  <c r="J62" i="67" s="1"/>
  <c r="K62" i="67"/>
  <c r="N62" i="67" s="1"/>
  <c r="F63" i="67"/>
  <c r="G63" i="67"/>
  <c r="H63" i="67"/>
  <c r="I63" i="67"/>
  <c r="J63" i="67" s="1"/>
  <c r="F64" i="67"/>
  <c r="G64" i="67"/>
  <c r="K63" i="67" s="1"/>
  <c r="N63" i="67" s="1"/>
  <c r="H64" i="67"/>
  <c r="I64" i="67"/>
  <c r="J64" i="67" s="1"/>
  <c r="K64" i="67"/>
  <c r="N64" i="67" s="1"/>
  <c r="F65" i="67"/>
  <c r="G65" i="67"/>
  <c r="K65" i="67"/>
  <c r="N65" i="67" s="1"/>
  <c r="F66" i="67"/>
  <c r="G66" i="67"/>
  <c r="H66" i="67"/>
  <c r="I66" i="67"/>
  <c r="J66" i="67" s="1"/>
  <c r="K66" i="67"/>
  <c r="M66" i="67" s="1"/>
  <c r="F67" i="67"/>
  <c r="G67" i="67"/>
  <c r="H67" i="67"/>
  <c r="I67" i="67"/>
  <c r="J67" i="67" s="1"/>
  <c r="F68" i="67"/>
  <c r="G68" i="67"/>
  <c r="H68" i="67"/>
  <c r="I68" i="67"/>
  <c r="J68" i="67" s="1"/>
  <c r="K68" i="67"/>
  <c r="F69" i="67"/>
  <c r="G69" i="67"/>
  <c r="H69" i="67"/>
  <c r="I69" i="67"/>
  <c r="J69" i="67" s="1"/>
  <c r="F70" i="67"/>
  <c r="G70" i="67"/>
  <c r="H70" i="67"/>
  <c r="I70" i="67"/>
  <c r="J70" i="67" s="1"/>
  <c r="K70" i="67"/>
  <c r="M70" i="67" s="1"/>
  <c r="F71" i="67"/>
  <c r="G71" i="67"/>
  <c r="K71" i="67"/>
  <c r="N71" i="67" s="1"/>
  <c r="F72" i="67"/>
  <c r="G72" i="67"/>
  <c r="H72" i="67"/>
  <c r="I72" i="67"/>
  <c r="J72" i="67" s="1"/>
  <c r="K72" i="67"/>
  <c r="N72" i="67" s="1"/>
  <c r="F73" i="67"/>
  <c r="G73" i="67"/>
  <c r="K73" i="67"/>
  <c r="M73" i="67" s="1"/>
  <c r="F74" i="67"/>
  <c r="G74" i="67"/>
  <c r="H74" i="67"/>
  <c r="I74" i="67"/>
  <c r="J74" i="67" s="1"/>
  <c r="K74" i="67"/>
  <c r="N74" i="67" s="1"/>
  <c r="M74" i="67"/>
  <c r="F75" i="67"/>
  <c r="G75" i="67"/>
  <c r="H75" i="67"/>
  <c r="I75" i="67"/>
  <c r="J75" i="67" s="1"/>
  <c r="F76" i="67"/>
  <c r="G76" i="67"/>
  <c r="H76" i="67"/>
  <c r="I76" i="67"/>
  <c r="J76" i="67" s="1"/>
  <c r="K76" i="67"/>
  <c r="F77" i="67"/>
  <c r="G77" i="67"/>
  <c r="H77" i="67"/>
  <c r="I77" i="67"/>
  <c r="J77" i="67" s="1"/>
  <c r="F78" i="67"/>
  <c r="G78" i="67"/>
  <c r="H78" i="67"/>
  <c r="I78" i="67"/>
  <c r="J78" i="67" s="1"/>
  <c r="K78" i="67"/>
  <c r="M78" i="67" s="1"/>
  <c r="F79" i="67"/>
  <c r="G79" i="67"/>
  <c r="K79" i="67"/>
  <c r="N79" i="67" s="1"/>
  <c r="F80" i="67"/>
  <c r="G80" i="67"/>
  <c r="H80" i="67"/>
  <c r="I80" i="67"/>
  <c r="J80" i="67" s="1"/>
  <c r="K80" i="67"/>
  <c r="N80" i="67" s="1"/>
  <c r="F81" i="67"/>
  <c r="G81" i="67"/>
  <c r="K81" i="67"/>
  <c r="N81" i="67" s="1"/>
  <c r="F82" i="67"/>
  <c r="G82" i="67"/>
  <c r="H82" i="67"/>
  <c r="I82" i="67"/>
  <c r="J82" i="67" s="1"/>
  <c r="K82" i="67"/>
  <c r="N82" i="67" s="1"/>
  <c r="F83" i="67"/>
  <c r="G83" i="67"/>
  <c r="H83" i="67"/>
  <c r="I83" i="67"/>
  <c r="J83" i="67" s="1"/>
  <c r="F84" i="67"/>
  <c r="G84" i="67"/>
  <c r="H84" i="67"/>
  <c r="I84" i="67"/>
  <c r="J84" i="67" s="1"/>
  <c r="K84" i="67"/>
  <c r="M84" i="67" s="1"/>
  <c r="F85" i="67"/>
  <c r="G85" i="67"/>
  <c r="K85" i="67"/>
  <c r="N85" i="67" s="1"/>
  <c r="F86" i="67"/>
  <c r="G86" i="67"/>
  <c r="H86" i="67"/>
  <c r="I86" i="67"/>
  <c r="J86" i="67" s="1"/>
  <c r="K86" i="67"/>
  <c r="M86" i="67" s="1"/>
  <c r="N86" i="67"/>
  <c r="F87" i="67"/>
  <c r="G87" i="67"/>
  <c r="H87" i="67"/>
  <c r="I87" i="67"/>
  <c r="J87" i="67" s="1"/>
  <c r="F88" i="67"/>
  <c r="G88" i="67"/>
  <c r="H88" i="67"/>
  <c r="I88" i="67"/>
  <c r="J88" i="67" s="1"/>
  <c r="K88" i="67"/>
  <c r="N88" i="67" s="1"/>
  <c r="F89" i="67"/>
  <c r="G89" i="67"/>
  <c r="K89" i="67"/>
  <c r="M89" i="67" s="1"/>
  <c r="F90" i="67"/>
  <c r="G90" i="67"/>
  <c r="H90" i="67"/>
  <c r="I90" i="67"/>
  <c r="J90" i="67" s="1"/>
  <c r="K90" i="67"/>
  <c r="N90" i="67" s="1"/>
  <c r="F91" i="67"/>
  <c r="G91" i="67"/>
  <c r="H91" i="67"/>
  <c r="I91" i="67"/>
  <c r="J91" i="67" s="1"/>
  <c r="F92" i="67"/>
  <c r="G92" i="67"/>
  <c r="H92" i="67"/>
  <c r="I92" i="67"/>
  <c r="J92" i="67" s="1"/>
  <c r="K92" i="67"/>
  <c r="N92" i="67" s="1"/>
  <c r="F93" i="67"/>
  <c r="G93" i="67"/>
  <c r="K93" i="67"/>
  <c r="M93" i="67" s="1"/>
  <c r="F94" i="67"/>
  <c r="G94" i="67"/>
  <c r="H94" i="67"/>
  <c r="I94" i="67"/>
  <c r="J94" i="67" s="1"/>
  <c r="K94" i="67"/>
  <c r="N94" i="67" s="1"/>
  <c r="F95" i="67"/>
  <c r="G95" i="67"/>
  <c r="H95" i="67"/>
  <c r="I95" i="67"/>
  <c r="J95" i="67" s="1"/>
  <c r="F96" i="67"/>
  <c r="G96" i="67"/>
  <c r="H96" i="67"/>
  <c r="I96" i="67"/>
  <c r="J96" i="67" s="1"/>
  <c r="K96" i="67"/>
  <c r="M96" i="67" s="1"/>
  <c r="F97" i="67"/>
  <c r="G97" i="67"/>
  <c r="K97" i="67"/>
  <c r="M97" i="67" s="1"/>
  <c r="F98" i="67"/>
  <c r="G98" i="67"/>
  <c r="H98" i="67"/>
  <c r="I98" i="67"/>
  <c r="J98" i="67" s="1"/>
  <c r="K98" i="67"/>
  <c r="N98" i="67" s="1"/>
  <c r="M98" i="67"/>
  <c r="F99" i="67"/>
  <c r="G99" i="67"/>
  <c r="H99" i="67"/>
  <c r="I99" i="67"/>
  <c r="J99" i="67" s="1"/>
  <c r="F100" i="67"/>
  <c r="G100" i="67"/>
  <c r="H100" i="67"/>
  <c r="I100" i="67"/>
  <c r="J100" i="67" s="1"/>
  <c r="K100" i="67"/>
  <c r="N100" i="67" s="1"/>
  <c r="F101" i="67"/>
  <c r="G101" i="67"/>
  <c r="K101" i="67"/>
  <c r="M101" i="67" s="1"/>
  <c r="F102" i="67"/>
  <c r="G102" i="67"/>
  <c r="H102" i="67"/>
  <c r="I102" i="67"/>
  <c r="J102" i="67" s="1"/>
  <c r="K102" i="67"/>
  <c r="N102" i="67" s="1"/>
  <c r="K7" i="67"/>
  <c r="M7" i="67" s="1"/>
  <c r="G7" i="67"/>
  <c r="F7" i="67"/>
  <c r="I1" i="67"/>
  <c r="F8" i="48"/>
  <c r="G8" i="48"/>
  <c r="H8" i="48"/>
  <c r="I8" i="48"/>
  <c r="J8" i="48" s="1"/>
  <c r="K8" i="48"/>
  <c r="N8" i="48" s="1"/>
  <c r="F9" i="48"/>
  <c r="G9" i="48"/>
  <c r="H9" i="48"/>
  <c r="I9" i="48"/>
  <c r="J9" i="48" s="1"/>
  <c r="F10" i="48"/>
  <c r="G10" i="48"/>
  <c r="H10" i="48"/>
  <c r="I10" i="48"/>
  <c r="J10" i="48" s="1"/>
  <c r="K10" i="48"/>
  <c r="N10" i="48" s="1"/>
  <c r="F11" i="48"/>
  <c r="G11" i="48"/>
  <c r="K11" i="48"/>
  <c r="N11" i="48" s="1"/>
  <c r="M11" i="48"/>
  <c r="F12" i="48"/>
  <c r="G12" i="48"/>
  <c r="H12" i="48"/>
  <c r="I12" i="48"/>
  <c r="J12" i="48" s="1"/>
  <c r="K12" i="48"/>
  <c r="N12" i="48" s="1"/>
  <c r="F13" i="48"/>
  <c r="G13" i="48"/>
  <c r="K13" i="48"/>
  <c r="N13" i="48" s="1"/>
  <c r="F14" i="48"/>
  <c r="G14" i="48"/>
  <c r="H14" i="48"/>
  <c r="I14" i="48"/>
  <c r="J14" i="48" s="1"/>
  <c r="K14" i="48"/>
  <c r="N14" i="48" s="1"/>
  <c r="M14" i="48"/>
  <c r="F15" i="48"/>
  <c r="G15" i="48"/>
  <c r="H15" i="48"/>
  <c r="I15" i="48"/>
  <c r="J15" i="48" s="1"/>
  <c r="F16" i="48"/>
  <c r="G16" i="48"/>
  <c r="H16" i="48"/>
  <c r="I16" i="48"/>
  <c r="J16" i="48" s="1"/>
  <c r="K16" i="48"/>
  <c r="N16" i="48" s="1"/>
  <c r="F17" i="48"/>
  <c r="G17" i="48"/>
  <c r="K17" i="48"/>
  <c r="N17" i="48" s="1"/>
  <c r="F18" i="48"/>
  <c r="G18" i="48"/>
  <c r="H18" i="48"/>
  <c r="I18" i="48"/>
  <c r="J18" i="48" s="1"/>
  <c r="K18" i="48"/>
  <c r="N18" i="48" s="1"/>
  <c r="M18" i="48"/>
  <c r="F19" i="48"/>
  <c r="G19" i="48"/>
  <c r="H19" i="48"/>
  <c r="I19" i="48"/>
  <c r="J19" i="48" s="1"/>
  <c r="F20" i="48"/>
  <c r="G20" i="48"/>
  <c r="H20" i="48"/>
  <c r="I20" i="48"/>
  <c r="J20" i="48" s="1"/>
  <c r="K20" i="48"/>
  <c r="N20" i="48" s="1"/>
  <c r="F21" i="48"/>
  <c r="G21" i="48"/>
  <c r="K21" i="48"/>
  <c r="N21" i="48" s="1"/>
  <c r="F22" i="48"/>
  <c r="G22" i="48"/>
  <c r="H22" i="48"/>
  <c r="I22" i="48"/>
  <c r="J22" i="48" s="1"/>
  <c r="K22" i="48"/>
  <c r="N22" i="48" s="1"/>
  <c r="M22" i="48"/>
  <c r="F23" i="48"/>
  <c r="G23" i="48"/>
  <c r="H23" i="48"/>
  <c r="I23" i="48"/>
  <c r="J23" i="48" s="1"/>
  <c r="F24" i="48"/>
  <c r="G24" i="48"/>
  <c r="H24" i="48"/>
  <c r="I24" i="48"/>
  <c r="J24" i="48" s="1"/>
  <c r="K24" i="48"/>
  <c r="N24" i="48" s="1"/>
  <c r="F25" i="48"/>
  <c r="G25" i="48"/>
  <c r="K25" i="48"/>
  <c r="N25" i="48" s="1"/>
  <c r="F26" i="48"/>
  <c r="G26" i="48"/>
  <c r="H26" i="48"/>
  <c r="I26" i="48"/>
  <c r="J26" i="48" s="1"/>
  <c r="K26" i="48"/>
  <c r="N26" i="48" s="1"/>
  <c r="F27" i="48"/>
  <c r="G27" i="48"/>
  <c r="H27" i="48"/>
  <c r="I27" i="48"/>
  <c r="J27" i="48" s="1"/>
  <c r="F28" i="48"/>
  <c r="G28" i="48"/>
  <c r="H28" i="48"/>
  <c r="I28" i="48"/>
  <c r="J28" i="48" s="1"/>
  <c r="K28" i="48"/>
  <c r="N28" i="48" s="1"/>
  <c r="F29" i="48"/>
  <c r="G29" i="48"/>
  <c r="K29" i="48"/>
  <c r="N29" i="48" s="1"/>
  <c r="F30" i="48"/>
  <c r="G30" i="48"/>
  <c r="H29" i="48" s="1"/>
  <c r="I29" i="48" s="1"/>
  <c r="J29" i="48" s="1"/>
  <c r="H30" i="48"/>
  <c r="I30" i="48"/>
  <c r="J30" i="48" s="1"/>
  <c r="K30" i="48"/>
  <c r="N30" i="48" s="1"/>
  <c r="F31" i="48"/>
  <c r="G31" i="48"/>
  <c r="H31" i="48"/>
  <c r="I31" i="48"/>
  <c r="J31" i="48" s="1"/>
  <c r="F32" i="48"/>
  <c r="G32" i="48"/>
  <c r="K31" i="48" s="1"/>
  <c r="H32" i="48"/>
  <c r="I32" i="48"/>
  <c r="J32" i="48" s="1"/>
  <c r="K32" i="48"/>
  <c r="N32" i="48" s="1"/>
  <c r="F33" i="48"/>
  <c r="G33" i="48"/>
  <c r="H33" i="48"/>
  <c r="I33" i="48"/>
  <c r="J33" i="48" s="1"/>
  <c r="F34" i="48"/>
  <c r="G34" i="48"/>
  <c r="K33" i="48" s="1"/>
  <c r="H34" i="48"/>
  <c r="I34" i="48"/>
  <c r="J34" i="48" s="1"/>
  <c r="K34" i="48"/>
  <c r="N34" i="48" s="1"/>
  <c r="F35" i="48"/>
  <c r="G35" i="48"/>
  <c r="K35" i="48"/>
  <c r="N35" i="48" s="1"/>
  <c r="M35" i="48"/>
  <c r="F36" i="48"/>
  <c r="G36" i="48"/>
  <c r="H36" i="48"/>
  <c r="I36" i="48"/>
  <c r="J36" i="48" s="1"/>
  <c r="K36" i="48"/>
  <c r="N36" i="48" s="1"/>
  <c r="M36" i="48"/>
  <c r="F37" i="48"/>
  <c r="G37" i="48"/>
  <c r="H37" i="48"/>
  <c r="I37" i="48"/>
  <c r="J37" i="48" s="1"/>
  <c r="F38" i="48"/>
  <c r="G38" i="48"/>
  <c r="H38" i="48"/>
  <c r="I38" i="48"/>
  <c r="J38" i="48" s="1"/>
  <c r="K38" i="48"/>
  <c r="N38" i="48" s="1"/>
  <c r="M38" i="48"/>
  <c r="F39" i="48"/>
  <c r="G39" i="48"/>
  <c r="K39" i="48"/>
  <c r="N39" i="48" s="1"/>
  <c r="F40" i="48"/>
  <c r="G40" i="48"/>
  <c r="H40" i="48"/>
  <c r="I40" i="48"/>
  <c r="J40" i="48" s="1"/>
  <c r="K40" i="48"/>
  <c r="N40" i="48" s="1"/>
  <c r="F41" i="48"/>
  <c r="G41" i="48"/>
  <c r="H41" i="48"/>
  <c r="I41" i="48"/>
  <c r="J41" i="48" s="1"/>
  <c r="F42" i="48"/>
  <c r="G42" i="48"/>
  <c r="K41" i="48" s="1"/>
  <c r="H42" i="48"/>
  <c r="I42" i="48"/>
  <c r="J42" i="48" s="1"/>
  <c r="K42" i="48"/>
  <c r="N42" i="48" s="1"/>
  <c r="F43" i="48"/>
  <c r="G43" i="48"/>
  <c r="K43" i="48"/>
  <c r="N43" i="48" s="1"/>
  <c r="M43" i="48"/>
  <c r="F44" i="48"/>
  <c r="G44" i="48"/>
  <c r="H44" i="48"/>
  <c r="I44" i="48"/>
  <c r="J44" i="48" s="1"/>
  <c r="K44" i="48"/>
  <c r="N44" i="48" s="1"/>
  <c r="M44" i="48"/>
  <c r="F45" i="48"/>
  <c r="G45" i="48"/>
  <c r="H45" i="48"/>
  <c r="I45" i="48"/>
  <c r="J45" i="48" s="1"/>
  <c r="F46" i="48"/>
  <c r="G46" i="48"/>
  <c r="H46" i="48"/>
  <c r="I46" i="48"/>
  <c r="J46" i="48" s="1"/>
  <c r="K46" i="48"/>
  <c r="N46" i="48" s="1"/>
  <c r="M46" i="48"/>
  <c r="F47" i="48"/>
  <c r="G47" i="48"/>
  <c r="K47" i="48"/>
  <c r="N47" i="48" s="1"/>
  <c r="F48" i="48"/>
  <c r="G48" i="48"/>
  <c r="H48" i="48"/>
  <c r="I48" i="48"/>
  <c r="J48" i="48" s="1"/>
  <c r="K48" i="48"/>
  <c r="N48" i="48" s="1"/>
  <c r="F49" i="48"/>
  <c r="G49" i="48"/>
  <c r="H49" i="48"/>
  <c r="I49" i="48"/>
  <c r="J49" i="48" s="1"/>
  <c r="F50" i="48"/>
  <c r="G50" i="48"/>
  <c r="K49" i="48" s="1"/>
  <c r="H50" i="48"/>
  <c r="I50" i="48"/>
  <c r="J50" i="48" s="1"/>
  <c r="K50" i="48"/>
  <c r="N50" i="48" s="1"/>
  <c r="F51" i="48"/>
  <c r="G51" i="48"/>
  <c r="K51" i="48"/>
  <c r="N51" i="48" s="1"/>
  <c r="M51" i="48"/>
  <c r="F52" i="48"/>
  <c r="G52" i="48"/>
  <c r="H52" i="48"/>
  <c r="I52" i="48"/>
  <c r="J52" i="48" s="1"/>
  <c r="K52" i="48"/>
  <c r="N52" i="48" s="1"/>
  <c r="M52" i="48"/>
  <c r="F53" i="48"/>
  <c r="G53" i="48"/>
  <c r="H53" i="48"/>
  <c r="I53" i="48"/>
  <c r="J53" i="48" s="1"/>
  <c r="F54" i="48"/>
  <c r="G54" i="48"/>
  <c r="H54" i="48"/>
  <c r="I54" i="48"/>
  <c r="J54" i="48" s="1"/>
  <c r="K54" i="48"/>
  <c r="N54" i="48" s="1"/>
  <c r="M54" i="48"/>
  <c r="F55" i="48"/>
  <c r="G55" i="48"/>
  <c r="H55" i="48"/>
  <c r="I55" i="48"/>
  <c r="J55" i="48" s="1"/>
  <c r="F56" i="48"/>
  <c r="G56" i="48"/>
  <c r="H56" i="48"/>
  <c r="I56" i="48"/>
  <c r="J56" i="48" s="1"/>
  <c r="K56" i="48"/>
  <c r="N56" i="48" s="1"/>
  <c r="F57" i="48"/>
  <c r="G57" i="48"/>
  <c r="H57" i="48"/>
  <c r="I57" i="48"/>
  <c r="J57" i="48" s="1"/>
  <c r="F58" i="48"/>
  <c r="G58" i="48"/>
  <c r="K57" i="48" s="1"/>
  <c r="N57" i="48" s="1"/>
  <c r="H58" i="48"/>
  <c r="I58" i="48"/>
  <c r="J58" i="48" s="1"/>
  <c r="K58" i="48"/>
  <c r="N58" i="48" s="1"/>
  <c r="F59" i="48"/>
  <c r="G59" i="48"/>
  <c r="K59" i="48"/>
  <c r="N59" i="48" s="1"/>
  <c r="M59" i="48"/>
  <c r="F60" i="48"/>
  <c r="G60" i="48"/>
  <c r="H60" i="48"/>
  <c r="I60" i="48"/>
  <c r="J60" i="48" s="1"/>
  <c r="K60" i="48"/>
  <c r="N60" i="48" s="1"/>
  <c r="M60" i="48"/>
  <c r="F61" i="48"/>
  <c r="G61" i="48"/>
  <c r="H61" i="48"/>
  <c r="I61" i="48"/>
  <c r="J61" i="48" s="1"/>
  <c r="F62" i="48"/>
  <c r="G62" i="48"/>
  <c r="H62" i="48"/>
  <c r="I62" i="48"/>
  <c r="J62" i="48" s="1"/>
  <c r="K62" i="48"/>
  <c r="N62" i="48" s="1"/>
  <c r="M62" i="48"/>
  <c r="F63" i="48"/>
  <c r="G63" i="48"/>
  <c r="K63" i="48"/>
  <c r="N63" i="48" s="1"/>
  <c r="F64" i="48"/>
  <c r="G64" i="48"/>
  <c r="H64" i="48"/>
  <c r="I64" i="48"/>
  <c r="J64" i="48" s="1"/>
  <c r="K64" i="48"/>
  <c r="N64" i="48" s="1"/>
  <c r="F65" i="48"/>
  <c r="G65" i="48"/>
  <c r="H65" i="48"/>
  <c r="I65" i="48"/>
  <c r="J65" i="48" s="1"/>
  <c r="F66" i="48"/>
  <c r="G66" i="48"/>
  <c r="K65" i="48" s="1"/>
  <c r="H66" i="48"/>
  <c r="I66" i="48"/>
  <c r="J66" i="48" s="1"/>
  <c r="K66" i="48"/>
  <c r="N66" i="48" s="1"/>
  <c r="F67" i="48"/>
  <c r="G67" i="48"/>
  <c r="H67" i="48"/>
  <c r="I67" i="48"/>
  <c r="J67" i="48" s="1"/>
  <c r="F68" i="48"/>
  <c r="G68" i="48"/>
  <c r="H68" i="48"/>
  <c r="I68" i="48"/>
  <c r="J68" i="48" s="1"/>
  <c r="K68" i="48"/>
  <c r="N68" i="48" s="1"/>
  <c r="M68" i="48"/>
  <c r="F69" i="48"/>
  <c r="G69" i="48"/>
  <c r="K69" i="48"/>
  <c r="N69" i="48" s="1"/>
  <c r="F70" i="48"/>
  <c r="G70" i="48"/>
  <c r="H70" i="48"/>
  <c r="I70" i="48"/>
  <c r="J70" i="48" s="1"/>
  <c r="K70" i="48"/>
  <c r="N70" i="48" s="1"/>
  <c r="M70" i="48"/>
  <c r="F71" i="48"/>
  <c r="G71" i="48"/>
  <c r="H71" i="48"/>
  <c r="I71" i="48"/>
  <c r="J71" i="48" s="1"/>
  <c r="F72" i="48"/>
  <c r="G72" i="48"/>
  <c r="H72" i="48"/>
  <c r="I72" i="48"/>
  <c r="J72" i="48" s="1"/>
  <c r="K72" i="48"/>
  <c r="N72" i="48" s="1"/>
  <c r="F73" i="48"/>
  <c r="G73" i="48"/>
  <c r="K73" i="48"/>
  <c r="N73" i="48" s="1"/>
  <c r="M73" i="48"/>
  <c r="F74" i="48"/>
  <c r="G74" i="48"/>
  <c r="H73" i="48" s="1"/>
  <c r="I73" i="48" s="1"/>
  <c r="J73" i="48" s="1"/>
  <c r="H74" i="48"/>
  <c r="I74" i="48"/>
  <c r="J74" i="48" s="1"/>
  <c r="K74" i="48"/>
  <c r="N74" i="48" s="1"/>
  <c r="M74" i="48"/>
  <c r="F75" i="48"/>
  <c r="G75" i="48"/>
  <c r="K75" i="48" s="1"/>
  <c r="H75" i="48"/>
  <c r="I75" i="48"/>
  <c r="J75" i="48" s="1"/>
  <c r="F76" i="48"/>
  <c r="G76" i="48"/>
  <c r="H76" i="48"/>
  <c r="I76" i="48"/>
  <c r="J76" i="48" s="1"/>
  <c r="K76" i="48"/>
  <c r="M76" i="48"/>
  <c r="N76" i="48"/>
  <c r="F77" i="48"/>
  <c r="G77" i="48"/>
  <c r="H77" i="48"/>
  <c r="I77" i="48"/>
  <c r="J77" i="48" s="1"/>
  <c r="F78" i="48"/>
  <c r="G78" i="48"/>
  <c r="H78" i="48"/>
  <c r="I78" i="48"/>
  <c r="J78" i="48" s="1"/>
  <c r="K78" i="48"/>
  <c r="N78" i="48" s="1"/>
  <c r="F79" i="48"/>
  <c r="G79" i="48"/>
  <c r="K79" i="48"/>
  <c r="M79" i="48" s="1"/>
  <c r="N79" i="48"/>
  <c r="F80" i="48"/>
  <c r="G80" i="48"/>
  <c r="H79" i="48" s="1"/>
  <c r="I79" i="48" s="1"/>
  <c r="J79" i="48" s="1"/>
  <c r="H80" i="48"/>
  <c r="I80" i="48"/>
  <c r="J80" i="48" s="1"/>
  <c r="K80" i="48"/>
  <c r="N80" i="48" s="1"/>
  <c r="M80" i="48"/>
  <c r="F81" i="48"/>
  <c r="G81" i="48"/>
  <c r="K81" i="48"/>
  <c r="M81" i="48" s="1"/>
  <c r="F82" i="48"/>
  <c r="G82" i="48"/>
  <c r="H82" i="48"/>
  <c r="I82" i="48"/>
  <c r="J82" i="48" s="1"/>
  <c r="K82" i="48"/>
  <c r="N82" i="48" s="1"/>
  <c r="F83" i="48"/>
  <c r="G83" i="48"/>
  <c r="H83" i="48"/>
  <c r="I83" i="48"/>
  <c r="J83" i="48" s="1"/>
  <c r="F84" i="48"/>
  <c r="G84" i="48"/>
  <c r="H84" i="48"/>
  <c r="I84" i="48"/>
  <c r="J84" i="48" s="1"/>
  <c r="K84" i="48"/>
  <c r="M84" i="48" s="1"/>
  <c r="N84" i="48"/>
  <c r="F85" i="48"/>
  <c r="G85" i="48"/>
  <c r="K85" i="48"/>
  <c r="M85" i="48" s="1"/>
  <c r="F86" i="48"/>
  <c r="G86" i="48"/>
  <c r="H86" i="48"/>
  <c r="I86" i="48"/>
  <c r="J86" i="48" s="1"/>
  <c r="K86" i="48"/>
  <c r="N86" i="48" s="1"/>
  <c r="F87" i="48"/>
  <c r="G87" i="48"/>
  <c r="H87" i="48"/>
  <c r="I87" i="48"/>
  <c r="J87" i="48" s="1"/>
  <c r="F88" i="48"/>
  <c r="G88" i="48"/>
  <c r="K87" i="48" s="1"/>
  <c r="H88" i="48"/>
  <c r="I88" i="48"/>
  <c r="J88" i="48" s="1"/>
  <c r="K88" i="48"/>
  <c r="N88" i="48" s="1"/>
  <c r="F89" i="48"/>
  <c r="G89" i="48"/>
  <c r="K89" i="48"/>
  <c r="M89" i="48" s="1"/>
  <c r="F90" i="48"/>
  <c r="G90" i="48"/>
  <c r="H90" i="48"/>
  <c r="I90" i="48"/>
  <c r="J90" i="48" s="1"/>
  <c r="K90" i="48"/>
  <c r="N90" i="48" s="1"/>
  <c r="F91" i="48"/>
  <c r="G91" i="48"/>
  <c r="H91" i="48"/>
  <c r="I91" i="48"/>
  <c r="J91" i="48" s="1"/>
  <c r="F92" i="48"/>
  <c r="G92" i="48"/>
  <c r="H92" i="48"/>
  <c r="I92" i="48"/>
  <c r="J92" i="48" s="1"/>
  <c r="K92" i="48"/>
  <c r="M92" i="48" s="1"/>
  <c r="F93" i="48"/>
  <c r="G93" i="48"/>
  <c r="H93" i="48"/>
  <c r="I93" i="48" s="1"/>
  <c r="J93" i="48" s="1"/>
  <c r="K93" i="48"/>
  <c r="M93" i="48" s="1"/>
  <c r="F94" i="48"/>
  <c r="G94" i="48"/>
  <c r="H94" i="48"/>
  <c r="I94" i="48"/>
  <c r="J94" i="48"/>
  <c r="K94" i="48"/>
  <c r="M94" i="48" s="1"/>
  <c r="F95" i="48"/>
  <c r="G95" i="48"/>
  <c r="H95" i="48"/>
  <c r="I95" i="48"/>
  <c r="J95" i="48"/>
  <c r="F96" i="48"/>
  <c r="G96" i="48"/>
  <c r="K95" i="48" s="1"/>
  <c r="H96" i="48"/>
  <c r="I96" i="48"/>
  <c r="J96" i="48" s="1"/>
  <c r="K96" i="48"/>
  <c r="M96" i="48" s="1"/>
  <c r="N96" i="48"/>
  <c r="F97" i="48"/>
  <c r="G97" i="48"/>
  <c r="K97" i="48"/>
  <c r="M97" i="48" s="1"/>
  <c r="F98" i="48"/>
  <c r="G98" i="48"/>
  <c r="H97" i="48" s="1"/>
  <c r="I97" i="48" s="1"/>
  <c r="J97" i="48" s="1"/>
  <c r="H98" i="48"/>
  <c r="I98" i="48"/>
  <c r="J98" i="48" s="1"/>
  <c r="K98" i="48"/>
  <c r="M98" i="48" s="1"/>
  <c r="F99" i="48"/>
  <c r="G99" i="48"/>
  <c r="H99" i="48"/>
  <c r="I99" i="48" s="1"/>
  <c r="J99" i="48" s="1"/>
  <c r="K99" i="48"/>
  <c r="N99" i="48" s="1"/>
  <c r="F100" i="48"/>
  <c r="G100" i="48"/>
  <c r="H100" i="48"/>
  <c r="I100" i="48"/>
  <c r="J100" i="48"/>
  <c r="K100" i="48"/>
  <c r="N100" i="48" s="1"/>
  <c r="M100" i="48"/>
  <c r="H89" i="48" l="1"/>
  <c r="I89" i="48" s="1"/>
  <c r="J89" i="48" s="1"/>
  <c r="H85" i="48"/>
  <c r="I85" i="48" s="1"/>
  <c r="J85" i="48" s="1"/>
  <c r="M82" i="48"/>
  <c r="M20" i="48"/>
  <c r="M17" i="48"/>
  <c r="M12" i="48"/>
  <c r="M81" i="67"/>
  <c r="H61" i="67"/>
  <c r="I61" i="67" s="1"/>
  <c r="J61" i="67" s="1"/>
  <c r="M8" i="67"/>
  <c r="M50" i="9"/>
  <c r="M39" i="9"/>
  <c r="I23" i="55"/>
  <c r="I21" i="55"/>
  <c r="N98" i="48"/>
  <c r="N97" i="48"/>
  <c r="M90" i="48"/>
  <c r="M66" i="48"/>
  <c r="M63" i="48"/>
  <c r="M58" i="48"/>
  <c r="M50" i="48"/>
  <c r="M47" i="48"/>
  <c r="M42" i="48"/>
  <c r="M39" i="48"/>
  <c r="H101" i="67"/>
  <c r="I101" i="67" s="1"/>
  <c r="J101" i="67" s="1"/>
  <c r="M92" i="67"/>
  <c r="N89" i="67"/>
  <c r="K75" i="67"/>
  <c r="N42" i="67"/>
  <c r="M22" i="67"/>
  <c r="M17" i="67"/>
  <c r="H31" i="9"/>
  <c r="I31" i="9" s="1"/>
  <c r="J31" i="9" s="1"/>
  <c r="M18" i="9"/>
  <c r="M70" i="56"/>
  <c r="M67" i="56"/>
  <c r="M62" i="56"/>
  <c r="M59" i="56"/>
  <c r="M54" i="56"/>
  <c r="M51" i="56"/>
  <c r="M46" i="56"/>
  <c r="M43" i="56"/>
  <c r="M38" i="56"/>
  <c r="M35" i="56"/>
  <c r="M30" i="56"/>
  <c r="M20" i="56"/>
  <c r="M17" i="56"/>
  <c r="M88" i="48"/>
  <c r="N85" i="48"/>
  <c r="K83" i="48"/>
  <c r="N83" i="48" s="1"/>
  <c r="M10" i="48"/>
  <c r="M82" i="67"/>
  <c r="N66" i="67"/>
  <c r="H55" i="9"/>
  <c r="I55" i="9" s="1"/>
  <c r="J55" i="9" s="1"/>
  <c r="M42" i="9"/>
  <c r="H29" i="9"/>
  <c r="J29" i="9" s="1"/>
  <c r="H13" i="56"/>
  <c r="I13" i="56" s="1"/>
  <c r="J13" i="56" s="1"/>
  <c r="N93" i="48"/>
  <c r="K91" i="48"/>
  <c r="M91" i="48" s="1"/>
  <c r="M78" i="48"/>
  <c r="M72" i="48"/>
  <c r="M69" i="48"/>
  <c r="K67" i="48"/>
  <c r="M64" i="48"/>
  <c r="H59" i="48"/>
  <c r="I59" i="48" s="1"/>
  <c r="J59" i="48" s="1"/>
  <c r="M56" i="48"/>
  <c r="H51" i="48"/>
  <c r="I51" i="48" s="1"/>
  <c r="J51" i="48" s="1"/>
  <c r="M48" i="48"/>
  <c r="H43" i="48"/>
  <c r="I43" i="48" s="1"/>
  <c r="J43" i="48" s="1"/>
  <c r="M40" i="48"/>
  <c r="H35" i="48"/>
  <c r="I35" i="48" s="1"/>
  <c r="J35" i="48" s="1"/>
  <c r="M90" i="67"/>
  <c r="H53" i="9"/>
  <c r="I53" i="9" s="1"/>
  <c r="J53" i="9" s="1"/>
  <c r="M31" i="9"/>
  <c r="K23" i="9"/>
  <c r="H21" i="56"/>
  <c r="I21" i="56" s="1"/>
  <c r="J21" i="56" s="1"/>
  <c r="I19" i="55"/>
  <c r="M99" i="48"/>
  <c r="N94" i="48"/>
  <c r="M86" i="48"/>
  <c r="H81" i="48"/>
  <c r="I81" i="48" s="1"/>
  <c r="J81" i="48" s="1"/>
  <c r="M24" i="48"/>
  <c r="M21" i="48"/>
  <c r="M16" i="48"/>
  <c r="M13" i="48"/>
  <c r="M8" i="48"/>
  <c r="H93" i="67"/>
  <c r="I93" i="67" s="1"/>
  <c r="J93" i="67" s="1"/>
  <c r="N78" i="67"/>
  <c r="M55" i="9"/>
  <c r="H21" i="9"/>
  <c r="I21" i="9" s="1"/>
  <c r="J21" i="9" s="1"/>
  <c r="M26" i="56"/>
  <c r="M23" i="56"/>
  <c r="M13" i="56"/>
  <c r="M88" i="67"/>
  <c r="M85" i="67"/>
  <c r="M66" i="56"/>
  <c r="M63" i="56"/>
  <c r="M58" i="56"/>
  <c r="M50" i="56"/>
  <c r="M47" i="56"/>
  <c r="M42" i="56"/>
  <c r="M39" i="56"/>
  <c r="M34" i="56"/>
  <c r="M31" i="56"/>
  <c r="M21" i="56"/>
  <c r="M16" i="56"/>
  <c r="M47" i="9"/>
  <c r="H31" i="67"/>
  <c r="I31" i="67" s="1"/>
  <c r="J31" i="67" s="1"/>
  <c r="N10" i="67"/>
  <c r="M10" i="56"/>
  <c r="I17" i="59"/>
  <c r="J15" i="33"/>
  <c r="I15" i="33"/>
  <c r="J13" i="33"/>
  <c r="I13" i="33"/>
  <c r="M28" i="48"/>
  <c r="M100" i="67"/>
  <c r="N97" i="67"/>
  <c r="M58" i="67"/>
  <c r="M60" i="9"/>
  <c r="M52" i="9"/>
  <c r="M49" i="9"/>
  <c r="M44" i="9"/>
  <c r="M41" i="9"/>
  <c r="M36" i="9"/>
  <c r="M33" i="9"/>
  <c r="M28" i="9"/>
  <c r="M25" i="9"/>
  <c r="M20" i="9"/>
  <c r="M17" i="9"/>
  <c r="M12" i="9"/>
  <c r="M9" i="9"/>
  <c r="J29" i="33"/>
  <c r="I29" i="33"/>
  <c r="J19" i="33"/>
  <c r="I19" i="33"/>
  <c r="I17" i="33"/>
  <c r="J17" i="33"/>
  <c r="M8" i="56"/>
  <c r="I23" i="33"/>
  <c r="J23" i="33"/>
  <c r="J21" i="33"/>
  <c r="I21" i="33"/>
  <c r="M10" i="9"/>
  <c r="J27" i="33"/>
  <c r="I27" i="33"/>
  <c r="I25" i="33"/>
  <c r="J25" i="33"/>
  <c r="K77" i="48"/>
  <c r="H63" i="48"/>
  <c r="I63" i="48" s="1"/>
  <c r="J63" i="48" s="1"/>
  <c r="K55" i="48"/>
  <c r="H47" i="48"/>
  <c r="I47" i="48" s="1"/>
  <c r="J47" i="48" s="1"/>
  <c r="H39" i="48"/>
  <c r="I39" i="48" s="1"/>
  <c r="J39" i="48" s="1"/>
  <c r="H11" i="48"/>
  <c r="I11" i="48" s="1"/>
  <c r="J11" i="48" s="1"/>
  <c r="K29" i="67"/>
  <c r="M16" i="67"/>
  <c r="N7" i="9"/>
  <c r="H65" i="56"/>
  <c r="I65" i="56" s="1"/>
  <c r="J65" i="56" s="1"/>
  <c r="H57" i="56"/>
  <c r="I57" i="56" s="1"/>
  <c r="J57" i="56" s="1"/>
  <c r="K49" i="56"/>
  <c r="H41" i="56"/>
  <c r="I41" i="56" s="1"/>
  <c r="J41" i="56" s="1"/>
  <c r="K33" i="56"/>
  <c r="M27" i="56"/>
  <c r="K25" i="56"/>
  <c r="M22" i="56"/>
  <c r="H17" i="56"/>
  <c r="I17" i="56" s="1"/>
  <c r="J17" i="56" s="1"/>
  <c r="M14" i="56"/>
  <c r="M11" i="56"/>
  <c r="H9" i="56"/>
  <c r="I9" i="56" s="1"/>
  <c r="J9" i="56" s="1"/>
  <c r="I31" i="59"/>
  <c r="K71" i="48"/>
  <c r="K27" i="48"/>
  <c r="N101" i="67"/>
  <c r="N96" i="67"/>
  <c r="K19" i="67"/>
  <c r="N19" i="67" s="1"/>
  <c r="H59" i="9"/>
  <c r="I59" i="9" s="1"/>
  <c r="J59" i="9" s="1"/>
  <c r="M56" i="9"/>
  <c r="M53" i="9"/>
  <c r="H51" i="9"/>
  <c r="I51" i="9" s="1"/>
  <c r="J51" i="9" s="1"/>
  <c r="M48" i="9"/>
  <c r="M45" i="9"/>
  <c r="H43" i="9"/>
  <c r="J43" i="9" s="1"/>
  <c r="M40" i="9"/>
  <c r="M37" i="9"/>
  <c r="K35" i="9"/>
  <c r="N35" i="9" s="1"/>
  <c r="M32" i="9"/>
  <c r="M29" i="9"/>
  <c r="H27" i="9"/>
  <c r="J27" i="9" s="1"/>
  <c r="M24" i="9"/>
  <c r="M21" i="9"/>
  <c r="H19" i="9"/>
  <c r="I19" i="9" s="1"/>
  <c r="J19" i="9" s="1"/>
  <c r="M16" i="9"/>
  <c r="M13" i="9"/>
  <c r="H11" i="9"/>
  <c r="M8" i="9"/>
  <c r="N92" i="48"/>
  <c r="H69" i="48"/>
  <c r="I69" i="48" s="1"/>
  <c r="J69" i="48" s="1"/>
  <c r="K61" i="48"/>
  <c r="K53" i="48"/>
  <c r="K45" i="48"/>
  <c r="K37" i="48"/>
  <c r="H25" i="48"/>
  <c r="I25" i="48" s="1"/>
  <c r="J25" i="48" s="1"/>
  <c r="H21" i="48"/>
  <c r="I21" i="48" s="1"/>
  <c r="J21" i="48" s="1"/>
  <c r="H17" i="48"/>
  <c r="I17" i="48" s="1"/>
  <c r="J17" i="48" s="1"/>
  <c r="K9" i="48"/>
  <c r="N9" i="48" s="1"/>
  <c r="H89" i="67"/>
  <c r="I89" i="67" s="1"/>
  <c r="J89" i="67" s="1"/>
  <c r="N73" i="67"/>
  <c r="H71" i="67"/>
  <c r="I71" i="67" s="1"/>
  <c r="J71" i="67" s="1"/>
  <c r="H63" i="56"/>
  <c r="I63" i="56" s="1"/>
  <c r="J63" i="56" s="1"/>
  <c r="K55" i="56"/>
  <c r="M55" i="56" s="1"/>
  <c r="H47" i="56"/>
  <c r="I47" i="56" s="1"/>
  <c r="J47" i="56" s="1"/>
  <c r="H39" i="56"/>
  <c r="I39" i="56" s="1"/>
  <c r="J39" i="56" s="1"/>
  <c r="H31" i="56"/>
  <c r="I31" i="56" s="1"/>
  <c r="J31" i="56" s="1"/>
  <c r="H23" i="56"/>
  <c r="I23" i="56" s="1"/>
  <c r="J23" i="56" s="1"/>
  <c r="K15" i="56"/>
  <c r="N15" i="56" s="1"/>
  <c r="I35" i="55"/>
  <c r="M32" i="48"/>
  <c r="K23" i="48"/>
  <c r="H79" i="67"/>
  <c r="I79" i="67" s="1"/>
  <c r="J79" i="67" s="1"/>
  <c r="H55" i="67"/>
  <c r="I55" i="67" s="1"/>
  <c r="J55" i="67" s="1"/>
  <c r="M24" i="67"/>
  <c r="M9" i="67"/>
  <c r="M62" i="9"/>
  <c r="M59" i="9"/>
  <c r="K57" i="9"/>
  <c r="M57" i="9" s="1"/>
  <c r="M54" i="9"/>
  <c r="M51" i="9"/>
  <c r="H49" i="9"/>
  <c r="I49" i="9" s="1"/>
  <c r="J49" i="9" s="1"/>
  <c r="M46" i="9"/>
  <c r="M43" i="9"/>
  <c r="H41" i="9"/>
  <c r="J41" i="9" s="1"/>
  <c r="M38" i="9"/>
  <c r="H33" i="9"/>
  <c r="I33" i="9" s="1"/>
  <c r="J33" i="9" s="1"/>
  <c r="M30" i="9"/>
  <c r="M27" i="9"/>
  <c r="H25" i="9"/>
  <c r="J25" i="9" s="1"/>
  <c r="M22" i="9"/>
  <c r="M19" i="9"/>
  <c r="H17" i="9"/>
  <c r="M14" i="9"/>
  <c r="M11" i="9"/>
  <c r="H9" i="9"/>
  <c r="I9" i="9" s="1"/>
  <c r="I11" i="9" s="1"/>
  <c r="J33" i="59"/>
  <c r="J9" i="41"/>
  <c r="M47" i="67"/>
  <c r="K53" i="67"/>
  <c r="M65" i="67"/>
  <c r="M41" i="67"/>
  <c r="N14" i="67"/>
  <c r="N18" i="67"/>
  <c r="K15" i="67"/>
  <c r="N15" i="67" s="1"/>
  <c r="M64" i="67"/>
  <c r="K45" i="67"/>
  <c r="M12" i="67"/>
  <c r="M45" i="56"/>
  <c r="N45" i="56"/>
  <c r="M37" i="56"/>
  <c r="N37" i="56"/>
  <c r="M29" i="56"/>
  <c r="N29" i="56"/>
  <c r="M19" i="56"/>
  <c r="N19" i="56"/>
  <c r="M25" i="56"/>
  <c r="N25" i="56"/>
  <c r="M49" i="56"/>
  <c r="N49" i="56"/>
  <c r="M33" i="56"/>
  <c r="N33" i="56"/>
  <c r="M15" i="56"/>
  <c r="M35" i="9"/>
  <c r="M61" i="9"/>
  <c r="N61" i="9"/>
  <c r="M23" i="9"/>
  <c r="N23" i="9"/>
  <c r="M94" i="67"/>
  <c r="M62" i="67"/>
  <c r="M52" i="67"/>
  <c r="M31" i="67"/>
  <c r="M26" i="67"/>
  <c r="M20" i="67"/>
  <c r="K11" i="67"/>
  <c r="M11" i="67" s="1"/>
  <c r="H85" i="67"/>
  <c r="I85" i="67" s="1"/>
  <c r="J85" i="67" s="1"/>
  <c r="K33" i="67"/>
  <c r="M33" i="67" s="1"/>
  <c r="M102" i="67"/>
  <c r="N93" i="67"/>
  <c r="K83" i="67"/>
  <c r="N83" i="67" s="1"/>
  <c r="M72" i="67"/>
  <c r="H65" i="67"/>
  <c r="I65" i="67" s="1"/>
  <c r="J65" i="67" s="1"/>
  <c r="M51" i="67"/>
  <c r="M43" i="67"/>
  <c r="K37" i="67"/>
  <c r="N37" i="67" s="1"/>
  <c r="M28" i="67"/>
  <c r="H23" i="67"/>
  <c r="I23" i="67" s="1"/>
  <c r="J23" i="67" s="1"/>
  <c r="H97" i="67"/>
  <c r="I97" i="67" s="1"/>
  <c r="J97" i="67" s="1"/>
  <c r="K87" i="67"/>
  <c r="N87" i="67" s="1"/>
  <c r="K57" i="67"/>
  <c r="N57" i="67" s="1"/>
  <c r="H9" i="67"/>
  <c r="I9" i="67" s="1"/>
  <c r="J9" i="67" s="1"/>
  <c r="N39" i="67"/>
  <c r="N27" i="67"/>
  <c r="N23" i="67"/>
  <c r="M80" i="67"/>
  <c r="K67" i="67"/>
  <c r="M19" i="67"/>
  <c r="K25" i="67"/>
  <c r="K99" i="67"/>
  <c r="K95" i="67"/>
  <c r="N95" i="67" s="1"/>
  <c r="K91" i="67"/>
  <c r="N91" i="67" s="1"/>
  <c r="K77" i="67"/>
  <c r="N77" i="67" s="1"/>
  <c r="H73" i="67"/>
  <c r="I73" i="67" s="1"/>
  <c r="J73" i="67" s="1"/>
  <c r="N70" i="67"/>
  <c r="K35" i="67"/>
  <c r="H27" i="67"/>
  <c r="I27" i="67" s="1"/>
  <c r="J27" i="67" s="1"/>
  <c r="H21" i="67"/>
  <c r="I21" i="67" s="1"/>
  <c r="J21" i="67" s="1"/>
  <c r="H17" i="67"/>
  <c r="I17" i="67" s="1"/>
  <c r="J17" i="67" s="1"/>
  <c r="K13" i="67"/>
  <c r="M13" i="67" s="1"/>
  <c r="H81" i="67"/>
  <c r="I81" i="67" s="1"/>
  <c r="J81" i="67" s="1"/>
  <c r="H51" i="67"/>
  <c r="I51" i="67" s="1"/>
  <c r="J51" i="67" s="1"/>
  <c r="K69" i="67"/>
  <c r="M69" i="67" s="1"/>
  <c r="K59" i="67"/>
  <c r="M59" i="67" s="1"/>
  <c r="H43" i="67"/>
  <c r="I43" i="67" s="1"/>
  <c r="J43" i="67" s="1"/>
  <c r="M45" i="67"/>
  <c r="N45" i="67"/>
  <c r="N33" i="67"/>
  <c r="M53" i="67"/>
  <c r="N53" i="67"/>
  <c r="M29" i="67"/>
  <c r="N29" i="67"/>
  <c r="M99" i="67"/>
  <c r="N99" i="67"/>
  <c r="M83" i="67"/>
  <c r="N75" i="67"/>
  <c r="N67" i="67"/>
  <c r="M91" i="67"/>
  <c r="M79" i="67"/>
  <c r="M71" i="67"/>
  <c r="M63" i="67"/>
  <c r="M57" i="67"/>
  <c r="M48" i="67"/>
  <c r="M40" i="67"/>
  <c r="M32" i="67"/>
  <c r="N44" i="67"/>
  <c r="N36" i="67"/>
  <c r="N84" i="67"/>
  <c r="N76" i="67"/>
  <c r="N68" i="67"/>
  <c r="N60" i="67"/>
  <c r="N54" i="67"/>
  <c r="N61" i="67"/>
  <c r="N55" i="67"/>
  <c r="N46" i="67"/>
  <c r="N38" i="67"/>
  <c r="N30" i="67"/>
  <c r="N7" i="67"/>
  <c r="H7" i="67"/>
  <c r="I7" i="67" s="1"/>
  <c r="N65" i="48"/>
  <c r="N49" i="48"/>
  <c r="M49" i="48"/>
  <c r="N41" i="48"/>
  <c r="M41" i="48"/>
  <c r="N31" i="48"/>
  <c r="M31" i="48"/>
  <c r="N71" i="48"/>
  <c r="M71" i="48"/>
  <c r="N55" i="48"/>
  <c r="M55" i="48"/>
  <c r="N27" i="48"/>
  <c r="M27" i="48"/>
  <c r="N45" i="48"/>
  <c r="M45" i="48"/>
  <c r="M77" i="48"/>
  <c r="N77" i="48"/>
  <c r="N61" i="48"/>
  <c r="M61" i="48"/>
  <c r="N53" i="48"/>
  <c r="M53" i="48"/>
  <c r="N37" i="48"/>
  <c r="M37" i="48"/>
  <c r="M87" i="48"/>
  <c r="N87" i="48"/>
  <c r="N67" i="48"/>
  <c r="M67" i="48"/>
  <c r="M95" i="48"/>
  <c r="N95" i="48"/>
  <c r="N91" i="48"/>
  <c r="M83" i="48"/>
  <c r="N75" i="48"/>
  <c r="K15" i="48"/>
  <c r="N81" i="48"/>
  <c r="M29" i="48"/>
  <c r="M25" i="48"/>
  <c r="M9" i="48"/>
  <c r="N89" i="48"/>
  <c r="K19" i="48"/>
  <c r="M34" i="48"/>
  <c r="M30" i="48"/>
  <c r="M26" i="48"/>
  <c r="H13" i="48"/>
  <c r="I13" i="48" s="1"/>
  <c r="J13" i="48" s="1"/>
  <c r="F8" i="57"/>
  <c r="G8" i="57"/>
  <c r="H8" i="57"/>
  <c r="I8" i="57"/>
  <c r="J8" i="57" s="1"/>
  <c r="K8" i="57"/>
  <c r="N8" i="57" s="1"/>
  <c r="F9" i="57"/>
  <c r="G9" i="57"/>
  <c r="H9" i="57"/>
  <c r="I9" i="57"/>
  <c r="J9" i="57" s="1"/>
  <c r="F10" i="57"/>
  <c r="G10" i="57"/>
  <c r="H10" i="57"/>
  <c r="I10" i="57"/>
  <c r="J10" i="57" s="1"/>
  <c r="K10" i="57"/>
  <c r="N10" i="57" s="1"/>
  <c r="F11" i="57"/>
  <c r="G11" i="57"/>
  <c r="K11" i="57"/>
  <c r="N11" i="57" s="1"/>
  <c r="F12" i="57"/>
  <c r="G12" i="57"/>
  <c r="H11" i="57" s="1"/>
  <c r="I11" i="57" s="1"/>
  <c r="J11" i="57" s="1"/>
  <c r="H12" i="57"/>
  <c r="I12" i="57"/>
  <c r="J12" i="57" s="1"/>
  <c r="K12" i="57"/>
  <c r="N12" i="57" s="1"/>
  <c r="F13" i="57"/>
  <c r="G13" i="57"/>
  <c r="H13" i="57"/>
  <c r="I13" i="57"/>
  <c r="J13" i="57" s="1"/>
  <c r="F14" i="57"/>
  <c r="G14" i="57"/>
  <c r="H14" i="57"/>
  <c r="I14" i="57"/>
  <c r="J14" i="57" s="1"/>
  <c r="K14" i="57"/>
  <c r="N14" i="57" s="1"/>
  <c r="F15" i="57"/>
  <c r="G15" i="57"/>
  <c r="K15" i="57"/>
  <c r="N15" i="57" s="1"/>
  <c r="F16" i="57"/>
  <c r="G16" i="57"/>
  <c r="H16" i="57"/>
  <c r="I16" i="57"/>
  <c r="J16" i="57" s="1"/>
  <c r="K16" i="57"/>
  <c r="N16" i="57" s="1"/>
  <c r="F17" i="57"/>
  <c r="G17" i="57"/>
  <c r="H17" i="57"/>
  <c r="I17" i="57"/>
  <c r="J17" i="57" s="1"/>
  <c r="F18" i="57"/>
  <c r="G18" i="57"/>
  <c r="H18" i="57"/>
  <c r="I18" i="57"/>
  <c r="J18" i="57" s="1"/>
  <c r="K18" i="57"/>
  <c r="N18" i="57" s="1"/>
  <c r="F19" i="57"/>
  <c r="G19" i="57"/>
  <c r="K19" i="57"/>
  <c r="N19" i="57" s="1"/>
  <c r="F20" i="57"/>
  <c r="G20" i="57"/>
  <c r="H20" i="57"/>
  <c r="I20" i="57"/>
  <c r="J20" i="57" s="1"/>
  <c r="K20" i="57"/>
  <c r="N20" i="57" s="1"/>
  <c r="F21" i="57"/>
  <c r="G21" i="57"/>
  <c r="H21" i="57"/>
  <c r="I21" i="57"/>
  <c r="J21" i="57" s="1"/>
  <c r="F22" i="57"/>
  <c r="G22" i="57"/>
  <c r="H22" i="57"/>
  <c r="I22" i="57"/>
  <c r="J22" i="57" s="1"/>
  <c r="K22" i="57"/>
  <c r="N22" i="57" s="1"/>
  <c r="F23" i="57"/>
  <c r="G23" i="57"/>
  <c r="K23" i="57"/>
  <c r="N23" i="57" s="1"/>
  <c r="F24" i="57"/>
  <c r="G24" i="57"/>
  <c r="H24" i="57"/>
  <c r="I24" i="57"/>
  <c r="J24" i="57" s="1"/>
  <c r="K24" i="57"/>
  <c r="N24" i="57" s="1"/>
  <c r="F25" i="57"/>
  <c r="G25" i="57"/>
  <c r="H25" i="57"/>
  <c r="I25" i="57"/>
  <c r="J25" i="57" s="1"/>
  <c r="F26" i="57"/>
  <c r="G26" i="57"/>
  <c r="H26" i="57"/>
  <c r="I26" i="57"/>
  <c r="J26" i="57" s="1"/>
  <c r="K26" i="57"/>
  <c r="N26" i="57" s="1"/>
  <c r="F27" i="57"/>
  <c r="G27" i="57"/>
  <c r="K27" i="57"/>
  <c r="N27" i="57" s="1"/>
  <c r="F28" i="57"/>
  <c r="G28" i="57"/>
  <c r="H28" i="57"/>
  <c r="I28" i="57"/>
  <c r="J28" i="57" s="1"/>
  <c r="K28" i="57"/>
  <c r="N28" i="57" s="1"/>
  <c r="F29" i="57"/>
  <c r="G29" i="57"/>
  <c r="H29" i="57"/>
  <c r="I29" i="57"/>
  <c r="J29" i="57" s="1"/>
  <c r="F30" i="57"/>
  <c r="G30" i="57"/>
  <c r="H30" i="57"/>
  <c r="I30" i="57"/>
  <c r="J30" i="57" s="1"/>
  <c r="K30" i="57"/>
  <c r="N30" i="57" s="1"/>
  <c r="F31" i="57"/>
  <c r="G31" i="57"/>
  <c r="K31" i="57"/>
  <c r="N31" i="57" s="1"/>
  <c r="F32" i="57"/>
  <c r="G32" i="57"/>
  <c r="H31" i="57" s="1"/>
  <c r="I31" i="57" s="1"/>
  <c r="J31" i="57" s="1"/>
  <c r="H32" i="57"/>
  <c r="I32" i="57"/>
  <c r="J32" i="57" s="1"/>
  <c r="K32" i="57"/>
  <c r="N32" i="57" s="1"/>
  <c r="F33" i="57"/>
  <c r="G33" i="57"/>
  <c r="K33" i="57"/>
  <c r="N33" i="57" s="1"/>
  <c r="F34" i="57"/>
  <c r="G34" i="57"/>
  <c r="H34" i="57"/>
  <c r="I34" i="57"/>
  <c r="J34" i="57" s="1"/>
  <c r="K34" i="57"/>
  <c r="N34" i="57" s="1"/>
  <c r="F35" i="57"/>
  <c r="G35" i="57"/>
  <c r="H35" i="57"/>
  <c r="I35" i="57"/>
  <c r="J35" i="57" s="1"/>
  <c r="F36" i="57"/>
  <c r="G36" i="57"/>
  <c r="H36" i="57"/>
  <c r="I36" i="57"/>
  <c r="J36" i="57" s="1"/>
  <c r="K36" i="57"/>
  <c r="N36" i="57" s="1"/>
  <c r="F37" i="57"/>
  <c r="G37" i="57"/>
  <c r="K37" i="57"/>
  <c r="N37" i="57" s="1"/>
  <c r="F38" i="57"/>
  <c r="G38" i="57"/>
  <c r="H38" i="57"/>
  <c r="I38" i="57"/>
  <c r="J38" i="57" s="1"/>
  <c r="K38" i="57"/>
  <c r="N38" i="57" s="1"/>
  <c r="F39" i="57"/>
  <c r="G39" i="57"/>
  <c r="H39" i="57"/>
  <c r="I39" i="57"/>
  <c r="J39" i="57" s="1"/>
  <c r="F40" i="57"/>
  <c r="G40" i="57"/>
  <c r="H40" i="57"/>
  <c r="I40" i="57"/>
  <c r="J40" i="57" s="1"/>
  <c r="K40" i="57"/>
  <c r="N40" i="57" s="1"/>
  <c r="F41" i="57"/>
  <c r="G41" i="57"/>
  <c r="K41" i="57"/>
  <c r="N41" i="57" s="1"/>
  <c r="F42" i="57"/>
  <c r="G42" i="57"/>
  <c r="H42" i="57"/>
  <c r="I42" i="57"/>
  <c r="J42" i="57" s="1"/>
  <c r="K42" i="57"/>
  <c r="N42" i="57" s="1"/>
  <c r="F43" i="57"/>
  <c r="G43" i="57"/>
  <c r="H43" i="57"/>
  <c r="I43" i="57"/>
  <c r="J43" i="57" s="1"/>
  <c r="F44" i="57"/>
  <c r="G44" i="57"/>
  <c r="H44" i="57"/>
  <c r="I44" i="57"/>
  <c r="J44" i="57" s="1"/>
  <c r="K44" i="57"/>
  <c r="N44" i="57" s="1"/>
  <c r="F45" i="57"/>
  <c r="G45" i="57"/>
  <c r="K45" i="57"/>
  <c r="N45" i="57" s="1"/>
  <c r="F46" i="57"/>
  <c r="G46" i="57"/>
  <c r="H46" i="57"/>
  <c r="I46" i="57"/>
  <c r="J46" i="57" s="1"/>
  <c r="K46" i="57"/>
  <c r="N46" i="57" s="1"/>
  <c r="F47" i="57"/>
  <c r="G47" i="57"/>
  <c r="H47" i="57"/>
  <c r="I47" i="57"/>
  <c r="J47" i="57" s="1"/>
  <c r="F48" i="57"/>
  <c r="G48" i="57"/>
  <c r="H48" i="57"/>
  <c r="I48" i="57"/>
  <c r="J48" i="57" s="1"/>
  <c r="K48" i="57"/>
  <c r="N48" i="57" s="1"/>
  <c r="F49" i="57"/>
  <c r="G49" i="57"/>
  <c r="K49" i="57"/>
  <c r="N49" i="57" s="1"/>
  <c r="F50" i="57"/>
  <c r="G50" i="57"/>
  <c r="H50" i="57"/>
  <c r="I50" i="57"/>
  <c r="J50" i="57" s="1"/>
  <c r="K50" i="57"/>
  <c r="N50" i="57" s="1"/>
  <c r="F51" i="57"/>
  <c r="G51" i="57"/>
  <c r="H51" i="57"/>
  <c r="I51" i="57"/>
  <c r="J51" i="57" s="1"/>
  <c r="F52" i="57"/>
  <c r="G52" i="57"/>
  <c r="H52" i="57"/>
  <c r="I52" i="57"/>
  <c r="J52" i="57" s="1"/>
  <c r="K52" i="57"/>
  <c r="N52" i="57" s="1"/>
  <c r="F53" i="57"/>
  <c r="G53" i="57"/>
  <c r="H53" i="57"/>
  <c r="I53" i="57"/>
  <c r="J53" i="57" s="1"/>
  <c r="F54" i="57"/>
  <c r="G54" i="57"/>
  <c r="H54" i="57"/>
  <c r="I54" i="57"/>
  <c r="J54" i="57" s="1"/>
  <c r="K54" i="57"/>
  <c r="N54" i="57" s="1"/>
  <c r="F55" i="57"/>
  <c r="G55" i="57"/>
  <c r="H55" i="57"/>
  <c r="I55" i="57"/>
  <c r="J55" i="57" s="1"/>
  <c r="F56" i="57"/>
  <c r="G56" i="57"/>
  <c r="H56" i="57"/>
  <c r="I56" i="57"/>
  <c r="J56" i="57" s="1"/>
  <c r="K56" i="57"/>
  <c r="N56" i="57" s="1"/>
  <c r="F57" i="57"/>
  <c r="G57" i="57"/>
  <c r="K57" i="57"/>
  <c r="N57" i="57" s="1"/>
  <c r="F58" i="57"/>
  <c r="G58" i="57"/>
  <c r="H58" i="57"/>
  <c r="I58" i="57"/>
  <c r="J58" i="57" s="1"/>
  <c r="K58" i="57"/>
  <c r="N58" i="57" s="1"/>
  <c r="M58" i="57"/>
  <c r="F59" i="57"/>
  <c r="G59" i="57"/>
  <c r="H59" i="57"/>
  <c r="I59" i="57"/>
  <c r="J59" i="57" s="1"/>
  <c r="F60" i="57"/>
  <c r="G60" i="57"/>
  <c r="H60" i="57"/>
  <c r="I60" i="57"/>
  <c r="J60" i="57" s="1"/>
  <c r="K60" i="57"/>
  <c r="N60" i="57" s="1"/>
  <c r="F61" i="57"/>
  <c r="G61" i="57"/>
  <c r="H61" i="57" s="1"/>
  <c r="I61" i="57" s="1"/>
  <c r="J61" i="57" s="1"/>
  <c r="K61" i="57"/>
  <c r="N61" i="57" s="1"/>
  <c r="F62" i="57"/>
  <c r="G62" i="57"/>
  <c r="H62" i="57"/>
  <c r="I62" i="57"/>
  <c r="J62" i="57" s="1"/>
  <c r="K62" i="57"/>
  <c r="N62" i="57" s="1"/>
  <c r="F63" i="57"/>
  <c r="G63" i="57"/>
  <c r="K63" i="57" s="1"/>
  <c r="H63" i="57"/>
  <c r="I63" i="57"/>
  <c r="J63" i="57" s="1"/>
  <c r="F64" i="57"/>
  <c r="G64" i="57"/>
  <c r="H64" i="57"/>
  <c r="I64" i="57"/>
  <c r="J64" i="57" s="1"/>
  <c r="K64" i="57"/>
  <c r="N64" i="57" s="1"/>
  <c r="F65" i="57"/>
  <c r="G65" i="57"/>
  <c r="H65" i="57" s="1"/>
  <c r="I65" i="57" s="1"/>
  <c r="J65" i="57" s="1"/>
  <c r="K65" i="57"/>
  <c r="N65" i="57" s="1"/>
  <c r="F66" i="57"/>
  <c r="G66" i="57"/>
  <c r="H66" i="57"/>
  <c r="I66" i="57"/>
  <c r="J66" i="57" s="1"/>
  <c r="K66" i="57"/>
  <c r="N66" i="57" s="1"/>
  <c r="F67" i="57"/>
  <c r="G67" i="57"/>
  <c r="H67" i="57"/>
  <c r="I67" i="57"/>
  <c r="J67" i="57" s="1"/>
  <c r="F68" i="57"/>
  <c r="G68" i="57"/>
  <c r="H68" i="57"/>
  <c r="I68" i="57"/>
  <c r="J68" i="57" s="1"/>
  <c r="K68" i="57"/>
  <c r="N68" i="57" s="1"/>
  <c r="F69" i="57"/>
  <c r="G69" i="57"/>
  <c r="K69" i="57"/>
  <c r="N69" i="57" s="1"/>
  <c r="F70" i="57"/>
  <c r="G70" i="57"/>
  <c r="H70" i="57"/>
  <c r="I70" i="57"/>
  <c r="J70" i="57" s="1"/>
  <c r="K70" i="57"/>
  <c r="N70" i="57" s="1"/>
  <c r="F71" i="57"/>
  <c r="G71" i="57"/>
  <c r="H71" i="57"/>
  <c r="I71" i="57"/>
  <c r="J71" i="57" s="1"/>
  <c r="F72" i="57"/>
  <c r="G72" i="57"/>
  <c r="K71" i="57" s="1"/>
  <c r="H72" i="57"/>
  <c r="I72" i="57"/>
  <c r="J72" i="57" s="1"/>
  <c r="K72" i="57"/>
  <c r="N72" i="57" s="1"/>
  <c r="F73" i="57"/>
  <c r="G73" i="57"/>
  <c r="K73" i="57"/>
  <c r="N73" i="57" s="1"/>
  <c r="F74" i="57"/>
  <c r="G74" i="57"/>
  <c r="H74" i="57"/>
  <c r="I74" i="57"/>
  <c r="J74" i="57" s="1"/>
  <c r="K74" i="57"/>
  <c r="N74" i="57" s="1"/>
  <c r="F75" i="57"/>
  <c r="G75" i="57"/>
  <c r="K75" i="57"/>
  <c r="N75" i="57" s="1"/>
  <c r="F76" i="57"/>
  <c r="G76" i="57"/>
  <c r="H75" i="57" s="1"/>
  <c r="I75" i="57" s="1"/>
  <c r="J75" i="57" s="1"/>
  <c r="H76" i="57"/>
  <c r="I76" i="57"/>
  <c r="J76" i="57" s="1"/>
  <c r="K76" i="57"/>
  <c r="N76" i="57" s="1"/>
  <c r="F77" i="57"/>
  <c r="G77" i="57"/>
  <c r="H77" i="57"/>
  <c r="I77" i="57"/>
  <c r="J77" i="57" s="1"/>
  <c r="F78" i="57"/>
  <c r="G78" i="57"/>
  <c r="H78" i="57"/>
  <c r="I78" i="57"/>
  <c r="J78" i="57" s="1"/>
  <c r="K78" i="57"/>
  <c r="N78" i="57" s="1"/>
  <c r="F79" i="57"/>
  <c r="G79" i="57"/>
  <c r="K79" i="57"/>
  <c r="N79" i="57" s="1"/>
  <c r="M79" i="57"/>
  <c r="F80" i="57"/>
  <c r="G80" i="57"/>
  <c r="H79" i="57" s="1"/>
  <c r="I79" i="57" s="1"/>
  <c r="J79" i="57" s="1"/>
  <c r="H80" i="57"/>
  <c r="I80" i="57"/>
  <c r="J80" i="57" s="1"/>
  <c r="K80" i="57"/>
  <c r="N80" i="57" s="1"/>
  <c r="F81" i="57"/>
  <c r="G81" i="57"/>
  <c r="H81" i="57"/>
  <c r="I81" i="57"/>
  <c r="J81" i="57" s="1"/>
  <c r="F82" i="57"/>
  <c r="G82" i="57"/>
  <c r="H82" i="57"/>
  <c r="I82" i="57"/>
  <c r="J82" i="57" s="1"/>
  <c r="K82" i="57"/>
  <c r="N82" i="57" s="1"/>
  <c r="M82" i="57"/>
  <c r="F83" i="57"/>
  <c r="G83" i="57"/>
  <c r="K83" i="57"/>
  <c r="N83" i="57" s="1"/>
  <c r="F84" i="57"/>
  <c r="G84" i="57"/>
  <c r="H84" i="57"/>
  <c r="I84" i="57"/>
  <c r="J84" i="57" s="1"/>
  <c r="K84" i="57"/>
  <c r="N84" i="57" s="1"/>
  <c r="F85" i="57"/>
  <c r="G85" i="57"/>
  <c r="H85" i="57"/>
  <c r="I85" i="57"/>
  <c r="J85" i="57" s="1"/>
  <c r="F86" i="57"/>
  <c r="G86" i="57"/>
  <c r="H86" i="57"/>
  <c r="I86" i="57"/>
  <c r="J86" i="57" s="1"/>
  <c r="K86" i="57"/>
  <c r="N86" i="57" s="1"/>
  <c r="F87" i="57"/>
  <c r="G87" i="57"/>
  <c r="K87" i="57"/>
  <c r="N87" i="57" s="1"/>
  <c r="F88" i="57"/>
  <c r="G88" i="57"/>
  <c r="H88" i="57"/>
  <c r="I88" i="57"/>
  <c r="J88" i="57" s="1"/>
  <c r="K88" i="57"/>
  <c r="N88" i="57" s="1"/>
  <c r="F89" i="57"/>
  <c r="G89" i="57"/>
  <c r="H89" i="57"/>
  <c r="I89" i="57"/>
  <c r="J89" i="57" s="1"/>
  <c r="F90" i="57"/>
  <c r="G90" i="57"/>
  <c r="H90" i="57"/>
  <c r="I90" i="57"/>
  <c r="J90" i="57" s="1"/>
  <c r="K90" i="57"/>
  <c r="N90" i="57" s="1"/>
  <c r="F91" i="57"/>
  <c r="G91" i="57"/>
  <c r="K91" i="57"/>
  <c r="N91" i="57" s="1"/>
  <c r="F92" i="57"/>
  <c r="G92" i="57"/>
  <c r="H92" i="57"/>
  <c r="I92" i="57"/>
  <c r="J92" i="57" s="1"/>
  <c r="K92" i="57"/>
  <c r="N92" i="57" s="1"/>
  <c r="F93" i="57"/>
  <c r="G93" i="57"/>
  <c r="K93" i="57"/>
  <c r="M93" i="57" s="1"/>
  <c r="F94" i="57"/>
  <c r="G94" i="57"/>
  <c r="H93" i="57" s="1"/>
  <c r="I93" i="57" s="1"/>
  <c r="J93" i="57" s="1"/>
  <c r="H94" i="57"/>
  <c r="I94" i="57"/>
  <c r="J94" i="57" s="1"/>
  <c r="K94" i="57"/>
  <c r="M94" i="57" s="1"/>
  <c r="F95" i="57"/>
  <c r="G95" i="57"/>
  <c r="K95" i="57" s="1"/>
  <c r="M95" i="57" s="1"/>
  <c r="H95" i="57"/>
  <c r="I95" i="57"/>
  <c r="J95" i="57" s="1"/>
  <c r="F96" i="57"/>
  <c r="G96" i="57"/>
  <c r="H96" i="57"/>
  <c r="I96" i="57"/>
  <c r="J96" i="57" s="1"/>
  <c r="K96" i="57"/>
  <c r="M96" i="57" s="1"/>
  <c r="F8" i="37"/>
  <c r="G8" i="37"/>
  <c r="H8" i="37"/>
  <c r="I8" i="37"/>
  <c r="J8" i="37" s="1"/>
  <c r="K8" i="37"/>
  <c r="N8" i="37" s="1"/>
  <c r="F9" i="37"/>
  <c r="G9" i="37"/>
  <c r="H9" i="37"/>
  <c r="I9" i="37"/>
  <c r="J9" i="37"/>
  <c r="F10" i="37"/>
  <c r="G10" i="37"/>
  <c r="H10" i="37"/>
  <c r="I10" i="37"/>
  <c r="J10" i="37" s="1"/>
  <c r="K10" i="37"/>
  <c r="N10" i="37" s="1"/>
  <c r="F11" i="37"/>
  <c r="G11" i="37"/>
  <c r="K11" i="37"/>
  <c r="N11" i="37" s="1"/>
  <c r="F12" i="37"/>
  <c r="G12" i="37"/>
  <c r="H12" i="37"/>
  <c r="I12" i="37"/>
  <c r="J12" i="37" s="1"/>
  <c r="K12" i="37"/>
  <c r="N12" i="37" s="1"/>
  <c r="F13" i="37"/>
  <c r="G13" i="37"/>
  <c r="K13" i="37"/>
  <c r="N13" i="37" s="1"/>
  <c r="F14" i="37"/>
  <c r="G14" i="37"/>
  <c r="H14" i="37"/>
  <c r="I14" i="37"/>
  <c r="J14" i="37" s="1"/>
  <c r="K14" i="37"/>
  <c r="N14" i="37" s="1"/>
  <c r="F15" i="37"/>
  <c r="G15" i="37"/>
  <c r="H15" i="37"/>
  <c r="I15" i="37"/>
  <c r="J15" i="37" s="1"/>
  <c r="F16" i="37"/>
  <c r="G16" i="37"/>
  <c r="K15" i="37" s="1"/>
  <c r="H16" i="37"/>
  <c r="I16" i="37"/>
  <c r="J16" i="37"/>
  <c r="K16" i="37"/>
  <c r="N16" i="37" s="1"/>
  <c r="F17" i="37"/>
  <c r="G17" i="37"/>
  <c r="K17" i="37"/>
  <c r="N17" i="37" s="1"/>
  <c r="M17" i="37"/>
  <c r="F18" i="37"/>
  <c r="G18" i="37"/>
  <c r="H17" i="37" s="1"/>
  <c r="I17" i="37" s="1"/>
  <c r="J17" i="37" s="1"/>
  <c r="H18" i="37"/>
  <c r="I18" i="37"/>
  <c r="J18" i="37" s="1"/>
  <c r="K18" i="37"/>
  <c r="N18" i="37" s="1"/>
  <c r="F19" i="37"/>
  <c r="G19" i="37"/>
  <c r="H19" i="37"/>
  <c r="I19" i="37"/>
  <c r="J19" i="37" s="1"/>
  <c r="F20" i="37"/>
  <c r="G20" i="37"/>
  <c r="K19" i="37" s="1"/>
  <c r="H20" i="37"/>
  <c r="I20" i="37"/>
  <c r="J20" i="37" s="1"/>
  <c r="K20" i="37"/>
  <c r="N20" i="37" s="1"/>
  <c r="F21" i="37"/>
  <c r="G21" i="37"/>
  <c r="K21" i="37"/>
  <c r="N21" i="37" s="1"/>
  <c r="F22" i="37"/>
  <c r="G22" i="37"/>
  <c r="H22" i="37"/>
  <c r="I22" i="37"/>
  <c r="J22" i="37" s="1"/>
  <c r="K22" i="37"/>
  <c r="N22" i="37" s="1"/>
  <c r="M22" i="37"/>
  <c r="F23" i="37"/>
  <c r="G23" i="37"/>
  <c r="K23" i="37" s="1"/>
  <c r="H23" i="37"/>
  <c r="I23" i="37"/>
  <c r="J23" i="37" s="1"/>
  <c r="F24" i="37"/>
  <c r="G24" i="37"/>
  <c r="H24" i="37"/>
  <c r="I24" i="37"/>
  <c r="J24" i="37" s="1"/>
  <c r="K24" i="37"/>
  <c r="N24" i="37" s="1"/>
  <c r="F25" i="37"/>
  <c r="G25" i="37"/>
  <c r="K25" i="37"/>
  <c r="N25" i="37" s="1"/>
  <c r="M25" i="37"/>
  <c r="F26" i="37"/>
  <c r="G26" i="37"/>
  <c r="H26" i="37"/>
  <c r="I26" i="37"/>
  <c r="J26" i="37" s="1"/>
  <c r="K26" i="37"/>
  <c r="N26" i="37" s="1"/>
  <c r="F27" i="37"/>
  <c r="G27" i="37"/>
  <c r="H27" i="37"/>
  <c r="I27" i="37"/>
  <c r="J27" i="37" s="1"/>
  <c r="F28" i="37"/>
  <c r="G28" i="37"/>
  <c r="H28" i="37"/>
  <c r="I28" i="37"/>
  <c r="J28" i="37" s="1"/>
  <c r="K28" i="37"/>
  <c r="N28" i="37" s="1"/>
  <c r="F29" i="37"/>
  <c r="G29" i="37"/>
  <c r="K29" i="37"/>
  <c r="N29" i="37" s="1"/>
  <c r="F30" i="37"/>
  <c r="G30" i="37"/>
  <c r="H30" i="37"/>
  <c r="I30" i="37"/>
  <c r="J30" i="37" s="1"/>
  <c r="K30" i="37"/>
  <c r="N30" i="37" s="1"/>
  <c r="M30" i="37"/>
  <c r="F31" i="37"/>
  <c r="G31" i="37"/>
  <c r="K31" i="37"/>
  <c r="N31" i="37" s="1"/>
  <c r="F32" i="37"/>
  <c r="G32" i="37"/>
  <c r="H31" i="37" s="1"/>
  <c r="I31" i="37" s="1"/>
  <c r="J31" i="37" s="1"/>
  <c r="H32" i="37"/>
  <c r="I32" i="37"/>
  <c r="J32" i="37" s="1"/>
  <c r="K32" i="37"/>
  <c r="N32" i="37" s="1"/>
  <c r="F33" i="37"/>
  <c r="G33" i="37"/>
  <c r="H33" i="37"/>
  <c r="I33" i="37"/>
  <c r="J33" i="37" s="1"/>
  <c r="K33" i="37"/>
  <c r="N33" i="37" s="1"/>
  <c r="F34" i="37"/>
  <c r="G34" i="37"/>
  <c r="H34" i="37"/>
  <c r="I34" i="37"/>
  <c r="J34" i="37" s="1"/>
  <c r="K34" i="37"/>
  <c r="N34" i="37" s="1"/>
  <c r="M34" i="37"/>
  <c r="F35" i="37"/>
  <c r="G35" i="37"/>
  <c r="K35" i="37" s="1"/>
  <c r="H35" i="37"/>
  <c r="I35" i="37"/>
  <c r="J35" i="37" s="1"/>
  <c r="F36" i="37"/>
  <c r="G36" i="37"/>
  <c r="H36" i="37"/>
  <c r="I36" i="37"/>
  <c r="J36" i="37"/>
  <c r="K36" i="37"/>
  <c r="N36" i="37" s="1"/>
  <c r="F37" i="37"/>
  <c r="G37" i="37"/>
  <c r="K37" i="37"/>
  <c r="N37" i="37" s="1"/>
  <c r="F38" i="37"/>
  <c r="G38" i="37"/>
  <c r="H38" i="37"/>
  <c r="I38" i="37"/>
  <c r="J38" i="37" s="1"/>
  <c r="K38" i="37"/>
  <c r="N38" i="37" s="1"/>
  <c r="F39" i="37"/>
  <c r="G39" i="37"/>
  <c r="H39" i="37"/>
  <c r="I39" i="37"/>
  <c r="J39" i="37" s="1"/>
  <c r="K39" i="37"/>
  <c r="N39" i="37" s="1"/>
  <c r="F40" i="37"/>
  <c r="G40" i="37"/>
  <c r="H40" i="37"/>
  <c r="I40" i="37"/>
  <c r="J40" i="37" s="1"/>
  <c r="K40" i="37"/>
  <c r="N40" i="37" s="1"/>
  <c r="F41" i="37"/>
  <c r="G41" i="37"/>
  <c r="K41" i="37"/>
  <c r="N41" i="37" s="1"/>
  <c r="F42" i="37"/>
  <c r="G42" i="37"/>
  <c r="H42" i="37"/>
  <c r="I42" i="37"/>
  <c r="J42" i="37" s="1"/>
  <c r="K42" i="37"/>
  <c r="N42" i="37" s="1"/>
  <c r="M42" i="37"/>
  <c r="F43" i="37"/>
  <c r="G43" i="37"/>
  <c r="H43" i="37"/>
  <c r="I43" i="37"/>
  <c r="J43" i="37" s="1"/>
  <c r="F44" i="37"/>
  <c r="G44" i="37"/>
  <c r="K43" i="37" s="1"/>
  <c r="N43" i="37" s="1"/>
  <c r="H44" i="37"/>
  <c r="I44" i="37"/>
  <c r="J44" i="37" s="1"/>
  <c r="K44" i="37"/>
  <c r="N44" i="37" s="1"/>
  <c r="F45" i="37"/>
  <c r="G45" i="37"/>
  <c r="K45" i="37"/>
  <c r="N45" i="37" s="1"/>
  <c r="M45" i="37"/>
  <c r="F46" i="37"/>
  <c r="G46" i="37"/>
  <c r="H46" i="37"/>
  <c r="I46" i="37"/>
  <c r="J46" i="37" s="1"/>
  <c r="K46" i="37"/>
  <c r="N46" i="37" s="1"/>
  <c r="F47" i="37"/>
  <c r="G47" i="37"/>
  <c r="H47" i="37"/>
  <c r="I47" i="37"/>
  <c r="J47" i="37" s="1"/>
  <c r="F48" i="37"/>
  <c r="G48" i="37"/>
  <c r="K47" i="37" s="1"/>
  <c r="H48" i="37"/>
  <c r="I48" i="37"/>
  <c r="J48" i="37" s="1"/>
  <c r="K48" i="37"/>
  <c r="N48" i="37" s="1"/>
  <c r="F49" i="37"/>
  <c r="G49" i="37"/>
  <c r="K49" i="37"/>
  <c r="N49" i="37" s="1"/>
  <c r="M49" i="37"/>
  <c r="F50" i="37"/>
  <c r="G50" i="37"/>
  <c r="H49" i="37" s="1"/>
  <c r="I49" i="37" s="1"/>
  <c r="J49" i="37" s="1"/>
  <c r="H50" i="37"/>
  <c r="I50" i="37"/>
  <c r="J50" i="37" s="1"/>
  <c r="K50" i="37"/>
  <c r="N50" i="37" s="1"/>
  <c r="F51" i="37"/>
  <c r="G51" i="37"/>
  <c r="H51" i="37"/>
  <c r="I51" i="37"/>
  <c r="J51" i="37" s="1"/>
  <c r="F52" i="37"/>
  <c r="G52" i="37"/>
  <c r="K51" i="37" s="1"/>
  <c r="H52" i="37"/>
  <c r="I52" i="37"/>
  <c r="J52" i="37" s="1"/>
  <c r="K52" i="37"/>
  <c r="N52" i="37" s="1"/>
  <c r="F53" i="37"/>
  <c r="G53" i="37"/>
  <c r="H53" i="37"/>
  <c r="I53" i="37"/>
  <c r="J53" i="37" s="1"/>
  <c r="K53" i="37"/>
  <c r="N53" i="37" s="1"/>
  <c r="F54" i="37"/>
  <c r="G54" i="37"/>
  <c r="H54" i="37"/>
  <c r="I54" i="37"/>
  <c r="J54" i="37" s="1"/>
  <c r="K54" i="37"/>
  <c r="N54" i="37" s="1"/>
  <c r="F55" i="37"/>
  <c r="G55" i="37"/>
  <c r="K55" i="37" s="1"/>
  <c r="H55" i="37"/>
  <c r="I55" i="37"/>
  <c r="J55" i="37" s="1"/>
  <c r="F56" i="37"/>
  <c r="G56" i="37"/>
  <c r="H56" i="37"/>
  <c r="I56" i="37"/>
  <c r="J56" i="37" s="1"/>
  <c r="K56" i="37"/>
  <c r="N56" i="37" s="1"/>
  <c r="F57" i="37"/>
  <c r="G57" i="37"/>
  <c r="K57" i="37"/>
  <c r="N57" i="37" s="1"/>
  <c r="F58" i="37"/>
  <c r="G58" i="37"/>
  <c r="H58" i="37"/>
  <c r="I58" i="37"/>
  <c r="J58" i="37" s="1"/>
  <c r="K58" i="37"/>
  <c r="N58" i="37" s="1"/>
  <c r="F59" i="37"/>
  <c r="G59" i="37"/>
  <c r="H59" i="37"/>
  <c r="I59" i="37"/>
  <c r="J59" i="37" s="1"/>
  <c r="K59" i="37"/>
  <c r="N59" i="37" s="1"/>
  <c r="F60" i="37"/>
  <c r="G60" i="37"/>
  <c r="H60" i="37"/>
  <c r="I60" i="37"/>
  <c r="J60" i="37" s="1"/>
  <c r="K60" i="37"/>
  <c r="N60" i="37" s="1"/>
  <c r="F61" i="37"/>
  <c r="G61" i="37"/>
  <c r="K61" i="37"/>
  <c r="N61" i="37" s="1"/>
  <c r="F62" i="37"/>
  <c r="G62" i="37"/>
  <c r="H61" i="37" s="1"/>
  <c r="I61" i="37" s="1"/>
  <c r="J61" i="37" s="1"/>
  <c r="H62" i="37"/>
  <c r="I62" i="37"/>
  <c r="J62" i="37" s="1"/>
  <c r="K62" i="37"/>
  <c r="N62" i="37" s="1"/>
  <c r="F63" i="37"/>
  <c r="G63" i="37"/>
  <c r="K63" i="37"/>
  <c r="N63" i="37" s="1"/>
  <c r="F64" i="37"/>
  <c r="G64" i="37"/>
  <c r="H64" i="37"/>
  <c r="I64" i="37"/>
  <c r="J64" i="37" s="1"/>
  <c r="K64" i="37"/>
  <c r="N64" i="37" s="1"/>
  <c r="F65" i="37"/>
  <c r="G65" i="37"/>
  <c r="H65" i="37"/>
  <c r="I65" i="37"/>
  <c r="J65" i="37"/>
  <c r="F66" i="37"/>
  <c r="G66" i="37"/>
  <c r="H66" i="37"/>
  <c r="I66" i="37"/>
  <c r="J66" i="37" s="1"/>
  <c r="K66" i="37"/>
  <c r="N66" i="37" s="1"/>
  <c r="F67" i="37"/>
  <c r="G67" i="37"/>
  <c r="K67" i="37"/>
  <c r="N67" i="37" s="1"/>
  <c r="F68" i="37"/>
  <c r="G68" i="37"/>
  <c r="H68" i="37"/>
  <c r="I68" i="37"/>
  <c r="J68" i="37"/>
  <c r="K68" i="37"/>
  <c r="N68" i="37" s="1"/>
  <c r="F69" i="37"/>
  <c r="G69" i="37"/>
  <c r="H69" i="37"/>
  <c r="I69" i="37"/>
  <c r="J69" i="37" s="1"/>
  <c r="F70" i="37"/>
  <c r="G70" i="37"/>
  <c r="H70" i="37"/>
  <c r="I70" i="37"/>
  <c r="J70" i="37"/>
  <c r="K70" i="37"/>
  <c r="N70" i="37" s="1"/>
  <c r="F71" i="37"/>
  <c r="G71" i="37"/>
  <c r="K71" i="37"/>
  <c r="N71" i="37" s="1"/>
  <c r="M71" i="37"/>
  <c r="F72" i="37"/>
  <c r="G72" i="37"/>
  <c r="H71" i="37" s="1"/>
  <c r="I71" i="37" s="1"/>
  <c r="J71" i="37" s="1"/>
  <c r="H72" i="37"/>
  <c r="I72" i="37"/>
  <c r="J72" i="37" s="1"/>
  <c r="K72" i="37"/>
  <c r="N72" i="37" s="1"/>
  <c r="F73" i="37"/>
  <c r="G73" i="37"/>
  <c r="K73" i="37"/>
  <c r="N73" i="37" s="1"/>
  <c r="F74" i="37"/>
  <c r="G74" i="37"/>
  <c r="H73" i="37" s="1"/>
  <c r="J73" i="37" s="1"/>
  <c r="H74" i="37"/>
  <c r="J74" i="37"/>
  <c r="K74" i="37"/>
  <c r="N74" i="37" s="1"/>
  <c r="F75" i="37"/>
  <c r="G75" i="37"/>
  <c r="K75" i="37"/>
  <c r="N75" i="37" s="1"/>
  <c r="F76" i="37"/>
  <c r="G76" i="37"/>
  <c r="H75" i="37" s="1"/>
  <c r="J75" i="37" s="1"/>
  <c r="H76" i="37"/>
  <c r="J76" i="37"/>
  <c r="K76" i="37"/>
  <c r="N76" i="37" s="1"/>
  <c r="F77" i="37"/>
  <c r="G77" i="37"/>
  <c r="K77" i="37"/>
  <c r="N77" i="37" s="1"/>
  <c r="F78" i="37"/>
  <c r="G78" i="37"/>
  <c r="H78" i="37"/>
  <c r="I78" i="37"/>
  <c r="J78" i="37" s="1"/>
  <c r="K78" i="37"/>
  <c r="N78" i="37" s="1"/>
  <c r="F79" i="37"/>
  <c r="G79" i="37"/>
  <c r="H79" i="37"/>
  <c r="I79" i="37"/>
  <c r="J79" i="37" s="1"/>
  <c r="F80" i="37"/>
  <c r="G80" i="37"/>
  <c r="K79" i="37" s="1"/>
  <c r="H80" i="37"/>
  <c r="I80" i="37"/>
  <c r="J80" i="37" s="1"/>
  <c r="K80" i="37"/>
  <c r="N80" i="37" s="1"/>
  <c r="F81" i="37"/>
  <c r="G81" i="37"/>
  <c r="K81" i="37"/>
  <c r="N81" i="37" s="1"/>
  <c r="F82" i="37"/>
  <c r="G82" i="37"/>
  <c r="H81" i="37" s="1"/>
  <c r="I81" i="37" s="1"/>
  <c r="J81" i="37" s="1"/>
  <c r="H82" i="37"/>
  <c r="I82" i="37"/>
  <c r="J82" i="37" s="1"/>
  <c r="K82" i="37"/>
  <c r="N82" i="37" s="1"/>
  <c r="F83" i="37"/>
  <c r="G83" i="37"/>
  <c r="H83" i="37"/>
  <c r="I83" i="37"/>
  <c r="J83" i="37" s="1"/>
  <c r="F84" i="37"/>
  <c r="G84" i="37"/>
  <c r="H84" i="37"/>
  <c r="I84" i="37"/>
  <c r="J84" i="37" s="1"/>
  <c r="K84" i="37"/>
  <c r="N84" i="37" s="1"/>
  <c r="F85" i="37"/>
  <c r="G85" i="37"/>
  <c r="K85" i="37"/>
  <c r="N85" i="37" s="1"/>
  <c r="F86" i="37"/>
  <c r="G86" i="37"/>
  <c r="H85" i="37" s="1"/>
  <c r="I85" i="37" s="1"/>
  <c r="J85" i="37" s="1"/>
  <c r="H86" i="37"/>
  <c r="I86" i="37"/>
  <c r="J86" i="37" s="1"/>
  <c r="K86" i="37"/>
  <c r="N86" i="37" s="1"/>
  <c r="M86" i="37"/>
  <c r="F87" i="37"/>
  <c r="G87" i="37"/>
  <c r="K87" i="37"/>
  <c r="N87" i="37" s="1"/>
  <c r="M87" i="37"/>
  <c r="F88" i="37"/>
  <c r="G88" i="37"/>
  <c r="H88" i="37"/>
  <c r="I88" i="37"/>
  <c r="J88" i="37" s="1"/>
  <c r="K88" i="37"/>
  <c r="N88" i="37" s="1"/>
  <c r="F5" i="20"/>
  <c r="F8" i="20"/>
  <c r="G8" i="20"/>
  <c r="H8" i="20"/>
  <c r="I8" i="20"/>
  <c r="J8" i="20" s="1"/>
  <c r="K8" i="20"/>
  <c r="N8" i="20" s="1"/>
  <c r="M8" i="20"/>
  <c r="F9" i="20"/>
  <c r="G9" i="20"/>
  <c r="K9" i="20" s="1"/>
  <c r="N9" i="20" s="1"/>
  <c r="H9" i="20"/>
  <c r="I9" i="20"/>
  <c r="J9" i="20" s="1"/>
  <c r="F10" i="20"/>
  <c r="G10" i="20"/>
  <c r="H10" i="20"/>
  <c r="I10" i="20"/>
  <c r="J10" i="20" s="1"/>
  <c r="K10" i="20"/>
  <c r="N10" i="20" s="1"/>
  <c r="F11" i="20"/>
  <c r="G11" i="20"/>
  <c r="K11" i="20"/>
  <c r="N11" i="20" s="1"/>
  <c r="F12" i="20"/>
  <c r="G12" i="20"/>
  <c r="H11" i="20" s="1"/>
  <c r="I11" i="20" s="1"/>
  <c r="J11" i="20" s="1"/>
  <c r="H12" i="20"/>
  <c r="I12" i="20"/>
  <c r="J12" i="20" s="1"/>
  <c r="K12" i="20"/>
  <c r="N12" i="20" s="1"/>
  <c r="M12" i="20"/>
  <c r="F13" i="20"/>
  <c r="G13" i="20"/>
  <c r="H13" i="20"/>
  <c r="I13" i="20"/>
  <c r="J13" i="20" s="1"/>
  <c r="F14" i="20"/>
  <c r="G14" i="20"/>
  <c r="K13" i="20" s="1"/>
  <c r="N13" i="20" s="1"/>
  <c r="H14" i="20"/>
  <c r="I14" i="20"/>
  <c r="J14" i="20" s="1"/>
  <c r="K14" i="20"/>
  <c r="N14" i="20" s="1"/>
  <c r="F15" i="20"/>
  <c r="G15" i="20"/>
  <c r="K15" i="20"/>
  <c r="N15" i="20" s="1"/>
  <c r="F16" i="20"/>
  <c r="G16" i="20"/>
  <c r="H16" i="20"/>
  <c r="I16" i="20"/>
  <c r="J16" i="20" s="1"/>
  <c r="K16" i="20"/>
  <c r="N16" i="20" s="1"/>
  <c r="F17" i="20"/>
  <c r="G17" i="20"/>
  <c r="H17" i="20"/>
  <c r="I17" i="20"/>
  <c r="J17" i="20" s="1"/>
  <c r="F18" i="20"/>
  <c r="G18" i="20"/>
  <c r="H18" i="20"/>
  <c r="I18" i="20"/>
  <c r="J18" i="20" s="1"/>
  <c r="K18" i="20"/>
  <c r="N18" i="20" s="1"/>
  <c r="F19" i="20"/>
  <c r="G19" i="20"/>
  <c r="K19" i="20"/>
  <c r="N19" i="20" s="1"/>
  <c r="M19" i="20"/>
  <c r="F20" i="20"/>
  <c r="G20" i="20"/>
  <c r="H20" i="20"/>
  <c r="I20" i="20"/>
  <c r="J20" i="20" s="1"/>
  <c r="K20" i="20"/>
  <c r="N20" i="20" s="1"/>
  <c r="F21" i="20"/>
  <c r="G21" i="20"/>
  <c r="H21" i="20"/>
  <c r="I21" i="20"/>
  <c r="J21" i="20" s="1"/>
  <c r="F22" i="20"/>
  <c r="G22" i="20"/>
  <c r="H22" i="20"/>
  <c r="I22" i="20"/>
  <c r="J22" i="20" s="1"/>
  <c r="K22" i="20"/>
  <c r="N22" i="20" s="1"/>
  <c r="F23" i="20"/>
  <c r="G23" i="20"/>
  <c r="K23" i="20"/>
  <c r="N23" i="20" s="1"/>
  <c r="F24" i="20"/>
  <c r="G24" i="20"/>
  <c r="H24" i="20"/>
  <c r="I24" i="20"/>
  <c r="J24" i="20" s="1"/>
  <c r="K24" i="20"/>
  <c r="N24" i="20" s="1"/>
  <c r="F25" i="20"/>
  <c r="G25" i="20"/>
  <c r="K25" i="20"/>
  <c r="N25" i="20" s="1"/>
  <c r="F26" i="20"/>
  <c r="G26" i="20"/>
  <c r="H26" i="20"/>
  <c r="I26" i="20"/>
  <c r="J26" i="20" s="1"/>
  <c r="K26" i="20"/>
  <c r="N26" i="20" s="1"/>
  <c r="F27" i="20"/>
  <c r="G27" i="20"/>
  <c r="K27" i="20"/>
  <c r="N27" i="20" s="1"/>
  <c r="F28" i="20"/>
  <c r="G28" i="20"/>
  <c r="H28" i="20"/>
  <c r="I28" i="20"/>
  <c r="J28" i="20" s="1"/>
  <c r="K28" i="20"/>
  <c r="N28" i="20" s="1"/>
  <c r="F29" i="20"/>
  <c r="G29" i="20"/>
  <c r="H29" i="20"/>
  <c r="I29" i="20"/>
  <c r="J29" i="20" s="1"/>
  <c r="F30" i="20"/>
  <c r="G30" i="20"/>
  <c r="H30" i="20"/>
  <c r="I30" i="20"/>
  <c r="J30" i="20" s="1"/>
  <c r="K30" i="20"/>
  <c r="N30" i="20" s="1"/>
  <c r="F31" i="20"/>
  <c r="G31" i="20"/>
  <c r="H31" i="20"/>
  <c r="I31" i="20"/>
  <c r="J31" i="20" s="1"/>
  <c r="F32" i="20"/>
  <c r="G32" i="20"/>
  <c r="H32" i="20"/>
  <c r="I32" i="20"/>
  <c r="J32" i="20" s="1"/>
  <c r="K32" i="20"/>
  <c r="N32" i="20" s="1"/>
  <c r="F33" i="20"/>
  <c r="G33" i="20"/>
  <c r="H33" i="20"/>
  <c r="I33" i="20"/>
  <c r="J33" i="20" s="1"/>
  <c r="F34" i="20"/>
  <c r="G34" i="20"/>
  <c r="H34" i="20"/>
  <c r="I34" i="20"/>
  <c r="J34" i="20" s="1"/>
  <c r="K34" i="20"/>
  <c r="N34" i="20" s="1"/>
  <c r="F35" i="20"/>
  <c r="G35" i="20"/>
  <c r="H35" i="20"/>
  <c r="I35" i="20"/>
  <c r="J35" i="20" s="1"/>
  <c r="F36" i="20"/>
  <c r="G36" i="20"/>
  <c r="H36" i="20"/>
  <c r="I36" i="20"/>
  <c r="J36" i="20" s="1"/>
  <c r="K36" i="20"/>
  <c r="N36" i="20" s="1"/>
  <c r="F37" i="20"/>
  <c r="G37" i="20"/>
  <c r="K37" i="20"/>
  <c r="N37" i="20" s="1"/>
  <c r="F38" i="20"/>
  <c r="G38" i="20"/>
  <c r="H38" i="20"/>
  <c r="I38" i="20"/>
  <c r="J38" i="20" s="1"/>
  <c r="K38" i="20"/>
  <c r="N38" i="20" s="1"/>
  <c r="F39" i="20"/>
  <c r="G39" i="20"/>
  <c r="K39" i="20"/>
  <c r="N39" i="20" s="1"/>
  <c r="F40" i="20"/>
  <c r="G40" i="20"/>
  <c r="H39" i="20" s="1"/>
  <c r="I39" i="20" s="1"/>
  <c r="J39" i="20" s="1"/>
  <c r="H40" i="20"/>
  <c r="I40" i="20"/>
  <c r="J40" i="20" s="1"/>
  <c r="K40" i="20"/>
  <c r="N40" i="20" s="1"/>
  <c r="F41" i="20"/>
  <c r="G41" i="20"/>
  <c r="H41" i="20"/>
  <c r="I41" i="20"/>
  <c r="J41" i="20" s="1"/>
  <c r="F42" i="20"/>
  <c r="G42" i="20"/>
  <c r="H42" i="20"/>
  <c r="I42" i="20"/>
  <c r="J42" i="20" s="1"/>
  <c r="K42" i="20"/>
  <c r="N42" i="20" s="1"/>
  <c r="F43" i="20"/>
  <c r="G43" i="20"/>
  <c r="K43" i="20"/>
  <c r="N43" i="20" s="1"/>
  <c r="F44" i="20"/>
  <c r="G44" i="20"/>
  <c r="H44" i="20"/>
  <c r="I44" i="20"/>
  <c r="J44" i="20" s="1"/>
  <c r="K44" i="20"/>
  <c r="N44" i="20" s="1"/>
  <c r="F45" i="20"/>
  <c r="G45" i="20"/>
  <c r="K45" i="20" s="1"/>
  <c r="H45" i="20"/>
  <c r="I45" i="20"/>
  <c r="J45" i="20" s="1"/>
  <c r="F46" i="20"/>
  <c r="G46" i="20"/>
  <c r="H46" i="20"/>
  <c r="I46" i="20"/>
  <c r="J46" i="20" s="1"/>
  <c r="K46" i="20"/>
  <c r="N46" i="20" s="1"/>
  <c r="F47" i="20"/>
  <c r="G47" i="20"/>
  <c r="H47" i="20"/>
  <c r="I47" i="20"/>
  <c r="J47" i="20" s="1"/>
  <c r="F48" i="20"/>
  <c r="G48" i="20"/>
  <c r="H48" i="20"/>
  <c r="I48" i="20"/>
  <c r="J48" i="20" s="1"/>
  <c r="K48" i="20"/>
  <c r="N48" i="20" s="1"/>
  <c r="F49" i="20"/>
  <c r="G49" i="20"/>
  <c r="K49" i="20"/>
  <c r="N49" i="20" s="1"/>
  <c r="F50" i="20"/>
  <c r="G50" i="20"/>
  <c r="H50" i="20"/>
  <c r="I50" i="20"/>
  <c r="J50" i="20" s="1"/>
  <c r="K50" i="20"/>
  <c r="N50" i="20" s="1"/>
  <c r="F51" i="20"/>
  <c r="G51" i="20"/>
  <c r="H51" i="20"/>
  <c r="I51" i="20"/>
  <c r="J51" i="20" s="1"/>
  <c r="F52" i="20"/>
  <c r="G52" i="20"/>
  <c r="K51" i="20" s="1"/>
  <c r="H52" i="20"/>
  <c r="I52" i="20"/>
  <c r="J52" i="20" s="1"/>
  <c r="K52" i="20"/>
  <c r="N52" i="20" s="1"/>
  <c r="F53" i="20"/>
  <c r="G53" i="20"/>
  <c r="K53" i="20"/>
  <c r="N53" i="20" s="1"/>
  <c r="F54" i="20"/>
  <c r="G54" i="20"/>
  <c r="H54" i="20"/>
  <c r="I54" i="20"/>
  <c r="J54" i="20" s="1"/>
  <c r="K54" i="20"/>
  <c r="N54" i="20" s="1"/>
  <c r="F55" i="20"/>
  <c r="G55" i="20"/>
  <c r="H55" i="20"/>
  <c r="I55" i="20"/>
  <c r="J55" i="20" s="1"/>
  <c r="F56" i="20"/>
  <c r="G56" i="20"/>
  <c r="H56" i="20"/>
  <c r="I56" i="20"/>
  <c r="J56" i="20" s="1"/>
  <c r="K56" i="20"/>
  <c r="N56" i="20" s="1"/>
  <c r="F57" i="20"/>
  <c r="G57" i="20"/>
  <c r="H57" i="20"/>
  <c r="I57" i="20"/>
  <c r="J57" i="20" s="1"/>
  <c r="F58" i="20"/>
  <c r="G58" i="20"/>
  <c r="H58" i="20"/>
  <c r="I58" i="20"/>
  <c r="J58" i="20" s="1"/>
  <c r="K58" i="20"/>
  <c r="N58" i="20" s="1"/>
  <c r="F59" i="20"/>
  <c r="G59" i="20"/>
  <c r="K59" i="20"/>
  <c r="N59" i="20" s="1"/>
  <c r="F60" i="20"/>
  <c r="G60" i="20"/>
  <c r="H60" i="20"/>
  <c r="I60" i="20"/>
  <c r="J60" i="20" s="1"/>
  <c r="K60" i="20"/>
  <c r="N60" i="20" s="1"/>
  <c r="F61" i="20"/>
  <c r="G61" i="20"/>
  <c r="H61" i="20"/>
  <c r="I61" i="20"/>
  <c r="J61" i="20" s="1"/>
  <c r="F62" i="20"/>
  <c r="G62" i="20"/>
  <c r="H62" i="20"/>
  <c r="I62" i="20"/>
  <c r="J62" i="20" s="1"/>
  <c r="K62" i="20"/>
  <c r="N62" i="20" s="1"/>
  <c r="F63" i="20"/>
  <c r="G63" i="20"/>
  <c r="K63" i="20"/>
  <c r="N63" i="20" s="1"/>
  <c r="F64" i="20"/>
  <c r="G64" i="20"/>
  <c r="H63" i="20" s="1"/>
  <c r="I63" i="20" s="1"/>
  <c r="J63" i="20" s="1"/>
  <c r="H64" i="20"/>
  <c r="I64" i="20"/>
  <c r="J64" i="20" s="1"/>
  <c r="K64" i="20"/>
  <c r="N64" i="20" s="1"/>
  <c r="F65" i="20"/>
  <c r="G65" i="20"/>
  <c r="K65" i="20"/>
  <c r="N65" i="20" s="1"/>
  <c r="F66" i="20"/>
  <c r="G66" i="20"/>
  <c r="H66" i="20"/>
  <c r="I66" i="20"/>
  <c r="J66" i="20" s="1"/>
  <c r="K66" i="20"/>
  <c r="N66" i="20" s="1"/>
  <c r="F67" i="20"/>
  <c r="G67" i="20"/>
  <c r="H67" i="20"/>
  <c r="I67" i="20"/>
  <c r="J67" i="20" s="1"/>
  <c r="F68" i="20"/>
  <c r="G68" i="20"/>
  <c r="H68" i="20"/>
  <c r="I68" i="20"/>
  <c r="J68" i="20" s="1"/>
  <c r="K68" i="20"/>
  <c r="N68" i="20" s="1"/>
  <c r="F69" i="20"/>
  <c r="G69" i="20"/>
  <c r="K69" i="20"/>
  <c r="N69" i="20" s="1"/>
  <c r="F70" i="20"/>
  <c r="G70" i="20"/>
  <c r="H70" i="20"/>
  <c r="I70" i="20"/>
  <c r="J70" i="20" s="1"/>
  <c r="K70" i="20"/>
  <c r="N70" i="20" s="1"/>
  <c r="F71" i="20"/>
  <c r="G71" i="20"/>
  <c r="H71" i="20"/>
  <c r="I71" i="20"/>
  <c r="J71" i="20" s="1"/>
  <c r="F72" i="20"/>
  <c r="G72" i="20"/>
  <c r="H72" i="20"/>
  <c r="I72" i="20"/>
  <c r="J72" i="20" s="1"/>
  <c r="K72" i="20"/>
  <c r="N72" i="20" s="1"/>
  <c r="F73" i="20"/>
  <c r="G73" i="20"/>
  <c r="K73" i="20"/>
  <c r="N73" i="20" s="1"/>
  <c r="F74" i="20"/>
  <c r="G74" i="20"/>
  <c r="H74" i="20"/>
  <c r="I74" i="20"/>
  <c r="J74" i="20" s="1"/>
  <c r="K74" i="20"/>
  <c r="N74" i="20" s="1"/>
  <c r="F75" i="20"/>
  <c r="G75" i="20"/>
  <c r="K75" i="20"/>
  <c r="N75" i="20" s="1"/>
  <c r="M75" i="20"/>
  <c r="F76" i="20"/>
  <c r="G76" i="20"/>
  <c r="H75" i="20" s="1"/>
  <c r="I75" i="20" s="1"/>
  <c r="J75" i="20" s="1"/>
  <c r="H76" i="20"/>
  <c r="I76" i="20"/>
  <c r="J76" i="20" s="1"/>
  <c r="K76" i="20"/>
  <c r="N76" i="20" s="1"/>
  <c r="F77" i="20"/>
  <c r="G77" i="20"/>
  <c r="K77" i="20"/>
  <c r="N77" i="20" s="1"/>
  <c r="F78" i="20"/>
  <c r="G78" i="20"/>
  <c r="H78" i="20"/>
  <c r="I78" i="20"/>
  <c r="J78" i="20" s="1"/>
  <c r="K78" i="20"/>
  <c r="N78" i="20" s="1"/>
  <c r="F79" i="20"/>
  <c r="G79" i="20"/>
  <c r="H79" i="20"/>
  <c r="I79" i="20"/>
  <c r="J79" i="20" s="1"/>
  <c r="F80" i="20"/>
  <c r="G80" i="20"/>
  <c r="H80" i="20"/>
  <c r="I80" i="20"/>
  <c r="J80" i="20" s="1"/>
  <c r="K80" i="20"/>
  <c r="N80" i="20" s="1"/>
  <c r="F81" i="20"/>
  <c r="G81" i="20"/>
  <c r="H81" i="20"/>
  <c r="I81" i="20"/>
  <c r="J81" i="20" s="1"/>
  <c r="F82" i="20"/>
  <c r="G82" i="20"/>
  <c r="H82" i="20"/>
  <c r="I82" i="20"/>
  <c r="J82" i="20" s="1"/>
  <c r="K82" i="20"/>
  <c r="N82" i="20" s="1"/>
  <c r="F83" i="20"/>
  <c r="G83" i="20"/>
  <c r="H83" i="20" s="1"/>
  <c r="I83" i="20" s="1"/>
  <c r="J83" i="20" s="1"/>
  <c r="K83" i="20"/>
  <c r="N83" i="20" s="1"/>
  <c r="F84" i="20"/>
  <c r="G84" i="20"/>
  <c r="H84" i="20"/>
  <c r="I84" i="20"/>
  <c r="J84" i="20" s="1"/>
  <c r="K84" i="20"/>
  <c r="N84" i="20" s="1"/>
  <c r="F85" i="20"/>
  <c r="G85" i="20"/>
  <c r="K85" i="20" s="1"/>
  <c r="H85" i="20"/>
  <c r="I85" i="20"/>
  <c r="J85" i="20" s="1"/>
  <c r="F86" i="20"/>
  <c r="G86" i="20"/>
  <c r="H86" i="20"/>
  <c r="I86" i="20"/>
  <c r="J86" i="20" s="1"/>
  <c r="K86" i="20"/>
  <c r="N86" i="20" s="1"/>
  <c r="F87" i="20"/>
  <c r="G87" i="20"/>
  <c r="H87" i="20" s="1"/>
  <c r="I87" i="20" s="1"/>
  <c r="J87" i="20" s="1"/>
  <c r="K87" i="20"/>
  <c r="N87" i="20" s="1"/>
  <c r="F88" i="20"/>
  <c r="G88" i="20"/>
  <c r="H88" i="20"/>
  <c r="I88" i="20"/>
  <c r="J88" i="20" s="1"/>
  <c r="K88" i="20"/>
  <c r="N88" i="20" s="1"/>
  <c r="F89" i="20"/>
  <c r="G89" i="20"/>
  <c r="H89" i="20"/>
  <c r="I89" i="20"/>
  <c r="J89" i="20" s="1"/>
  <c r="F90" i="20"/>
  <c r="G90" i="20"/>
  <c r="H90" i="20"/>
  <c r="I90" i="20"/>
  <c r="J90" i="20" s="1"/>
  <c r="K90" i="20"/>
  <c r="N90" i="20" s="1"/>
  <c r="F91" i="20"/>
  <c r="G91" i="20"/>
  <c r="H91" i="20"/>
  <c r="J91" i="20" s="1"/>
  <c r="K91" i="20"/>
  <c r="N91" i="20" s="1"/>
  <c r="M91" i="20"/>
  <c r="F92" i="20"/>
  <c r="G92" i="20"/>
  <c r="H92" i="20"/>
  <c r="I92" i="20"/>
  <c r="J92" i="20" s="1"/>
  <c r="K92" i="20"/>
  <c r="N92" i="20" s="1"/>
  <c r="F93" i="20"/>
  <c r="G93" i="20"/>
  <c r="K93" i="20"/>
  <c r="N93" i="20" s="1"/>
  <c r="F94" i="20"/>
  <c r="G94" i="20"/>
  <c r="H93" i="20" s="1"/>
  <c r="I93" i="20" s="1"/>
  <c r="J93" i="20" s="1"/>
  <c r="H94" i="20"/>
  <c r="I94" i="20"/>
  <c r="J94" i="20" s="1"/>
  <c r="K94" i="20"/>
  <c r="N94" i="20" s="1"/>
  <c r="F95" i="20"/>
  <c r="G95" i="20"/>
  <c r="H95" i="20"/>
  <c r="I95" i="20"/>
  <c r="J95" i="20" s="1"/>
  <c r="F96" i="20"/>
  <c r="G96" i="20"/>
  <c r="K95" i="20" s="1"/>
  <c r="H96" i="20"/>
  <c r="I96" i="20"/>
  <c r="J96" i="20" s="1"/>
  <c r="K96" i="20"/>
  <c r="N96" i="20" s="1"/>
  <c r="M96" i="20"/>
  <c r="F8" i="13"/>
  <c r="G8" i="13"/>
  <c r="H8" i="13"/>
  <c r="I8" i="13"/>
  <c r="J8" i="13" s="1"/>
  <c r="K8" i="13"/>
  <c r="M8" i="13"/>
  <c r="F9" i="13"/>
  <c r="G9" i="13"/>
  <c r="K9" i="13"/>
  <c r="N9" i="13" s="1"/>
  <c r="F10" i="13"/>
  <c r="G10" i="13"/>
  <c r="H10" i="13"/>
  <c r="I10" i="13"/>
  <c r="J10" i="13" s="1"/>
  <c r="K10" i="13"/>
  <c r="N10" i="13" s="1"/>
  <c r="F11" i="13"/>
  <c r="G11" i="13"/>
  <c r="K11" i="13"/>
  <c r="N11" i="13" s="1"/>
  <c r="F12" i="13"/>
  <c r="G12" i="13"/>
  <c r="H12" i="13"/>
  <c r="I12" i="13"/>
  <c r="J12" i="13" s="1"/>
  <c r="K12" i="13"/>
  <c r="N12" i="13" s="1"/>
  <c r="F13" i="13"/>
  <c r="G13" i="13"/>
  <c r="K13" i="13"/>
  <c r="N13" i="13" s="1"/>
  <c r="F14" i="13"/>
  <c r="G14" i="13"/>
  <c r="H14" i="13"/>
  <c r="I14" i="13"/>
  <c r="J14" i="13" s="1"/>
  <c r="K14" i="13"/>
  <c r="N14" i="13" s="1"/>
  <c r="F15" i="13"/>
  <c r="G15" i="13"/>
  <c r="K15" i="13"/>
  <c r="N15" i="13" s="1"/>
  <c r="F16" i="13"/>
  <c r="G16" i="13"/>
  <c r="H15" i="13" s="1"/>
  <c r="H16" i="13"/>
  <c r="I16" i="13"/>
  <c r="J16" i="13" s="1"/>
  <c r="K16" i="13"/>
  <c r="N16" i="13" s="1"/>
  <c r="F17" i="13"/>
  <c r="G17" i="13"/>
  <c r="K17" i="13"/>
  <c r="N17" i="13" s="1"/>
  <c r="M17" i="13"/>
  <c r="F18" i="13"/>
  <c r="G18" i="13"/>
  <c r="H18" i="13"/>
  <c r="I18" i="13"/>
  <c r="J18" i="13" s="1"/>
  <c r="K18" i="13"/>
  <c r="N18" i="13" s="1"/>
  <c r="F19" i="13"/>
  <c r="G19" i="13"/>
  <c r="K19" i="13"/>
  <c r="N19" i="13" s="1"/>
  <c r="F20" i="13"/>
  <c r="G20" i="13"/>
  <c r="H20" i="13"/>
  <c r="I20" i="13"/>
  <c r="J20" i="13" s="1"/>
  <c r="K20" i="13"/>
  <c r="N20" i="13" s="1"/>
  <c r="F21" i="13"/>
  <c r="G21" i="13"/>
  <c r="H21" i="13"/>
  <c r="I21" i="13"/>
  <c r="J21" i="13" s="1"/>
  <c r="F22" i="13"/>
  <c r="G22" i="13"/>
  <c r="H22" i="13"/>
  <c r="I22" i="13"/>
  <c r="J22" i="13" s="1"/>
  <c r="K22" i="13"/>
  <c r="N22" i="13" s="1"/>
  <c r="F23" i="13"/>
  <c r="G23" i="13"/>
  <c r="H23" i="13"/>
  <c r="I23" i="13"/>
  <c r="J23" i="13" s="1"/>
  <c r="F24" i="13"/>
  <c r="G24" i="13"/>
  <c r="H24" i="13"/>
  <c r="I24" i="13"/>
  <c r="J24" i="13" s="1"/>
  <c r="K24" i="13"/>
  <c r="N24" i="13" s="1"/>
  <c r="F25" i="13"/>
  <c r="G25" i="13"/>
  <c r="K25" i="13"/>
  <c r="N25" i="13" s="1"/>
  <c r="F26" i="13"/>
  <c r="G26" i="13"/>
  <c r="H25" i="13" s="1"/>
  <c r="H26" i="13"/>
  <c r="I26" i="13"/>
  <c r="J26" i="13" s="1"/>
  <c r="K26" i="13"/>
  <c r="N26" i="13" s="1"/>
  <c r="F27" i="13"/>
  <c r="G27" i="13"/>
  <c r="K27" i="13"/>
  <c r="N27" i="13" s="1"/>
  <c r="M27" i="13"/>
  <c r="F28" i="13"/>
  <c r="G28" i="13"/>
  <c r="H28" i="13"/>
  <c r="I28" i="13"/>
  <c r="J28" i="13" s="1"/>
  <c r="K28" i="13"/>
  <c r="N28" i="13" s="1"/>
  <c r="M28" i="13"/>
  <c r="F29" i="13"/>
  <c r="G29" i="13"/>
  <c r="K29" i="13"/>
  <c r="N29" i="13" s="1"/>
  <c r="M29" i="13"/>
  <c r="F30" i="13"/>
  <c r="G30" i="13"/>
  <c r="H30" i="13"/>
  <c r="I30" i="13"/>
  <c r="J30" i="13" s="1"/>
  <c r="K30" i="13"/>
  <c r="N30" i="13" s="1"/>
  <c r="M30" i="13"/>
  <c r="F31" i="13"/>
  <c r="G31" i="13"/>
  <c r="K31" i="13"/>
  <c r="N31" i="13" s="1"/>
  <c r="F32" i="13"/>
  <c r="G32" i="13"/>
  <c r="H32" i="13"/>
  <c r="I32" i="13"/>
  <c r="J32" i="13" s="1"/>
  <c r="K32" i="13"/>
  <c r="N32" i="13" s="1"/>
  <c r="F33" i="13"/>
  <c r="G33" i="13"/>
  <c r="K33" i="13"/>
  <c r="N33" i="13" s="1"/>
  <c r="F34" i="13"/>
  <c r="G34" i="13"/>
  <c r="H34" i="13"/>
  <c r="I34" i="13"/>
  <c r="J34" i="13" s="1"/>
  <c r="K34" i="13"/>
  <c r="N34" i="13" s="1"/>
  <c r="F35" i="13"/>
  <c r="G35" i="13"/>
  <c r="H35" i="13"/>
  <c r="I35" i="13"/>
  <c r="J35" i="13" s="1"/>
  <c r="F36" i="13"/>
  <c r="G36" i="13"/>
  <c r="H36" i="13"/>
  <c r="I36" i="13"/>
  <c r="J36" i="13" s="1"/>
  <c r="K36" i="13"/>
  <c r="N36" i="13" s="1"/>
  <c r="F37" i="13"/>
  <c r="G37" i="13"/>
  <c r="K37" i="13"/>
  <c r="N37" i="13" s="1"/>
  <c r="M37" i="13"/>
  <c r="F38" i="13"/>
  <c r="G38" i="13"/>
  <c r="H38" i="13"/>
  <c r="I38" i="13"/>
  <c r="J38" i="13" s="1"/>
  <c r="K38" i="13"/>
  <c r="N38" i="13" s="1"/>
  <c r="M38" i="13"/>
  <c r="F39" i="13"/>
  <c r="G39" i="13"/>
  <c r="K39" i="13"/>
  <c r="N39" i="13" s="1"/>
  <c r="F40" i="13"/>
  <c r="G40" i="13"/>
  <c r="H40" i="13"/>
  <c r="I40" i="13"/>
  <c r="J40" i="13" s="1"/>
  <c r="K40" i="13"/>
  <c r="N40" i="13" s="1"/>
  <c r="F41" i="13"/>
  <c r="G41" i="13"/>
  <c r="K41" i="13"/>
  <c r="N41" i="13" s="1"/>
  <c r="F42" i="13"/>
  <c r="G42" i="13"/>
  <c r="H42" i="13"/>
  <c r="I42" i="13"/>
  <c r="J42" i="13" s="1"/>
  <c r="K42" i="13"/>
  <c r="N42" i="13" s="1"/>
  <c r="F43" i="13"/>
  <c r="G43" i="13"/>
  <c r="K43" i="13"/>
  <c r="N43" i="13" s="1"/>
  <c r="F44" i="13"/>
  <c r="G44" i="13"/>
  <c r="H44" i="13"/>
  <c r="I44" i="13"/>
  <c r="J44" i="13" s="1"/>
  <c r="K44" i="13"/>
  <c r="N44" i="13" s="1"/>
  <c r="M44" i="13"/>
  <c r="F45" i="13"/>
  <c r="G45" i="13"/>
  <c r="K45" i="13"/>
  <c r="N45" i="13" s="1"/>
  <c r="M45" i="13"/>
  <c r="F46" i="13"/>
  <c r="G46" i="13"/>
  <c r="H46" i="13"/>
  <c r="I46" i="13"/>
  <c r="J46" i="13" s="1"/>
  <c r="K46" i="13"/>
  <c r="N46" i="13" s="1"/>
  <c r="F47" i="13"/>
  <c r="G47" i="13"/>
  <c r="K47" i="13"/>
  <c r="N47" i="13" s="1"/>
  <c r="F48" i="13"/>
  <c r="G48" i="13"/>
  <c r="H48" i="13"/>
  <c r="I48" i="13"/>
  <c r="J48" i="13" s="1"/>
  <c r="K48" i="13"/>
  <c r="N48" i="13" s="1"/>
  <c r="F49" i="13"/>
  <c r="G49" i="13"/>
  <c r="K49" i="13"/>
  <c r="N49" i="13" s="1"/>
  <c r="F50" i="13"/>
  <c r="G50" i="13"/>
  <c r="H49" i="13" s="1"/>
  <c r="H50" i="13"/>
  <c r="I50" i="13"/>
  <c r="J50" i="13" s="1"/>
  <c r="K50" i="13"/>
  <c r="N50" i="13" s="1"/>
  <c r="F51" i="13"/>
  <c r="G51" i="13"/>
  <c r="K51" i="13"/>
  <c r="N51" i="13" s="1"/>
  <c r="M51" i="13"/>
  <c r="F52" i="13"/>
  <c r="G52" i="13"/>
  <c r="H52" i="13"/>
  <c r="I52" i="13"/>
  <c r="J52" i="13" s="1"/>
  <c r="K52" i="13"/>
  <c r="N52" i="13" s="1"/>
  <c r="M52" i="13"/>
  <c r="F53" i="13"/>
  <c r="G53" i="13"/>
  <c r="K53" i="13"/>
  <c r="N53" i="13" s="1"/>
  <c r="F54" i="13"/>
  <c r="G54" i="13"/>
  <c r="H54" i="13"/>
  <c r="I54" i="13"/>
  <c r="J54" i="13" s="1"/>
  <c r="K54" i="13"/>
  <c r="N54" i="13" s="1"/>
  <c r="M54" i="13"/>
  <c r="F55" i="13"/>
  <c r="G55" i="13"/>
  <c r="K55" i="13"/>
  <c r="N55" i="13" s="1"/>
  <c r="F56" i="13"/>
  <c r="G56" i="13"/>
  <c r="H56" i="13"/>
  <c r="I56" i="13"/>
  <c r="J56" i="13" s="1"/>
  <c r="K56" i="13"/>
  <c r="N56" i="13" s="1"/>
  <c r="F57" i="13"/>
  <c r="G57" i="13"/>
  <c r="K57" i="13"/>
  <c r="N57" i="13" s="1"/>
  <c r="F58" i="13"/>
  <c r="G58" i="13"/>
  <c r="H57" i="13" s="1"/>
  <c r="H58" i="13"/>
  <c r="I58" i="13"/>
  <c r="J58" i="13" s="1"/>
  <c r="K58" i="13"/>
  <c r="N58" i="13" s="1"/>
  <c r="F8" i="46"/>
  <c r="G8" i="46"/>
  <c r="H8" i="46"/>
  <c r="I8" i="46"/>
  <c r="K8" i="46"/>
  <c r="N8" i="46" s="1"/>
  <c r="F9" i="46"/>
  <c r="G9" i="46"/>
  <c r="H9" i="46"/>
  <c r="I9" i="46"/>
  <c r="J9" i="46" s="1"/>
  <c r="F10" i="46"/>
  <c r="G10" i="46"/>
  <c r="H10" i="46"/>
  <c r="I10" i="46"/>
  <c r="J10" i="46" s="1"/>
  <c r="K10" i="46"/>
  <c r="N10" i="46" s="1"/>
  <c r="F11" i="46"/>
  <c r="G11" i="46"/>
  <c r="K11" i="46"/>
  <c r="N11" i="46" s="1"/>
  <c r="F12" i="46"/>
  <c r="G12" i="46"/>
  <c r="H11" i="46" s="1"/>
  <c r="I11" i="46" s="1"/>
  <c r="J11" i="46" s="1"/>
  <c r="H12" i="46"/>
  <c r="I12" i="46"/>
  <c r="J12" i="46" s="1"/>
  <c r="K12" i="46"/>
  <c r="N12" i="46" s="1"/>
  <c r="F13" i="46"/>
  <c r="G13" i="46"/>
  <c r="H13" i="46"/>
  <c r="I13" i="46"/>
  <c r="J13" i="46" s="1"/>
  <c r="K13" i="46"/>
  <c r="N13" i="46" s="1"/>
  <c r="F14" i="46"/>
  <c r="G14" i="46"/>
  <c r="H14" i="46"/>
  <c r="I14" i="46"/>
  <c r="J14" i="46" s="1"/>
  <c r="K14" i="46"/>
  <c r="N14" i="46" s="1"/>
  <c r="F15" i="46"/>
  <c r="G15" i="46"/>
  <c r="K15" i="46"/>
  <c r="N15" i="46" s="1"/>
  <c r="F16" i="46"/>
  <c r="G16" i="46"/>
  <c r="H15" i="46" s="1"/>
  <c r="I15" i="46" s="1"/>
  <c r="J15" i="46" s="1"/>
  <c r="H16" i="46"/>
  <c r="I16" i="46"/>
  <c r="J16" i="46" s="1"/>
  <c r="K16" i="46"/>
  <c r="N16" i="46" s="1"/>
  <c r="F17" i="46"/>
  <c r="G17" i="46"/>
  <c r="H17" i="46"/>
  <c r="I17" i="46"/>
  <c r="J17" i="46" s="1"/>
  <c r="F18" i="46"/>
  <c r="G18" i="46"/>
  <c r="K17" i="46" s="1"/>
  <c r="N17" i="46" s="1"/>
  <c r="H18" i="46"/>
  <c r="I18" i="46"/>
  <c r="J18" i="46" s="1"/>
  <c r="K18" i="46"/>
  <c r="N18" i="46" s="1"/>
  <c r="F19" i="46"/>
  <c r="G19" i="46"/>
  <c r="K19" i="46"/>
  <c r="N19" i="46" s="1"/>
  <c r="F20" i="46"/>
  <c r="G20" i="46"/>
  <c r="H20" i="46"/>
  <c r="I20" i="46"/>
  <c r="J20" i="46" s="1"/>
  <c r="K20" i="46"/>
  <c r="N20" i="46" s="1"/>
  <c r="F21" i="46"/>
  <c r="G21" i="46"/>
  <c r="H21" i="46"/>
  <c r="I21" i="46"/>
  <c r="J21" i="46" s="1"/>
  <c r="F22" i="46"/>
  <c r="G22" i="46"/>
  <c r="H22" i="46"/>
  <c r="I22" i="46"/>
  <c r="J22" i="46" s="1"/>
  <c r="K22" i="46"/>
  <c r="N22" i="46" s="1"/>
  <c r="F23" i="46"/>
  <c r="G23" i="46"/>
  <c r="K23" i="46"/>
  <c r="N23" i="46" s="1"/>
  <c r="F24" i="46"/>
  <c r="G24" i="46"/>
  <c r="H23" i="46" s="1"/>
  <c r="I23" i="46" s="1"/>
  <c r="J23" i="46" s="1"/>
  <c r="H24" i="46"/>
  <c r="I24" i="46"/>
  <c r="J24" i="46" s="1"/>
  <c r="K24" i="46"/>
  <c r="N24" i="46" s="1"/>
  <c r="M24" i="46"/>
  <c r="F25" i="46"/>
  <c r="G25" i="46"/>
  <c r="H25" i="46"/>
  <c r="I25" i="46"/>
  <c r="J25" i="46" s="1"/>
  <c r="F26" i="46"/>
  <c r="G26" i="46"/>
  <c r="K25" i="46" s="1"/>
  <c r="H26" i="46"/>
  <c r="I26" i="46"/>
  <c r="J26" i="46" s="1"/>
  <c r="K26" i="46"/>
  <c r="N26" i="46" s="1"/>
  <c r="F27" i="46"/>
  <c r="G27" i="46"/>
  <c r="K27" i="46"/>
  <c r="N27" i="46" s="1"/>
  <c r="F28" i="46"/>
  <c r="G28" i="46"/>
  <c r="H27" i="46" s="1"/>
  <c r="I27" i="46" s="1"/>
  <c r="J27" i="46" s="1"/>
  <c r="H28" i="46"/>
  <c r="I28" i="46"/>
  <c r="J28" i="46" s="1"/>
  <c r="K28" i="46"/>
  <c r="N28" i="46" s="1"/>
  <c r="F29" i="46"/>
  <c r="G29" i="46"/>
  <c r="H29" i="46"/>
  <c r="I29" i="46"/>
  <c r="J29" i="46" s="1"/>
  <c r="F30" i="46"/>
  <c r="G30" i="46"/>
  <c r="K29" i="46" s="1"/>
  <c r="H30" i="46"/>
  <c r="I30" i="46"/>
  <c r="J30" i="46" s="1"/>
  <c r="K30" i="46"/>
  <c r="N30" i="46" s="1"/>
  <c r="M30" i="46"/>
  <c r="F31" i="46"/>
  <c r="G31" i="46"/>
  <c r="K31" i="46"/>
  <c r="N31" i="46" s="1"/>
  <c r="F32" i="46"/>
  <c r="G32" i="46"/>
  <c r="H32" i="46"/>
  <c r="I32" i="46"/>
  <c r="J32" i="46" s="1"/>
  <c r="K32" i="46"/>
  <c r="N32" i="46" s="1"/>
  <c r="F33" i="46"/>
  <c r="G33" i="46"/>
  <c r="H33" i="46"/>
  <c r="I33" i="46"/>
  <c r="J33" i="46" s="1"/>
  <c r="F34" i="46"/>
  <c r="G34" i="46"/>
  <c r="H34" i="46"/>
  <c r="I34" i="46"/>
  <c r="J34" i="46" s="1"/>
  <c r="K34" i="46"/>
  <c r="N34" i="46" s="1"/>
  <c r="F35" i="46"/>
  <c r="G35" i="46"/>
  <c r="H35" i="46"/>
  <c r="I35" i="46"/>
  <c r="J35" i="46" s="1"/>
  <c r="F36" i="46"/>
  <c r="G36" i="46"/>
  <c r="H36" i="46"/>
  <c r="I36" i="46"/>
  <c r="J36" i="46" s="1"/>
  <c r="K36" i="46"/>
  <c r="N36" i="46" s="1"/>
  <c r="F37" i="46"/>
  <c r="G37" i="46"/>
  <c r="H37" i="46"/>
  <c r="I37" i="46"/>
  <c r="J37" i="46" s="1"/>
  <c r="F38" i="46"/>
  <c r="G38" i="46"/>
  <c r="K37" i="46" s="1"/>
  <c r="N37" i="46" s="1"/>
  <c r="H38" i="46"/>
  <c r="I38" i="46"/>
  <c r="J38" i="46" s="1"/>
  <c r="K38" i="46"/>
  <c r="N38" i="46" s="1"/>
  <c r="F39" i="46"/>
  <c r="G39" i="46"/>
  <c r="H39" i="46"/>
  <c r="I39" i="46"/>
  <c r="J39" i="46" s="1"/>
  <c r="F40" i="46"/>
  <c r="G40" i="46"/>
  <c r="H40" i="46"/>
  <c r="I40" i="46"/>
  <c r="J40" i="46" s="1"/>
  <c r="K40" i="46"/>
  <c r="N40" i="46" s="1"/>
  <c r="F41" i="46"/>
  <c r="G41" i="46"/>
  <c r="H41" i="46"/>
  <c r="I41" i="46"/>
  <c r="J41" i="46" s="1"/>
  <c r="F42" i="46"/>
  <c r="G42" i="46"/>
  <c r="H42" i="46"/>
  <c r="I42" i="46"/>
  <c r="J42" i="46" s="1"/>
  <c r="K42" i="46"/>
  <c r="N42" i="46" s="1"/>
  <c r="F43" i="46"/>
  <c r="G43" i="46"/>
  <c r="H43" i="46"/>
  <c r="I43" i="46"/>
  <c r="J43" i="46" s="1"/>
  <c r="F44" i="46"/>
  <c r="G44" i="46"/>
  <c r="H44" i="46"/>
  <c r="I44" i="46"/>
  <c r="J44" i="46" s="1"/>
  <c r="K44" i="46"/>
  <c r="N44" i="46" s="1"/>
  <c r="F45" i="46"/>
  <c r="G45" i="46"/>
  <c r="K45" i="46"/>
  <c r="N45" i="46" s="1"/>
  <c r="F46" i="46"/>
  <c r="G46" i="46"/>
  <c r="H46" i="46"/>
  <c r="I46" i="46"/>
  <c r="J46" i="46" s="1"/>
  <c r="K46" i="46"/>
  <c r="N46" i="46" s="1"/>
  <c r="F47" i="46"/>
  <c r="G47" i="46"/>
  <c r="H47" i="46"/>
  <c r="I47" i="46"/>
  <c r="J47" i="46" s="1"/>
  <c r="F48" i="46"/>
  <c r="G48" i="46"/>
  <c r="H48" i="46"/>
  <c r="I48" i="46"/>
  <c r="J48" i="46" s="1"/>
  <c r="K48" i="46"/>
  <c r="N48" i="46" s="1"/>
  <c r="F49" i="46"/>
  <c r="G49" i="46"/>
  <c r="H49" i="46"/>
  <c r="I49" i="46"/>
  <c r="J49" i="46" s="1"/>
  <c r="F50" i="46"/>
  <c r="G50" i="46"/>
  <c r="H50" i="46"/>
  <c r="I50" i="46"/>
  <c r="J50" i="46" s="1"/>
  <c r="K50" i="46"/>
  <c r="N50" i="46" s="1"/>
  <c r="F51" i="46"/>
  <c r="G51" i="46"/>
  <c r="K51" i="46"/>
  <c r="N51" i="46" s="1"/>
  <c r="F52" i="46"/>
  <c r="G52" i="46"/>
  <c r="H51" i="46" s="1"/>
  <c r="I51" i="46" s="1"/>
  <c r="J51" i="46" s="1"/>
  <c r="H52" i="46"/>
  <c r="I52" i="46"/>
  <c r="J52" i="46" s="1"/>
  <c r="K52" i="46"/>
  <c r="N52" i="46" s="1"/>
  <c r="F53" i="46"/>
  <c r="G53" i="46"/>
  <c r="H53" i="46"/>
  <c r="I53" i="46"/>
  <c r="J53" i="46" s="1"/>
  <c r="F54" i="46"/>
  <c r="G54" i="46"/>
  <c r="K53" i="46" s="1"/>
  <c r="H54" i="46"/>
  <c r="I54" i="46"/>
  <c r="J54" i="46" s="1"/>
  <c r="K54" i="46"/>
  <c r="N54" i="46" s="1"/>
  <c r="F55" i="46"/>
  <c r="G55" i="46"/>
  <c r="K55" i="46"/>
  <c r="N55" i="46" s="1"/>
  <c r="M55" i="46"/>
  <c r="F56" i="46"/>
  <c r="G56" i="46"/>
  <c r="H56" i="46"/>
  <c r="I56" i="46"/>
  <c r="J56" i="46" s="1"/>
  <c r="K56" i="46"/>
  <c r="N56" i="46" s="1"/>
  <c r="M56" i="46"/>
  <c r="F57" i="46"/>
  <c r="G57" i="46"/>
  <c r="H57" i="46"/>
  <c r="I57" i="46"/>
  <c r="J57" i="46" s="1"/>
  <c r="F58" i="46"/>
  <c r="G58" i="46"/>
  <c r="H58" i="46"/>
  <c r="I58" i="46"/>
  <c r="J58" i="46" s="1"/>
  <c r="K58" i="46"/>
  <c r="N58" i="46" s="1"/>
  <c r="M58" i="46"/>
  <c r="F59" i="46"/>
  <c r="G59" i="46"/>
  <c r="K59" i="46"/>
  <c r="N59" i="46" s="1"/>
  <c r="F60" i="46"/>
  <c r="G60" i="46"/>
  <c r="H60" i="46"/>
  <c r="I60" i="46"/>
  <c r="J60" i="46" s="1"/>
  <c r="K60" i="46"/>
  <c r="N60" i="46" s="1"/>
  <c r="F61" i="46"/>
  <c r="G61" i="46"/>
  <c r="H61" i="46"/>
  <c r="I61" i="46"/>
  <c r="J61" i="46" s="1"/>
  <c r="F62" i="46"/>
  <c r="G62" i="46"/>
  <c r="K61" i="46" s="1"/>
  <c r="H62" i="46"/>
  <c r="I62" i="46"/>
  <c r="J62" i="46" s="1"/>
  <c r="K62" i="46"/>
  <c r="N62" i="46" s="1"/>
  <c r="F63" i="46"/>
  <c r="G63" i="46"/>
  <c r="K63" i="46"/>
  <c r="N63" i="46" s="1"/>
  <c r="F64" i="46"/>
  <c r="G64" i="46"/>
  <c r="H64" i="46"/>
  <c r="I64" i="46"/>
  <c r="J64" i="46" s="1"/>
  <c r="K64" i="46"/>
  <c r="N64" i="46" s="1"/>
  <c r="F65" i="46"/>
  <c r="G65" i="46"/>
  <c r="H65" i="46"/>
  <c r="I65" i="46"/>
  <c r="J65" i="46" s="1"/>
  <c r="F66" i="46"/>
  <c r="G66" i="46"/>
  <c r="H66" i="46"/>
  <c r="I66" i="46"/>
  <c r="J66" i="46" s="1"/>
  <c r="K66" i="46"/>
  <c r="N66" i="46" s="1"/>
  <c r="F67" i="46"/>
  <c r="G67" i="46"/>
  <c r="H67" i="46"/>
  <c r="I67" i="46"/>
  <c r="J67" i="46" s="1"/>
  <c r="F68" i="46"/>
  <c r="G68" i="46"/>
  <c r="H68" i="46"/>
  <c r="I68" i="46"/>
  <c r="J68" i="46" s="1"/>
  <c r="K68" i="46"/>
  <c r="N68" i="46" s="1"/>
  <c r="F69" i="46"/>
  <c r="G69" i="46"/>
  <c r="H69" i="46"/>
  <c r="I69" i="46"/>
  <c r="J69" i="46" s="1"/>
  <c r="F70" i="46"/>
  <c r="G70" i="46"/>
  <c r="H70" i="46"/>
  <c r="I70" i="46"/>
  <c r="J70" i="46" s="1"/>
  <c r="K70" i="46"/>
  <c r="N70" i="46" s="1"/>
  <c r="F71" i="46"/>
  <c r="G71" i="46"/>
  <c r="H71" i="46"/>
  <c r="I71" i="46"/>
  <c r="J71" i="46" s="1"/>
  <c r="F72" i="46"/>
  <c r="G72" i="46"/>
  <c r="H72" i="46"/>
  <c r="I72" i="46"/>
  <c r="J72" i="46" s="1"/>
  <c r="K72" i="46"/>
  <c r="N72" i="46" s="1"/>
  <c r="F73" i="46"/>
  <c r="G73" i="46"/>
  <c r="H73" i="46"/>
  <c r="I73" i="46"/>
  <c r="J73" i="46" s="1"/>
  <c r="F74" i="46"/>
  <c r="G74" i="46"/>
  <c r="H74" i="46"/>
  <c r="I74" i="46"/>
  <c r="J74" i="46" s="1"/>
  <c r="K74" i="46"/>
  <c r="N74" i="46" s="1"/>
  <c r="F75" i="46"/>
  <c r="G75" i="46"/>
  <c r="K75" i="46"/>
  <c r="N75" i="46" s="1"/>
  <c r="F76" i="46"/>
  <c r="G76" i="46"/>
  <c r="H75" i="46" s="1"/>
  <c r="I75" i="46" s="1"/>
  <c r="J75" i="46" s="1"/>
  <c r="H76" i="46"/>
  <c r="I76" i="46"/>
  <c r="J76" i="46" s="1"/>
  <c r="K76" i="46"/>
  <c r="N76" i="46" s="1"/>
  <c r="F77" i="46"/>
  <c r="G77" i="46"/>
  <c r="H77" i="46"/>
  <c r="I77" i="46"/>
  <c r="J77" i="46" s="1"/>
  <c r="F78" i="46"/>
  <c r="G78" i="46"/>
  <c r="K77" i="46" s="1"/>
  <c r="H78" i="46"/>
  <c r="I78" i="46"/>
  <c r="J78" i="46" s="1"/>
  <c r="K78" i="46"/>
  <c r="N78" i="46" s="1"/>
  <c r="F79" i="46"/>
  <c r="G79" i="46"/>
  <c r="K79" i="46"/>
  <c r="N79" i="46" s="1"/>
  <c r="M79" i="46"/>
  <c r="F80" i="46"/>
  <c r="G80" i="46"/>
  <c r="H80" i="46"/>
  <c r="I80" i="46"/>
  <c r="J80" i="46" s="1"/>
  <c r="K80" i="46"/>
  <c r="N80" i="46" s="1"/>
  <c r="M80" i="46"/>
  <c r="F81" i="46"/>
  <c r="G81" i="46"/>
  <c r="H81" i="46"/>
  <c r="I81" i="46"/>
  <c r="J81" i="46" s="1"/>
  <c r="F82" i="46"/>
  <c r="G82" i="46"/>
  <c r="H82" i="46"/>
  <c r="I82" i="46"/>
  <c r="J82" i="46" s="1"/>
  <c r="K82" i="46"/>
  <c r="N82" i="46" s="1"/>
  <c r="M82" i="46"/>
  <c r="F83" i="46"/>
  <c r="G83" i="46"/>
  <c r="K83" i="46"/>
  <c r="N83" i="46" s="1"/>
  <c r="F84" i="46"/>
  <c r="G84" i="46"/>
  <c r="H84" i="46"/>
  <c r="I84" i="46"/>
  <c r="J84" i="46" s="1"/>
  <c r="K84" i="46"/>
  <c r="N84" i="46" s="1"/>
  <c r="F85" i="46"/>
  <c r="G85" i="46"/>
  <c r="H85" i="46"/>
  <c r="I85" i="46"/>
  <c r="J85" i="46" s="1"/>
  <c r="F86" i="46"/>
  <c r="G86" i="46"/>
  <c r="K85" i="46" s="1"/>
  <c r="N85" i="46" s="1"/>
  <c r="H86" i="46"/>
  <c r="I86" i="46"/>
  <c r="J86" i="46" s="1"/>
  <c r="K86" i="46"/>
  <c r="N86" i="46" s="1"/>
  <c r="F87" i="46"/>
  <c r="G87" i="46"/>
  <c r="H87" i="46"/>
  <c r="I87" i="46"/>
  <c r="J87" i="46" s="1"/>
  <c r="F88" i="46"/>
  <c r="G88" i="46"/>
  <c r="H88" i="46"/>
  <c r="I88" i="46"/>
  <c r="J88" i="46" s="1"/>
  <c r="K88" i="46"/>
  <c r="N88" i="46" s="1"/>
  <c r="F89" i="46"/>
  <c r="G89" i="46"/>
  <c r="K89" i="46"/>
  <c r="N89" i="46" s="1"/>
  <c r="F90" i="46"/>
  <c r="G90" i="46"/>
  <c r="H90" i="46"/>
  <c r="I90" i="46"/>
  <c r="J90" i="46" s="1"/>
  <c r="K90" i="46"/>
  <c r="N90" i="46" s="1"/>
  <c r="M90" i="46"/>
  <c r="F91" i="46"/>
  <c r="G91" i="46"/>
  <c r="H91" i="46"/>
  <c r="I91" i="46"/>
  <c r="J91" i="46" s="1"/>
  <c r="F92" i="46"/>
  <c r="G92" i="46"/>
  <c r="H92" i="46"/>
  <c r="I92" i="46"/>
  <c r="J92" i="46" s="1"/>
  <c r="K92" i="46"/>
  <c r="N92" i="46" s="1"/>
  <c r="F93" i="46"/>
  <c r="G93" i="46"/>
  <c r="K93" i="46"/>
  <c r="M93" i="46" s="1"/>
  <c r="F94" i="46"/>
  <c r="G94" i="46"/>
  <c r="H94" i="46"/>
  <c r="I94" i="46"/>
  <c r="J94" i="46" s="1"/>
  <c r="K94" i="46"/>
  <c r="M94" i="46" s="1"/>
  <c r="F95" i="46"/>
  <c r="G95" i="46"/>
  <c r="K95" i="46"/>
  <c r="M95" i="46" s="1"/>
  <c r="F96" i="46"/>
  <c r="G96" i="46"/>
  <c r="H96" i="46"/>
  <c r="I96" i="46"/>
  <c r="J96" i="46" s="1"/>
  <c r="K96" i="46"/>
  <c r="M96" i="46" s="1"/>
  <c r="N96" i="46"/>
  <c r="F97" i="46"/>
  <c r="G97" i="46"/>
  <c r="H97" i="46"/>
  <c r="I97" i="46"/>
  <c r="J97" i="46" s="1"/>
  <c r="F98" i="46"/>
  <c r="G98" i="46"/>
  <c r="H98" i="46"/>
  <c r="I98" i="46"/>
  <c r="J98" i="46" s="1"/>
  <c r="K98" i="46"/>
  <c r="M98" i="46" s="1"/>
  <c r="F99" i="46"/>
  <c r="G99" i="46"/>
  <c r="K99" i="46"/>
  <c r="M99" i="46" s="1"/>
  <c r="F100" i="46"/>
  <c r="G100" i="46"/>
  <c r="H99" i="46" s="1"/>
  <c r="I99" i="46" s="1"/>
  <c r="J99" i="46" s="1"/>
  <c r="H100" i="46"/>
  <c r="I100" i="46"/>
  <c r="J100" i="46" s="1"/>
  <c r="K100" i="46"/>
  <c r="M100" i="46" s="1"/>
  <c r="F101" i="46"/>
  <c r="G101" i="46"/>
  <c r="H101" i="46"/>
  <c r="I101" i="46"/>
  <c r="J101" i="46" s="1"/>
  <c r="F102" i="46"/>
  <c r="G102" i="46"/>
  <c r="K101" i="46" s="1"/>
  <c r="H102" i="46"/>
  <c r="I102" i="46"/>
  <c r="J102" i="46" s="1"/>
  <c r="K102" i="46"/>
  <c r="M102" i="46" s="1"/>
  <c r="F103" i="46"/>
  <c r="G103" i="46"/>
  <c r="K103" i="46"/>
  <c r="M103" i="46" s="1"/>
  <c r="N103" i="46"/>
  <c r="F104" i="46"/>
  <c r="G104" i="46"/>
  <c r="H104" i="46"/>
  <c r="I104" i="46"/>
  <c r="J104" i="46" s="1"/>
  <c r="K104" i="46"/>
  <c r="M104" i="46" s="1"/>
  <c r="F105" i="46"/>
  <c r="G105" i="46"/>
  <c r="H105" i="46"/>
  <c r="I105" i="46"/>
  <c r="J105" i="46" s="1"/>
  <c r="F106" i="46"/>
  <c r="G106" i="46"/>
  <c r="H106" i="46"/>
  <c r="I106" i="46"/>
  <c r="J106" i="46" s="1"/>
  <c r="K106" i="46"/>
  <c r="M106" i="46" s="1"/>
  <c r="N106" i="46"/>
  <c r="F107" i="46"/>
  <c r="G107" i="46"/>
  <c r="K107" i="46"/>
  <c r="M107" i="46" s="1"/>
  <c r="F108" i="46"/>
  <c r="G108" i="46"/>
  <c r="H108" i="46"/>
  <c r="I108" i="46"/>
  <c r="J108" i="46" s="1"/>
  <c r="K108" i="46"/>
  <c r="M108" i="46" s="1"/>
  <c r="F109" i="46"/>
  <c r="G109" i="46"/>
  <c r="H109" i="46"/>
  <c r="I109" i="46"/>
  <c r="J109" i="46" s="1"/>
  <c r="F110" i="46"/>
  <c r="G110" i="46"/>
  <c r="H110" i="46"/>
  <c r="I110" i="46"/>
  <c r="J110" i="46" s="1"/>
  <c r="K110" i="46"/>
  <c r="M110" i="46" s="1"/>
  <c r="F111" i="46"/>
  <c r="G111" i="46"/>
  <c r="K111" i="46"/>
  <c r="M111" i="46" s="1"/>
  <c r="N111" i="46"/>
  <c r="F112" i="46"/>
  <c r="G112" i="46"/>
  <c r="H112" i="46"/>
  <c r="I112" i="46"/>
  <c r="J112" i="46" s="1"/>
  <c r="K112" i="46"/>
  <c r="M112" i="46" s="1"/>
  <c r="F113" i="46"/>
  <c r="G113" i="46"/>
  <c r="H113" i="46"/>
  <c r="I113" i="46"/>
  <c r="J113" i="46" s="1"/>
  <c r="F114" i="46"/>
  <c r="G114" i="46"/>
  <c r="H114" i="46"/>
  <c r="I114" i="46"/>
  <c r="J114" i="46" s="1"/>
  <c r="K114" i="46"/>
  <c r="M114" i="46" s="1"/>
  <c r="N114" i="46"/>
  <c r="F115" i="46"/>
  <c r="G115" i="46"/>
  <c r="K115" i="46"/>
  <c r="M115" i="46" s="1"/>
  <c r="F116" i="46"/>
  <c r="G116" i="46"/>
  <c r="H115" i="46" s="1"/>
  <c r="I115" i="46" s="1"/>
  <c r="J115" i="46" s="1"/>
  <c r="H116" i="46"/>
  <c r="I116" i="46"/>
  <c r="J116" i="46" s="1"/>
  <c r="K116" i="46"/>
  <c r="M116" i="46" s="1"/>
  <c r="F117" i="46"/>
  <c r="G117" i="46"/>
  <c r="H117" i="46"/>
  <c r="I117" i="46"/>
  <c r="J117" i="46" s="1"/>
  <c r="F118" i="46"/>
  <c r="G118" i="46"/>
  <c r="H118" i="46"/>
  <c r="I118" i="46"/>
  <c r="J118" i="46" s="1"/>
  <c r="K118" i="46"/>
  <c r="M118" i="46" s="1"/>
  <c r="N63" i="57" l="1"/>
  <c r="M63" i="57"/>
  <c r="M34" i="46"/>
  <c r="M49" i="13"/>
  <c r="H47" i="13"/>
  <c r="M32" i="13"/>
  <c r="M22" i="13"/>
  <c r="M19" i="13"/>
  <c r="M63" i="20"/>
  <c r="M75" i="37"/>
  <c r="M67" i="37"/>
  <c r="M60" i="37"/>
  <c r="M10" i="57"/>
  <c r="K109" i="46"/>
  <c r="N104" i="46"/>
  <c r="H83" i="46"/>
  <c r="I83" i="46" s="1"/>
  <c r="J83" i="46" s="1"/>
  <c r="M66" i="46"/>
  <c r="M63" i="46"/>
  <c r="H59" i="46"/>
  <c r="I59" i="46" s="1"/>
  <c r="J59" i="46" s="1"/>
  <c r="M42" i="46"/>
  <c r="K35" i="46"/>
  <c r="M32" i="46"/>
  <c r="M18" i="46"/>
  <c r="K9" i="46"/>
  <c r="N9" i="46" s="1"/>
  <c r="M57" i="13"/>
  <c r="H55" i="13"/>
  <c r="M40" i="13"/>
  <c r="H33" i="13"/>
  <c r="M25" i="13"/>
  <c r="K23" i="13"/>
  <c r="M20" i="13"/>
  <c r="M94" i="20"/>
  <c r="K81" i="20"/>
  <c r="M77" i="20"/>
  <c r="M59" i="20"/>
  <c r="K41" i="20"/>
  <c r="K17" i="20"/>
  <c r="H63" i="37"/>
  <c r="I63" i="37" s="1"/>
  <c r="J63" i="37" s="1"/>
  <c r="M57" i="37"/>
  <c r="M40" i="37"/>
  <c r="M28" i="37"/>
  <c r="M20" i="37"/>
  <c r="M10" i="37"/>
  <c r="M62" i="57"/>
  <c r="M57" i="57"/>
  <c r="K43" i="57"/>
  <c r="N43" i="57" s="1"/>
  <c r="M37" i="57"/>
  <c r="M26" i="57"/>
  <c r="H45" i="46"/>
  <c r="I45" i="46" s="1"/>
  <c r="J45" i="46" s="1"/>
  <c r="J6" i="9"/>
  <c r="D5" i="9" s="1"/>
  <c r="H107" i="46"/>
  <c r="I107" i="46" s="1"/>
  <c r="J107" i="46" s="1"/>
  <c r="H93" i="46"/>
  <c r="M88" i="46"/>
  <c r="M74" i="46"/>
  <c r="K67" i="46"/>
  <c r="M64" i="46"/>
  <c r="M50" i="46"/>
  <c r="K43" i="46"/>
  <c r="N43" i="46" s="1"/>
  <c r="M40" i="46"/>
  <c r="K21" i="46"/>
  <c r="M48" i="13"/>
  <c r="H41" i="13"/>
  <c r="M33" i="13"/>
  <c r="H31" i="13"/>
  <c r="M13" i="13"/>
  <c r="H9" i="13"/>
  <c r="M87" i="20"/>
  <c r="H59" i="20"/>
  <c r="K47" i="20"/>
  <c r="H25" i="20"/>
  <c r="I25" i="20" s="1"/>
  <c r="J25" i="20" s="1"/>
  <c r="H23" i="20"/>
  <c r="I23" i="20" s="1"/>
  <c r="J23" i="20" s="1"/>
  <c r="K21" i="20"/>
  <c r="M14" i="20"/>
  <c r="M84" i="37"/>
  <c r="K83" i="37"/>
  <c r="M72" i="37"/>
  <c r="K69" i="37"/>
  <c r="K65" i="37"/>
  <c r="M52" i="37"/>
  <c r="M37" i="37"/>
  <c r="M18" i="37"/>
  <c r="H83" i="57"/>
  <c r="I83" i="57" s="1"/>
  <c r="J83" i="57" s="1"/>
  <c r="H57" i="57"/>
  <c r="I57" i="57" s="1"/>
  <c r="J57" i="57" s="1"/>
  <c r="K51" i="57"/>
  <c r="N51" i="57" s="1"/>
  <c r="H37" i="57"/>
  <c r="I37" i="57" s="1"/>
  <c r="J37" i="57" s="1"/>
  <c r="N55" i="56"/>
  <c r="K69" i="46"/>
  <c r="N69" i="46" s="1"/>
  <c r="K117" i="46"/>
  <c r="N112" i="46"/>
  <c r="N98" i="46"/>
  <c r="N95" i="46"/>
  <c r="K91" i="46"/>
  <c r="M45" i="46"/>
  <c r="M28" i="46"/>
  <c r="M53" i="13"/>
  <c r="M46" i="13"/>
  <c r="M43" i="13"/>
  <c r="M36" i="13"/>
  <c r="M16" i="13"/>
  <c r="M11" i="13"/>
  <c r="M73" i="20"/>
  <c r="K31" i="20"/>
  <c r="M27" i="20"/>
  <c r="M11" i="20"/>
  <c r="H87" i="37"/>
  <c r="I87" i="37" s="1"/>
  <c r="J87" i="37" s="1"/>
  <c r="M44" i="37"/>
  <c r="H41" i="37"/>
  <c r="I41" i="37" s="1"/>
  <c r="J41" i="37" s="1"/>
  <c r="H29" i="37"/>
  <c r="I29" i="37" s="1"/>
  <c r="J29" i="37" s="1"/>
  <c r="H21" i="37"/>
  <c r="I21" i="37" s="1"/>
  <c r="J21" i="37" s="1"/>
  <c r="M8" i="37"/>
  <c r="M92" i="57"/>
  <c r="M31" i="57"/>
  <c r="M18" i="57"/>
  <c r="N57" i="9"/>
  <c r="N93" i="46"/>
  <c r="M72" i="46"/>
  <c r="M48" i="46"/>
  <c r="M10" i="46"/>
  <c r="M56" i="13"/>
  <c r="M41" i="13"/>
  <c r="H39" i="13"/>
  <c r="M24" i="13"/>
  <c r="M14" i="13"/>
  <c r="H43" i="20"/>
  <c r="I43" i="20" s="1"/>
  <c r="J43" i="20" s="1"/>
  <c r="M80" i="37"/>
  <c r="M64" i="37"/>
  <c r="M50" i="37"/>
  <c r="M13" i="37"/>
  <c r="K9" i="37"/>
  <c r="H17" i="13"/>
  <c r="K79" i="20"/>
  <c r="H73" i="20"/>
  <c r="I73" i="20" s="1"/>
  <c r="J73" i="20" s="1"/>
  <c r="M77" i="37"/>
  <c r="M70" i="37"/>
  <c r="M62" i="37"/>
  <c r="M32" i="37"/>
  <c r="K27" i="37"/>
  <c r="M27" i="37" s="1"/>
  <c r="M54" i="57"/>
  <c r="K53" i="57"/>
  <c r="K39" i="57"/>
  <c r="M34" i="57"/>
  <c r="M6" i="9"/>
  <c r="N55" i="37"/>
  <c r="M55" i="37"/>
  <c r="N27" i="37"/>
  <c r="N23" i="37"/>
  <c r="M23" i="37"/>
  <c r="N51" i="37"/>
  <c r="M51" i="37"/>
  <c r="N71" i="57"/>
  <c r="M71" i="57"/>
  <c r="N35" i="37"/>
  <c r="M35" i="37"/>
  <c r="N95" i="20"/>
  <c r="M95" i="20"/>
  <c r="N79" i="37"/>
  <c r="M79" i="37"/>
  <c r="N15" i="37"/>
  <c r="M15" i="37"/>
  <c r="N83" i="37"/>
  <c r="M83" i="37"/>
  <c r="N69" i="37"/>
  <c r="M69" i="37"/>
  <c r="N65" i="37"/>
  <c r="M65" i="37"/>
  <c r="N47" i="37"/>
  <c r="M47" i="37"/>
  <c r="N19" i="37"/>
  <c r="M19" i="37"/>
  <c r="N9" i="37"/>
  <c r="M9" i="37"/>
  <c r="M58" i="13"/>
  <c r="M55" i="13"/>
  <c r="H53" i="13"/>
  <c r="M50" i="13"/>
  <c r="M47" i="13"/>
  <c r="H45" i="13"/>
  <c r="M42" i="13"/>
  <c r="M39" i="13"/>
  <c r="H37" i="13"/>
  <c r="M34" i="13"/>
  <c r="M31" i="13"/>
  <c r="H29" i="13"/>
  <c r="M26" i="13"/>
  <c r="K21" i="13"/>
  <c r="M18" i="13"/>
  <c r="M15" i="13"/>
  <c r="H13" i="13"/>
  <c r="M10" i="13"/>
  <c r="H69" i="20"/>
  <c r="I69" i="20" s="1"/>
  <c r="J69" i="20" s="1"/>
  <c r="M65" i="20"/>
  <c r="K57" i="20"/>
  <c r="N57" i="20" s="1"/>
  <c r="M26" i="20"/>
  <c r="M88" i="37"/>
  <c r="M85" i="37"/>
  <c r="M82" i="37"/>
  <c r="M78" i="37"/>
  <c r="M68" i="37"/>
  <c r="M63" i="37"/>
  <c r="M56" i="37"/>
  <c r="H45" i="37"/>
  <c r="I45" i="37" s="1"/>
  <c r="J45" i="37" s="1"/>
  <c r="M36" i="37"/>
  <c r="M26" i="37"/>
  <c r="M21" i="37"/>
  <c r="H13" i="37"/>
  <c r="I13" i="37" s="1"/>
  <c r="J13" i="37" s="1"/>
  <c r="M75" i="57"/>
  <c r="M66" i="57"/>
  <c r="K59" i="57"/>
  <c r="K47" i="57"/>
  <c r="M28" i="57"/>
  <c r="M23" i="57"/>
  <c r="M11" i="57"/>
  <c r="K9" i="57"/>
  <c r="N9" i="57" s="1"/>
  <c r="H53" i="20"/>
  <c r="I53" i="20" s="1"/>
  <c r="J53" i="20" s="1"/>
  <c r="H37" i="20"/>
  <c r="I37" i="20" s="1"/>
  <c r="J37" i="20" s="1"/>
  <c r="H51" i="13"/>
  <c r="H43" i="13"/>
  <c r="K35" i="13"/>
  <c r="H27" i="13"/>
  <c r="H19" i="13"/>
  <c r="H11" i="13"/>
  <c r="H65" i="20"/>
  <c r="I65" i="20" s="1"/>
  <c r="J65" i="20" s="1"/>
  <c r="H49" i="20"/>
  <c r="I49" i="20" s="1"/>
  <c r="J49" i="20" s="1"/>
  <c r="K35" i="20"/>
  <c r="N35" i="20" s="1"/>
  <c r="H27" i="20"/>
  <c r="I27" i="20" s="1"/>
  <c r="J27" i="20" s="1"/>
  <c r="H19" i="20"/>
  <c r="J19" i="20" s="1"/>
  <c r="H57" i="37"/>
  <c r="I57" i="37" s="1"/>
  <c r="J57" i="37" s="1"/>
  <c r="H37" i="37"/>
  <c r="I37" i="37" s="1"/>
  <c r="J37" i="37" s="1"/>
  <c r="K67" i="57"/>
  <c r="M33" i="57"/>
  <c r="K29" i="57"/>
  <c r="N29" i="57" s="1"/>
  <c r="M12" i="57"/>
  <c r="N118" i="46"/>
  <c r="N115" i="46"/>
  <c r="K113" i="46"/>
  <c r="N110" i="46"/>
  <c r="N107" i="46"/>
  <c r="K105" i="46"/>
  <c r="N102" i="46"/>
  <c r="N99" i="46"/>
  <c r="K97" i="46"/>
  <c r="N94" i="46"/>
  <c r="H89" i="46"/>
  <c r="I89" i="46" s="1"/>
  <c r="J89" i="46" s="1"/>
  <c r="M86" i="46"/>
  <c r="M83" i="46"/>
  <c r="K81" i="46"/>
  <c r="M78" i="46"/>
  <c r="M75" i="46"/>
  <c r="K73" i="46"/>
  <c r="N73" i="46" s="1"/>
  <c r="M70" i="46"/>
  <c r="K65" i="46"/>
  <c r="M62" i="46"/>
  <c r="M59" i="46"/>
  <c r="K57" i="46"/>
  <c r="M54" i="46"/>
  <c r="M51" i="46"/>
  <c r="K49" i="46"/>
  <c r="M46" i="46"/>
  <c r="K41" i="46"/>
  <c r="M38" i="46"/>
  <c r="K33" i="46"/>
  <c r="N8" i="13"/>
  <c r="K6" i="13"/>
  <c r="K89" i="20"/>
  <c r="H77" i="20"/>
  <c r="I77" i="20" s="1"/>
  <c r="J77" i="20" s="1"/>
  <c r="K71" i="20"/>
  <c r="M43" i="20"/>
  <c r="K33" i="20"/>
  <c r="N33" i="20" s="1"/>
  <c r="M24" i="20"/>
  <c r="M76" i="37"/>
  <c r="M73" i="37"/>
  <c r="M66" i="37"/>
  <c r="M61" i="37"/>
  <c r="M46" i="37"/>
  <c r="M41" i="37"/>
  <c r="M31" i="37"/>
  <c r="M24" i="37"/>
  <c r="M14" i="37"/>
  <c r="H11" i="37"/>
  <c r="I11" i="37" s="1"/>
  <c r="J11" i="37" s="1"/>
  <c r="K55" i="57"/>
  <c r="M45" i="57"/>
  <c r="H15" i="57"/>
  <c r="I15" i="57" s="1"/>
  <c r="J15" i="57" s="1"/>
  <c r="K6" i="9"/>
  <c r="I57" i="13"/>
  <c r="J57" i="13" s="1"/>
  <c r="I33" i="13"/>
  <c r="J33" i="13" s="1"/>
  <c r="I25" i="13"/>
  <c r="J25" i="13" s="1"/>
  <c r="I9" i="13"/>
  <c r="J9" i="13" s="1"/>
  <c r="N47" i="20"/>
  <c r="H15" i="20"/>
  <c r="I15" i="20" s="1"/>
  <c r="J15" i="20" s="1"/>
  <c r="N6" i="9"/>
  <c r="L3" i="9" s="1"/>
  <c r="I49" i="13"/>
  <c r="J49" i="13" s="1"/>
  <c r="J41" i="13"/>
  <c r="I17" i="13"/>
  <c r="J17" i="13" s="1"/>
  <c r="N116" i="46"/>
  <c r="H111" i="46"/>
  <c r="I111" i="46" s="1"/>
  <c r="J111" i="46" s="1"/>
  <c r="N108" i="46"/>
  <c r="H103" i="46"/>
  <c r="I103" i="46" s="1"/>
  <c r="J103" i="46" s="1"/>
  <c r="N100" i="46"/>
  <c r="H95" i="46"/>
  <c r="I95" i="46" s="1"/>
  <c r="J95" i="46" s="1"/>
  <c r="M92" i="46"/>
  <c r="M89" i="46"/>
  <c r="K87" i="46"/>
  <c r="M87" i="46" s="1"/>
  <c r="M84" i="46"/>
  <c r="H79" i="46"/>
  <c r="I79" i="46" s="1"/>
  <c r="J79" i="46" s="1"/>
  <c r="M76" i="46"/>
  <c r="K71" i="46"/>
  <c r="N71" i="46" s="1"/>
  <c r="M68" i="46"/>
  <c r="H63" i="46"/>
  <c r="I63" i="46" s="1"/>
  <c r="J63" i="46" s="1"/>
  <c r="M60" i="46"/>
  <c r="H55" i="46"/>
  <c r="I55" i="46" s="1"/>
  <c r="J55" i="46" s="1"/>
  <c r="M52" i="46"/>
  <c r="K47" i="46"/>
  <c r="N47" i="46" s="1"/>
  <c r="M44" i="46"/>
  <c r="K39" i="46"/>
  <c r="N39" i="46" s="1"/>
  <c r="M36" i="46"/>
  <c r="H31" i="46"/>
  <c r="M26" i="46"/>
  <c r="M83" i="20"/>
  <c r="K67" i="20"/>
  <c r="N67" i="20" s="1"/>
  <c r="K61" i="20"/>
  <c r="K55" i="20"/>
  <c r="M55" i="20" s="1"/>
  <c r="K29" i="20"/>
  <c r="N29" i="20" s="1"/>
  <c r="M22" i="20"/>
  <c r="H77" i="37"/>
  <c r="I77" i="37" s="1"/>
  <c r="J77" i="37" s="1"/>
  <c r="M74" i="37"/>
  <c r="H67" i="37"/>
  <c r="I67" i="37" s="1"/>
  <c r="J67" i="37" s="1"/>
  <c r="M58" i="37"/>
  <c r="M48" i="37"/>
  <c r="M43" i="37"/>
  <c r="M38" i="37"/>
  <c r="H25" i="37"/>
  <c r="I25" i="37" s="1"/>
  <c r="J25" i="37" s="1"/>
  <c r="M16" i="37"/>
  <c r="M11" i="37"/>
  <c r="M86" i="57"/>
  <c r="K77" i="57"/>
  <c r="N77" i="57" s="1"/>
  <c r="H45" i="57"/>
  <c r="I45" i="57" s="1"/>
  <c r="J45" i="57" s="1"/>
  <c r="M20" i="57"/>
  <c r="M15" i="57"/>
  <c r="I6" i="9"/>
  <c r="N23" i="48"/>
  <c r="M23" i="48"/>
  <c r="I55" i="13"/>
  <c r="J55" i="13" s="1"/>
  <c r="I47" i="13"/>
  <c r="J47" i="13" s="1"/>
  <c r="I39" i="13"/>
  <c r="J39" i="13" s="1"/>
  <c r="I31" i="13"/>
  <c r="J31" i="13" s="1"/>
  <c r="I15" i="13"/>
  <c r="J15" i="13" s="1"/>
  <c r="M12" i="13"/>
  <c r="M9" i="13"/>
  <c r="M93" i="20"/>
  <c r="M69" i="20"/>
  <c r="M39" i="20"/>
  <c r="M25" i="20"/>
  <c r="M81" i="37"/>
  <c r="M59" i="37"/>
  <c r="M54" i="37"/>
  <c r="M39" i="37"/>
  <c r="M29" i="37"/>
  <c r="M12" i="37"/>
  <c r="N96" i="57"/>
  <c r="N93" i="57"/>
  <c r="N55" i="57"/>
  <c r="M55" i="57"/>
  <c r="N39" i="57"/>
  <c r="M39" i="57"/>
  <c r="N59" i="57"/>
  <c r="M59" i="57"/>
  <c r="N47" i="57"/>
  <c r="M47" i="57"/>
  <c r="N67" i="57"/>
  <c r="M67" i="57"/>
  <c r="N94" i="57"/>
  <c r="M88" i="57"/>
  <c r="M83" i="57"/>
  <c r="K81" i="57"/>
  <c r="M81" i="57" s="1"/>
  <c r="M73" i="57"/>
  <c r="M32" i="57"/>
  <c r="M24" i="57"/>
  <c r="M16" i="57"/>
  <c r="M8" i="57"/>
  <c r="H91" i="57"/>
  <c r="I91" i="57" s="1"/>
  <c r="J91" i="57" s="1"/>
  <c r="N95" i="57"/>
  <c r="K89" i="57"/>
  <c r="N89" i="57" s="1"/>
  <c r="M74" i="57"/>
  <c r="H73" i="57"/>
  <c r="I73" i="57" s="1"/>
  <c r="J73" i="57" s="1"/>
  <c r="M65" i="57"/>
  <c r="M51" i="57"/>
  <c r="M43" i="57"/>
  <c r="H33" i="57"/>
  <c r="I33" i="57" s="1"/>
  <c r="J33" i="57" s="1"/>
  <c r="M30" i="57"/>
  <c r="M27" i="57"/>
  <c r="M22" i="57"/>
  <c r="M19" i="57"/>
  <c r="K17" i="57"/>
  <c r="N17" i="57" s="1"/>
  <c r="M14" i="57"/>
  <c r="K85" i="57"/>
  <c r="N85" i="57" s="1"/>
  <c r="M69" i="57"/>
  <c r="M49" i="57"/>
  <c r="M41" i="57"/>
  <c r="K13" i="57"/>
  <c r="H87" i="57"/>
  <c r="I87" i="57" s="1"/>
  <c r="J87" i="57" s="1"/>
  <c r="M78" i="57"/>
  <c r="M70" i="57"/>
  <c r="H69" i="57"/>
  <c r="I69" i="57" s="1"/>
  <c r="J69" i="57" s="1"/>
  <c r="M61" i="57"/>
  <c r="H49" i="57"/>
  <c r="I49" i="57" s="1"/>
  <c r="J49" i="57" s="1"/>
  <c r="H41" i="57"/>
  <c r="I41" i="57" s="1"/>
  <c r="J41" i="57" s="1"/>
  <c r="N59" i="67"/>
  <c r="N69" i="67"/>
  <c r="N11" i="67"/>
  <c r="M87" i="67"/>
  <c r="M77" i="67"/>
  <c r="M95" i="67"/>
  <c r="N25" i="67"/>
  <c r="M25" i="67"/>
  <c r="K6" i="67"/>
  <c r="N13" i="67"/>
  <c r="J7" i="67"/>
  <c r="J6" i="67" s="1"/>
  <c r="D5" i="67" s="1"/>
  <c r="J3" i="67" s="1"/>
  <c r="L3" i="67" s="1"/>
  <c r="I6" i="67"/>
  <c r="K3" i="67"/>
  <c r="N15" i="48"/>
  <c r="M15" i="48"/>
  <c r="N19" i="48"/>
  <c r="M19" i="48"/>
  <c r="N81" i="57"/>
  <c r="M89" i="57"/>
  <c r="M77" i="57"/>
  <c r="N53" i="57"/>
  <c r="M90" i="57"/>
  <c r="M84" i="57"/>
  <c r="M80" i="57"/>
  <c r="M76" i="57"/>
  <c r="M72" i="57"/>
  <c r="M68" i="57"/>
  <c r="M64" i="57"/>
  <c r="M60" i="57"/>
  <c r="M56" i="57"/>
  <c r="M52" i="57"/>
  <c r="M48" i="57"/>
  <c r="M44" i="57"/>
  <c r="M40" i="57"/>
  <c r="M36" i="57"/>
  <c r="H23" i="57"/>
  <c r="I23" i="57" s="1"/>
  <c r="J23" i="57" s="1"/>
  <c r="M91" i="57"/>
  <c r="M29" i="57"/>
  <c r="H27" i="57"/>
  <c r="I27" i="57" s="1"/>
  <c r="J27" i="57" s="1"/>
  <c r="K21" i="57"/>
  <c r="M9" i="57"/>
  <c r="M50" i="57"/>
  <c r="M46" i="57"/>
  <c r="M42" i="57"/>
  <c r="M38" i="57"/>
  <c r="K35" i="57"/>
  <c r="M87" i="57"/>
  <c r="K25" i="57"/>
  <c r="H19" i="57"/>
  <c r="I19" i="57" s="1"/>
  <c r="J19" i="57" s="1"/>
  <c r="J59" i="20"/>
  <c r="N85" i="20"/>
  <c r="M85" i="20"/>
  <c r="N41" i="20"/>
  <c r="M41" i="20"/>
  <c r="N17" i="20"/>
  <c r="M17" i="20"/>
  <c r="N81" i="20"/>
  <c r="M81" i="20"/>
  <c r="N21" i="20"/>
  <c r="M21" i="20"/>
  <c r="N71" i="20"/>
  <c r="M71" i="20"/>
  <c r="N89" i="20"/>
  <c r="M89" i="20"/>
  <c r="N45" i="20"/>
  <c r="M45" i="20"/>
  <c r="M47" i="20" s="1"/>
  <c r="N31" i="20"/>
  <c r="M31" i="20"/>
  <c r="M67" i="20"/>
  <c r="N61" i="20"/>
  <c r="M61" i="20"/>
  <c r="N55" i="20"/>
  <c r="N79" i="20"/>
  <c r="M79" i="20"/>
  <c r="N51" i="20"/>
  <c r="M51" i="20"/>
  <c r="M92" i="20"/>
  <c r="M88" i="20"/>
  <c r="M84" i="20"/>
  <c r="M80" i="20"/>
  <c r="M76" i="20"/>
  <c r="M72" i="20"/>
  <c r="M68" i="20"/>
  <c r="M64" i="20"/>
  <c r="M60" i="20"/>
  <c r="M56" i="20"/>
  <c r="M52" i="20"/>
  <c r="M48" i="20"/>
  <c r="M44" i="20"/>
  <c r="M40" i="20"/>
  <c r="M36" i="20"/>
  <c r="M32" i="20"/>
  <c r="M28" i="20"/>
  <c r="M18" i="20"/>
  <c r="M53" i="20"/>
  <c r="M49" i="20"/>
  <c r="M37" i="20"/>
  <c r="M15" i="20"/>
  <c r="M90" i="20"/>
  <c r="M86" i="20"/>
  <c r="M82" i="20"/>
  <c r="M78" i="20"/>
  <c r="M74" i="20"/>
  <c r="M70" i="20"/>
  <c r="M66" i="20"/>
  <c r="M62" i="20"/>
  <c r="M58" i="20"/>
  <c r="M54" i="20"/>
  <c r="M50" i="20"/>
  <c r="M46" i="20"/>
  <c r="M42" i="20"/>
  <c r="M38" i="20"/>
  <c r="M34" i="20"/>
  <c r="M30" i="20"/>
  <c r="M23" i="20"/>
  <c r="M16" i="20"/>
  <c r="M9" i="20"/>
  <c r="M20" i="20"/>
  <c r="M13" i="20"/>
  <c r="M10" i="20"/>
  <c r="M21" i="13"/>
  <c r="N21" i="13"/>
  <c r="M35" i="13"/>
  <c r="N35" i="13"/>
  <c r="M23" i="13"/>
  <c r="N23" i="13"/>
  <c r="M109" i="46"/>
  <c r="N109" i="46"/>
  <c r="N101" i="46"/>
  <c r="M101" i="46"/>
  <c r="N77" i="46"/>
  <c r="M77" i="46"/>
  <c r="N61" i="46"/>
  <c r="M61" i="46"/>
  <c r="N53" i="46"/>
  <c r="M53" i="46"/>
  <c r="N67" i="46"/>
  <c r="M67" i="46"/>
  <c r="N35" i="46"/>
  <c r="M35" i="46"/>
  <c r="N25" i="46"/>
  <c r="M25" i="46"/>
  <c r="N117" i="46"/>
  <c r="M117" i="46"/>
  <c r="N91" i="46"/>
  <c r="M91" i="46"/>
  <c r="N105" i="46"/>
  <c r="M105" i="46"/>
  <c r="N65" i="46"/>
  <c r="M65" i="46"/>
  <c r="N57" i="46"/>
  <c r="M57" i="46"/>
  <c r="N49" i="46"/>
  <c r="M49" i="46"/>
  <c r="N33" i="46"/>
  <c r="M33" i="46"/>
  <c r="M113" i="46"/>
  <c r="N113" i="46"/>
  <c r="M97" i="46"/>
  <c r="N97" i="46"/>
  <c r="N81" i="46"/>
  <c r="M81" i="46"/>
  <c r="N21" i="46"/>
  <c r="M21" i="46"/>
  <c r="N87" i="46"/>
  <c r="N29" i="46"/>
  <c r="M29" i="46"/>
  <c r="M20" i="46"/>
  <c r="M17" i="46"/>
  <c r="M14" i="46"/>
  <c r="M11" i="46"/>
  <c r="M8" i="46"/>
  <c r="M22" i="46"/>
  <c r="H19" i="46"/>
  <c r="I19" i="46" s="1"/>
  <c r="J19" i="46" s="1"/>
  <c r="M15" i="46"/>
  <c r="M12" i="46"/>
  <c r="M9" i="46"/>
  <c r="M19" i="46"/>
  <c r="M16" i="46"/>
  <c r="M13" i="46"/>
  <c r="M31" i="46"/>
  <c r="M27" i="46"/>
  <c r="M23" i="46"/>
  <c r="M17" i="57" l="1"/>
  <c r="I27" i="13"/>
  <c r="J27" i="13" s="1"/>
  <c r="S5" i="9"/>
  <c r="I51" i="13"/>
  <c r="J51" i="13" s="1"/>
  <c r="I11" i="13"/>
  <c r="J11" i="13" s="1"/>
  <c r="I45" i="13"/>
  <c r="J45" i="13" s="1"/>
  <c r="I29" i="13"/>
  <c r="J29" i="13" s="1"/>
  <c r="I19" i="13"/>
  <c r="J19" i="13" s="1"/>
  <c r="I53" i="13"/>
  <c r="J53" i="13" s="1"/>
  <c r="M71" i="46"/>
  <c r="M29" i="20"/>
  <c r="M85" i="57"/>
  <c r="I43" i="13"/>
  <c r="J43" i="13" s="1"/>
  <c r="M39" i="46"/>
  <c r="I13" i="13"/>
  <c r="J13" i="13" s="1"/>
  <c r="J37" i="13"/>
  <c r="N13" i="57"/>
  <c r="M13" i="57"/>
  <c r="N6" i="67"/>
  <c r="N3" i="67" s="1"/>
  <c r="M6" i="67"/>
  <c r="M3" i="67" s="1"/>
  <c r="U4" i="67"/>
  <c r="N21" i="57"/>
  <c r="M21" i="57"/>
  <c r="N35" i="57"/>
  <c r="M35" i="57"/>
  <c r="N25" i="57"/>
  <c r="M25" i="57"/>
  <c r="S5" i="67" l="1"/>
  <c r="J3" i="48"/>
  <c r="K7" i="41" l="1"/>
  <c r="M7" i="41" s="1"/>
  <c r="F7" i="41"/>
  <c r="G7" i="41"/>
  <c r="H7" i="41" l="1"/>
  <c r="I7" i="41" s="1"/>
  <c r="I6" i="41" s="1"/>
  <c r="J7" i="41" l="1"/>
  <c r="F7" i="57"/>
  <c r="G7" i="57"/>
  <c r="K7" i="57"/>
  <c r="M7" i="57" l="1"/>
  <c r="M6" i="57" s="1"/>
  <c r="K6" i="57"/>
  <c r="H7" i="57"/>
  <c r="I7" i="57" s="1"/>
  <c r="N7" i="57"/>
  <c r="N6" i="57" s="1"/>
  <c r="J7" i="57" l="1"/>
  <c r="J6" i="57" s="1"/>
  <c r="I6" i="57"/>
  <c r="K6" i="41"/>
  <c r="L6" i="41"/>
  <c r="F7" i="59" l="1"/>
  <c r="G7" i="59"/>
  <c r="H7" i="59" s="1"/>
  <c r="I7" i="59" s="1"/>
  <c r="K7" i="59"/>
  <c r="E2" i="37"/>
  <c r="J7" i="59" l="1"/>
  <c r="I6" i="59" l="1"/>
  <c r="K3" i="9" l="1"/>
  <c r="J6" i="41"/>
  <c r="J3" i="9"/>
  <c r="J3" i="41" l="1"/>
  <c r="U4" i="9"/>
  <c r="J3" i="57" l="1"/>
  <c r="L3" i="57" s="1"/>
  <c r="J3" i="20"/>
  <c r="F7" i="56" l="1"/>
  <c r="G7" i="56"/>
  <c r="K7" i="56"/>
  <c r="M7" i="56" l="1"/>
  <c r="M6" i="56" s="1"/>
  <c r="K6" i="56"/>
  <c r="K3" i="56"/>
  <c r="N7" i="56"/>
  <c r="N6" i="56" s="1"/>
  <c r="H7" i="56"/>
  <c r="I7" i="56" s="1"/>
  <c r="I6" i="56" s="1"/>
  <c r="J7" i="56" l="1"/>
  <c r="J6" i="56" s="1"/>
  <c r="F5" i="56" s="1"/>
  <c r="H8" i="50" l="1"/>
  <c r="I8" i="50"/>
  <c r="J8" i="50"/>
  <c r="K8" i="50"/>
  <c r="M8" i="50" s="1"/>
  <c r="K9" i="50"/>
  <c r="M9" i="50" s="1"/>
  <c r="H10" i="50"/>
  <c r="I10" i="50"/>
  <c r="J10" i="50"/>
  <c r="K10" i="50"/>
  <c r="M10" i="50" s="1"/>
  <c r="K11" i="50"/>
  <c r="M11" i="50" s="1"/>
  <c r="N11" i="50"/>
  <c r="H12" i="50"/>
  <c r="I12" i="50"/>
  <c r="J12" i="50"/>
  <c r="K12" i="50"/>
  <c r="M12" i="50" s="1"/>
  <c r="K13" i="50"/>
  <c r="N13" i="50" s="1"/>
  <c r="H14" i="50"/>
  <c r="I14" i="50"/>
  <c r="J14" i="50"/>
  <c r="K14" i="50"/>
  <c r="M14" i="50" s="1"/>
  <c r="K15" i="50"/>
  <c r="N15" i="50" s="1"/>
  <c r="M15" i="50"/>
  <c r="H16" i="50"/>
  <c r="I16" i="50"/>
  <c r="J16" i="50"/>
  <c r="K16" i="50"/>
  <c r="M16" i="50" s="1"/>
  <c r="K17" i="50"/>
  <c r="N17" i="50" s="1"/>
  <c r="H18" i="50"/>
  <c r="I18" i="50"/>
  <c r="J18" i="50"/>
  <c r="K18" i="50"/>
  <c r="M18" i="50" s="1"/>
  <c r="K7" i="50"/>
  <c r="N7" i="50" s="1"/>
  <c r="K7" i="55"/>
  <c r="N7" i="55" s="1"/>
  <c r="J8" i="58"/>
  <c r="J10" i="58"/>
  <c r="J12" i="58"/>
  <c r="J14" i="58"/>
  <c r="J16" i="58"/>
  <c r="J18" i="58"/>
  <c r="J20" i="58"/>
  <c r="I8" i="58"/>
  <c r="I10" i="58"/>
  <c r="I12" i="58"/>
  <c r="I14" i="58"/>
  <c r="I16" i="58"/>
  <c r="I18" i="58"/>
  <c r="I20" i="58"/>
  <c r="H8" i="58"/>
  <c r="H10" i="58"/>
  <c r="H12" i="58"/>
  <c r="H14" i="58"/>
  <c r="H16" i="58"/>
  <c r="H18" i="58"/>
  <c r="H20" i="58"/>
  <c r="K7" i="58"/>
  <c r="K8" i="58"/>
  <c r="M8" i="58" s="1"/>
  <c r="K9" i="58"/>
  <c r="M9" i="58" s="1"/>
  <c r="K10" i="58"/>
  <c r="M10" i="58" s="1"/>
  <c r="K11" i="58"/>
  <c r="M11" i="58" s="1"/>
  <c r="K12" i="58"/>
  <c r="M12" i="58" s="1"/>
  <c r="K13" i="58"/>
  <c r="M13" i="58" s="1"/>
  <c r="K14" i="58"/>
  <c r="M14" i="58" s="1"/>
  <c r="K15" i="58"/>
  <c r="M15" i="58"/>
  <c r="K16" i="58"/>
  <c r="M16" i="58" s="1"/>
  <c r="K17" i="58"/>
  <c r="M17" i="58"/>
  <c r="K18" i="58"/>
  <c r="M18" i="58" s="1"/>
  <c r="K19" i="58"/>
  <c r="M19" i="58" s="1"/>
  <c r="K20" i="58"/>
  <c r="M20" i="58" s="1"/>
  <c r="M7" i="58"/>
  <c r="N12" i="50" l="1"/>
  <c r="N16" i="50"/>
  <c r="M13" i="50"/>
  <c r="M17" i="50"/>
  <c r="N8" i="50"/>
  <c r="N9" i="50"/>
  <c r="N18" i="50"/>
  <c r="N14" i="50"/>
  <c r="N10" i="50"/>
  <c r="M7" i="50"/>
  <c r="M7" i="55"/>
  <c r="I1" i="50" l="1"/>
  <c r="F9" i="50"/>
  <c r="G9" i="50"/>
  <c r="F10" i="50"/>
  <c r="G10" i="50"/>
  <c r="H9" i="50" s="1"/>
  <c r="F11" i="50"/>
  <c r="G11" i="50"/>
  <c r="F12" i="50"/>
  <c r="G12" i="50"/>
  <c r="F13" i="50"/>
  <c r="G13" i="50"/>
  <c r="F14" i="50"/>
  <c r="G14" i="50"/>
  <c r="H13" i="50" s="1"/>
  <c r="F15" i="50"/>
  <c r="G15" i="50"/>
  <c r="F16" i="50"/>
  <c r="G16" i="50"/>
  <c r="F17" i="50"/>
  <c r="G17" i="50"/>
  <c r="F18" i="50"/>
  <c r="G18" i="50"/>
  <c r="H17" i="50" s="1"/>
  <c r="G9" i="58"/>
  <c r="G10" i="58"/>
  <c r="G11" i="58"/>
  <c r="G12" i="58"/>
  <c r="N12" i="58"/>
  <c r="G13" i="58"/>
  <c r="N13" i="58"/>
  <c r="G14" i="58"/>
  <c r="H13" i="58" s="1"/>
  <c r="N14" i="58"/>
  <c r="G15" i="58"/>
  <c r="N15" i="58"/>
  <c r="G16" i="58"/>
  <c r="G17" i="58"/>
  <c r="N17" i="58"/>
  <c r="G18" i="58"/>
  <c r="N18" i="58"/>
  <c r="G19" i="58"/>
  <c r="G20" i="58"/>
  <c r="L6" i="59"/>
  <c r="I1" i="59"/>
  <c r="F20" i="58"/>
  <c r="F19" i="58"/>
  <c r="F18" i="58"/>
  <c r="F17" i="58"/>
  <c r="F16" i="58"/>
  <c r="F15" i="58"/>
  <c r="F14" i="58"/>
  <c r="F13" i="58"/>
  <c r="F12" i="58"/>
  <c r="F11" i="58"/>
  <c r="F10" i="58"/>
  <c r="F9" i="58"/>
  <c r="G8" i="58"/>
  <c r="F8" i="58"/>
  <c r="G7" i="58"/>
  <c r="F7" i="58"/>
  <c r="L6" i="58"/>
  <c r="I1" i="58"/>
  <c r="I1" i="57"/>
  <c r="F7" i="46"/>
  <c r="H7" i="58" l="1"/>
  <c r="J7" i="58" s="1"/>
  <c r="H11" i="58"/>
  <c r="J11" i="58" s="1"/>
  <c r="K6" i="46"/>
  <c r="K3" i="46"/>
  <c r="H19" i="58"/>
  <c r="J19" i="58" s="1"/>
  <c r="H9" i="58"/>
  <c r="I9" i="58" s="1"/>
  <c r="H17" i="58"/>
  <c r="I17" i="58" s="1"/>
  <c r="I11" i="58"/>
  <c r="I7" i="58"/>
  <c r="J9" i="50"/>
  <c r="I9" i="50"/>
  <c r="I13" i="58"/>
  <c r="J13" i="58"/>
  <c r="J17" i="50"/>
  <c r="I17" i="50"/>
  <c r="J13" i="50"/>
  <c r="I13" i="50"/>
  <c r="H15" i="58"/>
  <c r="H15" i="50"/>
  <c r="H11" i="50"/>
  <c r="K3" i="57"/>
  <c r="N3" i="57"/>
  <c r="N7" i="46"/>
  <c r="J6" i="59"/>
  <c r="I3" i="59" s="1"/>
  <c r="N16" i="58"/>
  <c r="N19" i="58"/>
  <c r="N20" i="58"/>
  <c r="N9" i="58"/>
  <c r="N10" i="58"/>
  <c r="N11" i="58"/>
  <c r="K6" i="59"/>
  <c r="N7" i="58"/>
  <c r="N8" i="58"/>
  <c r="K6" i="58"/>
  <c r="M6" i="46"/>
  <c r="I6" i="46"/>
  <c r="J9" i="58" l="1"/>
  <c r="I19" i="58"/>
  <c r="J17" i="58"/>
  <c r="N6" i="46"/>
  <c r="S5" i="46" s="1"/>
  <c r="I15" i="50"/>
  <c r="J15" i="50"/>
  <c r="I11" i="50"/>
  <c r="J11" i="50"/>
  <c r="J15" i="58"/>
  <c r="J6" i="58" s="1"/>
  <c r="I15" i="58"/>
  <c r="M3" i="57"/>
  <c r="J6" i="46"/>
  <c r="N6" i="58"/>
  <c r="I6" i="58"/>
  <c r="M6" i="58"/>
  <c r="F8" i="50"/>
  <c r="G8" i="50"/>
  <c r="G7" i="50"/>
  <c r="F7" i="50"/>
  <c r="L3" i="56"/>
  <c r="M3" i="56" s="1"/>
  <c r="N3" i="46" l="1"/>
  <c r="H7" i="50"/>
  <c r="U4" i="57"/>
  <c r="I3" i="58"/>
  <c r="J7" i="50" l="1"/>
  <c r="I7" i="50"/>
  <c r="S5" i="57"/>
  <c r="L3" i="41"/>
  <c r="I3" i="41" s="1"/>
  <c r="J3" i="56" l="1"/>
  <c r="I1" i="56"/>
  <c r="N3" i="56" l="1"/>
  <c r="U4" i="56" l="1"/>
  <c r="J6" i="50"/>
  <c r="I6" i="50"/>
  <c r="I3" i="50" s="1"/>
  <c r="S5" i="56"/>
  <c r="G7" i="55" l="1"/>
  <c r="H7" i="55" s="1"/>
  <c r="F7" i="55"/>
  <c r="L6" i="55"/>
  <c r="I1" i="55"/>
  <c r="E2" i="21"/>
  <c r="F8" i="21"/>
  <c r="G8" i="21"/>
  <c r="H8" i="21"/>
  <c r="I8" i="21"/>
  <c r="J8" i="21" s="1"/>
  <c r="K8" i="21"/>
  <c r="M8" i="21" s="1"/>
  <c r="F9" i="21"/>
  <c r="G9" i="21"/>
  <c r="H9" i="21"/>
  <c r="I9" i="21"/>
  <c r="J9" i="21" s="1"/>
  <c r="F10" i="21"/>
  <c r="G10" i="21"/>
  <c r="H10" i="21"/>
  <c r="I10" i="21"/>
  <c r="J10" i="21" s="1"/>
  <c r="K10" i="21"/>
  <c r="M10" i="21" s="1"/>
  <c r="F11" i="21"/>
  <c r="G11" i="21"/>
  <c r="K11" i="21"/>
  <c r="M11" i="21" s="1"/>
  <c r="F12" i="21"/>
  <c r="G12" i="21"/>
  <c r="H12" i="21"/>
  <c r="I12" i="21"/>
  <c r="J12" i="21" s="1"/>
  <c r="K12" i="21"/>
  <c r="M12" i="21" s="1"/>
  <c r="F13" i="21"/>
  <c r="G13" i="21"/>
  <c r="H13" i="21"/>
  <c r="I13" i="21"/>
  <c r="J13" i="21" s="1"/>
  <c r="F14" i="21"/>
  <c r="G14" i="21"/>
  <c r="H14" i="21"/>
  <c r="I14" i="21"/>
  <c r="J14" i="21" s="1"/>
  <c r="K14" i="21"/>
  <c r="M14" i="21" s="1"/>
  <c r="F15" i="21"/>
  <c r="G15" i="21"/>
  <c r="K15" i="21"/>
  <c r="M15" i="21" s="1"/>
  <c r="F16" i="21"/>
  <c r="G16" i="21"/>
  <c r="H16" i="21"/>
  <c r="I16" i="21"/>
  <c r="J16" i="21" s="1"/>
  <c r="K16" i="21"/>
  <c r="M16" i="21" s="1"/>
  <c r="F17" i="21"/>
  <c r="G17" i="21"/>
  <c r="H17" i="21"/>
  <c r="I17" i="21"/>
  <c r="J17" i="21" s="1"/>
  <c r="F18" i="21"/>
  <c r="G18" i="21"/>
  <c r="H18" i="21"/>
  <c r="I18" i="21"/>
  <c r="J18" i="21" s="1"/>
  <c r="K18" i="21"/>
  <c r="M18" i="21" s="1"/>
  <c r="F19" i="21"/>
  <c r="G19" i="21"/>
  <c r="K19" i="21"/>
  <c r="M19" i="21" s="1"/>
  <c r="F20" i="21"/>
  <c r="G20" i="21"/>
  <c r="H20" i="21"/>
  <c r="I20" i="21"/>
  <c r="J20" i="21" s="1"/>
  <c r="K20" i="21"/>
  <c r="M20" i="21" s="1"/>
  <c r="F21" i="21"/>
  <c r="G21" i="21"/>
  <c r="K21" i="21"/>
  <c r="M21" i="21" s="1"/>
  <c r="F22" i="21"/>
  <c r="G22" i="21"/>
  <c r="H22" i="21"/>
  <c r="I22" i="21"/>
  <c r="J22" i="21" s="1"/>
  <c r="K22" i="21"/>
  <c r="M22" i="21" s="1"/>
  <c r="F23" i="21"/>
  <c r="G23" i="21"/>
  <c r="H23" i="21"/>
  <c r="I23" i="21"/>
  <c r="J23" i="21" s="1"/>
  <c r="F24" i="21"/>
  <c r="G24" i="21"/>
  <c r="H24" i="21"/>
  <c r="I24" i="21"/>
  <c r="J24" i="21" s="1"/>
  <c r="K24" i="21"/>
  <c r="M24" i="21" s="1"/>
  <c r="F25" i="21"/>
  <c r="G25" i="21"/>
  <c r="K25" i="21"/>
  <c r="M25" i="21" s="1"/>
  <c r="F26" i="21"/>
  <c r="G26" i="21"/>
  <c r="H26" i="21"/>
  <c r="I26" i="21"/>
  <c r="J26" i="21" s="1"/>
  <c r="K26" i="21"/>
  <c r="M26" i="21" s="1"/>
  <c r="F27" i="21"/>
  <c r="G27" i="21"/>
  <c r="H27" i="21"/>
  <c r="I27" i="21"/>
  <c r="J27" i="21" s="1"/>
  <c r="F28" i="21"/>
  <c r="G28" i="21"/>
  <c r="H28" i="21"/>
  <c r="I28" i="21"/>
  <c r="J28" i="21" s="1"/>
  <c r="K28" i="21"/>
  <c r="M28" i="21" s="1"/>
  <c r="F29" i="21"/>
  <c r="G29" i="21"/>
  <c r="K29" i="21"/>
  <c r="M29" i="21" s="1"/>
  <c r="F30" i="21"/>
  <c r="G30" i="21"/>
  <c r="H30" i="21"/>
  <c r="I30" i="21"/>
  <c r="J30" i="21" s="1"/>
  <c r="K30" i="21"/>
  <c r="M30" i="21" s="1"/>
  <c r="F31" i="21"/>
  <c r="G31" i="21"/>
  <c r="K31" i="21"/>
  <c r="M31" i="21" s="1"/>
  <c r="F32" i="21"/>
  <c r="G32" i="21"/>
  <c r="H32" i="21"/>
  <c r="I32" i="21"/>
  <c r="J32" i="21" s="1"/>
  <c r="K32" i="21"/>
  <c r="M32" i="21" s="1"/>
  <c r="F33" i="21"/>
  <c r="G33" i="21"/>
  <c r="H33" i="21"/>
  <c r="I33" i="21"/>
  <c r="J33" i="21" s="1"/>
  <c r="F34" i="21"/>
  <c r="G34" i="21"/>
  <c r="H34" i="21"/>
  <c r="I34" i="21"/>
  <c r="J34" i="21" s="1"/>
  <c r="K34" i="21"/>
  <c r="M34" i="21" s="1"/>
  <c r="F35" i="21"/>
  <c r="G35" i="21"/>
  <c r="K35" i="21"/>
  <c r="M35" i="21" s="1"/>
  <c r="F36" i="21"/>
  <c r="G36" i="21"/>
  <c r="H36" i="21"/>
  <c r="I36" i="21"/>
  <c r="J36" i="21" s="1"/>
  <c r="K36" i="21"/>
  <c r="M36" i="21" s="1"/>
  <c r="F37" i="21"/>
  <c r="G37" i="21"/>
  <c r="H37" i="21"/>
  <c r="I37" i="21"/>
  <c r="J37" i="21" s="1"/>
  <c r="F38" i="21"/>
  <c r="G38" i="21"/>
  <c r="H38" i="21"/>
  <c r="I38" i="21"/>
  <c r="J38" i="21" s="1"/>
  <c r="K38" i="21"/>
  <c r="M38" i="21" s="1"/>
  <c r="F39" i="21"/>
  <c r="G39" i="21"/>
  <c r="K39" i="21"/>
  <c r="M39" i="21" s="1"/>
  <c r="F40" i="21"/>
  <c r="G40" i="21"/>
  <c r="H40" i="21"/>
  <c r="I40" i="21"/>
  <c r="J40" i="21" s="1"/>
  <c r="K40" i="21"/>
  <c r="M40" i="21" s="1"/>
  <c r="F41" i="21"/>
  <c r="G41" i="21"/>
  <c r="K41" i="21"/>
  <c r="M41" i="21" s="1"/>
  <c r="F42" i="21"/>
  <c r="G42" i="21"/>
  <c r="H42" i="21"/>
  <c r="I42" i="21"/>
  <c r="J42" i="21" s="1"/>
  <c r="K42" i="21"/>
  <c r="M42" i="21" s="1"/>
  <c r="F43" i="21"/>
  <c r="G43" i="21"/>
  <c r="K43" i="21"/>
  <c r="M43" i="21" s="1"/>
  <c r="F44" i="21"/>
  <c r="G44" i="21"/>
  <c r="H44" i="21"/>
  <c r="I44" i="21"/>
  <c r="J44" i="21" s="1"/>
  <c r="K44" i="21"/>
  <c r="M44" i="21" s="1"/>
  <c r="F45" i="21"/>
  <c r="G45" i="21"/>
  <c r="H45" i="21"/>
  <c r="I45" i="21"/>
  <c r="J45" i="21" s="1"/>
  <c r="F46" i="21"/>
  <c r="G46" i="21"/>
  <c r="H46" i="21"/>
  <c r="I46" i="21"/>
  <c r="J46" i="21" s="1"/>
  <c r="K46" i="21"/>
  <c r="M46" i="21" s="1"/>
  <c r="F47" i="21"/>
  <c r="G47" i="21"/>
  <c r="K47" i="21"/>
  <c r="M47" i="21" s="1"/>
  <c r="F48" i="21"/>
  <c r="G48" i="21"/>
  <c r="H48" i="21"/>
  <c r="I48" i="21"/>
  <c r="J48" i="21" s="1"/>
  <c r="K48" i="21"/>
  <c r="M48" i="21" s="1"/>
  <c r="F49" i="21"/>
  <c r="G49" i="21"/>
  <c r="H49" i="21"/>
  <c r="I49" i="21"/>
  <c r="J49" i="21" s="1"/>
  <c r="F50" i="21"/>
  <c r="G50" i="21"/>
  <c r="H50" i="21"/>
  <c r="I50" i="21"/>
  <c r="J50" i="21" s="1"/>
  <c r="K50" i="21"/>
  <c r="M50" i="21" s="1"/>
  <c r="F51" i="21"/>
  <c r="G51" i="21"/>
  <c r="K51" i="21"/>
  <c r="M51" i="21" s="1"/>
  <c r="F52" i="21"/>
  <c r="G52" i="21"/>
  <c r="H52" i="21"/>
  <c r="I52" i="21"/>
  <c r="J52" i="21" s="1"/>
  <c r="K52" i="21"/>
  <c r="M52" i="21" s="1"/>
  <c r="F53" i="21"/>
  <c r="G53" i="21"/>
  <c r="K53" i="21"/>
  <c r="M53" i="21" s="1"/>
  <c r="F54" i="21"/>
  <c r="G54" i="21"/>
  <c r="H54" i="21"/>
  <c r="I54" i="21"/>
  <c r="J54" i="21" s="1"/>
  <c r="K54" i="21"/>
  <c r="M54" i="21" s="1"/>
  <c r="F55" i="21"/>
  <c r="G55" i="21"/>
  <c r="K55" i="21"/>
  <c r="M55" i="21" s="1"/>
  <c r="F56" i="21"/>
  <c r="G56" i="21"/>
  <c r="H56" i="21"/>
  <c r="I56" i="21"/>
  <c r="J56" i="21" s="1"/>
  <c r="K56" i="21"/>
  <c r="M56" i="21" s="1"/>
  <c r="F57" i="21"/>
  <c r="G57" i="21"/>
  <c r="H57" i="21"/>
  <c r="I57" i="21"/>
  <c r="J57" i="21" s="1"/>
  <c r="F58" i="21"/>
  <c r="G58" i="21"/>
  <c r="H58" i="21"/>
  <c r="I58" i="21"/>
  <c r="J58" i="21" s="1"/>
  <c r="K58" i="21"/>
  <c r="M58" i="21" s="1"/>
  <c r="F59" i="21"/>
  <c r="G59" i="21"/>
  <c r="K59" i="21"/>
  <c r="M59" i="21" s="1"/>
  <c r="F60" i="21"/>
  <c r="G60" i="21"/>
  <c r="H60" i="21"/>
  <c r="I60" i="21"/>
  <c r="J60" i="21" s="1"/>
  <c r="K60" i="21"/>
  <c r="M60" i="21" s="1"/>
  <c r="F61" i="21"/>
  <c r="G61" i="21"/>
  <c r="K61" i="21"/>
  <c r="M61" i="21" s="1"/>
  <c r="F62" i="21"/>
  <c r="G62" i="21"/>
  <c r="H62" i="21"/>
  <c r="I62" i="21"/>
  <c r="J62" i="21" s="1"/>
  <c r="K62" i="21"/>
  <c r="M62" i="21" s="1"/>
  <c r="F63" i="21"/>
  <c r="G63" i="21"/>
  <c r="H63" i="21"/>
  <c r="I63" i="21"/>
  <c r="J63" i="21" s="1"/>
  <c r="F64" i="21"/>
  <c r="G64" i="21"/>
  <c r="H64" i="21"/>
  <c r="I64" i="21"/>
  <c r="J64" i="21" s="1"/>
  <c r="K64" i="21"/>
  <c r="M64" i="21" s="1"/>
  <c r="F65" i="21"/>
  <c r="G65" i="21"/>
  <c r="K65" i="21"/>
  <c r="M65" i="21" s="1"/>
  <c r="F66" i="21"/>
  <c r="G66" i="21"/>
  <c r="H66" i="21"/>
  <c r="I66" i="21"/>
  <c r="J66" i="21" s="1"/>
  <c r="K66" i="21"/>
  <c r="M66" i="21" s="1"/>
  <c r="F67" i="21"/>
  <c r="G67" i="21"/>
  <c r="K67" i="21"/>
  <c r="M67" i="21" s="1"/>
  <c r="F68" i="21"/>
  <c r="G68" i="21"/>
  <c r="H68" i="21"/>
  <c r="I68" i="21"/>
  <c r="J68" i="21" s="1"/>
  <c r="K68" i="21"/>
  <c r="M68" i="21" s="1"/>
  <c r="F69" i="21"/>
  <c r="G69" i="21"/>
  <c r="K69" i="21"/>
  <c r="M69" i="21" s="1"/>
  <c r="F70" i="21"/>
  <c r="G70" i="21"/>
  <c r="H70" i="21"/>
  <c r="I70" i="21"/>
  <c r="J70" i="21" s="1"/>
  <c r="K70" i="21"/>
  <c r="M70" i="21" s="1"/>
  <c r="J7" i="55" l="1"/>
  <c r="J6" i="55" s="1"/>
  <c r="I7" i="55"/>
  <c r="I6" i="55" s="1"/>
  <c r="N14" i="21"/>
  <c r="N48" i="21"/>
  <c r="N40" i="21"/>
  <c r="N56" i="21"/>
  <c r="N68" i="21"/>
  <c r="N59" i="21"/>
  <c r="K49" i="21"/>
  <c r="N49" i="21" s="1"/>
  <c r="N62" i="21"/>
  <c r="N25" i="21"/>
  <c r="H43" i="21"/>
  <c r="I43" i="21" s="1"/>
  <c r="J43" i="21" s="1"/>
  <c r="H41" i="21"/>
  <c r="I41" i="21" s="1"/>
  <c r="J41" i="21" s="1"/>
  <c r="N21" i="21"/>
  <c r="H11" i="21"/>
  <c r="I11" i="21" s="1"/>
  <c r="J11" i="21" s="1"/>
  <c r="H65" i="21"/>
  <c r="I65" i="21" s="1"/>
  <c r="J65" i="21" s="1"/>
  <c r="N11" i="21"/>
  <c r="N52" i="21"/>
  <c r="N30" i="21"/>
  <c r="N41" i="21"/>
  <c r="H19" i="21"/>
  <c r="I19" i="21" s="1"/>
  <c r="J19" i="21" s="1"/>
  <c r="H35" i="21"/>
  <c r="I35" i="21" s="1"/>
  <c r="J35" i="21" s="1"/>
  <c r="N24" i="21"/>
  <c r="N64" i="21"/>
  <c r="N61" i="21"/>
  <c r="H59" i="21"/>
  <c r="I59" i="21" s="1"/>
  <c r="J59" i="21" s="1"/>
  <c r="N54" i="21"/>
  <c r="N51" i="21"/>
  <c r="N44" i="21"/>
  <c r="N29" i="21"/>
  <c r="K27" i="21"/>
  <c r="M27" i="21" s="1"/>
  <c r="K17" i="21"/>
  <c r="N17" i="21" s="1"/>
  <c r="N69" i="21"/>
  <c r="H67" i="21"/>
  <c r="I67" i="21" s="1"/>
  <c r="J67" i="21" s="1"/>
  <c r="K57" i="21"/>
  <c r="M57" i="21" s="1"/>
  <c r="N32" i="21"/>
  <c r="H25" i="21"/>
  <c r="I25" i="21" s="1"/>
  <c r="J25" i="21" s="1"/>
  <c r="N22" i="21"/>
  <c r="N19" i="21"/>
  <c r="N12" i="21"/>
  <c r="N70" i="21"/>
  <c r="N67" i="21"/>
  <c r="K33" i="21"/>
  <c r="M33" i="21" s="1"/>
  <c r="N20" i="21"/>
  <c r="N65" i="21"/>
  <c r="N60" i="21"/>
  <c r="N38" i="21"/>
  <c r="N35" i="21"/>
  <c r="N28" i="21"/>
  <c r="N53" i="21"/>
  <c r="H51" i="21"/>
  <c r="I51" i="21" s="1"/>
  <c r="J51" i="21" s="1"/>
  <c r="N46" i="21"/>
  <c r="N43" i="21"/>
  <c r="N36" i="21"/>
  <c r="N16" i="21"/>
  <c r="K9" i="21"/>
  <c r="M9" i="21" s="1"/>
  <c r="K6" i="55"/>
  <c r="H69" i="21"/>
  <c r="I69" i="21" s="1"/>
  <c r="J69" i="21" s="1"/>
  <c r="N66" i="21"/>
  <c r="H61" i="21"/>
  <c r="I61" i="21" s="1"/>
  <c r="J61" i="21" s="1"/>
  <c r="N58" i="21"/>
  <c r="N55" i="21"/>
  <c r="H53" i="21"/>
  <c r="I53" i="21" s="1"/>
  <c r="J53" i="21" s="1"/>
  <c r="N50" i="21"/>
  <c r="N47" i="21"/>
  <c r="K45" i="21"/>
  <c r="M45" i="21" s="1"/>
  <c r="N42" i="21"/>
  <c r="N39" i="21"/>
  <c r="K37" i="21"/>
  <c r="N37" i="21" s="1"/>
  <c r="N34" i="21"/>
  <c r="N31" i="21"/>
  <c r="H29" i="21"/>
  <c r="I29" i="21" s="1"/>
  <c r="J29" i="21" s="1"/>
  <c r="N26" i="21"/>
  <c r="H21" i="21"/>
  <c r="I21" i="21" s="1"/>
  <c r="J21" i="21" s="1"/>
  <c r="N18" i="21"/>
  <c r="N15" i="21"/>
  <c r="K13" i="21"/>
  <c r="M13" i="21" s="1"/>
  <c r="N10" i="21"/>
  <c r="N8" i="21"/>
  <c r="K63" i="21"/>
  <c r="N63" i="21" s="1"/>
  <c r="H55" i="21"/>
  <c r="I55" i="21" s="1"/>
  <c r="J55" i="21" s="1"/>
  <c r="H47" i="21"/>
  <c r="I47" i="21" s="1"/>
  <c r="J47" i="21" s="1"/>
  <c r="H39" i="21"/>
  <c r="I39" i="21" s="1"/>
  <c r="J39" i="21" s="1"/>
  <c r="H31" i="21"/>
  <c r="I31" i="21" s="1"/>
  <c r="J31" i="21" s="1"/>
  <c r="K23" i="21"/>
  <c r="M23" i="21" s="1"/>
  <c r="H15" i="21"/>
  <c r="I15" i="21" s="1"/>
  <c r="J15" i="21" s="1"/>
  <c r="M17" i="21" l="1"/>
  <c r="M49" i="21"/>
  <c r="N27" i="21"/>
  <c r="N57" i="21"/>
  <c r="N33" i="21"/>
  <c r="M63" i="21"/>
  <c r="N9" i="21"/>
  <c r="M37" i="21"/>
  <c r="M6" i="55"/>
  <c r="N6" i="55"/>
  <c r="N45" i="21"/>
  <c r="N23" i="21"/>
  <c r="N13" i="21"/>
  <c r="I3" i="55" l="1"/>
  <c r="K6" i="50"/>
  <c r="M6" i="41" l="1"/>
  <c r="J3" i="37"/>
  <c r="L3" i="37" s="1"/>
  <c r="L3" i="20"/>
  <c r="F7" i="21" l="1"/>
  <c r="G7" i="21"/>
  <c r="K7" i="21"/>
  <c r="M7" i="21" s="1"/>
  <c r="M6" i="21" s="1"/>
  <c r="H7" i="21" l="1"/>
  <c r="I7" i="21" s="1"/>
  <c r="N7" i="21"/>
  <c r="N6" i="21" s="1"/>
  <c r="J7" i="21" l="1"/>
  <c r="I6" i="21"/>
  <c r="I1" i="46" l="1"/>
  <c r="I1" i="48" l="1"/>
  <c r="I1" i="20"/>
  <c r="I1" i="37"/>
  <c r="I1" i="9"/>
  <c r="I1" i="13"/>
  <c r="K7" i="48" l="1"/>
  <c r="K6" i="48" s="1"/>
  <c r="G7" i="48"/>
  <c r="F7" i="48"/>
  <c r="L3" i="48"/>
  <c r="K3" i="48" l="1"/>
  <c r="N7" i="48"/>
  <c r="N6" i="48" s="1"/>
  <c r="H7" i="48"/>
  <c r="I7" i="48" s="1"/>
  <c r="I6" i="48" s="1"/>
  <c r="M7" i="48"/>
  <c r="M6" i="48" l="1"/>
  <c r="S5" i="48" s="1"/>
  <c r="J7" i="48"/>
  <c r="J6" i="48" s="1"/>
  <c r="N3" i="48"/>
  <c r="M3" i="48" l="1"/>
  <c r="U4" i="48"/>
  <c r="J3" i="46" l="1"/>
  <c r="M3" i="46" l="1"/>
  <c r="L3" i="46"/>
  <c r="U4" i="46"/>
  <c r="L6" i="14"/>
  <c r="K6" i="14" l="1"/>
  <c r="J3" i="21"/>
  <c r="L3" i="21" s="1"/>
  <c r="L6" i="21"/>
  <c r="J3" i="13"/>
  <c r="I1" i="33" l="1"/>
  <c r="F7" i="25" l="1"/>
  <c r="F8" i="25"/>
  <c r="K6" i="33" l="1"/>
  <c r="G11" i="33"/>
  <c r="H11" i="33" s="1"/>
  <c r="F11" i="33"/>
  <c r="J11" i="33" l="1"/>
  <c r="J6" i="33" s="1"/>
  <c r="I11" i="33"/>
  <c r="I6" i="33" s="1"/>
  <c r="K7" i="37" l="1"/>
  <c r="K6" i="37" s="1"/>
  <c r="K3" i="37" l="1"/>
  <c r="N7" i="37"/>
  <c r="N6" i="37" s="1"/>
  <c r="M7" i="37"/>
  <c r="M6" i="37" s="1"/>
  <c r="M3" i="37" l="1"/>
  <c r="M7" i="13" l="1"/>
  <c r="M6" i="13" s="1"/>
  <c r="K3" i="13"/>
  <c r="N7" i="13"/>
  <c r="N6" i="13" s="1"/>
  <c r="L6" i="16"/>
  <c r="K3" i="21" l="1"/>
  <c r="N3" i="37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10" i="16"/>
  <c r="F11" i="16"/>
  <c r="F12" i="16"/>
  <c r="F13" i="16"/>
  <c r="F14" i="16"/>
  <c r="F7" i="16"/>
  <c r="K8" i="16"/>
  <c r="N8" i="16" s="1"/>
  <c r="I8" i="16"/>
  <c r="J8" i="16" s="1"/>
  <c r="K7" i="16"/>
  <c r="M7" i="16" s="1"/>
  <c r="I11" i="16"/>
  <c r="J11" i="16" s="1"/>
  <c r="I12" i="16"/>
  <c r="J12" i="16" s="1"/>
  <c r="K12" i="16"/>
  <c r="M12" i="16" s="1"/>
  <c r="K13" i="16"/>
  <c r="N13" i="16" s="1"/>
  <c r="I14" i="16"/>
  <c r="J14" i="16" s="1"/>
  <c r="K14" i="16"/>
  <c r="N14" i="16" s="1"/>
  <c r="I15" i="16"/>
  <c r="J15" i="16" s="1"/>
  <c r="I16" i="16"/>
  <c r="J16" i="16" s="1"/>
  <c r="K16" i="16"/>
  <c r="N16" i="16" s="1"/>
  <c r="K17" i="16"/>
  <c r="M17" i="16" s="1"/>
  <c r="I18" i="16"/>
  <c r="J18" i="16" s="1"/>
  <c r="K18" i="16"/>
  <c r="M18" i="16" s="1"/>
  <c r="I19" i="16"/>
  <c r="J19" i="16" s="1"/>
  <c r="I20" i="16"/>
  <c r="J20" i="16" s="1"/>
  <c r="K20" i="16"/>
  <c r="M20" i="16" s="1"/>
  <c r="K21" i="16"/>
  <c r="M21" i="16" s="1"/>
  <c r="I22" i="16"/>
  <c r="J22" i="16" s="1"/>
  <c r="K22" i="16"/>
  <c r="N22" i="16" s="1"/>
  <c r="I23" i="16"/>
  <c r="J23" i="16" s="1"/>
  <c r="I24" i="16"/>
  <c r="J24" i="16" s="1"/>
  <c r="K24" i="16"/>
  <c r="M24" i="16" s="1"/>
  <c r="K25" i="16"/>
  <c r="M25" i="16" s="1"/>
  <c r="I26" i="16"/>
  <c r="J26" i="16" s="1"/>
  <c r="K26" i="16"/>
  <c r="N26" i="16" s="1"/>
  <c r="K27" i="16"/>
  <c r="M27" i="16" s="1"/>
  <c r="I28" i="16"/>
  <c r="J28" i="16" s="1"/>
  <c r="K28" i="16"/>
  <c r="M28" i="16" s="1"/>
  <c r="I29" i="16"/>
  <c r="J29" i="16" s="1"/>
  <c r="I30" i="16"/>
  <c r="J30" i="16" s="1"/>
  <c r="K30" i="16"/>
  <c r="N30" i="16" s="1"/>
  <c r="K31" i="16"/>
  <c r="N31" i="16" s="1"/>
  <c r="I32" i="16"/>
  <c r="J32" i="16" s="1"/>
  <c r="K32" i="16"/>
  <c r="M32" i="16" s="1"/>
  <c r="I33" i="16"/>
  <c r="J33" i="16" s="1"/>
  <c r="I34" i="16"/>
  <c r="J34" i="16" s="1"/>
  <c r="K34" i="16"/>
  <c r="M34" i="16" s="1"/>
  <c r="K35" i="16"/>
  <c r="M35" i="16" s="1"/>
  <c r="I36" i="16"/>
  <c r="J36" i="16" s="1"/>
  <c r="K36" i="16"/>
  <c r="N36" i="16" s="1"/>
  <c r="H36" i="16"/>
  <c r="G36" i="16"/>
  <c r="G35" i="16"/>
  <c r="N21" i="16" l="1"/>
  <c r="N17" i="16"/>
  <c r="M16" i="16"/>
  <c r="M13" i="16"/>
  <c r="M31" i="16"/>
  <c r="M26" i="16"/>
  <c r="M22" i="16"/>
  <c r="N25" i="16"/>
  <c r="N32" i="16"/>
  <c r="M30" i="16"/>
  <c r="N24" i="16"/>
  <c r="N7" i="16"/>
  <c r="N18" i="16"/>
  <c r="M14" i="16"/>
  <c r="M8" i="16"/>
  <c r="N34" i="16"/>
  <c r="M36" i="16"/>
  <c r="N35" i="16"/>
  <c r="N27" i="16"/>
  <c r="N28" i="16"/>
  <c r="N20" i="16"/>
  <c r="N12" i="16"/>
  <c r="H35" i="16"/>
  <c r="I35" i="16" s="1"/>
  <c r="I1" i="38" l="1"/>
  <c r="K16" i="35" l="1"/>
  <c r="N16" i="35" s="1"/>
  <c r="I16" i="35"/>
  <c r="H16" i="35"/>
  <c r="G16" i="35"/>
  <c r="F16" i="35"/>
  <c r="K15" i="35"/>
  <c r="M15" i="35" s="1"/>
  <c r="G15" i="35"/>
  <c r="F15" i="35"/>
  <c r="K14" i="35"/>
  <c r="M14" i="35" s="1"/>
  <c r="I14" i="35"/>
  <c r="H14" i="35"/>
  <c r="G14" i="35"/>
  <c r="F14" i="35"/>
  <c r="K13" i="35"/>
  <c r="N13" i="35" s="1"/>
  <c r="G13" i="35"/>
  <c r="F13" i="35"/>
  <c r="N15" i="35" l="1"/>
  <c r="H15" i="35"/>
  <c r="M16" i="35"/>
  <c r="H13" i="35"/>
  <c r="M13" i="35"/>
  <c r="N14" i="35"/>
  <c r="I1" i="25"/>
  <c r="K8" i="38"/>
  <c r="N8" i="38" s="1"/>
  <c r="I8" i="38"/>
  <c r="H8" i="38"/>
  <c r="G8" i="38"/>
  <c r="F8" i="38"/>
  <c r="K7" i="38"/>
  <c r="M7" i="38" s="1"/>
  <c r="G7" i="38"/>
  <c r="F7" i="38"/>
  <c r="L6" i="38"/>
  <c r="J6" i="38"/>
  <c r="K10" i="35"/>
  <c r="N10" i="35" s="1"/>
  <c r="I10" i="35"/>
  <c r="H10" i="35"/>
  <c r="G10" i="35"/>
  <c r="F10" i="35"/>
  <c r="K9" i="35"/>
  <c r="M9" i="35" s="1"/>
  <c r="G9" i="35"/>
  <c r="F9" i="35"/>
  <c r="H7" i="38" l="1"/>
  <c r="I6" i="38"/>
  <c r="I3" i="38" s="1"/>
  <c r="N7" i="38"/>
  <c r="K6" i="38"/>
  <c r="M8" i="38"/>
  <c r="H9" i="35"/>
  <c r="N9" i="35"/>
  <c r="M10" i="35"/>
  <c r="N6" i="38" l="1"/>
  <c r="M6" i="38"/>
  <c r="I1" i="14" l="1"/>
  <c r="I12" i="35" l="1"/>
  <c r="I8" i="35"/>
  <c r="F8" i="35"/>
  <c r="G8" i="35"/>
  <c r="H8" i="35"/>
  <c r="K8" i="35"/>
  <c r="M8" i="35" s="1"/>
  <c r="F11" i="35"/>
  <c r="G11" i="35"/>
  <c r="K11" i="35"/>
  <c r="M11" i="35" s="1"/>
  <c r="F12" i="35"/>
  <c r="G12" i="35"/>
  <c r="H12" i="35"/>
  <c r="K12" i="35"/>
  <c r="M12" i="35" s="1"/>
  <c r="G8" i="25"/>
  <c r="H8" i="25"/>
  <c r="I8" i="25"/>
  <c r="F8" i="16"/>
  <c r="G8" i="16"/>
  <c r="H8" i="16"/>
  <c r="F9" i="16"/>
  <c r="G9" i="16"/>
  <c r="K9" i="16"/>
  <c r="G10" i="16"/>
  <c r="H10" i="16"/>
  <c r="I10" i="16"/>
  <c r="J10" i="16" s="1"/>
  <c r="K10" i="16"/>
  <c r="N10" i="16" s="1"/>
  <c r="G11" i="16"/>
  <c r="G12" i="16"/>
  <c r="H12" i="16"/>
  <c r="G13" i="16"/>
  <c r="G14" i="16"/>
  <c r="H14" i="16"/>
  <c r="F15" i="16"/>
  <c r="G15" i="16"/>
  <c r="H15" i="16"/>
  <c r="F16" i="16"/>
  <c r="G16" i="16"/>
  <c r="H16" i="16"/>
  <c r="F17" i="16"/>
  <c r="G17" i="16"/>
  <c r="F18" i="16"/>
  <c r="G18" i="16"/>
  <c r="H18" i="16"/>
  <c r="F19" i="16"/>
  <c r="G19" i="16"/>
  <c r="H19" i="16"/>
  <c r="F20" i="16"/>
  <c r="G20" i="16"/>
  <c r="H20" i="16"/>
  <c r="F21" i="16"/>
  <c r="G21" i="16"/>
  <c r="G22" i="16"/>
  <c r="H22" i="16"/>
  <c r="G23" i="16"/>
  <c r="G24" i="16"/>
  <c r="H24" i="16"/>
  <c r="G25" i="16"/>
  <c r="G26" i="16"/>
  <c r="H26" i="16"/>
  <c r="G27" i="16"/>
  <c r="G28" i="16"/>
  <c r="H28" i="16"/>
  <c r="G29" i="16"/>
  <c r="G30" i="16"/>
  <c r="H30" i="16"/>
  <c r="G31" i="16"/>
  <c r="G32" i="16"/>
  <c r="H32" i="16"/>
  <c r="G33" i="16"/>
  <c r="H33" i="16"/>
  <c r="G34" i="16"/>
  <c r="H34" i="16"/>
  <c r="G7" i="16"/>
  <c r="K19" i="16" l="1"/>
  <c r="N19" i="16" s="1"/>
  <c r="H7" i="16"/>
  <c r="I7" i="16" s="1"/>
  <c r="J7" i="16" s="1"/>
  <c r="H31" i="16"/>
  <c r="I31" i="16" s="1"/>
  <c r="J31" i="16" s="1"/>
  <c r="K33" i="16"/>
  <c r="N33" i="16" s="1"/>
  <c r="H13" i="16"/>
  <c r="I13" i="16" s="1"/>
  <c r="J13" i="16" s="1"/>
  <c r="H9" i="16"/>
  <c r="I9" i="16" s="1"/>
  <c r="J9" i="16" s="1"/>
  <c r="H29" i="16"/>
  <c r="K29" i="16"/>
  <c r="N9" i="16"/>
  <c r="H27" i="16"/>
  <c r="I27" i="16" s="1"/>
  <c r="K15" i="16"/>
  <c r="H11" i="16"/>
  <c r="K11" i="16"/>
  <c r="H23" i="16"/>
  <c r="K23" i="16"/>
  <c r="H11" i="35"/>
  <c r="I11" i="35" s="1"/>
  <c r="H17" i="16"/>
  <c r="I17" i="16" s="1"/>
  <c r="J17" i="16" s="1"/>
  <c r="H25" i="16"/>
  <c r="I25" i="16" s="1"/>
  <c r="H21" i="16"/>
  <c r="I21" i="16" s="1"/>
  <c r="J21" i="16" s="1"/>
  <c r="N11" i="35"/>
  <c r="N8" i="35"/>
  <c r="N12" i="35"/>
  <c r="M9" i="16"/>
  <c r="M10" i="16"/>
  <c r="M19" i="16" l="1"/>
  <c r="M33" i="16"/>
  <c r="K6" i="16"/>
  <c r="I6" i="16"/>
  <c r="N23" i="16"/>
  <c r="M23" i="16"/>
  <c r="N15" i="16"/>
  <c r="M15" i="16"/>
  <c r="J27" i="16"/>
  <c r="D5" i="16" s="1"/>
  <c r="J3" i="16" s="1"/>
  <c r="M11" i="16"/>
  <c r="N11" i="16"/>
  <c r="N29" i="16"/>
  <c r="M29" i="16"/>
  <c r="K3" i="16"/>
  <c r="G7" i="37"/>
  <c r="H7" i="37" s="1"/>
  <c r="I7" i="37" s="1"/>
  <c r="I6" i="37" s="1"/>
  <c r="F7" i="37"/>
  <c r="G7" i="20"/>
  <c r="H7" i="20" s="1"/>
  <c r="I7" i="20" s="1"/>
  <c r="I6" i="20" s="1"/>
  <c r="F7" i="20"/>
  <c r="K7" i="20" l="1"/>
  <c r="K6" i="20" s="1"/>
  <c r="M6" i="16"/>
  <c r="M3" i="16" s="1"/>
  <c r="N6" i="16"/>
  <c r="J6" i="16"/>
  <c r="J7" i="20"/>
  <c r="J7" i="37"/>
  <c r="J6" i="37" l="1"/>
  <c r="U4" i="37" s="1"/>
  <c r="J6" i="20"/>
  <c r="U4" i="20" s="1"/>
  <c r="K3" i="20"/>
  <c r="M7" i="20"/>
  <c r="M6" i="20" s="1"/>
  <c r="N7" i="20"/>
  <c r="N6" i="20" s="1"/>
  <c r="N3" i="20" l="1"/>
  <c r="M3" i="20"/>
  <c r="K6" i="21"/>
  <c r="J6" i="35"/>
  <c r="N3" i="21" l="1"/>
  <c r="M3" i="21"/>
  <c r="J6" i="21"/>
  <c r="U4" i="21" l="1"/>
  <c r="S5" i="37" l="1"/>
  <c r="I1" i="16" l="1"/>
  <c r="K7" i="35" l="1"/>
  <c r="N7" i="35" s="1"/>
  <c r="G7" i="35"/>
  <c r="F7" i="35"/>
  <c r="H7" i="35" l="1"/>
  <c r="I7" i="35" s="1"/>
  <c r="I6" i="35" s="1"/>
  <c r="M7" i="35"/>
  <c r="L6" i="35" l="1"/>
  <c r="K6" i="35" l="1"/>
  <c r="I3" i="35" l="1"/>
  <c r="M6" i="35"/>
  <c r="N6" i="35"/>
  <c r="K7" i="14" l="1"/>
  <c r="N7" i="14" s="1"/>
  <c r="N6" i="14" s="1"/>
  <c r="M7" i="14" l="1"/>
  <c r="M6" i="14" s="1"/>
  <c r="I3" i="33" l="1"/>
  <c r="F7" i="13" l="1"/>
  <c r="G7" i="13"/>
  <c r="H7" i="13" s="1"/>
  <c r="S5" i="13" l="1"/>
  <c r="I7" i="13"/>
  <c r="I6" i="13" s="1"/>
  <c r="J7" i="13" l="1"/>
  <c r="J6" i="13" s="1"/>
  <c r="U4" i="13" s="1"/>
  <c r="J6" i="25"/>
  <c r="G7" i="25"/>
  <c r="H7" i="25" l="1"/>
  <c r="I7" i="25" s="1"/>
  <c r="I6" i="25" l="1"/>
  <c r="I3" i="25" s="1"/>
  <c r="I1" i="21" l="1"/>
  <c r="N3" i="16" l="1"/>
  <c r="S5" i="20"/>
  <c r="S5" i="21"/>
  <c r="U4" i="16"/>
  <c r="S5" i="16" l="1"/>
  <c r="G7" i="14" l="1"/>
  <c r="F7" i="14"/>
  <c r="H7" i="14" l="1"/>
  <c r="I7" i="14" s="1"/>
  <c r="I6" i="14" l="1"/>
  <c r="I3" i="14" s="1"/>
</calcChain>
</file>

<file path=xl/sharedStrings.xml><?xml version="1.0" encoding="utf-8"?>
<sst xmlns="http://schemas.openxmlformats.org/spreadsheetml/2006/main" count="8808" uniqueCount="128">
  <si>
    <t>sId</t>
  </si>
  <si>
    <t>bEmpId</t>
  </si>
  <si>
    <t>bName</t>
  </si>
  <si>
    <t>bAttType</t>
  </si>
  <si>
    <t>bAttTime</t>
  </si>
  <si>
    <t>下班</t>
  </si>
  <si>
    <t>上班</t>
  </si>
  <si>
    <t>加班</t>
  </si>
  <si>
    <t>加班結束</t>
  </si>
  <si>
    <t>amber</t>
  </si>
  <si>
    <t>公出返回</t>
  </si>
  <si>
    <t>justin</t>
  </si>
  <si>
    <t>paul</t>
  </si>
  <si>
    <t>加班</t>
    <phoneticPr fontId="18" type="noConversion"/>
  </si>
  <si>
    <t>lz</t>
  </si>
  <si>
    <t>ruby</t>
  </si>
  <si>
    <t>tl</t>
  </si>
  <si>
    <t xml:space="preserve"> 加班時數</t>
    <phoneticPr fontId="18" type="noConversion"/>
  </si>
  <si>
    <t>1.34 時薪</t>
    <phoneticPr fontId="18" type="noConversion"/>
  </si>
  <si>
    <t>1.67 時薪</t>
    <phoneticPr fontId="18" type="noConversion"/>
  </si>
  <si>
    <t xml:space="preserve"> </t>
    <phoneticPr fontId="18" type="noConversion"/>
  </si>
  <si>
    <t>1.0時薪</t>
    <phoneticPr fontId="18" type="noConversion"/>
  </si>
  <si>
    <t>加班</t>
    <phoneticPr fontId="18" type="noConversion"/>
  </si>
  <si>
    <t>打卡上班</t>
    <phoneticPr fontId="18" type="noConversion"/>
  </si>
  <si>
    <t>出勤時數</t>
    <phoneticPr fontId="18" type="noConversion"/>
  </si>
  <si>
    <t>給薪時數</t>
    <phoneticPr fontId="18" type="noConversion"/>
  </si>
  <si>
    <t>請假</t>
    <phoneticPr fontId="18" type="noConversion"/>
  </si>
  <si>
    <t>小計</t>
    <phoneticPr fontId="18" type="noConversion"/>
  </si>
  <si>
    <t>備註</t>
    <phoneticPr fontId="18" type="noConversion"/>
  </si>
  <si>
    <t>統計</t>
    <phoneticPr fontId="18" type="noConversion"/>
  </si>
  <si>
    <t>出勤工時統計</t>
    <phoneticPr fontId="18" type="noConversion"/>
  </si>
  <si>
    <t>+</t>
    <phoneticPr fontId="18" type="noConversion"/>
  </si>
  <si>
    <t>=</t>
    <phoneticPr fontId="18" type="noConversion"/>
  </si>
  <si>
    <t>請假</t>
    <phoneticPr fontId="18" type="noConversion"/>
  </si>
  <si>
    <t>出勤</t>
    <phoneticPr fontId="18" type="noConversion"/>
  </si>
  <si>
    <t>假補工時</t>
    <phoneticPr fontId="18" type="noConversion"/>
  </si>
  <si>
    <t>2.依勞基法規定 平假日加班前2小時,以1.34時薪計,大於2小時以1.67時薪計</t>
    <phoneticPr fontId="18" type="noConversion"/>
  </si>
  <si>
    <t>1每月上班出勤工時為 176 小時(22天*8小時),周休二日另給8日薪(64小時),超過出勤工時乃以加班計</t>
    <phoneticPr fontId="18" type="noConversion"/>
  </si>
  <si>
    <t>BW</t>
  </si>
  <si>
    <t>lorah</t>
  </si>
  <si>
    <t>2.依勞基法規定 平假日加班前2小時,以1.34時薪計,大於2小時以1.67時薪計</t>
    <phoneticPr fontId="18" type="noConversion"/>
  </si>
  <si>
    <t>加班率</t>
    <phoneticPr fontId="18" type="noConversion"/>
  </si>
  <si>
    <t>加班申請</t>
    <phoneticPr fontId="18" type="noConversion"/>
  </si>
  <si>
    <t>albert</t>
  </si>
  <si>
    <t>事假</t>
    <phoneticPr fontId="18" type="noConversion"/>
  </si>
  <si>
    <t>病假</t>
    <phoneticPr fontId="18" type="noConversion"/>
  </si>
  <si>
    <t>事假</t>
    <phoneticPr fontId="18" type="noConversion"/>
  </si>
  <si>
    <t>特休</t>
    <phoneticPr fontId="18" type="noConversion"/>
  </si>
  <si>
    <t>時數</t>
    <phoneticPr fontId="18" type="noConversion"/>
  </si>
  <si>
    <t>sam</t>
  </si>
  <si>
    <t>1每月上班出勤工時為 176 小時(22天*8小時),周休二日另給8日薪(64小時),超過出勤工時乃以加班計</t>
    <phoneticPr fontId="18" type="noConversion"/>
  </si>
  <si>
    <t>SAM</t>
  </si>
  <si>
    <t>上班</t>
    <phoneticPr fontId="18" type="noConversion"/>
  </si>
  <si>
    <t>BW</t>
    <phoneticPr fontId="18" type="noConversion"/>
  </si>
  <si>
    <t>假補工時</t>
    <phoneticPr fontId="18" type="noConversion"/>
  </si>
  <si>
    <t>work at home</t>
    <phoneticPr fontId="18" type="noConversion"/>
  </si>
  <si>
    <t xml:space="preserve">  </t>
    <phoneticPr fontId="18" type="noConversion"/>
  </si>
  <si>
    <t>TL</t>
    <phoneticPr fontId="18" type="noConversion"/>
  </si>
  <si>
    <t>B6</t>
    <phoneticPr fontId="18" type="noConversion"/>
  </si>
  <si>
    <t>B6</t>
    <phoneticPr fontId="18" type="noConversion"/>
  </si>
  <si>
    <t>LZ</t>
    <phoneticPr fontId="18" type="noConversion"/>
  </si>
  <si>
    <t>討論 RCAD</t>
    <phoneticPr fontId="18" type="noConversion"/>
  </si>
  <si>
    <t>事假</t>
    <phoneticPr fontId="18" type="noConversion"/>
  </si>
  <si>
    <t>my</t>
  </si>
  <si>
    <t>3.請假以半小時為單位</t>
    <phoneticPr fontId="18" type="noConversion"/>
  </si>
  <si>
    <t>（1）全勤獎金 $1000</t>
  </si>
  <si>
    <t>（4）特休假超過1日部分，才計入計算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</si>
  <si>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</si>
  <si>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</si>
  <si>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t>（2）請假半日內 (一次) $ 800</t>
    <phoneticPr fontId="18" type="noConversion"/>
  </si>
  <si>
    <t>（3）請假 1日內 (一次)$ 500</t>
    <phoneticPr fontId="18" type="noConversion"/>
  </si>
  <si>
    <t>NICK</t>
  </si>
  <si>
    <t>nick</t>
  </si>
  <si>
    <t>jason</t>
  </si>
  <si>
    <t>yvonne</t>
  </si>
  <si>
    <t>特休剩餘</t>
    <phoneticPr fontId="18" type="noConversion"/>
  </si>
  <si>
    <t>小時</t>
    <phoneticPr fontId="18" type="noConversion"/>
  </si>
  <si>
    <t>全勤獎金</t>
    <phoneticPr fontId="18" type="noConversion"/>
  </si>
  <si>
    <t>JUSTIN</t>
  </si>
  <si>
    <t>MY</t>
  </si>
  <si>
    <t>anne</t>
  </si>
  <si>
    <t>特休</t>
    <phoneticPr fontId="18" type="noConversion"/>
  </si>
  <si>
    <t>出勤時數1</t>
    <phoneticPr fontId="18" type="noConversion"/>
  </si>
  <si>
    <t>出勤時數2</t>
  </si>
  <si>
    <t>加班申請</t>
    <phoneticPr fontId="18" type="noConversion"/>
  </si>
  <si>
    <t>(1)打卡時數</t>
    <phoneticPr fontId="18" type="noConversion"/>
  </si>
  <si>
    <t>(2)加班申請</t>
    <phoneticPr fontId="18" type="noConversion"/>
  </si>
  <si>
    <t>JASON</t>
  </si>
  <si>
    <t>owen</t>
  </si>
  <si>
    <t>OWEN</t>
  </si>
  <si>
    <t>willy</t>
  </si>
  <si>
    <t>wilson</t>
  </si>
  <si>
    <t>Wilson</t>
  </si>
  <si>
    <t>AMBER</t>
  </si>
  <si>
    <t>LORAH</t>
  </si>
  <si>
    <t>RUBY</t>
  </si>
  <si>
    <t>WILSON</t>
  </si>
  <si>
    <t>Nick</t>
  </si>
  <si>
    <t>AlBERT</t>
  </si>
  <si>
    <t>leo</t>
  </si>
  <si>
    <t>LEO</t>
  </si>
  <si>
    <t>LOrah</t>
  </si>
  <si>
    <t>公出</t>
  </si>
  <si>
    <t>Willy</t>
  </si>
  <si>
    <t>WILLY</t>
  </si>
  <si>
    <t>denver</t>
    <phoneticPr fontId="18" type="noConversion"/>
  </si>
  <si>
    <t>下班</t>
    <phoneticPr fontId="18" type="noConversion"/>
  </si>
  <si>
    <t>加班結束</t>
    <phoneticPr fontId="18" type="noConversion"/>
  </si>
  <si>
    <t>加班</t>
    <phoneticPr fontId="18" type="noConversion"/>
  </si>
  <si>
    <t>上班</t>
    <phoneticPr fontId="18" type="noConversion"/>
  </si>
  <si>
    <t>喪假</t>
  </si>
  <si>
    <t>喪假</t>
    <phoneticPr fontId="18" type="noConversion"/>
  </si>
  <si>
    <t>特休</t>
    <phoneticPr fontId="18" type="noConversion"/>
  </si>
  <si>
    <t>注意！未打卡！</t>
  </si>
  <si>
    <t>事假</t>
    <phoneticPr fontId="18" type="noConversion"/>
  </si>
  <si>
    <t>未打卡！(-$50)</t>
    <phoneticPr fontId="18" type="noConversion"/>
  </si>
  <si>
    <t>特休</t>
    <phoneticPr fontId="18" type="noConversion"/>
  </si>
  <si>
    <t>超過4hr需休息!</t>
    <phoneticPr fontId="18" type="noConversion"/>
  </si>
  <si>
    <t>申請加班</t>
    <phoneticPr fontId="18" type="noConversion"/>
  </si>
  <si>
    <t xml:space="preserve"> </t>
    <phoneticPr fontId="18" type="noConversion"/>
  </si>
  <si>
    <t>1.34時薪</t>
    <phoneticPr fontId="18" type="noConversion"/>
  </si>
  <si>
    <t>1.67時薪</t>
    <phoneticPr fontId="18" type="noConversion"/>
  </si>
  <si>
    <t>&gt;8hr出勤時數</t>
    <phoneticPr fontId="18" type="noConversion"/>
  </si>
  <si>
    <t>出勤時數2</t>
    <phoneticPr fontId="18" type="noConversion"/>
  </si>
  <si>
    <t>1.34時薪</t>
    <phoneticPr fontId="18" type="noConversion"/>
  </si>
  <si>
    <t>&gt;10hr出勤時數</t>
    <phoneticPr fontId="18" type="noConversion"/>
  </si>
  <si>
    <t>交通費100</t>
    <phoneticPr fontId="18" type="noConversion"/>
  </si>
  <si>
    <t>交通費100(已領)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</si>
</sst>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04]aaa;@"/>
    <numFmt numFmtId="177" formatCode="0.00_);[Red]\(0.00\)"/>
    <numFmt numFmtId="178" formatCode="[=0]&quot;-&quot;;0.00"/>
    <numFmt numFmtId="179" formatCode="0.0_ "/>
    <numFmt numFmtId="180" formatCode="[=0]&quot;-&quot;;0.0"/>
    <numFmt numFmtId="181" formatCode="0.0%"/>
    <numFmt numFmtId="182" formatCode="0.00_ "/>
  </numFmts>
  <fonts count="70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2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</font>
    <font>
      <sz val="12"/>
      <color theme="4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6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0" borderId="0" xfId="0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35" borderId="0" xfId="0" applyFont="1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14" fillId="35" borderId="0" xfId="0" applyFont="1" applyFill="1">
      <alignment vertical="center"/>
    </xf>
    <xf numFmtId="0" fontId="0" fillId="35" borderId="0" xfId="0" applyFill="1">
      <alignment vertical="center"/>
    </xf>
    <xf numFmtId="0" fontId="24" fillId="35" borderId="0" xfId="0" applyFont="1" applyFill="1" applyBorder="1">
      <alignment vertical="center"/>
    </xf>
    <xf numFmtId="0" fontId="24" fillId="35" borderId="0" xfId="0" applyFont="1" applyFill="1" applyBorder="1" applyAlignment="1">
      <alignment horizontal="right" vertical="center"/>
    </xf>
    <xf numFmtId="177" fontId="25" fillId="35" borderId="0" xfId="0" applyNumberFormat="1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center" vertical="center"/>
    </xf>
    <xf numFmtId="0" fontId="26" fillId="35" borderId="0" xfId="8" applyFont="1" applyFill="1" applyBorder="1" applyAlignment="1">
      <alignment horizontal="center" vertical="center"/>
    </xf>
    <xf numFmtId="0" fontId="27" fillId="34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19" fillId="35" borderId="0" xfId="0" applyFont="1" applyFill="1">
      <alignment vertical="center"/>
    </xf>
    <xf numFmtId="0" fontId="21" fillId="35" borderId="0" xfId="0" applyFont="1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7" applyFont="1" applyFill="1" applyAlignment="1">
      <alignment horizontal="center" vertical="center"/>
    </xf>
    <xf numFmtId="0" fontId="27" fillId="35" borderId="0" xfId="8" applyFont="1" applyFill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27" fillId="33" borderId="16" xfId="0" applyFont="1" applyFill="1" applyBorder="1">
      <alignment vertical="center"/>
    </xf>
    <xf numFmtId="0" fontId="27" fillId="33" borderId="16" xfId="0" applyFont="1" applyFill="1" applyBorder="1" applyAlignment="1">
      <alignment horizontal="right" vertical="center"/>
    </xf>
    <xf numFmtId="0" fontId="26" fillId="35" borderId="0" xfId="0" applyFont="1" applyFill="1" applyBorder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176" fontId="27" fillId="35" borderId="11" xfId="0" applyNumberFormat="1" applyFont="1" applyFill="1" applyBorder="1">
      <alignment vertical="center"/>
    </xf>
    <xf numFmtId="22" fontId="27" fillId="35" borderId="11" xfId="0" applyNumberFormat="1" applyFont="1" applyFill="1" applyBorder="1" applyAlignment="1">
      <alignment horizontal="right" vertical="center"/>
    </xf>
    <xf numFmtId="177" fontId="27" fillId="35" borderId="11" xfId="0" applyNumberFormat="1" applyFont="1" applyFill="1" applyBorder="1" applyAlignment="1">
      <alignment horizontal="center" vertical="center"/>
    </xf>
    <xf numFmtId="2" fontId="27" fillId="35" borderId="11" xfId="8" applyNumberFormat="1" applyFont="1" applyFill="1" applyBorder="1" applyAlignment="1">
      <alignment horizontal="center" vertical="center"/>
    </xf>
    <xf numFmtId="178" fontId="27" fillId="35" borderId="11" xfId="8" applyNumberFormat="1" applyFont="1" applyFill="1" applyBorder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3" xfId="0" applyFill="1" applyBorder="1" applyAlignment="1">
      <alignment horizontal="center" vertical="center"/>
    </xf>
    <xf numFmtId="0" fontId="27" fillId="34" borderId="14" xfId="0" applyFont="1" applyFill="1" applyBorder="1" applyAlignment="1">
      <alignment horizontal="center" vertical="center"/>
    </xf>
    <xf numFmtId="0" fontId="0" fillId="34" borderId="18" xfId="0" applyFill="1" applyBorder="1" applyAlignment="1">
      <alignment horizontal="center" vertical="center"/>
    </xf>
    <xf numFmtId="0" fontId="27" fillId="34" borderId="19" xfId="0" applyFont="1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16" xfId="0" applyFill="1" applyBorder="1" applyAlignment="1">
      <alignment horizontal="center" vertical="center"/>
    </xf>
    <xf numFmtId="2" fontId="27" fillId="34" borderId="16" xfId="7" applyNumberFormat="1" applyFont="1" applyFill="1" applyBorder="1" applyAlignment="1">
      <alignment horizontal="center" vertical="center"/>
    </xf>
    <xf numFmtId="0" fontId="27" fillId="34" borderId="17" xfId="0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left" vertical="center"/>
    </xf>
    <xf numFmtId="179" fontId="0" fillId="35" borderId="0" xfId="0" applyNumberFormat="1" applyFill="1">
      <alignment vertical="center"/>
    </xf>
    <xf numFmtId="0" fontId="0" fillId="35" borderId="0" xfId="0" applyFill="1" applyBorder="1">
      <alignment vertical="center"/>
    </xf>
    <xf numFmtId="179" fontId="0" fillId="0" borderId="0" xfId="0" applyNumberFormat="1">
      <alignment vertical="center"/>
    </xf>
    <xf numFmtId="0" fontId="19" fillId="33" borderId="17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2" fontId="19" fillId="33" borderId="16" xfId="7" applyNumberFormat="1" applyFont="1" applyFill="1" applyBorder="1" applyAlignment="1">
      <alignment horizontal="center" vertical="center"/>
    </xf>
    <xf numFmtId="2" fontId="19" fillId="33" borderId="16" xfId="8" applyNumberFormat="1" applyFont="1" applyFill="1" applyBorder="1" applyAlignment="1">
      <alignment horizontal="center" vertical="center"/>
    </xf>
    <xf numFmtId="2" fontId="22" fillId="33" borderId="16" xfId="7" applyNumberFormat="1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80" fontId="27" fillId="35" borderId="0" xfId="8" applyNumberFormat="1" applyFont="1" applyFill="1" applyAlignment="1">
      <alignment horizontal="center" vertical="center"/>
    </xf>
    <xf numFmtId="181" fontId="0" fillId="35" borderId="0" xfId="42" applyNumberFormat="1" applyFont="1" applyFill="1">
      <alignment vertical="center"/>
    </xf>
    <xf numFmtId="2" fontId="27" fillId="35" borderId="11" xfId="0" applyNumberFormat="1" applyFont="1" applyFill="1" applyBorder="1" applyAlignment="1">
      <alignment horizontal="center" vertical="center"/>
    </xf>
    <xf numFmtId="2" fontId="27" fillId="35" borderId="0" xfId="8" applyNumberFormat="1" applyFont="1" applyFill="1" applyAlignment="1">
      <alignment horizontal="center" vertical="center"/>
    </xf>
    <xf numFmtId="2" fontId="0" fillId="35" borderId="0" xfId="0" applyNumberFormat="1" applyFill="1" applyAlignment="1">
      <alignment horizontal="center" vertical="center"/>
    </xf>
    <xf numFmtId="2" fontId="0" fillId="35" borderId="0" xfId="0" applyNumberFormat="1" applyFill="1">
      <alignment vertical="center"/>
    </xf>
    <xf numFmtId="2" fontId="0" fillId="0" borderId="0" xfId="0" applyNumberFormat="1">
      <alignment vertical="center"/>
    </xf>
    <xf numFmtId="0" fontId="19" fillId="0" borderId="0" xfId="0" applyFont="1">
      <alignment vertical="center"/>
    </xf>
    <xf numFmtId="177" fontId="19" fillId="35" borderId="11" xfId="0" applyNumberFormat="1" applyFont="1" applyFill="1" applyBorder="1" applyAlignment="1">
      <alignment horizontal="center" vertical="center"/>
    </xf>
    <xf numFmtId="178" fontId="19" fillId="35" borderId="11" xfId="8" applyNumberFormat="1" applyFont="1" applyFill="1" applyBorder="1" applyAlignment="1">
      <alignment horizontal="center" vertical="center"/>
    </xf>
    <xf numFmtId="2" fontId="19" fillId="35" borderId="11" xfId="0" applyNumberFormat="1" applyFont="1" applyFill="1" applyBorder="1" applyAlignment="1">
      <alignment horizontal="center" vertical="center"/>
    </xf>
    <xf numFmtId="22" fontId="19" fillId="35" borderId="11" xfId="0" applyNumberFormat="1" applyFont="1" applyFill="1" applyBorder="1" applyAlignment="1">
      <alignment horizontal="right" vertical="center"/>
    </xf>
    <xf numFmtId="2" fontId="19" fillId="35" borderId="11" xfId="8" applyNumberFormat="1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right" vertical="center"/>
    </xf>
    <xf numFmtId="2" fontId="23" fillId="34" borderId="13" xfId="0" applyNumberFormat="1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right" vertical="center"/>
    </xf>
    <xf numFmtId="2" fontId="23" fillId="34" borderId="10" xfId="0" applyNumberFormat="1" applyFont="1" applyFill="1" applyBorder="1" applyAlignment="1">
      <alignment horizontal="center" vertical="center"/>
    </xf>
    <xf numFmtId="0" fontId="23" fillId="34" borderId="15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6" xfId="0" applyFont="1" applyFill="1" applyBorder="1">
      <alignment vertical="center"/>
    </xf>
    <xf numFmtId="0" fontId="23" fillId="34" borderId="16" xfId="0" applyFont="1" applyFill="1" applyBorder="1" applyAlignment="1">
      <alignment horizontal="right" vertical="center"/>
    </xf>
    <xf numFmtId="2" fontId="23" fillId="34" borderId="16" xfId="7" applyNumberFormat="1" applyFont="1" applyFill="1" applyBorder="1" applyAlignment="1">
      <alignment horizontal="center" vertical="center"/>
    </xf>
    <xf numFmtId="0" fontId="23" fillId="33" borderId="13" xfId="0" applyFont="1" applyFill="1" applyBorder="1">
      <alignment vertical="center"/>
    </xf>
    <xf numFmtId="0" fontId="23" fillId="33" borderId="13" xfId="0" applyFont="1" applyFill="1" applyBorder="1" applyAlignment="1">
      <alignment horizontal="right" vertical="center"/>
    </xf>
    <xf numFmtId="0" fontId="23" fillId="33" borderId="13" xfId="7" applyFont="1" applyFill="1" applyBorder="1" applyAlignment="1">
      <alignment horizontal="center" vertical="center"/>
    </xf>
    <xf numFmtId="0" fontId="23" fillId="33" borderId="13" xfId="8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177" fontId="23" fillId="33" borderId="13" xfId="0" applyNumberFormat="1" applyFont="1" applyFill="1" applyBorder="1" applyAlignment="1">
      <alignment horizontal="center" vertical="center"/>
    </xf>
    <xf numFmtId="0" fontId="23" fillId="33" borderId="14" xfId="0" applyFont="1" applyFill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center"/>
    </xf>
    <xf numFmtId="0" fontId="19" fillId="34" borderId="18" xfId="0" applyFont="1" applyFill="1" applyBorder="1" applyAlignment="1">
      <alignment horizontal="center" vertical="center"/>
    </xf>
    <xf numFmtId="2" fontId="23" fillId="33" borderId="16" xfId="7" applyNumberFormat="1" applyFont="1" applyFill="1" applyBorder="1" applyAlignment="1">
      <alignment horizontal="center" vertical="center"/>
    </xf>
    <xf numFmtId="176" fontId="23" fillId="35" borderId="11" xfId="0" applyNumberFormat="1" applyFont="1" applyFill="1" applyBorder="1">
      <alignment vertical="center"/>
    </xf>
    <xf numFmtId="22" fontId="23" fillId="35" borderId="11" xfId="0" applyNumberFormat="1" applyFont="1" applyFill="1" applyBorder="1" applyAlignment="1">
      <alignment horizontal="right" vertical="center"/>
    </xf>
    <xf numFmtId="177" fontId="23" fillId="35" borderId="11" xfId="0" applyNumberFormat="1" applyFont="1" applyFill="1" applyBorder="1" applyAlignment="1">
      <alignment horizontal="center" vertical="center"/>
    </xf>
    <xf numFmtId="2" fontId="23" fillId="35" borderId="11" xfId="0" applyNumberFormat="1" applyFont="1" applyFill="1" applyBorder="1" applyAlignment="1">
      <alignment horizontal="center" vertical="center"/>
    </xf>
    <xf numFmtId="2" fontId="23" fillId="35" borderId="11" xfId="8" applyNumberFormat="1" applyFont="1" applyFill="1" applyBorder="1" applyAlignment="1">
      <alignment horizontal="center" vertical="center"/>
    </xf>
    <xf numFmtId="178" fontId="23" fillId="35" borderId="11" xfId="8" applyNumberFormat="1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23" fillId="34" borderId="13" xfId="0" applyFont="1" applyFill="1" applyBorder="1">
      <alignment vertical="center"/>
    </xf>
    <xf numFmtId="177" fontId="23" fillId="34" borderId="13" xfId="0" applyNumberFormat="1" applyFont="1" applyFill="1" applyBorder="1" applyAlignment="1">
      <alignment horizontal="center" vertical="center"/>
    </xf>
    <xf numFmtId="0" fontId="23" fillId="34" borderId="14" xfId="0" applyFont="1" applyFill="1" applyBorder="1" applyAlignment="1">
      <alignment horizontal="center" vertical="center"/>
    </xf>
    <xf numFmtId="0" fontId="23" fillId="34" borderId="10" xfId="0" applyFont="1" applyFill="1" applyBorder="1">
      <alignment vertical="center"/>
    </xf>
    <xf numFmtId="0" fontId="23" fillId="34" borderId="10" xfId="0" applyFont="1" applyFill="1" applyBorder="1" applyAlignment="1">
      <alignment horizontal="center" vertical="center"/>
    </xf>
    <xf numFmtId="177" fontId="23" fillId="34" borderId="10" xfId="0" applyNumberFormat="1" applyFont="1" applyFill="1" applyBorder="1" applyAlignment="1">
      <alignment horizontal="center" vertical="center"/>
    </xf>
    <xf numFmtId="0" fontId="23" fillId="34" borderId="19" xfId="0" applyFont="1" applyFill="1" applyBorder="1" applyAlignment="1">
      <alignment horizontal="center" vertical="center"/>
    </xf>
    <xf numFmtId="0" fontId="23" fillId="34" borderId="17" xfId="0" applyFont="1" applyFill="1" applyBorder="1" applyAlignment="1">
      <alignment horizontal="center" vertical="center"/>
    </xf>
    <xf numFmtId="176" fontId="22" fillId="35" borderId="11" xfId="0" applyNumberFormat="1" applyFont="1" applyFill="1" applyBorder="1">
      <alignment vertical="center"/>
    </xf>
    <xf numFmtId="0" fontId="22" fillId="33" borderId="13" xfId="0" applyFont="1" applyFill="1" applyBorder="1">
      <alignment vertical="center"/>
    </xf>
    <xf numFmtId="0" fontId="22" fillId="33" borderId="13" xfId="0" applyFont="1" applyFill="1" applyBorder="1" applyAlignment="1">
      <alignment horizontal="right" vertical="center"/>
    </xf>
    <xf numFmtId="0" fontId="22" fillId="33" borderId="13" xfId="7" applyFont="1" applyFill="1" applyBorder="1" applyAlignment="1">
      <alignment horizontal="center" vertical="center"/>
    </xf>
    <xf numFmtId="0" fontId="22" fillId="33" borderId="13" xfId="8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177" fontId="22" fillId="33" borderId="13" xfId="0" applyNumberFormat="1" applyFont="1" applyFill="1" applyBorder="1" applyAlignment="1">
      <alignment horizontal="center" vertical="center"/>
    </xf>
    <xf numFmtId="0" fontId="22" fillId="33" borderId="14" xfId="0" applyFont="1" applyFill="1" applyBorder="1" applyAlignment="1">
      <alignment horizontal="center" vertical="center"/>
    </xf>
    <xf numFmtId="0" fontId="22" fillId="34" borderId="13" xfId="0" applyFont="1" applyFill="1" applyBorder="1">
      <alignment vertical="center"/>
    </xf>
    <xf numFmtId="0" fontId="22" fillId="34" borderId="13" xfId="0" applyFont="1" applyFill="1" applyBorder="1" applyAlignment="1">
      <alignment horizontal="right" vertical="center"/>
    </xf>
    <xf numFmtId="177" fontId="22" fillId="34" borderId="13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0" fontId="22" fillId="34" borderId="10" xfId="0" applyFont="1" applyFill="1" applyBorder="1">
      <alignment vertical="center"/>
    </xf>
    <xf numFmtId="0" fontId="22" fillId="34" borderId="10" xfId="0" applyFont="1" applyFill="1" applyBorder="1" applyAlignment="1">
      <alignment horizontal="right" vertical="center"/>
    </xf>
    <xf numFmtId="0" fontId="22" fillId="34" borderId="10" xfId="0" applyFont="1" applyFill="1" applyBorder="1" applyAlignment="1">
      <alignment horizontal="center" vertical="center"/>
    </xf>
    <xf numFmtId="177" fontId="22" fillId="34" borderId="10" xfId="0" applyNumberFormat="1" applyFont="1" applyFill="1" applyBorder="1" applyAlignment="1">
      <alignment horizontal="center" vertical="center"/>
    </xf>
    <xf numFmtId="0" fontId="22" fillId="34" borderId="19" xfId="0" applyFont="1" applyFill="1" applyBorder="1" applyAlignment="1">
      <alignment horizontal="center" vertical="center"/>
    </xf>
    <xf numFmtId="0" fontId="22" fillId="34" borderId="16" xfId="0" applyFont="1" applyFill="1" applyBorder="1">
      <alignment vertical="center"/>
    </xf>
    <xf numFmtId="0" fontId="22" fillId="34" borderId="16" xfId="0" applyFont="1" applyFill="1" applyBorder="1" applyAlignment="1">
      <alignment horizontal="right" vertical="center"/>
    </xf>
    <xf numFmtId="0" fontId="22" fillId="34" borderId="16" xfId="0" applyFont="1" applyFill="1" applyBorder="1" applyAlignment="1">
      <alignment horizontal="center" vertical="center"/>
    </xf>
    <xf numFmtId="2" fontId="22" fillId="34" borderId="16" xfId="7" applyNumberFormat="1" applyFont="1" applyFill="1" applyBorder="1" applyAlignment="1">
      <alignment horizontal="center" vertical="center"/>
    </xf>
    <xf numFmtId="22" fontId="22" fillId="35" borderId="11" xfId="0" applyNumberFormat="1" applyFont="1" applyFill="1" applyBorder="1" applyAlignment="1">
      <alignment horizontal="right" vertical="center"/>
    </xf>
    <xf numFmtId="177" fontId="22" fillId="35" borderId="11" xfId="0" applyNumberFormat="1" applyFont="1" applyFill="1" applyBorder="1" applyAlignment="1">
      <alignment horizontal="center" vertical="center"/>
    </xf>
    <xf numFmtId="2" fontId="22" fillId="35" borderId="11" xfId="0" applyNumberFormat="1" applyFont="1" applyFill="1" applyBorder="1" applyAlignment="1">
      <alignment horizontal="center" vertical="center"/>
    </xf>
    <xf numFmtId="2" fontId="22" fillId="35" borderId="11" xfId="8" applyNumberFormat="1" applyFont="1" applyFill="1" applyBorder="1" applyAlignment="1">
      <alignment horizontal="center" vertical="center"/>
    </xf>
    <xf numFmtId="178" fontId="22" fillId="35" borderId="11" xfId="8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20" fillId="33" borderId="13" xfId="0" applyFont="1" applyFill="1" applyBorder="1" applyAlignment="1">
      <alignment horizontal="center" vertical="center"/>
    </xf>
    <xf numFmtId="0" fontId="20" fillId="33" borderId="13" xfId="0" applyFont="1" applyFill="1" applyBorder="1">
      <alignment vertical="center"/>
    </xf>
    <xf numFmtId="0" fontId="23" fillId="33" borderId="12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176" fontId="19" fillId="35" borderId="11" xfId="0" applyNumberFormat="1" applyFont="1" applyFill="1" applyBorder="1">
      <alignment vertical="center"/>
    </xf>
    <xf numFmtId="2" fontId="19" fillId="34" borderId="10" xfId="0" applyNumberFormat="1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7" fillId="0" borderId="10" xfId="0" applyFont="1" applyBorder="1">
      <alignment vertical="center"/>
    </xf>
    <xf numFmtId="2" fontId="19" fillId="34" borderId="21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22" fontId="0" fillId="0" borderId="11" xfId="0" applyNumberFormat="1" applyBorder="1">
      <alignment vertical="center"/>
    </xf>
    <xf numFmtId="0" fontId="0" fillId="0" borderId="10" xfId="0" applyBorder="1">
      <alignment vertical="center"/>
    </xf>
    <xf numFmtId="22" fontId="0" fillId="0" borderId="10" xfId="0" applyNumberFormat="1" applyBorder="1">
      <alignment vertical="center"/>
    </xf>
    <xf numFmtId="0" fontId="29" fillId="0" borderId="0" xfId="0" applyFont="1" applyBorder="1">
      <alignment vertical="center"/>
    </xf>
    <xf numFmtId="22" fontId="27" fillId="0" borderId="10" xfId="0" applyNumberFormat="1" applyFont="1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0" fillId="0" borderId="0" xfId="0" applyFont="1" applyBorder="1">
      <alignment vertical="center"/>
    </xf>
    <xf numFmtId="0" fontId="23" fillId="35" borderId="0" xfId="0" applyFont="1" applyFill="1">
      <alignment vertical="center"/>
    </xf>
    <xf numFmtId="182" fontId="19" fillId="34" borderId="10" xfId="0" applyNumberFormat="1" applyFont="1" applyFill="1" applyBorder="1" applyAlignment="1">
      <alignment horizontal="center" vertical="center"/>
    </xf>
    <xf numFmtId="0" fontId="23" fillId="0" borderId="0" xfId="0" applyFon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2" fontId="0" fillId="0" borderId="11" xfId="0" applyNumberFormat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22" fontId="0" fillId="0" borderId="10" xfId="0" applyNumberFormat="1" applyBorder="1" applyAlignment="1">
      <alignment horizontal="right" vertical="center"/>
    </xf>
    <xf numFmtId="0" fontId="29" fillId="0" borderId="0" xfId="0" applyFont="1" applyBorder="1" applyAlignment="1">
      <alignment horizontal="center" vertical="center"/>
    </xf>
    <xf numFmtId="22" fontId="27" fillId="0" borderId="10" xfId="0" applyNumberFormat="1" applyFont="1" applyBorder="1" applyAlignment="1">
      <alignment horizontal="right" vertical="center"/>
    </xf>
    <xf numFmtId="0" fontId="27" fillId="0" borderId="0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22" fontId="0" fillId="0" borderId="0" xfId="0" applyNumberFormat="1" applyBorder="1" applyAlignment="1">
      <alignment horizontal="right" vertical="center"/>
    </xf>
    <xf numFmtId="2" fontId="19" fillId="34" borderId="18" xfId="0" applyNumberFormat="1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177" fontId="30" fillId="35" borderId="0" xfId="0" applyNumberFormat="1" applyFont="1" applyFill="1" applyAlignment="1">
      <alignment horizontal="center" vertical="center"/>
    </xf>
    <xf numFmtId="0" fontId="19" fillId="35" borderId="0" xfId="7" applyFont="1" applyFill="1" applyAlignment="1">
      <alignment horizontal="center" vertical="center"/>
    </xf>
    <xf numFmtId="0" fontId="19" fillId="35" borderId="0" xfId="8" applyFont="1" applyFill="1" applyAlignment="1">
      <alignment horizontal="center" vertical="center"/>
    </xf>
    <xf numFmtId="0" fontId="19" fillId="35" borderId="0" xfId="0" applyFont="1" applyFill="1" applyAlignment="1">
      <alignment horizontal="center" vertical="center"/>
    </xf>
    <xf numFmtId="0" fontId="23" fillId="35" borderId="11" xfId="0" applyFont="1" applyFill="1" applyBorder="1" applyAlignment="1">
      <alignment horizontal="center" vertical="center"/>
    </xf>
    <xf numFmtId="0" fontId="20" fillId="35" borderId="0" xfId="0" applyFont="1" applyFill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177" fontId="31" fillId="35" borderId="0" xfId="0" applyNumberFormat="1" applyFont="1" applyFill="1" applyAlignment="1">
      <alignment horizontal="center" vertical="center"/>
    </xf>
    <xf numFmtId="0" fontId="23" fillId="35" borderId="0" xfId="7" applyFont="1" applyFill="1" applyAlignment="1">
      <alignment horizontal="center" vertical="center"/>
    </xf>
    <xf numFmtId="0" fontId="23" fillId="35" borderId="0" xfId="8" applyFont="1" applyFill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22" fontId="19" fillId="0" borderId="10" xfId="0" applyNumberFormat="1" applyFont="1" applyBorder="1">
      <alignment vertical="center"/>
    </xf>
    <xf numFmtId="0" fontId="19" fillId="0" borderId="10" xfId="0" applyFont="1" applyBorder="1">
      <alignment vertical="center"/>
    </xf>
    <xf numFmtId="0" fontId="0" fillId="34" borderId="22" xfId="0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14" fillId="33" borderId="13" xfId="0" applyFont="1" applyFill="1" applyBorder="1" applyAlignment="1">
      <alignment horizontal="center" vertical="center"/>
    </xf>
    <xf numFmtId="0" fontId="14" fillId="33" borderId="16" xfId="0" applyFont="1" applyFill="1" applyBorder="1" applyAlignment="1">
      <alignment horizontal="center" vertical="center"/>
    </xf>
    <xf numFmtId="0" fontId="19" fillId="35" borderId="11" xfId="0" applyFont="1" applyFill="1" applyBorder="1" applyAlignment="1">
      <alignment horizontal="center" vertical="center"/>
    </xf>
    <xf numFmtId="0" fontId="19" fillId="0" borderId="0" xfId="0" applyFont="1" applyFill="1">
      <alignment vertical="center"/>
    </xf>
    <xf numFmtId="0" fontId="19" fillId="33" borderId="16" xfId="0" applyFont="1" applyFill="1" applyBorder="1" applyAlignment="1">
      <alignment horizontal="center" vertical="center"/>
    </xf>
    <xf numFmtId="2" fontId="0" fillId="33" borderId="16" xfId="0" applyNumberForma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2" fillId="35" borderId="0" xfId="0" applyFont="1" applyFill="1" applyBorder="1" applyAlignment="1">
      <alignment horizontal="center" vertical="center"/>
    </xf>
    <xf numFmtId="0" fontId="33" fillId="35" borderId="0" xfId="0" applyFont="1" applyFill="1" applyBorder="1">
      <alignment vertical="center"/>
    </xf>
    <xf numFmtId="0" fontId="33" fillId="35" borderId="0" xfId="0" applyFont="1" applyFill="1" applyBorder="1" applyAlignment="1">
      <alignment horizontal="right" vertical="center"/>
    </xf>
    <xf numFmtId="177" fontId="34" fillId="35" borderId="0" xfId="0" applyNumberFormat="1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left" vertical="center"/>
    </xf>
    <xf numFmtId="0" fontId="35" fillId="35" borderId="0" xfId="8" applyFont="1" applyFill="1" applyBorder="1" applyAlignment="1">
      <alignment horizontal="center" vertical="center"/>
    </xf>
    <xf numFmtId="0" fontId="35" fillId="35" borderId="0" xfId="0" applyFont="1" applyFill="1" applyBorder="1" applyAlignment="1">
      <alignment horizontal="center" vertical="center"/>
    </xf>
    <xf numFmtId="0" fontId="32" fillId="35" borderId="0" xfId="0" applyFont="1" applyFill="1">
      <alignment vertical="center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0" fontId="36" fillId="33" borderId="12" xfId="0" applyFont="1" applyFill="1" applyBorder="1" applyAlignment="1">
      <alignment horizontal="center" vertical="center"/>
    </xf>
    <xf numFmtId="0" fontId="36" fillId="33" borderId="13" xfId="0" applyFont="1" applyFill="1" applyBorder="1" applyAlignment="1">
      <alignment horizontal="center" vertical="center"/>
    </xf>
    <xf numFmtId="0" fontId="37" fillId="33" borderId="13" xfId="0" applyFont="1" applyFill="1" applyBorder="1">
      <alignment vertical="center"/>
    </xf>
    <xf numFmtId="0" fontId="37" fillId="33" borderId="13" xfId="0" applyFont="1" applyFill="1" applyBorder="1" applyAlignment="1">
      <alignment horizontal="right" vertical="center"/>
    </xf>
    <xf numFmtId="0" fontId="37" fillId="33" borderId="13" xfId="7" applyFont="1" applyFill="1" applyBorder="1" applyAlignment="1">
      <alignment horizontal="center" vertical="center"/>
    </xf>
    <xf numFmtId="0" fontId="37" fillId="33" borderId="13" xfId="8" applyFont="1" applyFill="1" applyBorder="1" applyAlignment="1">
      <alignment horizontal="center" vertical="center"/>
    </xf>
    <xf numFmtId="0" fontId="37" fillId="33" borderId="13" xfId="0" applyFont="1" applyFill="1" applyBorder="1" applyAlignment="1">
      <alignment horizontal="center" vertical="center"/>
    </xf>
    <xf numFmtId="177" fontId="37" fillId="33" borderId="13" xfId="0" applyNumberFormat="1" applyFont="1" applyFill="1" applyBorder="1" applyAlignment="1">
      <alignment horizontal="center" vertical="center"/>
    </xf>
    <xf numFmtId="0" fontId="37" fillId="33" borderId="14" xfId="0" applyFont="1" applyFill="1" applyBorder="1" applyAlignment="1">
      <alignment horizontal="center" vertical="center"/>
    </xf>
    <xf numFmtId="0" fontId="36" fillId="35" borderId="0" xfId="0" applyFont="1" applyFill="1">
      <alignment vertical="center"/>
    </xf>
    <xf numFmtId="0" fontId="36" fillId="33" borderId="15" xfId="0" applyFont="1" applyFill="1" applyBorder="1" applyAlignment="1">
      <alignment horizontal="center" vertical="center"/>
    </xf>
    <xf numFmtId="0" fontId="36" fillId="33" borderId="16" xfId="0" applyFont="1" applyFill="1" applyBorder="1" applyAlignment="1">
      <alignment horizontal="center" vertical="center"/>
    </xf>
    <xf numFmtId="0" fontId="38" fillId="33" borderId="16" xfId="0" applyFont="1" applyFill="1" applyBorder="1">
      <alignment vertical="center"/>
    </xf>
    <xf numFmtId="0" fontId="38" fillId="33" borderId="16" xfId="0" applyFont="1" applyFill="1" applyBorder="1" applyAlignment="1">
      <alignment horizontal="right" vertical="center"/>
    </xf>
    <xf numFmtId="2" fontId="39" fillId="33" borderId="16" xfId="7" applyNumberFormat="1" applyFont="1" applyFill="1" applyBorder="1" applyAlignment="1">
      <alignment horizontal="center" vertical="center"/>
    </xf>
    <xf numFmtId="2" fontId="37" fillId="33" borderId="16" xfId="7" applyNumberFormat="1" applyFont="1" applyFill="1" applyBorder="1" applyAlignment="1">
      <alignment horizontal="center" vertical="center"/>
    </xf>
    <xf numFmtId="2" fontId="39" fillId="33" borderId="16" xfId="8" applyNumberFormat="1" applyFont="1" applyFill="1" applyBorder="1" applyAlignment="1">
      <alignment horizontal="center" vertical="center"/>
    </xf>
    <xf numFmtId="0" fontId="39" fillId="33" borderId="17" xfId="0" applyFont="1" applyFill="1" applyBorder="1" applyAlignment="1">
      <alignment horizontal="center" vertical="center"/>
    </xf>
    <xf numFmtId="0" fontId="36" fillId="34" borderId="12" xfId="0" applyFont="1" applyFill="1" applyBorder="1" applyAlignment="1">
      <alignment horizontal="center" vertical="center"/>
    </xf>
    <xf numFmtId="0" fontId="36" fillId="34" borderId="13" xfId="0" applyFont="1" applyFill="1" applyBorder="1" applyAlignment="1">
      <alignment horizontal="center" vertical="center"/>
    </xf>
    <xf numFmtId="0" fontId="37" fillId="34" borderId="13" xfId="0" applyFont="1" applyFill="1" applyBorder="1">
      <alignment vertical="center"/>
    </xf>
    <xf numFmtId="0" fontId="37" fillId="34" borderId="13" xfId="0" applyFont="1" applyFill="1" applyBorder="1" applyAlignment="1">
      <alignment horizontal="right" vertical="center"/>
    </xf>
    <xf numFmtId="177" fontId="37" fillId="34" borderId="13" xfId="0" applyNumberFormat="1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6" fillId="34" borderId="18" xfId="0" applyFont="1" applyFill="1" applyBorder="1" applyAlignment="1">
      <alignment horizontal="center" vertical="center"/>
    </xf>
    <xf numFmtId="0" fontId="36" fillId="34" borderId="10" xfId="0" applyFont="1" applyFill="1" applyBorder="1" applyAlignment="1">
      <alignment horizontal="center" vertical="center"/>
    </xf>
    <xf numFmtId="0" fontId="37" fillId="34" borderId="10" xfId="0" applyFont="1" applyFill="1" applyBorder="1">
      <alignment vertical="center"/>
    </xf>
    <xf numFmtId="0" fontId="37" fillId="34" borderId="10" xfId="0" applyFont="1" applyFill="1" applyBorder="1" applyAlignment="1">
      <alignment horizontal="right" vertical="center"/>
    </xf>
    <xf numFmtId="0" fontId="37" fillId="34" borderId="10" xfId="0" applyFont="1" applyFill="1" applyBorder="1" applyAlignment="1">
      <alignment horizontal="center" vertical="center"/>
    </xf>
    <xf numFmtId="177" fontId="37" fillId="34" borderId="10" xfId="0" applyNumberFormat="1" applyFont="1" applyFill="1" applyBorder="1" applyAlignment="1">
      <alignment horizontal="center" vertical="center"/>
    </xf>
    <xf numFmtId="0" fontId="37" fillId="34" borderId="19" xfId="0" applyFont="1" applyFill="1" applyBorder="1" applyAlignment="1">
      <alignment horizontal="center" vertical="center"/>
    </xf>
    <xf numFmtId="0" fontId="36" fillId="34" borderId="15" xfId="0" applyFont="1" applyFill="1" applyBorder="1" applyAlignment="1">
      <alignment horizontal="center" vertical="center"/>
    </xf>
    <xf numFmtId="0" fontId="36" fillId="34" borderId="16" xfId="0" applyFont="1" applyFill="1" applyBorder="1" applyAlignment="1">
      <alignment horizontal="center" vertical="center"/>
    </xf>
    <xf numFmtId="0" fontId="37" fillId="34" borderId="16" xfId="0" applyFont="1" applyFill="1" applyBorder="1">
      <alignment vertical="center"/>
    </xf>
    <xf numFmtId="0" fontId="37" fillId="34" borderId="16" xfId="0" applyFont="1" applyFill="1" applyBorder="1" applyAlignment="1">
      <alignment horizontal="right" vertical="center"/>
    </xf>
    <xf numFmtId="0" fontId="37" fillId="34" borderId="16" xfId="0" applyFont="1" applyFill="1" applyBorder="1" applyAlignment="1">
      <alignment horizontal="center" vertical="center"/>
    </xf>
    <xf numFmtId="2" fontId="37" fillId="34" borderId="16" xfId="7" applyNumberFormat="1" applyFont="1" applyFill="1" applyBorder="1" applyAlignment="1">
      <alignment horizontal="center" vertical="center"/>
    </xf>
    <xf numFmtId="0" fontId="38" fillId="34" borderId="17" xfId="0" applyFont="1" applyFill="1" applyBorder="1" applyAlignment="1">
      <alignment horizontal="center" vertical="center"/>
    </xf>
    <xf numFmtId="176" fontId="37" fillId="35" borderId="11" xfId="0" applyNumberFormat="1" applyFont="1" applyFill="1" applyBorder="1">
      <alignment vertical="center"/>
    </xf>
    <xf numFmtId="22" fontId="37" fillId="35" borderId="11" xfId="0" applyNumberFormat="1" applyFont="1" applyFill="1" applyBorder="1" applyAlignment="1">
      <alignment horizontal="right" vertical="center"/>
    </xf>
    <xf numFmtId="0" fontId="37" fillId="35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8" fillId="0" borderId="0" xfId="0" applyFont="1">
      <alignment vertical="center"/>
    </xf>
    <xf numFmtId="0" fontId="38" fillId="0" borderId="0" xfId="0" applyFont="1" applyAlignment="1">
      <alignment horizontal="right" vertical="center"/>
    </xf>
    <xf numFmtId="177" fontId="41" fillId="35" borderId="0" xfId="0" applyNumberFormat="1" applyFont="1" applyFill="1" applyAlignment="1">
      <alignment horizontal="center" vertical="center"/>
    </xf>
    <xf numFmtId="0" fontId="38" fillId="35" borderId="0" xfId="7" applyFont="1" applyFill="1" applyAlignment="1">
      <alignment horizontal="center" vertical="center"/>
    </xf>
    <xf numFmtId="0" fontId="38" fillId="35" borderId="0" xfId="8" applyFont="1" applyFill="1" applyAlignment="1">
      <alignment horizontal="center" vertical="center"/>
    </xf>
    <xf numFmtId="0" fontId="38" fillId="35" borderId="0" xfId="0" applyFont="1" applyFill="1" applyAlignment="1">
      <alignment horizontal="center"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/>
    </xf>
    <xf numFmtId="0" fontId="42" fillId="35" borderId="0" xfId="0" applyFont="1" applyFill="1" applyBorder="1" applyAlignment="1">
      <alignment horizontal="center" vertical="center"/>
    </xf>
    <xf numFmtId="0" fontId="43" fillId="35" borderId="0" xfId="0" applyFont="1" applyFill="1" applyBorder="1">
      <alignment vertical="center"/>
    </xf>
    <xf numFmtId="0" fontId="43" fillId="35" borderId="0" xfId="0" applyFont="1" applyFill="1" applyBorder="1" applyAlignment="1">
      <alignment horizontal="right" vertical="center"/>
    </xf>
    <xf numFmtId="177" fontId="44" fillId="35" borderId="0" xfId="0" applyNumberFormat="1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left" vertical="center"/>
    </xf>
    <xf numFmtId="0" fontId="45" fillId="35" borderId="0" xfId="8" applyFont="1" applyFill="1" applyBorder="1" applyAlignment="1">
      <alignment horizontal="center" vertical="center"/>
    </xf>
    <xf numFmtId="0" fontId="45" fillId="35" borderId="0" xfId="0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0" fontId="47" fillId="33" borderId="12" xfId="0" applyFont="1" applyFill="1" applyBorder="1" applyAlignment="1">
      <alignment horizontal="center" vertical="center"/>
    </xf>
    <xf numFmtId="182" fontId="48" fillId="33" borderId="13" xfId="0" applyNumberFormat="1" applyFont="1" applyFill="1" applyBorder="1" applyAlignment="1">
      <alignment horizontal="center" vertical="center"/>
    </xf>
    <xf numFmtId="0" fontId="47" fillId="33" borderId="13" xfId="0" applyFont="1" applyFill="1" applyBorder="1">
      <alignment vertical="center"/>
    </xf>
    <xf numFmtId="0" fontId="47" fillId="33" borderId="13" xfId="0" applyFont="1" applyFill="1" applyBorder="1" applyAlignment="1">
      <alignment horizontal="right" vertical="center"/>
    </xf>
    <xf numFmtId="0" fontId="47" fillId="33" borderId="13" xfId="7" applyFont="1" applyFill="1" applyBorder="1" applyAlignment="1">
      <alignment horizontal="center" vertical="center"/>
    </xf>
    <xf numFmtId="0" fontId="47" fillId="33" borderId="13" xfId="8" applyFont="1" applyFill="1" applyBorder="1" applyAlignment="1">
      <alignment horizontal="center" vertical="center"/>
    </xf>
    <xf numFmtId="0" fontId="47" fillId="33" borderId="13" xfId="0" applyFont="1" applyFill="1" applyBorder="1" applyAlignment="1">
      <alignment horizontal="center" vertical="center"/>
    </xf>
    <xf numFmtId="177" fontId="47" fillId="33" borderId="13" xfId="0" applyNumberFormat="1" applyFont="1" applyFill="1" applyBorder="1" applyAlignment="1">
      <alignment horizontal="center" vertical="center"/>
    </xf>
    <xf numFmtId="0" fontId="47" fillId="33" borderId="14" xfId="0" applyFont="1" applyFill="1" applyBorder="1" applyAlignment="1">
      <alignment horizontal="center" vertical="center"/>
    </xf>
    <xf numFmtId="0" fontId="46" fillId="33" borderId="15" xfId="0" applyFont="1" applyFill="1" applyBorder="1" applyAlignment="1">
      <alignment horizontal="center" vertical="center"/>
    </xf>
    <xf numFmtId="0" fontId="48" fillId="33" borderId="16" xfId="0" applyFont="1" applyFill="1" applyBorder="1" applyAlignment="1">
      <alignment horizontal="center" vertical="center"/>
    </xf>
    <xf numFmtId="0" fontId="49" fillId="33" borderId="16" xfId="0" applyFont="1" applyFill="1" applyBorder="1">
      <alignment vertical="center"/>
    </xf>
    <xf numFmtId="0" fontId="49" fillId="33" borderId="16" xfId="0" applyFont="1" applyFill="1" applyBorder="1" applyAlignment="1">
      <alignment horizontal="right" vertical="center"/>
    </xf>
    <xf numFmtId="2" fontId="47" fillId="33" borderId="16" xfId="7" applyNumberFormat="1" applyFont="1" applyFill="1" applyBorder="1" applyAlignment="1">
      <alignment horizontal="center" vertical="center"/>
    </xf>
    <xf numFmtId="2" fontId="50" fillId="33" borderId="16" xfId="7" applyNumberFormat="1" applyFont="1" applyFill="1" applyBorder="1" applyAlignment="1">
      <alignment horizontal="center" vertical="center"/>
    </xf>
    <xf numFmtId="2" fontId="51" fillId="33" borderId="16" xfId="8" applyNumberFormat="1" applyFont="1" applyFill="1" applyBorder="1" applyAlignment="1">
      <alignment horizontal="center" vertical="center"/>
    </xf>
    <xf numFmtId="0" fontId="51" fillId="33" borderId="17" xfId="0" applyFont="1" applyFill="1" applyBorder="1" applyAlignment="1">
      <alignment horizontal="center" vertical="center"/>
    </xf>
    <xf numFmtId="0" fontId="47" fillId="34" borderId="12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right" vertical="center"/>
    </xf>
    <xf numFmtId="2" fontId="47" fillId="34" borderId="13" xfId="0" applyNumberFormat="1" applyFont="1" applyFill="1" applyBorder="1" applyAlignment="1">
      <alignment horizontal="center" vertical="center"/>
    </xf>
    <xf numFmtId="0" fontId="49" fillId="34" borderId="14" xfId="0" applyFont="1" applyFill="1" applyBorder="1" applyAlignment="1">
      <alignment horizontal="center" vertical="center"/>
    </xf>
    <xf numFmtId="0" fontId="51" fillId="34" borderId="18" xfId="0" applyFont="1" applyFill="1" applyBorder="1" applyAlignment="1">
      <alignment horizontal="center" vertical="center"/>
    </xf>
    <xf numFmtId="0" fontId="51" fillId="34" borderId="10" xfId="0" applyFont="1" applyFill="1" applyBorder="1" applyAlignment="1">
      <alignment horizontal="center" vertical="center"/>
    </xf>
    <xf numFmtId="2" fontId="51" fillId="34" borderId="10" xfId="0" applyNumberFormat="1" applyFont="1" applyFill="1" applyBorder="1" applyAlignment="1">
      <alignment horizontal="center" vertical="center"/>
    </xf>
    <xf numFmtId="0" fontId="47" fillId="34" borderId="10" xfId="0" applyFont="1" applyFill="1" applyBorder="1" applyAlignment="1">
      <alignment horizontal="right" vertical="center"/>
    </xf>
    <xf numFmtId="2" fontId="47" fillId="34" borderId="10" xfId="0" applyNumberFormat="1" applyFont="1" applyFill="1" applyBorder="1" applyAlignment="1">
      <alignment horizontal="center" vertical="center"/>
    </xf>
    <xf numFmtId="0" fontId="49" fillId="34" borderId="19" xfId="0" applyFont="1" applyFill="1" applyBorder="1" applyAlignment="1">
      <alignment horizontal="center" vertical="center"/>
    </xf>
    <xf numFmtId="0" fontId="47" fillId="34" borderId="15" xfId="0" applyFont="1" applyFill="1" applyBorder="1" applyAlignment="1">
      <alignment horizontal="center" vertical="center"/>
    </xf>
    <xf numFmtId="0" fontId="47" fillId="34" borderId="16" xfId="0" applyFont="1" applyFill="1" applyBorder="1" applyAlignment="1">
      <alignment horizontal="center" vertical="center"/>
    </xf>
    <xf numFmtId="0" fontId="47" fillId="34" borderId="16" xfId="0" applyFont="1" applyFill="1" applyBorder="1">
      <alignment vertical="center"/>
    </xf>
    <xf numFmtId="0" fontId="47" fillId="34" borderId="16" xfId="0" applyFont="1" applyFill="1" applyBorder="1" applyAlignment="1">
      <alignment horizontal="right" vertical="center"/>
    </xf>
    <xf numFmtId="2" fontId="47" fillId="34" borderId="16" xfId="7" applyNumberFormat="1" applyFont="1" applyFill="1" applyBorder="1" applyAlignment="1">
      <alignment horizontal="center" vertical="center"/>
    </xf>
    <xf numFmtId="0" fontId="49" fillId="34" borderId="17" xfId="0" applyFont="1" applyFill="1" applyBorder="1" applyAlignment="1">
      <alignment horizontal="center" vertical="center"/>
    </xf>
    <xf numFmtId="176" fontId="50" fillId="35" borderId="11" xfId="0" applyNumberFormat="1" applyFont="1" applyFill="1" applyBorder="1">
      <alignment vertical="center"/>
    </xf>
    <xf numFmtId="22" fontId="50" fillId="35" borderId="11" xfId="0" applyNumberFormat="1" applyFont="1" applyFill="1" applyBorder="1" applyAlignment="1">
      <alignment horizontal="right" vertical="center"/>
    </xf>
    <xf numFmtId="177" fontId="50" fillId="35" borderId="11" xfId="0" applyNumberFormat="1" applyFont="1" applyFill="1" applyBorder="1" applyAlignment="1">
      <alignment horizontal="center" vertical="center"/>
    </xf>
    <xf numFmtId="2" fontId="50" fillId="35" borderId="11" xfId="0" applyNumberFormat="1" applyFont="1" applyFill="1" applyBorder="1" applyAlignment="1">
      <alignment horizontal="center" vertical="center"/>
    </xf>
    <xf numFmtId="2" fontId="50" fillId="35" borderId="11" xfId="8" applyNumberFormat="1" applyFont="1" applyFill="1" applyBorder="1" applyAlignment="1">
      <alignment horizontal="center" vertical="center"/>
    </xf>
    <xf numFmtId="178" fontId="50" fillId="35" borderId="11" xfId="8" applyNumberFormat="1" applyFont="1" applyFill="1" applyBorder="1" applyAlignment="1">
      <alignment horizontal="center" vertical="center"/>
    </xf>
    <xf numFmtId="0" fontId="49" fillId="0" borderId="0" xfId="0" applyFont="1">
      <alignment vertical="center"/>
    </xf>
    <xf numFmtId="0" fontId="51" fillId="35" borderId="0" xfId="0" applyFont="1" applyFill="1">
      <alignment vertical="center"/>
    </xf>
    <xf numFmtId="0" fontId="51" fillId="0" borderId="0" xfId="0" applyFont="1">
      <alignment vertical="center"/>
    </xf>
    <xf numFmtId="0" fontId="51" fillId="36" borderId="0" xfId="0" applyFont="1" applyFill="1">
      <alignment vertical="center"/>
    </xf>
    <xf numFmtId="0" fontId="49" fillId="35" borderId="0" xfId="8" applyFont="1" applyFill="1" applyAlignment="1">
      <alignment horizontal="center" vertical="center"/>
    </xf>
    <xf numFmtId="0" fontId="49" fillId="35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177" fontId="52" fillId="35" borderId="0" xfId="0" applyNumberFormat="1" applyFont="1" applyFill="1" applyAlignment="1">
      <alignment horizontal="center" vertical="center"/>
    </xf>
    <xf numFmtId="0" fontId="49" fillId="35" borderId="0" xfId="7" applyFont="1" applyFill="1" applyAlignment="1">
      <alignment horizontal="center" vertical="center"/>
    </xf>
    <xf numFmtId="0" fontId="53" fillId="0" borderId="0" xfId="0" applyFont="1">
      <alignment vertical="center"/>
    </xf>
    <xf numFmtId="0" fontId="54" fillId="0" borderId="0" xfId="0" applyFont="1">
      <alignment vertical="center"/>
    </xf>
    <xf numFmtId="0" fontId="53" fillId="0" borderId="0" xfId="0" applyFont="1" applyBorder="1">
      <alignment vertical="center"/>
    </xf>
    <xf numFmtId="0" fontId="53" fillId="0" borderId="11" xfId="0" applyFont="1" applyBorder="1">
      <alignment vertical="center"/>
    </xf>
    <xf numFmtId="22" fontId="53" fillId="0" borderId="11" xfId="0" applyNumberFormat="1" applyFont="1" applyBorder="1">
      <alignment vertical="center"/>
    </xf>
    <xf numFmtId="0" fontId="53" fillId="0" borderId="10" xfId="0" applyFont="1" applyBorder="1">
      <alignment vertical="center"/>
    </xf>
    <xf numFmtId="22" fontId="53" fillId="0" borderId="10" xfId="0" applyNumberFormat="1" applyFont="1" applyBorder="1">
      <alignment vertical="center"/>
    </xf>
    <xf numFmtId="0" fontId="54" fillId="0" borderId="10" xfId="0" applyFont="1" applyBorder="1">
      <alignment vertical="center"/>
    </xf>
    <xf numFmtId="22" fontId="55" fillId="0" borderId="10" xfId="0" applyNumberFormat="1" applyFont="1" applyBorder="1">
      <alignment vertical="center"/>
    </xf>
    <xf numFmtId="0" fontId="55" fillId="0" borderId="10" xfId="0" applyFont="1" applyBorder="1">
      <alignment vertical="center"/>
    </xf>
    <xf numFmtId="0" fontId="55" fillId="0" borderId="0" xfId="0" applyFont="1">
      <alignment vertical="center"/>
    </xf>
    <xf numFmtId="0" fontId="14" fillId="37" borderId="0" xfId="0" applyFont="1" applyFill="1">
      <alignment vertical="center"/>
    </xf>
    <xf numFmtId="0" fontId="56" fillId="0" borderId="0" xfId="0" applyFont="1">
      <alignment vertical="center"/>
    </xf>
    <xf numFmtId="0" fontId="56" fillId="0" borderId="0" xfId="0" applyFont="1" applyAlignment="1">
      <alignment horizontal="center" vertical="center"/>
    </xf>
    <xf numFmtId="0" fontId="56" fillId="35" borderId="0" xfId="0" applyFont="1" applyFill="1" applyBorder="1" applyAlignment="1">
      <alignment horizontal="center" vertical="center"/>
    </xf>
    <xf numFmtId="0" fontId="57" fillId="35" borderId="0" xfId="0" applyFont="1" applyFill="1" applyBorder="1">
      <alignment vertical="center"/>
    </xf>
    <xf numFmtId="0" fontId="57" fillId="35" borderId="0" xfId="0" applyFont="1" applyFill="1" applyBorder="1" applyAlignment="1">
      <alignment horizontal="right" vertical="center"/>
    </xf>
    <xf numFmtId="177" fontId="58" fillId="35" borderId="0" xfId="0" applyNumberFormat="1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left" vertical="center"/>
    </xf>
    <xf numFmtId="0" fontId="59" fillId="35" borderId="0" xfId="8" applyFont="1" applyFill="1" applyBorder="1" applyAlignment="1">
      <alignment horizontal="center" vertical="center"/>
    </xf>
    <xf numFmtId="0" fontId="59" fillId="35" borderId="0" xfId="0" applyFont="1" applyFill="1" applyBorder="1" applyAlignment="1">
      <alignment horizontal="center" vertical="center"/>
    </xf>
    <xf numFmtId="0" fontId="56" fillId="35" borderId="0" xfId="0" applyFont="1" applyFill="1">
      <alignment vertical="center"/>
    </xf>
    <xf numFmtId="0" fontId="60" fillId="0" borderId="0" xfId="0" applyFont="1">
      <alignment vertical="center"/>
    </xf>
    <xf numFmtId="0" fontId="60" fillId="0" borderId="0" xfId="0" applyFont="1" applyAlignment="1">
      <alignment horizontal="center" vertical="center"/>
    </xf>
    <xf numFmtId="0" fontId="61" fillId="33" borderId="12" xfId="0" applyFont="1" applyFill="1" applyBorder="1" applyAlignment="1">
      <alignment horizontal="center" vertical="center"/>
    </xf>
    <xf numFmtId="0" fontId="62" fillId="33" borderId="13" xfId="0" applyFont="1" applyFill="1" applyBorder="1" applyAlignment="1">
      <alignment horizontal="center" vertical="center"/>
    </xf>
    <xf numFmtId="0" fontId="61" fillId="33" borderId="13" xfId="0" applyFont="1" applyFill="1" applyBorder="1">
      <alignment vertical="center"/>
    </xf>
    <xf numFmtId="0" fontId="61" fillId="33" borderId="13" xfId="0" applyFont="1" applyFill="1" applyBorder="1" applyAlignment="1">
      <alignment horizontal="right" vertical="center"/>
    </xf>
    <xf numFmtId="0" fontId="61" fillId="33" borderId="13" xfId="7" applyFont="1" applyFill="1" applyBorder="1" applyAlignment="1">
      <alignment horizontal="center" vertical="center"/>
    </xf>
    <xf numFmtId="0" fontId="61" fillId="33" borderId="13" xfId="8" applyFont="1" applyFill="1" applyBorder="1" applyAlignment="1">
      <alignment horizontal="center" vertical="center"/>
    </xf>
    <xf numFmtId="0" fontId="61" fillId="33" borderId="13" xfId="0" applyFont="1" applyFill="1" applyBorder="1" applyAlignment="1">
      <alignment horizontal="center" vertical="center"/>
    </xf>
    <xf numFmtId="177" fontId="61" fillId="33" borderId="13" xfId="0" applyNumberFormat="1" applyFont="1" applyFill="1" applyBorder="1" applyAlignment="1">
      <alignment horizontal="center" vertical="center"/>
    </xf>
    <xf numFmtId="0" fontId="61" fillId="33" borderId="14" xfId="0" applyFont="1" applyFill="1" applyBorder="1" applyAlignment="1">
      <alignment horizontal="center" vertical="center"/>
    </xf>
    <xf numFmtId="0" fontId="60" fillId="35" borderId="0" xfId="0" applyFont="1" applyFill="1">
      <alignment vertical="center"/>
    </xf>
    <xf numFmtId="0" fontId="60" fillId="33" borderId="15" xfId="0" applyFont="1" applyFill="1" applyBorder="1" applyAlignment="1">
      <alignment horizontal="center" vertical="center"/>
    </xf>
    <xf numFmtId="0" fontId="62" fillId="33" borderId="16" xfId="0" applyFont="1" applyFill="1" applyBorder="1" applyAlignment="1">
      <alignment horizontal="center" vertical="center"/>
    </xf>
    <xf numFmtId="0" fontId="63" fillId="33" borderId="16" xfId="0" applyFont="1" applyFill="1" applyBorder="1">
      <alignment vertical="center"/>
    </xf>
    <xf numFmtId="0" fontId="63" fillId="33" borderId="16" xfId="0" applyFont="1" applyFill="1" applyBorder="1" applyAlignment="1">
      <alignment horizontal="right" vertical="center"/>
    </xf>
    <xf numFmtId="2" fontId="61" fillId="33" borderId="16" xfId="7" applyNumberFormat="1" applyFont="1" applyFill="1" applyBorder="1" applyAlignment="1">
      <alignment horizontal="center" vertical="center"/>
    </xf>
    <xf numFmtId="2" fontId="64" fillId="33" borderId="16" xfId="7" applyNumberFormat="1" applyFont="1" applyFill="1" applyBorder="1" applyAlignment="1">
      <alignment horizontal="center" vertical="center"/>
    </xf>
    <xf numFmtId="2" fontId="65" fillId="33" borderId="16" xfId="8" applyNumberFormat="1" applyFont="1" applyFill="1" applyBorder="1" applyAlignment="1">
      <alignment horizontal="center" vertical="center"/>
    </xf>
    <xf numFmtId="0" fontId="65" fillId="33" borderId="17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right" vertical="center"/>
    </xf>
    <xf numFmtId="2" fontId="61" fillId="34" borderId="13" xfId="0" applyNumberFormat="1" applyFont="1" applyFill="1" applyBorder="1" applyAlignment="1">
      <alignment horizontal="center" vertical="center"/>
    </xf>
    <xf numFmtId="0" fontId="63" fillId="34" borderId="14" xfId="0" applyFont="1" applyFill="1" applyBorder="1" applyAlignment="1">
      <alignment horizontal="center" vertical="center"/>
    </xf>
    <xf numFmtId="0" fontId="63" fillId="34" borderId="10" xfId="0" applyFont="1" applyFill="1" applyBorder="1" applyAlignment="1">
      <alignment horizontal="center" vertical="center"/>
    </xf>
    <xf numFmtId="0" fontId="60" fillId="35" borderId="0" xfId="0" applyFont="1" applyFill="1" applyBorder="1">
      <alignment vertical="center"/>
    </xf>
    <xf numFmtId="179" fontId="60" fillId="0" borderId="0" xfId="0" applyNumberFormat="1" applyFont="1">
      <alignment vertical="center"/>
    </xf>
    <xf numFmtId="0" fontId="65" fillId="34" borderId="10" xfId="0" applyFont="1" applyFill="1" applyBorder="1" applyAlignment="1">
      <alignment horizontal="center" vertical="center"/>
    </xf>
    <xf numFmtId="0" fontId="61" fillId="34" borderId="10" xfId="0" applyFont="1" applyFill="1" applyBorder="1" applyAlignment="1">
      <alignment horizontal="right" vertical="center"/>
    </xf>
    <xf numFmtId="2" fontId="61" fillId="34" borderId="10" xfId="0" applyNumberFormat="1" applyFont="1" applyFill="1" applyBorder="1" applyAlignment="1">
      <alignment horizontal="center" vertical="center"/>
    </xf>
    <xf numFmtId="0" fontId="63" fillId="34" borderId="19" xfId="0" applyFont="1" applyFill="1" applyBorder="1" applyAlignment="1">
      <alignment horizontal="center" vertical="center"/>
    </xf>
    <xf numFmtId="181" fontId="60" fillId="35" borderId="0" xfId="42" applyNumberFormat="1" applyFont="1" applyFill="1">
      <alignment vertical="center"/>
    </xf>
    <xf numFmtId="0" fontId="61" fillId="34" borderId="15" xfId="0" applyFont="1" applyFill="1" applyBorder="1" applyAlignment="1">
      <alignment horizontal="center" vertical="center"/>
    </xf>
    <xf numFmtId="0" fontId="61" fillId="34" borderId="16" xfId="0" applyFont="1" applyFill="1" applyBorder="1" applyAlignment="1">
      <alignment horizontal="center" vertical="center"/>
    </xf>
    <xf numFmtId="0" fontId="61" fillId="34" borderId="16" xfId="0" applyFont="1" applyFill="1" applyBorder="1">
      <alignment vertical="center"/>
    </xf>
    <xf numFmtId="0" fontId="61" fillId="34" borderId="16" xfId="0" applyFont="1" applyFill="1" applyBorder="1" applyAlignment="1">
      <alignment horizontal="right" vertical="center"/>
    </xf>
    <xf numFmtId="2" fontId="61" fillId="34" borderId="16" xfId="7" applyNumberFormat="1" applyFont="1" applyFill="1" applyBorder="1" applyAlignment="1">
      <alignment horizontal="center" vertical="center"/>
    </xf>
    <xf numFmtId="0" fontId="63" fillId="34" borderId="17" xfId="0" applyFont="1" applyFill="1" applyBorder="1" applyAlignment="1">
      <alignment horizontal="center" vertical="center"/>
    </xf>
    <xf numFmtId="179" fontId="60" fillId="35" borderId="0" xfId="0" applyNumberFormat="1" applyFont="1" applyFill="1">
      <alignment vertical="center"/>
    </xf>
    <xf numFmtId="0" fontId="65" fillId="35" borderId="0" xfId="0" applyFont="1" applyFill="1">
      <alignment vertical="center"/>
    </xf>
    <xf numFmtId="0" fontId="65" fillId="0" borderId="0" xfId="0" applyFont="1">
      <alignment vertical="center"/>
    </xf>
    <xf numFmtId="0" fontId="63" fillId="35" borderId="0" xfId="0" applyFont="1" applyFill="1">
      <alignment vertical="center"/>
    </xf>
    <xf numFmtId="0" fontId="63" fillId="0" borderId="0" xfId="0" applyFont="1">
      <alignment vertical="center"/>
    </xf>
    <xf numFmtId="0" fontId="62" fillId="35" borderId="0" xfId="0" applyFont="1" applyFill="1">
      <alignment vertical="center"/>
    </xf>
    <xf numFmtId="0" fontId="62" fillId="0" borderId="0" xfId="0" applyFont="1">
      <alignment vertical="center"/>
    </xf>
    <xf numFmtId="0" fontId="63" fillId="0" borderId="0" xfId="0" applyFont="1" applyAlignment="1">
      <alignment horizontal="right" vertical="center"/>
    </xf>
    <xf numFmtId="177" fontId="66" fillId="35" borderId="0" xfId="0" applyNumberFormat="1" applyFont="1" applyFill="1" applyAlignment="1">
      <alignment horizontal="center" vertical="center"/>
    </xf>
    <xf numFmtId="0" fontId="63" fillId="35" borderId="0" xfId="7" applyFont="1" applyFill="1" applyAlignment="1">
      <alignment horizontal="center" vertical="center"/>
    </xf>
    <xf numFmtId="0" fontId="63" fillId="35" borderId="0" xfId="8" applyFont="1" applyFill="1" applyAlignment="1">
      <alignment horizontal="center" vertical="center"/>
    </xf>
    <xf numFmtId="0" fontId="63" fillId="35" borderId="0" xfId="0" applyFont="1" applyFill="1" applyAlignment="1">
      <alignment horizontal="center" vertical="center"/>
    </xf>
    <xf numFmtId="179" fontId="14" fillId="35" borderId="0" xfId="0" applyNumberFormat="1" applyFont="1" applyFill="1">
      <alignment vertical="center"/>
    </xf>
    <xf numFmtId="177" fontId="27" fillId="35" borderId="0" xfId="0" applyNumberFormat="1" applyFont="1" applyFill="1">
      <alignment vertical="center"/>
    </xf>
    <xf numFmtId="0" fontId="19" fillId="36" borderId="0" xfId="0" applyFont="1" applyFill="1">
      <alignment vertical="center"/>
    </xf>
    <xf numFmtId="0" fontId="0" fillId="36" borderId="0" xfId="0" applyFill="1">
      <alignment vertical="center"/>
    </xf>
    <xf numFmtId="22" fontId="27" fillId="0" borderId="0" xfId="0" applyNumberFormat="1" applyFont="1">
      <alignment vertical="center"/>
    </xf>
    <xf numFmtId="0" fontId="14" fillId="33" borderId="13" xfId="0" applyNumberFormat="1" applyFont="1" applyFill="1" applyBorder="1" applyAlignment="1">
      <alignment horizontal="center" vertical="center"/>
    </xf>
    <xf numFmtId="2" fontId="19" fillId="34" borderId="20" xfId="0" applyNumberFormat="1" applyFont="1" applyFill="1" applyBorder="1" applyAlignment="1">
      <alignment horizontal="center" vertical="center"/>
    </xf>
    <xf numFmtId="0" fontId="50" fillId="35" borderId="11" xfId="0" applyFont="1" applyFill="1" applyBorder="1" applyAlignment="1">
      <alignment horizontal="center" vertical="center"/>
    </xf>
    <xf numFmtId="0" fontId="19" fillId="38" borderId="0" xfId="0" applyFont="1" applyFill="1">
      <alignment vertical="center"/>
    </xf>
    <xf numFmtId="179" fontId="19" fillId="35" borderId="0" xfId="0" applyNumberFormat="1" applyFont="1" applyFill="1">
      <alignment vertical="center"/>
    </xf>
    <xf numFmtId="0" fontId="1" fillId="0" borderId="0" xfId="0" applyFont="1">
      <alignment vertical="center"/>
    </xf>
    <xf numFmtId="0" fontId="27" fillId="0" borderId="0" xfId="0" applyFont="1" applyFill="1">
      <alignment vertical="center"/>
    </xf>
    <xf numFmtId="176" fontId="23" fillId="35" borderId="10" xfId="0" applyNumberFormat="1" applyFont="1" applyFill="1" applyBorder="1">
      <alignment vertical="center"/>
    </xf>
    <xf numFmtId="22" fontId="23" fillId="35" borderId="10" xfId="0" applyNumberFormat="1" applyFont="1" applyFill="1" applyBorder="1" applyAlignment="1">
      <alignment horizontal="right" vertical="center"/>
    </xf>
    <xf numFmtId="177" fontId="23" fillId="35" borderId="10" xfId="0" applyNumberFormat="1" applyFont="1" applyFill="1" applyBorder="1" applyAlignment="1">
      <alignment horizontal="center" vertical="center"/>
    </xf>
    <xf numFmtId="2" fontId="65" fillId="34" borderId="18" xfId="0" applyNumberFormat="1" applyFont="1" applyFill="1" applyBorder="1" applyAlignment="1">
      <alignment horizontal="center" vertical="center"/>
    </xf>
    <xf numFmtId="0" fontId="67" fillId="0" borderId="0" xfId="0" applyFont="1" applyFill="1" applyBorder="1">
      <alignment vertical="center"/>
    </xf>
    <xf numFmtId="0" fontId="22" fillId="35" borderId="0" xfId="0" applyFont="1" applyFill="1">
      <alignment vertical="center"/>
    </xf>
    <xf numFmtId="179" fontId="27" fillId="35" borderId="0" xfId="0" applyNumberFormat="1" applyFont="1" applyFill="1">
      <alignment vertical="center"/>
    </xf>
    <xf numFmtId="22" fontId="19" fillId="0" borderId="0" xfId="0" applyNumberFormat="1" applyFont="1">
      <alignment vertical="center"/>
    </xf>
    <xf numFmtId="0" fontId="29" fillId="0" borderId="0" xfId="0" applyFont="1">
      <alignment vertical="center"/>
    </xf>
    <xf numFmtId="0" fontId="14" fillId="0" borderId="10" xfId="0" applyFont="1" applyBorder="1">
      <alignment vertical="center"/>
    </xf>
    <xf numFmtId="0" fontId="0" fillId="37" borderId="0" xfId="0" applyFill="1" applyBorder="1">
      <alignment vertical="center"/>
    </xf>
    <xf numFmtId="0" fontId="0" fillId="37" borderId="10" xfId="0" applyFill="1" applyBorder="1">
      <alignment vertical="center"/>
    </xf>
    <xf numFmtId="22" fontId="0" fillId="37" borderId="10" xfId="0" applyNumberFormat="1" applyFill="1" applyBorder="1">
      <alignment vertical="center"/>
    </xf>
    <xf numFmtId="176" fontId="23" fillId="37" borderId="11" xfId="0" applyNumberFormat="1" applyFont="1" applyFill="1" applyBorder="1">
      <alignment vertical="center"/>
    </xf>
    <xf numFmtId="22" fontId="23" fillId="37" borderId="11" xfId="0" applyNumberFormat="1" applyFont="1" applyFill="1" applyBorder="1" applyAlignment="1">
      <alignment horizontal="right" vertical="center"/>
    </xf>
    <xf numFmtId="177" fontId="23" fillId="37" borderId="11" xfId="0" applyNumberFormat="1" applyFont="1" applyFill="1" applyBorder="1" applyAlignment="1">
      <alignment horizontal="center" vertical="center"/>
    </xf>
    <xf numFmtId="2" fontId="23" fillId="37" borderId="11" xfId="0" applyNumberFormat="1" applyFont="1" applyFill="1" applyBorder="1" applyAlignment="1">
      <alignment horizontal="center" vertical="center"/>
    </xf>
    <xf numFmtId="2" fontId="23" fillId="37" borderId="11" xfId="8" applyNumberFormat="1" applyFont="1" applyFill="1" applyBorder="1" applyAlignment="1">
      <alignment horizontal="center" vertical="center"/>
    </xf>
    <xf numFmtId="178" fontId="23" fillId="37" borderId="11" xfId="8" applyNumberFormat="1" applyFont="1" applyFill="1" applyBorder="1" applyAlignment="1">
      <alignment horizontal="center" vertical="center"/>
    </xf>
    <xf numFmtId="0" fontId="23" fillId="37" borderId="10" xfId="0" applyFont="1" applyFill="1" applyBorder="1" applyAlignment="1">
      <alignment horizontal="center" vertical="center"/>
    </xf>
    <xf numFmtId="0" fontId="60" fillId="37" borderId="0" xfId="0" applyFont="1" applyFill="1">
      <alignment vertical="center"/>
    </xf>
    <xf numFmtId="179" fontId="60" fillId="37" borderId="0" xfId="0" applyNumberFormat="1" applyFont="1" applyFill="1">
      <alignment vertical="center"/>
    </xf>
    <xf numFmtId="0" fontId="63" fillId="37" borderId="0" xfId="0" applyFont="1" applyFill="1">
      <alignment vertical="center"/>
    </xf>
    <xf numFmtId="0" fontId="0" fillId="37" borderId="0" xfId="0" applyFill="1">
      <alignment vertical="center"/>
    </xf>
    <xf numFmtId="0" fontId="19" fillId="0" borderId="0" xfId="0" applyFont="1" applyBorder="1">
      <alignment vertical="center"/>
    </xf>
    <xf numFmtId="177" fontId="19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14" fillId="0" borderId="0" xfId="0" applyFont="1" applyBorder="1">
      <alignment vertical="center"/>
    </xf>
    <xf numFmtId="0" fontId="27" fillId="0" borderId="0" xfId="0" applyFont="1" applyBorder="1">
      <alignment vertical="center"/>
    </xf>
    <xf numFmtId="0" fontId="19" fillId="37" borderId="0" xfId="0" applyFont="1" applyFill="1">
      <alignment vertical="center"/>
    </xf>
    <xf numFmtId="182" fontId="19" fillId="37" borderId="0" xfId="0" applyNumberFormat="1" applyFont="1" applyFill="1">
      <alignment vertical="center"/>
    </xf>
    <xf numFmtId="0" fontId="19" fillId="37" borderId="0" xfId="0" applyFont="1" applyFill="1" applyBorder="1">
      <alignment vertical="center"/>
    </xf>
    <xf numFmtId="0" fontId="27" fillId="0" borderId="11" xfId="0" applyFont="1" applyBorder="1">
      <alignment vertical="center"/>
    </xf>
    <xf numFmtId="22" fontId="27" fillId="0" borderId="11" xfId="0" applyNumberFormat="1" applyFont="1" applyBorder="1">
      <alignment vertical="center"/>
    </xf>
    <xf numFmtId="0" fontId="27" fillId="0" borderId="1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10" xfId="0" applyFill="1" applyBorder="1">
      <alignment vertical="center"/>
    </xf>
    <xf numFmtId="22" fontId="0" fillId="0" borderId="10" xfId="0" applyNumberFormat="1" applyFill="1" applyBorder="1">
      <alignment vertical="center"/>
    </xf>
    <xf numFmtId="176" fontId="23" fillId="0" borderId="11" xfId="0" applyNumberFormat="1" applyFont="1" applyFill="1" applyBorder="1">
      <alignment vertical="center"/>
    </xf>
    <xf numFmtId="22" fontId="23" fillId="0" borderId="11" xfId="0" applyNumberFormat="1" applyFont="1" applyFill="1" applyBorder="1" applyAlignment="1">
      <alignment horizontal="right" vertical="center"/>
    </xf>
    <xf numFmtId="177" fontId="23" fillId="0" borderId="11" xfId="0" applyNumberFormat="1" applyFont="1" applyFill="1" applyBorder="1" applyAlignment="1">
      <alignment horizontal="center" vertical="center"/>
    </xf>
    <xf numFmtId="2" fontId="23" fillId="0" borderId="11" xfId="0" applyNumberFormat="1" applyFont="1" applyFill="1" applyBorder="1" applyAlignment="1">
      <alignment horizontal="center" vertical="center"/>
    </xf>
    <xf numFmtId="2" fontId="23" fillId="0" borderId="11" xfId="8" applyNumberFormat="1" applyFont="1" applyFill="1" applyBorder="1" applyAlignment="1">
      <alignment horizontal="center" vertical="center"/>
    </xf>
    <xf numFmtId="178" fontId="23" fillId="0" borderId="11" xfId="8" applyNumberFormat="1" applyFont="1" applyFill="1" applyBorder="1" applyAlignment="1">
      <alignment horizontal="center" vertical="center"/>
    </xf>
    <xf numFmtId="2" fontId="19" fillId="35" borderId="10" xfId="0" applyNumberFormat="1" applyFont="1" applyFill="1" applyBorder="1" applyAlignment="1">
      <alignment horizontal="center" vertical="center"/>
    </xf>
    <xf numFmtId="179" fontId="20" fillId="35" borderId="0" xfId="0" applyNumberFormat="1" applyFont="1" applyFill="1">
      <alignment vertical="center"/>
    </xf>
    <xf numFmtId="177" fontId="27" fillId="0" borderId="0" xfId="0" applyNumberFormat="1" applyFont="1">
      <alignment vertical="center"/>
    </xf>
    <xf numFmtId="0" fontId="19" fillId="35" borderId="10" xfId="0" applyFont="1" applyFill="1" applyBorder="1">
      <alignment vertical="center"/>
    </xf>
    <xf numFmtId="22" fontId="19" fillId="35" borderId="10" xfId="0" applyNumberFormat="1" applyFont="1" applyFill="1" applyBorder="1">
      <alignment vertical="center"/>
    </xf>
    <xf numFmtId="0" fontId="0" fillId="35" borderId="10" xfId="0" applyFill="1" applyBorder="1">
      <alignment vertical="center"/>
    </xf>
    <xf numFmtId="22" fontId="0" fillId="35" borderId="10" xfId="0" applyNumberFormat="1" applyFill="1" applyBorder="1">
      <alignment vertical="center"/>
    </xf>
    <xf numFmtId="0" fontId="26" fillId="35" borderId="0" xfId="8" applyFont="1" applyFill="1" applyBorder="1" applyAlignment="1">
      <alignment horizontal="left" vertical="center"/>
    </xf>
    <xf numFmtId="176" fontId="22" fillId="35" borderId="10" xfId="0" applyNumberFormat="1" applyFont="1" applyFill="1" applyBorder="1">
      <alignment vertical="center"/>
    </xf>
    <xf numFmtId="22" fontId="22" fillId="35" borderId="10" xfId="0" applyNumberFormat="1" applyFont="1" applyFill="1" applyBorder="1" applyAlignment="1">
      <alignment horizontal="right" vertical="center"/>
    </xf>
    <xf numFmtId="0" fontId="68" fillId="0" borderId="0" xfId="0" applyFont="1">
      <alignment vertical="center"/>
    </xf>
    <xf numFmtId="0" fontId="68" fillId="0" borderId="10" xfId="0" applyFont="1" applyBorder="1">
      <alignment vertical="center"/>
    </xf>
    <xf numFmtId="22" fontId="68" fillId="0" borderId="10" xfId="0" applyNumberFormat="1" applyFont="1" applyBorder="1">
      <alignment vertical="center"/>
    </xf>
    <xf numFmtId="176" fontId="68" fillId="35" borderId="10" xfId="0" applyNumberFormat="1" applyFont="1" applyFill="1" applyBorder="1">
      <alignment vertical="center"/>
    </xf>
    <xf numFmtId="22" fontId="68" fillId="35" borderId="10" xfId="0" applyNumberFormat="1" applyFont="1" applyFill="1" applyBorder="1" applyAlignment="1">
      <alignment horizontal="right" vertical="center"/>
    </xf>
    <xf numFmtId="0" fontId="68" fillId="35" borderId="0" xfId="0" applyFont="1" applyFill="1">
      <alignment vertical="center"/>
    </xf>
    <xf numFmtId="0" fontId="27" fillId="35" borderId="10" xfId="7" applyFont="1" applyFill="1" applyBorder="1" applyAlignment="1">
      <alignment horizontal="center" vertical="center"/>
    </xf>
    <xf numFmtId="0" fontId="27" fillId="35" borderId="10" xfId="8" applyFont="1" applyFill="1" applyBorder="1" applyAlignment="1">
      <alignment horizontal="center" vertical="center"/>
    </xf>
    <xf numFmtId="2" fontId="69" fillId="35" borderId="11" xfId="0" applyNumberFormat="1" applyFont="1" applyFill="1" applyBorder="1" applyAlignment="1">
      <alignment horizontal="center" vertical="center"/>
    </xf>
    <xf numFmtId="2" fontId="23" fillId="35" borderId="10" xfId="0" applyNumberFormat="1" applyFont="1" applyFill="1" applyBorder="1" applyAlignment="1">
      <alignment horizontal="center" vertical="center"/>
    </xf>
    <xf numFmtId="2" fontId="51" fillId="34" borderId="18" xfId="0" applyNumberFormat="1" applyFont="1" applyFill="1" applyBorder="1" applyAlignment="1">
      <alignment horizontal="center" vertical="center"/>
    </xf>
    <xf numFmtId="178" fontId="23" fillId="35" borderId="10" xfId="8" applyNumberFormat="1" applyFont="1" applyFill="1" applyBorder="1" applyAlignment="1">
      <alignment horizontal="center" vertical="center"/>
    </xf>
  </cellXfs>
  <cellStyles count="4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好" xfId="6" builtinId="26" customBuiltin="1"/>
    <cellStyle name="百分比" xfId="42" builtinId="5"/>
    <cellStyle name="計算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 1" xfId="18" builtinId="29" customBuiltin="1"/>
    <cellStyle name="輔色 2" xfId="22" builtinId="33" customBuiltin="1"/>
    <cellStyle name="輔色 3" xfId="26" builtinId="37" customBuiltin="1"/>
    <cellStyle name="輔色 4" xfId="30" builtinId="41" customBuiltin="1"/>
    <cellStyle name="輔色 5" xfId="34" builtinId="45" customBuiltin="1"/>
    <cellStyle name="輔色 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總計" xfId="17" builtinId="25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colors>
    <mruColors>
      <color rgb="FF111AD3"/>
      <color rgb="FF2395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25400</xdr:colOff>
      <xdr:row>7</xdr:row>
      <xdr:rowOff>12700</xdr:rowOff>
    </xdr:from>
    <xdr:to>
      <xdr:col>13</xdr:col>
      <xdr:colOff>88900</xdr:colOff>
      <xdr:row>15</xdr:row>
      <xdr:rowOff>88900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B621AF37-782E-D34A-B371-39657181B7F4}"/>
            </a:ext>
          </a:extLst>
        </xdr:cNvPr>
        <xdr:cNvSpPr/>
      </xdr:nvSpPr>
      <xdr:spPr>
        <a:xfrm>
          <a:off x="6794500" y="1346200"/>
          <a:ext cx="2755900" cy="1600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848"/>
  <sheetViews>
    <sheetView workbookViewId="0">
      <selection sqref="A1:P19"/>
    </sheetView>
  </sheetViews>
  <sheetFormatPr baseColWidth="10" defaultColWidth="8.83203125" defaultRowHeight="15"/>
  <cols>
    <col min="5" max="5" width="18.1640625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8810</v>
      </c>
      <c r="B2" t="s">
        <v>43</v>
      </c>
      <c r="C2" t="s">
        <v>43</v>
      </c>
      <c r="D2" t="s">
        <v>6</v>
      </c>
      <c r="E2" s="1">
        <v>43172.623773148145</v>
      </c>
    </row>
    <row r="3" spans="1:5">
      <c r="A3">
        <v>8827</v>
      </c>
      <c r="B3" t="s">
        <v>43</v>
      </c>
      <c r="C3" t="s">
        <v>43</v>
      </c>
      <c r="D3" t="s">
        <v>5</v>
      </c>
      <c r="E3" s="1">
        <v>43172.79277777778</v>
      </c>
    </row>
    <row r="4" spans="1:5">
      <c r="A4">
        <v>8846</v>
      </c>
      <c r="B4" t="s">
        <v>43</v>
      </c>
      <c r="C4" t="s">
        <v>43</v>
      </c>
      <c r="D4" t="s">
        <v>6</v>
      </c>
      <c r="E4" s="1">
        <v>43173.467245370368</v>
      </c>
    </row>
    <row r="5" spans="1:5">
      <c r="A5">
        <v>8882</v>
      </c>
      <c r="B5" t="s">
        <v>43</v>
      </c>
      <c r="C5" t="s">
        <v>43</v>
      </c>
      <c r="D5" t="s">
        <v>6</v>
      </c>
      <c r="E5" s="1">
        <v>43174.434930555559</v>
      </c>
    </row>
    <row r="6" spans="1:5">
      <c r="A6">
        <v>8898</v>
      </c>
      <c r="B6" t="s">
        <v>43</v>
      </c>
      <c r="C6" t="s">
        <v>43</v>
      </c>
      <c r="D6" t="s">
        <v>5</v>
      </c>
      <c r="E6" s="1">
        <v>43174.823263888888</v>
      </c>
    </row>
    <row r="7" spans="1:5">
      <c r="A7">
        <v>9018</v>
      </c>
      <c r="B7" t="s">
        <v>98</v>
      </c>
      <c r="C7" t="s">
        <v>43</v>
      </c>
      <c r="D7" t="s">
        <v>6</v>
      </c>
      <c r="E7" s="1">
        <v>43179.422511574077</v>
      </c>
    </row>
    <row r="8" spans="1:5">
      <c r="A8">
        <v>9033</v>
      </c>
      <c r="B8" t="s">
        <v>43</v>
      </c>
      <c r="C8" t="s">
        <v>43</v>
      </c>
      <c r="D8" t="s">
        <v>5</v>
      </c>
      <c r="E8" s="1">
        <v>43179.773518518516</v>
      </c>
    </row>
    <row r="9" spans="1:5">
      <c r="A9">
        <v>9055</v>
      </c>
      <c r="B9" t="s">
        <v>43</v>
      </c>
      <c r="C9" t="s">
        <v>43</v>
      </c>
      <c r="D9" t="s">
        <v>6</v>
      </c>
      <c r="E9" s="1">
        <v>43180.390474537038</v>
      </c>
    </row>
    <row r="10" spans="1:5">
      <c r="A10">
        <v>9079</v>
      </c>
      <c r="B10" t="s">
        <v>43</v>
      </c>
      <c r="C10" t="s">
        <v>43</v>
      </c>
      <c r="D10" t="s">
        <v>5</v>
      </c>
      <c r="E10" s="1">
        <v>43180.888749999998</v>
      </c>
    </row>
    <row r="11" spans="1:5">
      <c r="A11">
        <v>9170</v>
      </c>
      <c r="B11" t="s">
        <v>43</v>
      </c>
      <c r="C11" t="s">
        <v>43</v>
      </c>
      <c r="D11" t="s">
        <v>6</v>
      </c>
      <c r="E11" s="1">
        <v>43186.39571759259</v>
      </c>
    </row>
    <row r="12" spans="1:5">
      <c r="A12">
        <v>9181</v>
      </c>
      <c r="B12" t="s">
        <v>43</v>
      </c>
      <c r="C12" t="s">
        <v>43</v>
      </c>
      <c r="D12" t="s">
        <v>5</v>
      </c>
      <c r="E12" s="1">
        <v>43186.785081018519</v>
      </c>
    </row>
    <row r="13" spans="1:5">
      <c r="A13">
        <v>9199</v>
      </c>
      <c r="B13" t="s">
        <v>43</v>
      </c>
      <c r="C13" t="s">
        <v>43</v>
      </c>
      <c r="D13" t="s">
        <v>6</v>
      </c>
      <c r="E13" s="1">
        <v>43187.415520833332</v>
      </c>
    </row>
    <row r="14" spans="1:5">
      <c r="A14">
        <v>9213</v>
      </c>
      <c r="B14" t="s">
        <v>43</v>
      </c>
      <c r="C14" t="s">
        <v>43</v>
      </c>
      <c r="D14" t="s">
        <v>5</v>
      </c>
      <c r="E14" s="1">
        <v>43187.771597222221</v>
      </c>
    </row>
    <row r="15" spans="1:5">
      <c r="A15">
        <v>9214</v>
      </c>
      <c r="B15" t="s">
        <v>43</v>
      </c>
      <c r="C15" t="s">
        <v>43</v>
      </c>
      <c r="D15" t="s">
        <v>7</v>
      </c>
      <c r="E15" s="1">
        <v>43187.771701388891</v>
      </c>
    </row>
    <row r="16" spans="1:5">
      <c r="A16">
        <v>9220</v>
      </c>
      <c r="B16" t="s">
        <v>43</v>
      </c>
      <c r="C16" t="s">
        <v>43</v>
      </c>
      <c r="D16" t="s">
        <v>8</v>
      </c>
      <c r="E16" s="1">
        <v>43187.849131944444</v>
      </c>
    </row>
    <row r="17" spans="1:5">
      <c r="A17">
        <v>9236</v>
      </c>
      <c r="B17" t="s">
        <v>43</v>
      </c>
      <c r="C17" t="s">
        <v>43</v>
      </c>
      <c r="D17" t="s">
        <v>6</v>
      </c>
      <c r="E17" s="1">
        <v>43188.443252314813</v>
      </c>
    </row>
    <row r="18" spans="1:5">
      <c r="A18">
        <v>9254</v>
      </c>
      <c r="B18" t="s">
        <v>43</v>
      </c>
      <c r="C18" t="s">
        <v>43</v>
      </c>
      <c r="D18" t="s">
        <v>8</v>
      </c>
      <c r="E18" s="1">
        <v>43188.81753472222</v>
      </c>
    </row>
    <row r="19" spans="1:5">
      <c r="A19">
        <v>9292</v>
      </c>
      <c r="B19" t="s">
        <v>43</v>
      </c>
      <c r="C19" t="s">
        <v>43</v>
      </c>
      <c r="D19" t="s">
        <v>6</v>
      </c>
      <c r="E19" s="1">
        <v>43190.411076388889</v>
      </c>
    </row>
    <row r="20" spans="1:5">
      <c r="A20">
        <v>9302</v>
      </c>
      <c r="B20" t="s">
        <v>43</v>
      </c>
      <c r="C20" t="s">
        <v>43</v>
      </c>
      <c r="D20" t="s">
        <v>5</v>
      </c>
      <c r="E20" s="1">
        <v>43190.776030092595</v>
      </c>
    </row>
    <row r="21" spans="1:5">
      <c r="A21">
        <v>8499</v>
      </c>
      <c r="B21" t="s">
        <v>9</v>
      </c>
      <c r="C21" t="s">
        <v>9</v>
      </c>
      <c r="D21" t="s">
        <v>6</v>
      </c>
      <c r="E21" s="1">
        <v>43160.725474537037</v>
      </c>
    </row>
    <row r="22" spans="1:5">
      <c r="A22">
        <v>8512</v>
      </c>
      <c r="B22" t="s">
        <v>9</v>
      </c>
      <c r="C22" t="s">
        <v>9</v>
      </c>
      <c r="D22" t="s">
        <v>5</v>
      </c>
      <c r="E22" s="1">
        <v>43160.787256944444</v>
      </c>
    </row>
    <row r="23" spans="1:5">
      <c r="A23">
        <v>8522</v>
      </c>
      <c r="B23" t="s">
        <v>9</v>
      </c>
      <c r="C23" t="s">
        <v>9</v>
      </c>
      <c r="D23" t="s">
        <v>6</v>
      </c>
      <c r="E23" s="1">
        <v>43161.363958333335</v>
      </c>
    </row>
    <row r="24" spans="1:5">
      <c r="A24">
        <v>8532</v>
      </c>
      <c r="B24" t="s">
        <v>9</v>
      </c>
      <c r="C24" t="s">
        <v>9</v>
      </c>
      <c r="D24" t="s">
        <v>5</v>
      </c>
      <c r="E24" s="1">
        <v>43161.517256944448</v>
      </c>
    </row>
    <row r="25" spans="1:5">
      <c r="A25">
        <v>8533</v>
      </c>
      <c r="B25" t="s">
        <v>9</v>
      </c>
      <c r="C25" t="s">
        <v>9</v>
      </c>
      <c r="D25" t="s">
        <v>6</v>
      </c>
      <c r="E25" s="1">
        <v>43161.679837962962</v>
      </c>
    </row>
    <row r="26" spans="1:5">
      <c r="A26">
        <v>8534</v>
      </c>
      <c r="B26" t="s">
        <v>9</v>
      </c>
      <c r="C26" t="s">
        <v>9</v>
      </c>
      <c r="D26" t="s">
        <v>5</v>
      </c>
      <c r="E26" s="1">
        <v>43161.759039351855</v>
      </c>
    </row>
    <row r="27" spans="1:5">
      <c r="A27">
        <v>8565</v>
      </c>
      <c r="B27" t="s">
        <v>93</v>
      </c>
      <c r="C27" t="s">
        <v>9</v>
      </c>
      <c r="D27" t="s">
        <v>6</v>
      </c>
      <c r="E27" s="1">
        <v>43164.373113425929</v>
      </c>
    </row>
    <row r="28" spans="1:5">
      <c r="A28">
        <v>8570</v>
      </c>
      <c r="B28" t="s">
        <v>9</v>
      </c>
      <c r="C28" t="s">
        <v>9</v>
      </c>
      <c r="D28" t="s">
        <v>5</v>
      </c>
      <c r="E28" s="1">
        <v>43164.71471064815</v>
      </c>
    </row>
    <row r="29" spans="1:5">
      <c r="A29">
        <v>8600</v>
      </c>
      <c r="B29" t="s">
        <v>9</v>
      </c>
      <c r="C29" t="s">
        <v>9</v>
      </c>
      <c r="D29" t="s">
        <v>6</v>
      </c>
      <c r="E29" s="1">
        <v>43165.369710648149</v>
      </c>
    </row>
    <row r="30" spans="1:5">
      <c r="A30">
        <v>8604</v>
      </c>
      <c r="B30" t="s">
        <v>9</v>
      </c>
      <c r="C30" t="s">
        <v>9</v>
      </c>
      <c r="D30" t="s">
        <v>5</v>
      </c>
      <c r="E30" s="1">
        <v>43165.750092592592</v>
      </c>
    </row>
    <row r="31" spans="1:5">
      <c r="A31">
        <v>8632</v>
      </c>
      <c r="B31" t="s">
        <v>9</v>
      </c>
      <c r="C31" t="s">
        <v>9</v>
      </c>
      <c r="D31" t="s">
        <v>6</v>
      </c>
      <c r="E31" s="1">
        <v>43166.369409722225</v>
      </c>
    </row>
    <row r="32" spans="1:5">
      <c r="A32">
        <v>8639</v>
      </c>
      <c r="B32" t="s">
        <v>9</v>
      </c>
      <c r="C32" t="s">
        <v>9</v>
      </c>
      <c r="D32" t="s">
        <v>5</v>
      </c>
      <c r="E32" s="1">
        <v>43166.719189814816</v>
      </c>
    </row>
    <row r="33" spans="1:5">
      <c r="A33">
        <v>8666</v>
      </c>
      <c r="B33" t="s">
        <v>9</v>
      </c>
      <c r="C33" t="s">
        <v>9</v>
      </c>
      <c r="D33" t="s">
        <v>6</v>
      </c>
      <c r="E33" s="1">
        <v>43167.368275462963</v>
      </c>
    </row>
    <row r="34" spans="1:5">
      <c r="A34">
        <v>8673</v>
      </c>
      <c r="B34" t="s">
        <v>9</v>
      </c>
      <c r="C34" t="s">
        <v>9</v>
      </c>
      <c r="D34" t="s">
        <v>5</v>
      </c>
      <c r="E34" s="1">
        <v>43167.765798611108</v>
      </c>
    </row>
    <row r="35" spans="1:5">
      <c r="A35">
        <v>8694</v>
      </c>
      <c r="B35" t="s">
        <v>93</v>
      </c>
      <c r="C35" t="s">
        <v>9</v>
      </c>
      <c r="D35" t="s">
        <v>6</v>
      </c>
      <c r="E35" s="1">
        <v>43168.363437499997</v>
      </c>
    </row>
    <row r="36" spans="1:5">
      <c r="A36">
        <v>8706</v>
      </c>
      <c r="B36" t="s">
        <v>9</v>
      </c>
      <c r="C36" t="s">
        <v>9</v>
      </c>
      <c r="D36" t="s">
        <v>5</v>
      </c>
      <c r="E36" s="1">
        <v>43168.767951388887</v>
      </c>
    </row>
    <row r="37" spans="1:5">
      <c r="A37">
        <v>8728</v>
      </c>
      <c r="B37" t="s">
        <v>9</v>
      </c>
      <c r="C37" t="s">
        <v>9</v>
      </c>
      <c r="D37" t="s">
        <v>6</v>
      </c>
      <c r="E37" s="1">
        <v>43170.37572916667</v>
      </c>
    </row>
    <row r="38" spans="1:5">
      <c r="A38">
        <v>8734</v>
      </c>
      <c r="B38" t="s">
        <v>9</v>
      </c>
      <c r="C38" t="s">
        <v>9</v>
      </c>
      <c r="D38" t="s">
        <v>8</v>
      </c>
      <c r="E38" s="1">
        <v>43170.546168981484</v>
      </c>
    </row>
    <row r="39" spans="1:5">
      <c r="A39">
        <v>8767</v>
      </c>
      <c r="B39" t="s">
        <v>9</v>
      </c>
      <c r="C39" t="s">
        <v>9</v>
      </c>
      <c r="D39" t="s">
        <v>6</v>
      </c>
      <c r="E39" s="1">
        <v>43171.370196759257</v>
      </c>
    </row>
    <row r="40" spans="1:5">
      <c r="A40">
        <v>8773</v>
      </c>
      <c r="B40" t="s">
        <v>9</v>
      </c>
      <c r="C40" t="s">
        <v>9</v>
      </c>
      <c r="D40" t="s">
        <v>5</v>
      </c>
      <c r="E40" s="1">
        <v>43171.719606481478</v>
      </c>
    </row>
    <row r="41" spans="1:5">
      <c r="A41">
        <v>8801</v>
      </c>
      <c r="B41" t="s">
        <v>9</v>
      </c>
      <c r="C41" t="s">
        <v>9</v>
      </c>
      <c r="D41" t="s">
        <v>6</v>
      </c>
      <c r="E41" s="1">
        <v>43172.361921296295</v>
      </c>
    </row>
    <row r="42" spans="1:5">
      <c r="A42">
        <v>8811</v>
      </c>
      <c r="B42" t="s">
        <v>9</v>
      </c>
      <c r="C42" t="s">
        <v>9</v>
      </c>
      <c r="D42" t="s">
        <v>5</v>
      </c>
      <c r="E42" s="1">
        <v>43172.714143518519</v>
      </c>
    </row>
    <row r="43" spans="1:5">
      <c r="A43">
        <v>8839</v>
      </c>
      <c r="B43" t="s">
        <v>9</v>
      </c>
      <c r="C43" t="s">
        <v>9</v>
      </c>
      <c r="D43" t="s">
        <v>6</v>
      </c>
      <c r="E43" s="1">
        <v>43173.36383101852</v>
      </c>
    </row>
    <row r="44" spans="1:5">
      <c r="A44">
        <v>8847</v>
      </c>
      <c r="B44" t="s">
        <v>9</v>
      </c>
      <c r="C44" t="s">
        <v>9</v>
      </c>
      <c r="D44" t="s">
        <v>5</v>
      </c>
      <c r="E44" s="1">
        <v>43173.714131944442</v>
      </c>
    </row>
    <row r="45" spans="1:5">
      <c r="A45">
        <v>8874</v>
      </c>
      <c r="B45" t="s">
        <v>93</v>
      </c>
      <c r="C45" t="s">
        <v>9</v>
      </c>
      <c r="D45" t="s">
        <v>6</v>
      </c>
      <c r="E45" s="1">
        <v>43174.363240740742</v>
      </c>
    </row>
    <row r="46" spans="1:5">
      <c r="A46">
        <v>8886</v>
      </c>
      <c r="B46" t="s">
        <v>9</v>
      </c>
      <c r="C46" t="s">
        <v>9</v>
      </c>
      <c r="D46" t="s">
        <v>5</v>
      </c>
      <c r="E46" s="1">
        <v>43174.768576388888</v>
      </c>
    </row>
    <row r="47" spans="1:5">
      <c r="A47">
        <v>8912</v>
      </c>
      <c r="B47" t="s">
        <v>9</v>
      </c>
      <c r="C47" t="s">
        <v>9</v>
      </c>
      <c r="D47" t="s">
        <v>6</v>
      </c>
      <c r="E47" s="1">
        <v>43175.365243055552</v>
      </c>
    </row>
    <row r="48" spans="1:5">
      <c r="A48">
        <v>8919</v>
      </c>
      <c r="B48" t="s">
        <v>9</v>
      </c>
      <c r="C48" t="s">
        <v>9</v>
      </c>
      <c r="D48" t="s">
        <v>5</v>
      </c>
      <c r="E48" s="1">
        <v>43175.76494212963</v>
      </c>
    </row>
    <row r="49" spans="1:5">
      <c r="A49">
        <v>8924</v>
      </c>
      <c r="B49" t="s">
        <v>9</v>
      </c>
      <c r="C49" t="s">
        <v>9</v>
      </c>
      <c r="D49" t="s">
        <v>7</v>
      </c>
      <c r="E49" s="1">
        <v>43175.771273148152</v>
      </c>
    </row>
    <row r="50" spans="1:5">
      <c r="A50">
        <v>8935</v>
      </c>
      <c r="B50" t="s">
        <v>9</v>
      </c>
      <c r="C50" t="s">
        <v>9</v>
      </c>
      <c r="D50" t="s">
        <v>8</v>
      </c>
      <c r="E50" s="1">
        <v>43175.814016203702</v>
      </c>
    </row>
    <row r="51" spans="1:5">
      <c r="A51">
        <v>9010</v>
      </c>
      <c r="B51" t="s">
        <v>9</v>
      </c>
      <c r="C51" t="s">
        <v>9</v>
      </c>
      <c r="D51" t="s">
        <v>6</v>
      </c>
      <c r="E51" s="1">
        <v>43179.362349537034</v>
      </c>
    </row>
    <row r="52" spans="1:5">
      <c r="A52">
        <v>9019</v>
      </c>
      <c r="B52" t="s">
        <v>9</v>
      </c>
      <c r="C52" t="s">
        <v>9</v>
      </c>
      <c r="D52" t="s">
        <v>5</v>
      </c>
      <c r="E52" s="1">
        <v>43179.718958333331</v>
      </c>
    </row>
    <row r="53" spans="1:5">
      <c r="A53">
        <v>9049</v>
      </c>
      <c r="B53" t="s">
        <v>9</v>
      </c>
      <c r="C53" t="s">
        <v>9</v>
      </c>
      <c r="D53" t="s">
        <v>6</v>
      </c>
      <c r="E53" s="1">
        <v>43180.367094907408</v>
      </c>
    </row>
    <row r="54" spans="1:5">
      <c r="A54">
        <v>9057</v>
      </c>
      <c r="B54" t="s">
        <v>9</v>
      </c>
      <c r="C54" t="s">
        <v>9</v>
      </c>
      <c r="D54" t="s">
        <v>5</v>
      </c>
      <c r="E54" s="1">
        <v>43180.714965277781</v>
      </c>
    </row>
    <row r="55" spans="1:5">
      <c r="A55">
        <v>9089</v>
      </c>
      <c r="B55" t="s">
        <v>9</v>
      </c>
      <c r="C55" t="s">
        <v>9</v>
      </c>
      <c r="D55" t="s">
        <v>6</v>
      </c>
      <c r="E55" s="1">
        <v>43181.372604166667</v>
      </c>
    </row>
    <row r="56" spans="1:5">
      <c r="A56">
        <v>9091</v>
      </c>
      <c r="B56" t="s">
        <v>93</v>
      </c>
      <c r="C56" t="s">
        <v>9</v>
      </c>
      <c r="D56" t="s">
        <v>5</v>
      </c>
      <c r="E56" s="1">
        <v>43181.584687499999</v>
      </c>
    </row>
    <row r="57" spans="1:5">
      <c r="A57">
        <v>9120</v>
      </c>
      <c r="B57" t="s">
        <v>9</v>
      </c>
      <c r="C57" t="s">
        <v>9</v>
      </c>
      <c r="D57" t="s">
        <v>6</v>
      </c>
      <c r="E57" s="1">
        <v>43182.364606481482</v>
      </c>
    </row>
    <row r="58" spans="1:5">
      <c r="A58">
        <v>9133</v>
      </c>
      <c r="B58" t="s">
        <v>93</v>
      </c>
      <c r="C58" t="s">
        <v>9</v>
      </c>
      <c r="D58" t="s">
        <v>5</v>
      </c>
      <c r="E58" s="1">
        <v>43182.773877314816</v>
      </c>
    </row>
    <row r="59" spans="1:5">
      <c r="A59">
        <v>9138</v>
      </c>
      <c r="B59" t="s">
        <v>9</v>
      </c>
      <c r="C59" t="s">
        <v>9</v>
      </c>
      <c r="D59" t="s">
        <v>6</v>
      </c>
      <c r="E59" s="1">
        <v>43185.360289351855</v>
      </c>
    </row>
    <row r="60" spans="1:5">
      <c r="A60">
        <v>9146</v>
      </c>
      <c r="B60" t="s">
        <v>9</v>
      </c>
      <c r="C60" t="s">
        <v>9</v>
      </c>
      <c r="D60" t="s">
        <v>5</v>
      </c>
      <c r="E60" s="1">
        <v>43185.723333333335</v>
      </c>
    </row>
    <row r="61" spans="1:5">
      <c r="A61">
        <v>9193</v>
      </c>
      <c r="B61" t="s">
        <v>9</v>
      </c>
      <c r="C61" t="s">
        <v>9</v>
      </c>
      <c r="D61" t="s">
        <v>6</v>
      </c>
      <c r="E61" s="1">
        <v>43187.363703703704</v>
      </c>
    </row>
    <row r="62" spans="1:5">
      <c r="A62">
        <v>9201</v>
      </c>
      <c r="B62" t="s">
        <v>9</v>
      </c>
      <c r="C62" t="s">
        <v>9</v>
      </c>
      <c r="D62" t="s">
        <v>5</v>
      </c>
      <c r="E62" s="1">
        <v>43187.717395833337</v>
      </c>
    </row>
    <row r="63" spans="1:5">
      <c r="A63">
        <v>9234</v>
      </c>
      <c r="B63" t="s">
        <v>9</v>
      </c>
      <c r="C63" t="s">
        <v>9</v>
      </c>
      <c r="D63" t="s">
        <v>6</v>
      </c>
      <c r="E63" s="1">
        <v>43188.372164351851</v>
      </c>
    </row>
    <row r="64" spans="1:5">
      <c r="A64">
        <v>9240</v>
      </c>
      <c r="B64" t="s">
        <v>9</v>
      </c>
      <c r="C64" t="s">
        <v>9</v>
      </c>
      <c r="D64" t="s">
        <v>5</v>
      </c>
      <c r="E64" s="1">
        <v>43188.771134259259</v>
      </c>
    </row>
    <row r="65" spans="1:5">
      <c r="A65">
        <v>9263</v>
      </c>
      <c r="B65" t="s">
        <v>9</v>
      </c>
      <c r="C65" t="s">
        <v>9</v>
      </c>
      <c r="D65" t="s">
        <v>6</v>
      </c>
      <c r="E65" s="1">
        <v>43189.364768518521</v>
      </c>
    </row>
    <row r="66" spans="1:5">
      <c r="A66">
        <v>9271</v>
      </c>
      <c r="B66" t="s">
        <v>9</v>
      </c>
      <c r="C66" t="s">
        <v>9</v>
      </c>
      <c r="D66" t="s">
        <v>5</v>
      </c>
      <c r="E66" s="1">
        <v>43189.771423611113</v>
      </c>
    </row>
    <row r="67" spans="1:5">
      <c r="A67">
        <v>9272</v>
      </c>
      <c r="B67" t="s">
        <v>9</v>
      </c>
      <c r="C67" t="s">
        <v>9</v>
      </c>
      <c r="D67" t="s">
        <v>7</v>
      </c>
      <c r="E67" s="1">
        <v>43189.771458333336</v>
      </c>
    </row>
    <row r="68" spans="1:5">
      <c r="A68">
        <v>9279</v>
      </c>
      <c r="B68" t="s">
        <v>9</v>
      </c>
      <c r="C68" t="s">
        <v>9</v>
      </c>
      <c r="D68" t="s">
        <v>8</v>
      </c>
      <c r="E68" s="1">
        <v>43189.783275462964</v>
      </c>
    </row>
    <row r="69" spans="1:5">
      <c r="A69">
        <v>9290</v>
      </c>
      <c r="B69" t="s">
        <v>9</v>
      </c>
      <c r="C69" t="s">
        <v>9</v>
      </c>
      <c r="D69" t="s">
        <v>6</v>
      </c>
      <c r="E69" s="1">
        <v>43190.370393518519</v>
      </c>
    </row>
    <row r="70" spans="1:5">
      <c r="A70">
        <v>9295</v>
      </c>
      <c r="B70" t="s">
        <v>9</v>
      </c>
      <c r="C70" t="s">
        <v>9</v>
      </c>
      <c r="D70" t="s">
        <v>5</v>
      </c>
      <c r="E70" s="1">
        <v>43190.767708333333</v>
      </c>
    </row>
    <row r="71" spans="1:5">
      <c r="A71">
        <v>9300</v>
      </c>
      <c r="B71" t="s">
        <v>9</v>
      </c>
      <c r="C71" t="s">
        <v>9</v>
      </c>
      <c r="D71" t="s">
        <v>7</v>
      </c>
      <c r="E71" s="1">
        <v>43190.771620370368</v>
      </c>
    </row>
    <row r="72" spans="1:5">
      <c r="A72">
        <v>9310</v>
      </c>
      <c r="B72" t="s">
        <v>9</v>
      </c>
      <c r="C72" t="s">
        <v>9</v>
      </c>
      <c r="D72" t="s">
        <v>8</v>
      </c>
      <c r="E72" s="1">
        <v>43190.946331018517</v>
      </c>
    </row>
    <row r="73" spans="1:5">
      <c r="A73">
        <v>9317</v>
      </c>
      <c r="B73" t="s">
        <v>9</v>
      </c>
      <c r="C73" t="s">
        <v>9</v>
      </c>
      <c r="D73" t="s">
        <v>6</v>
      </c>
      <c r="E73" s="1">
        <v>43192.3671412037</v>
      </c>
    </row>
    <row r="74" spans="1:5">
      <c r="A74">
        <v>9326</v>
      </c>
      <c r="B74" t="s">
        <v>9</v>
      </c>
      <c r="C74" t="s">
        <v>9</v>
      </c>
      <c r="D74" t="s">
        <v>5</v>
      </c>
      <c r="E74" s="1">
        <v>43192.767048611109</v>
      </c>
    </row>
    <row r="75" spans="1:5">
      <c r="A75">
        <v>8495</v>
      </c>
      <c r="B75" t="s">
        <v>73</v>
      </c>
      <c r="C75" t="s">
        <v>73</v>
      </c>
      <c r="D75" t="s">
        <v>6</v>
      </c>
      <c r="E75" s="1">
        <v>43160.370567129627</v>
      </c>
    </row>
    <row r="76" spans="1:5">
      <c r="A76">
        <v>8501</v>
      </c>
      <c r="B76" t="s">
        <v>73</v>
      </c>
      <c r="C76" t="s">
        <v>73</v>
      </c>
      <c r="D76" t="s">
        <v>5</v>
      </c>
      <c r="E76" s="1">
        <v>43160.770902777775</v>
      </c>
    </row>
    <row r="77" spans="1:5">
      <c r="A77">
        <v>8503</v>
      </c>
      <c r="B77" t="s">
        <v>73</v>
      </c>
      <c r="C77" t="s">
        <v>73</v>
      </c>
      <c r="D77" t="s">
        <v>7</v>
      </c>
      <c r="E77" s="1">
        <v>43160.770983796298</v>
      </c>
    </row>
    <row r="78" spans="1:5">
      <c r="A78">
        <v>8515</v>
      </c>
      <c r="B78" t="s">
        <v>73</v>
      </c>
      <c r="C78" t="s">
        <v>73</v>
      </c>
      <c r="D78" t="s">
        <v>8</v>
      </c>
      <c r="E78" s="1">
        <v>43160.814201388886</v>
      </c>
    </row>
    <row r="79" spans="1:5">
      <c r="A79">
        <v>8528</v>
      </c>
      <c r="B79" t="s">
        <v>73</v>
      </c>
      <c r="C79" t="s">
        <v>73</v>
      </c>
      <c r="D79" t="s">
        <v>6</v>
      </c>
      <c r="E79" s="1">
        <v>43161.370648148149</v>
      </c>
    </row>
    <row r="80" spans="1:5">
      <c r="A80">
        <v>8543</v>
      </c>
      <c r="B80" t="s">
        <v>73</v>
      </c>
      <c r="C80" t="s">
        <v>73</v>
      </c>
      <c r="D80" t="s">
        <v>8</v>
      </c>
      <c r="E80" s="1">
        <v>43161.801782407405</v>
      </c>
    </row>
    <row r="81" spans="1:5">
      <c r="A81">
        <v>8564</v>
      </c>
      <c r="B81" t="s">
        <v>73</v>
      </c>
      <c r="C81" t="s">
        <v>73</v>
      </c>
      <c r="D81" t="s">
        <v>6</v>
      </c>
      <c r="E81" s="1">
        <v>43164.36991898148</v>
      </c>
    </row>
    <row r="82" spans="1:5">
      <c r="A82">
        <v>8579</v>
      </c>
      <c r="B82" t="s">
        <v>73</v>
      </c>
      <c r="C82" t="s">
        <v>73</v>
      </c>
      <c r="D82" t="s">
        <v>5</v>
      </c>
      <c r="E82" s="1">
        <v>43164.772824074076</v>
      </c>
    </row>
    <row r="83" spans="1:5">
      <c r="A83">
        <v>8580</v>
      </c>
      <c r="B83" t="s">
        <v>73</v>
      </c>
      <c r="C83" t="s">
        <v>73</v>
      </c>
      <c r="D83" t="s">
        <v>7</v>
      </c>
      <c r="E83" s="1">
        <v>43164.772986111115</v>
      </c>
    </row>
    <row r="84" spans="1:5">
      <c r="A84">
        <v>8585</v>
      </c>
      <c r="B84" t="s">
        <v>73</v>
      </c>
      <c r="C84" t="s">
        <v>73</v>
      </c>
      <c r="D84" t="s">
        <v>8</v>
      </c>
      <c r="E84" s="1">
        <v>43164.834791666668</v>
      </c>
    </row>
    <row r="85" spans="1:5">
      <c r="A85">
        <v>8598</v>
      </c>
      <c r="B85" t="s">
        <v>73</v>
      </c>
      <c r="C85" t="s">
        <v>73</v>
      </c>
      <c r="D85" t="s">
        <v>6</v>
      </c>
      <c r="E85" s="1">
        <v>43165.369328703702</v>
      </c>
    </row>
    <row r="86" spans="1:5">
      <c r="A86">
        <v>8608</v>
      </c>
      <c r="B86" t="s">
        <v>73</v>
      </c>
      <c r="C86" t="s">
        <v>73</v>
      </c>
      <c r="D86" t="s">
        <v>5</v>
      </c>
      <c r="E86" s="1">
        <v>43165.766770833332</v>
      </c>
    </row>
    <row r="87" spans="1:5">
      <c r="A87">
        <v>8618</v>
      </c>
      <c r="B87" t="s">
        <v>73</v>
      </c>
      <c r="C87" t="s">
        <v>73</v>
      </c>
      <c r="D87" t="s">
        <v>7</v>
      </c>
      <c r="E87" s="1">
        <v>43165.78702546296</v>
      </c>
    </row>
    <row r="88" spans="1:5">
      <c r="A88">
        <v>8620</v>
      </c>
      <c r="B88" t="s">
        <v>73</v>
      </c>
      <c r="C88" t="s">
        <v>73</v>
      </c>
      <c r="D88" t="s">
        <v>8</v>
      </c>
      <c r="E88" s="1">
        <v>43165.876226851855</v>
      </c>
    </row>
    <row r="89" spans="1:5">
      <c r="A89">
        <v>8633</v>
      </c>
      <c r="B89" t="s">
        <v>73</v>
      </c>
      <c r="C89" t="s">
        <v>73</v>
      </c>
      <c r="D89" t="s">
        <v>6</v>
      </c>
      <c r="E89" s="1">
        <v>43166.370625000003</v>
      </c>
    </row>
    <row r="90" spans="1:5">
      <c r="A90">
        <v>8642</v>
      </c>
      <c r="B90" t="s">
        <v>73</v>
      </c>
      <c r="C90" t="s">
        <v>73</v>
      </c>
      <c r="D90" t="s">
        <v>5</v>
      </c>
      <c r="E90" s="1">
        <v>43166.770324074074</v>
      </c>
    </row>
    <row r="91" spans="1:5">
      <c r="A91">
        <v>8643</v>
      </c>
      <c r="B91" t="s">
        <v>73</v>
      </c>
      <c r="C91" t="s">
        <v>73</v>
      </c>
      <c r="D91" t="s">
        <v>7</v>
      </c>
      <c r="E91" s="1">
        <v>43166.770335648151</v>
      </c>
    </row>
    <row r="92" spans="1:5">
      <c r="A92">
        <v>8657</v>
      </c>
      <c r="B92" t="s">
        <v>73</v>
      </c>
      <c r="C92" t="s">
        <v>73</v>
      </c>
      <c r="D92" t="s">
        <v>8</v>
      </c>
      <c r="E92" s="1">
        <v>43166.855914351851</v>
      </c>
    </row>
    <row r="93" spans="1:5">
      <c r="A93">
        <v>8671</v>
      </c>
      <c r="B93" t="s">
        <v>73</v>
      </c>
      <c r="C93" t="s">
        <v>73</v>
      </c>
      <c r="D93" t="s">
        <v>6</v>
      </c>
      <c r="E93" s="1">
        <v>43167.371261574073</v>
      </c>
    </row>
    <row r="94" spans="1:5">
      <c r="A94">
        <v>8677</v>
      </c>
      <c r="B94" t="s">
        <v>73</v>
      </c>
      <c r="C94" t="s">
        <v>73</v>
      </c>
      <c r="D94" t="s">
        <v>5</v>
      </c>
      <c r="E94" s="1">
        <v>43167.770868055559</v>
      </c>
    </row>
    <row r="95" spans="1:5">
      <c r="A95">
        <v>8685</v>
      </c>
      <c r="B95" t="s">
        <v>73</v>
      </c>
      <c r="C95" t="s">
        <v>73</v>
      </c>
      <c r="D95" t="s">
        <v>7</v>
      </c>
      <c r="E95" s="1">
        <v>43167.781597222223</v>
      </c>
    </row>
    <row r="96" spans="1:5">
      <c r="A96">
        <v>8686</v>
      </c>
      <c r="B96" t="s">
        <v>73</v>
      </c>
      <c r="C96" t="s">
        <v>73</v>
      </c>
      <c r="D96" t="s">
        <v>8</v>
      </c>
      <c r="E96" s="1">
        <v>43167.795949074076</v>
      </c>
    </row>
    <row r="97" spans="1:5">
      <c r="A97">
        <v>8700</v>
      </c>
      <c r="B97" t="s">
        <v>73</v>
      </c>
      <c r="C97" t="s">
        <v>73</v>
      </c>
      <c r="D97" t="s">
        <v>6</v>
      </c>
      <c r="E97" s="1">
        <v>43168.37295138889</v>
      </c>
    </row>
    <row r="98" spans="1:5">
      <c r="A98">
        <v>8709</v>
      </c>
      <c r="B98" t="s">
        <v>73</v>
      </c>
      <c r="C98" t="s">
        <v>73</v>
      </c>
      <c r="D98" t="s">
        <v>5</v>
      </c>
      <c r="E98" s="1">
        <v>43168.771168981482</v>
      </c>
    </row>
    <row r="99" spans="1:5">
      <c r="A99">
        <v>8769</v>
      </c>
      <c r="B99" t="s">
        <v>73</v>
      </c>
      <c r="C99" t="s">
        <v>73</v>
      </c>
      <c r="D99" t="s">
        <v>6</v>
      </c>
      <c r="E99" s="1">
        <v>43171.371828703705</v>
      </c>
    </row>
    <row r="100" spans="1:5">
      <c r="A100">
        <v>8780</v>
      </c>
      <c r="B100" t="s">
        <v>87</v>
      </c>
      <c r="C100" t="s">
        <v>73</v>
      </c>
      <c r="D100" t="s">
        <v>5</v>
      </c>
      <c r="E100" s="1">
        <v>43171.77070601852</v>
      </c>
    </row>
    <row r="101" spans="1:5">
      <c r="A101">
        <v>8789</v>
      </c>
      <c r="B101" t="s">
        <v>87</v>
      </c>
      <c r="C101" t="s">
        <v>73</v>
      </c>
      <c r="D101" t="s">
        <v>7</v>
      </c>
      <c r="E101" s="1">
        <v>43171.798321759263</v>
      </c>
    </row>
    <row r="102" spans="1:5">
      <c r="A102">
        <v>8794</v>
      </c>
      <c r="B102" t="s">
        <v>73</v>
      </c>
      <c r="C102" t="s">
        <v>73</v>
      </c>
      <c r="D102" t="s">
        <v>8</v>
      </c>
      <c r="E102" s="1">
        <v>43171.9062962963</v>
      </c>
    </row>
    <row r="103" spans="1:5">
      <c r="A103">
        <v>8808</v>
      </c>
      <c r="B103" t="s">
        <v>73</v>
      </c>
      <c r="C103" t="s">
        <v>73</v>
      </c>
      <c r="D103" t="s">
        <v>6</v>
      </c>
      <c r="E103" s="1">
        <v>43172.369884259257</v>
      </c>
    </row>
    <row r="104" spans="1:5">
      <c r="A104">
        <v>8816</v>
      </c>
      <c r="B104" t="s">
        <v>73</v>
      </c>
      <c r="C104" t="s">
        <v>73</v>
      </c>
      <c r="D104" t="s">
        <v>5</v>
      </c>
      <c r="E104" s="1">
        <v>43172.772013888891</v>
      </c>
    </row>
    <row r="105" spans="1:5">
      <c r="A105">
        <v>8824</v>
      </c>
      <c r="B105" t="s">
        <v>73</v>
      </c>
      <c r="C105" t="s">
        <v>73</v>
      </c>
      <c r="D105" t="s">
        <v>7</v>
      </c>
      <c r="E105" s="1">
        <v>43172.775231481479</v>
      </c>
    </row>
    <row r="106" spans="1:5">
      <c r="A106">
        <v>8835</v>
      </c>
      <c r="B106" t="s">
        <v>73</v>
      </c>
      <c r="C106" t="s">
        <v>73</v>
      </c>
      <c r="D106" t="s">
        <v>8</v>
      </c>
      <c r="E106" s="1">
        <v>43172.909479166665</v>
      </c>
    </row>
    <row r="107" spans="1:5">
      <c r="A107">
        <v>8844</v>
      </c>
      <c r="B107" t="s">
        <v>73</v>
      </c>
      <c r="C107" t="s">
        <v>73</v>
      </c>
      <c r="D107" t="s">
        <v>6</v>
      </c>
      <c r="E107" s="1">
        <v>43173.371423611112</v>
      </c>
    </row>
    <row r="108" spans="1:5">
      <c r="A108">
        <v>8853</v>
      </c>
      <c r="B108" t="s">
        <v>87</v>
      </c>
      <c r="C108" t="s">
        <v>73</v>
      </c>
      <c r="D108" t="s">
        <v>5</v>
      </c>
      <c r="E108" s="1">
        <v>43173.771828703706</v>
      </c>
    </row>
    <row r="109" spans="1:5">
      <c r="A109">
        <v>8854</v>
      </c>
      <c r="B109" t="s">
        <v>87</v>
      </c>
      <c r="C109" t="s">
        <v>73</v>
      </c>
      <c r="D109" t="s">
        <v>7</v>
      </c>
      <c r="E109" s="1">
        <v>43173.771863425929</v>
      </c>
    </row>
    <row r="110" spans="1:5">
      <c r="A110">
        <v>8863</v>
      </c>
      <c r="B110" t="s">
        <v>73</v>
      </c>
      <c r="C110" t="s">
        <v>73</v>
      </c>
      <c r="D110" t="s">
        <v>8</v>
      </c>
      <c r="E110" s="1">
        <v>43173.854097222225</v>
      </c>
    </row>
    <row r="111" spans="1:5">
      <c r="A111">
        <v>8878</v>
      </c>
      <c r="B111" t="s">
        <v>73</v>
      </c>
      <c r="C111" t="s">
        <v>73</v>
      </c>
      <c r="D111" t="s">
        <v>6</v>
      </c>
      <c r="E111" s="1">
        <v>43174.369722222225</v>
      </c>
    </row>
    <row r="112" spans="1:5">
      <c r="A112">
        <v>8894</v>
      </c>
      <c r="B112" t="s">
        <v>87</v>
      </c>
      <c r="C112" t="s">
        <v>73</v>
      </c>
      <c r="D112" t="s">
        <v>5</v>
      </c>
      <c r="E112" s="1">
        <v>43174.772534722222</v>
      </c>
    </row>
    <row r="113" spans="1:5">
      <c r="A113">
        <v>8896</v>
      </c>
      <c r="B113" t="s">
        <v>87</v>
      </c>
      <c r="C113" t="s">
        <v>73</v>
      </c>
      <c r="D113" t="s">
        <v>7</v>
      </c>
      <c r="E113" s="1">
        <v>43174.775324074071</v>
      </c>
    </row>
    <row r="114" spans="1:5">
      <c r="A114">
        <v>8900</v>
      </c>
      <c r="B114" t="s">
        <v>73</v>
      </c>
      <c r="C114" t="s">
        <v>73</v>
      </c>
      <c r="D114" t="s">
        <v>8</v>
      </c>
      <c r="E114" s="1">
        <v>43174.849930555552</v>
      </c>
    </row>
    <row r="115" spans="1:5">
      <c r="A115">
        <v>8914</v>
      </c>
      <c r="B115" t="s">
        <v>73</v>
      </c>
      <c r="C115" t="s">
        <v>73</v>
      </c>
      <c r="D115" t="s">
        <v>6</v>
      </c>
      <c r="E115" s="1">
        <v>43175.370972222219</v>
      </c>
    </row>
    <row r="116" spans="1:5">
      <c r="A116">
        <v>8929</v>
      </c>
      <c r="B116" t="s">
        <v>73</v>
      </c>
      <c r="C116" t="s">
        <v>73</v>
      </c>
      <c r="D116" t="s">
        <v>5</v>
      </c>
      <c r="E116" s="1">
        <v>43175.774571759262</v>
      </c>
    </row>
    <row r="117" spans="1:5">
      <c r="A117">
        <v>8930</v>
      </c>
      <c r="B117" t="s">
        <v>73</v>
      </c>
      <c r="C117" t="s">
        <v>73</v>
      </c>
      <c r="D117" t="s">
        <v>7</v>
      </c>
      <c r="E117" s="1">
        <v>43175.774606481478</v>
      </c>
    </row>
    <row r="118" spans="1:5">
      <c r="A118">
        <v>8934</v>
      </c>
      <c r="B118" t="s">
        <v>73</v>
      </c>
      <c r="C118" t="s">
        <v>73</v>
      </c>
      <c r="D118" t="s">
        <v>8</v>
      </c>
      <c r="E118" s="1">
        <v>43175.806134259263</v>
      </c>
    </row>
    <row r="119" spans="1:5">
      <c r="A119">
        <v>8944</v>
      </c>
      <c r="B119" t="s">
        <v>73</v>
      </c>
      <c r="C119" t="s">
        <v>73</v>
      </c>
      <c r="D119" t="s">
        <v>7</v>
      </c>
      <c r="E119" s="1">
        <v>43176.426030092596</v>
      </c>
    </row>
    <row r="120" spans="1:5">
      <c r="A120">
        <v>8952</v>
      </c>
      <c r="B120" t="s">
        <v>73</v>
      </c>
      <c r="C120" t="s">
        <v>73</v>
      </c>
      <c r="D120" t="s">
        <v>8</v>
      </c>
      <c r="E120" s="1">
        <v>43176.503946759258</v>
      </c>
    </row>
    <row r="121" spans="1:5">
      <c r="A121">
        <v>8957</v>
      </c>
      <c r="B121" t="s">
        <v>73</v>
      </c>
      <c r="C121" t="s">
        <v>73</v>
      </c>
      <c r="D121" t="s">
        <v>7</v>
      </c>
      <c r="E121" s="1">
        <v>43176.567928240744</v>
      </c>
    </row>
    <row r="122" spans="1:5">
      <c r="A122">
        <v>8964</v>
      </c>
      <c r="B122" t="s">
        <v>87</v>
      </c>
      <c r="C122" t="s">
        <v>73</v>
      </c>
      <c r="D122" t="s">
        <v>8</v>
      </c>
      <c r="E122" s="1">
        <v>43176.684062499997</v>
      </c>
    </row>
    <row r="123" spans="1:5">
      <c r="A123">
        <v>8979</v>
      </c>
      <c r="B123" t="s">
        <v>73</v>
      </c>
      <c r="C123" t="s">
        <v>73</v>
      </c>
      <c r="D123" t="s">
        <v>6</v>
      </c>
      <c r="E123" s="1">
        <v>43178.370821759258</v>
      </c>
    </row>
    <row r="124" spans="1:5">
      <c r="A124">
        <v>8991</v>
      </c>
      <c r="B124" t="s">
        <v>87</v>
      </c>
      <c r="C124" t="s">
        <v>73</v>
      </c>
      <c r="D124" t="s">
        <v>5</v>
      </c>
      <c r="E124" s="1">
        <v>43178.769166666665</v>
      </c>
    </row>
    <row r="125" spans="1:5">
      <c r="A125">
        <v>8997</v>
      </c>
      <c r="B125" t="s">
        <v>87</v>
      </c>
      <c r="C125" t="s">
        <v>73</v>
      </c>
      <c r="D125" t="s">
        <v>7</v>
      </c>
      <c r="E125" s="1">
        <v>43178.793032407404</v>
      </c>
    </row>
    <row r="126" spans="1:5">
      <c r="A126">
        <v>9001</v>
      </c>
      <c r="B126" t="s">
        <v>73</v>
      </c>
      <c r="C126" t="s">
        <v>73</v>
      </c>
      <c r="D126" t="s">
        <v>8</v>
      </c>
      <c r="E126" s="1">
        <v>43178.857222222221</v>
      </c>
    </row>
    <row r="127" spans="1:5">
      <c r="A127">
        <v>9015</v>
      </c>
      <c r="B127" t="s">
        <v>73</v>
      </c>
      <c r="C127" t="s">
        <v>73</v>
      </c>
      <c r="D127" t="s">
        <v>6</v>
      </c>
      <c r="E127" s="1">
        <v>43179.370300925926</v>
      </c>
    </row>
    <row r="128" spans="1:5">
      <c r="A128">
        <v>9022</v>
      </c>
      <c r="B128" t="s">
        <v>87</v>
      </c>
      <c r="C128" t="s">
        <v>73</v>
      </c>
      <c r="D128" t="s">
        <v>5</v>
      </c>
      <c r="E128" s="1">
        <v>43179.766759259262</v>
      </c>
    </row>
    <row r="129" spans="1:5">
      <c r="A129">
        <v>9038</v>
      </c>
      <c r="B129" t="s">
        <v>87</v>
      </c>
      <c r="C129" t="s">
        <v>73</v>
      </c>
      <c r="D129" t="s">
        <v>7</v>
      </c>
      <c r="E129" s="1">
        <v>43179.795983796299</v>
      </c>
    </row>
    <row r="130" spans="1:5">
      <c r="A130">
        <v>9042</v>
      </c>
      <c r="B130" t="s">
        <v>73</v>
      </c>
      <c r="C130" t="s">
        <v>73</v>
      </c>
      <c r="D130" t="s">
        <v>8</v>
      </c>
      <c r="E130" s="1">
        <v>43179.882395833331</v>
      </c>
    </row>
    <row r="131" spans="1:5">
      <c r="A131">
        <v>9052</v>
      </c>
      <c r="B131" t="s">
        <v>73</v>
      </c>
      <c r="C131" t="s">
        <v>73</v>
      </c>
      <c r="D131" t="s">
        <v>6</v>
      </c>
      <c r="E131" s="1">
        <v>43180.370254629626</v>
      </c>
    </row>
    <row r="132" spans="1:5">
      <c r="A132">
        <v>9067</v>
      </c>
      <c r="B132" t="s">
        <v>73</v>
      </c>
      <c r="C132" t="s">
        <v>73</v>
      </c>
      <c r="D132" t="s">
        <v>5</v>
      </c>
      <c r="E132" s="1">
        <v>43180.771261574075</v>
      </c>
    </row>
    <row r="133" spans="1:5">
      <c r="A133">
        <v>9068</v>
      </c>
      <c r="B133" t="s">
        <v>73</v>
      </c>
      <c r="C133" t="s">
        <v>73</v>
      </c>
      <c r="D133" t="s">
        <v>7</v>
      </c>
      <c r="E133" s="1">
        <v>43180.77134259259</v>
      </c>
    </row>
    <row r="134" spans="1:5">
      <c r="A134">
        <v>9073</v>
      </c>
      <c r="B134" t="s">
        <v>73</v>
      </c>
      <c r="C134" t="s">
        <v>73</v>
      </c>
      <c r="D134" t="s">
        <v>8</v>
      </c>
      <c r="E134" s="1">
        <v>43180.802083333336</v>
      </c>
    </row>
    <row r="135" spans="1:5">
      <c r="A135">
        <v>9087</v>
      </c>
      <c r="B135" t="s">
        <v>73</v>
      </c>
      <c r="C135" t="s">
        <v>73</v>
      </c>
      <c r="D135" t="s">
        <v>6</v>
      </c>
      <c r="E135" s="1">
        <v>43181.370266203703</v>
      </c>
    </row>
    <row r="136" spans="1:5">
      <c r="A136">
        <v>9098</v>
      </c>
      <c r="B136" t="s">
        <v>73</v>
      </c>
      <c r="C136" t="s">
        <v>73</v>
      </c>
      <c r="D136" t="s">
        <v>5</v>
      </c>
      <c r="E136" s="1">
        <v>43181.766435185185</v>
      </c>
    </row>
    <row r="137" spans="1:5">
      <c r="A137">
        <v>9108</v>
      </c>
      <c r="B137" t="s">
        <v>73</v>
      </c>
      <c r="C137" t="s">
        <v>73</v>
      </c>
      <c r="D137" t="s">
        <v>7</v>
      </c>
      <c r="E137" s="1">
        <v>43181.810185185182</v>
      </c>
    </row>
    <row r="138" spans="1:5">
      <c r="A138">
        <v>9112</v>
      </c>
      <c r="B138" t="s">
        <v>73</v>
      </c>
      <c r="C138" t="s">
        <v>73</v>
      </c>
      <c r="D138" t="s">
        <v>8</v>
      </c>
      <c r="E138" s="1">
        <v>43181.93105324074</v>
      </c>
    </row>
    <row r="139" spans="1:5">
      <c r="A139">
        <v>9122</v>
      </c>
      <c r="B139" t="s">
        <v>87</v>
      </c>
      <c r="C139" t="s">
        <v>73</v>
      </c>
      <c r="D139" t="s">
        <v>6</v>
      </c>
      <c r="E139" s="1">
        <v>43182.372523148151</v>
      </c>
    </row>
    <row r="140" spans="1:5">
      <c r="A140">
        <v>9131</v>
      </c>
      <c r="B140" t="s">
        <v>73</v>
      </c>
      <c r="C140" t="s">
        <v>73</v>
      </c>
      <c r="D140" t="s">
        <v>5</v>
      </c>
      <c r="E140" s="1">
        <v>43182.769016203703</v>
      </c>
    </row>
    <row r="141" spans="1:5">
      <c r="A141">
        <v>9142</v>
      </c>
      <c r="B141" t="s">
        <v>73</v>
      </c>
      <c r="C141" t="s">
        <v>73</v>
      </c>
      <c r="D141" t="s">
        <v>6</v>
      </c>
      <c r="E141" s="1">
        <v>43185.369583333333</v>
      </c>
    </row>
    <row r="142" spans="1:5">
      <c r="A142">
        <v>9155</v>
      </c>
      <c r="B142" t="s">
        <v>87</v>
      </c>
      <c r="C142" t="s">
        <v>73</v>
      </c>
      <c r="D142" t="s">
        <v>5</v>
      </c>
      <c r="E142" s="1">
        <v>43185.78229166667</v>
      </c>
    </row>
    <row r="143" spans="1:5">
      <c r="A143">
        <v>9156</v>
      </c>
      <c r="B143" t="s">
        <v>87</v>
      </c>
      <c r="C143" t="s">
        <v>73</v>
      </c>
      <c r="D143" t="s">
        <v>7</v>
      </c>
      <c r="E143" s="1">
        <v>43185.782337962963</v>
      </c>
    </row>
    <row r="144" spans="1:5">
      <c r="A144">
        <v>9161</v>
      </c>
      <c r="B144" t="s">
        <v>73</v>
      </c>
      <c r="C144" t="s">
        <v>73</v>
      </c>
      <c r="D144" t="s">
        <v>8</v>
      </c>
      <c r="E144" s="1">
        <v>43185.853217592594</v>
      </c>
    </row>
    <row r="145" spans="1:5">
      <c r="A145">
        <v>9169</v>
      </c>
      <c r="B145" t="s">
        <v>73</v>
      </c>
      <c r="C145" t="s">
        <v>73</v>
      </c>
      <c r="D145" t="s">
        <v>6</v>
      </c>
      <c r="E145" s="1">
        <v>43186.372106481482</v>
      </c>
    </row>
    <row r="146" spans="1:5">
      <c r="A146">
        <v>9179</v>
      </c>
      <c r="B146" t="s">
        <v>73</v>
      </c>
      <c r="C146" t="s">
        <v>73</v>
      </c>
      <c r="D146" t="s">
        <v>5</v>
      </c>
      <c r="E146" s="1">
        <v>43186.77511574074</v>
      </c>
    </row>
    <row r="147" spans="1:5">
      <c r="A147">
        <v>9180</v>
      </c>
      <c r="B147" t="s">
        <v>73</v>
      </c>
      <c r="C147" t="s">
        <v>73</v>
      </c>
      <c r="D147" t="s">
        <v>7</v>
      </c>
      <c r="E147" s="1">
        <v>43186.780092592591</v>
      </c>
    </row>
    <row r="148" spans="1:5">
      <c r="A148">
        <v>9183</v>
      </c>
      <c r="B148" t="s">
        <v>73</v>
      </c>
      <c r="C148" t="s">
        <v>73</v>
      </c>
      <c r="D148" t="s">
        <v>8</v>
      </c>
      <c r="E148" s="1">
        <v>43186.790196759262</v>
      </c>
    </row>
    <row r="149" spans="1:5">
      <c r="A149">
        <v>9198</v>
      </c>
      <c r="B149" t="s">
        <v>73</v>
      </c>
      <c r="C149" t="s">
        <v>73</v>
      </c>
      <c r="D149" t="s">
        <v>6</v>
      </c>
      <c r="E149" s="1">
        <v>43187.372523148151</v>
      </c>
    </row>
    <row r="150" spans="1:5">
      <c r="A150">
        <v>9215</v>
      </c>
      <c r="B150" t="s">
        <v>87</v>
      </c>
      <c r="C150" t="s">
        <v>73</v>
      </c>
      <c r="D150" t="s">
        <v>5</v>
      </c>
      <c r="E150" s="1">
        <v>43187.773645833331</v>
      </c>
    </row>
    <row r="151" spans="1:5">
      <c r="A151">
        <v>9216</v>
      </c>
      <c r="B151" t="s">
        <v>87</v>
      </c>
      <c r="C151" t="s">
        <v>73</v>
      </c>
      <c r="D151" t="s">
        <v>7</v>
      </c>
      <c r="E151" s="1">
        <v>43187.773692129631</v>
      </c>
    </row>
    <row r="152" spans="1:5">
      <c r="A152">
        <v>9224</v>
      </c>
      <c r="B152" t="s">
        <v>73</v>
      </c>
      <c r="C152" t="s">
        <v>73</v>
      </c>
      <c r="D152" t="s">
        <v>8</v>
      </c>
      <c r="E152" s="1">
        <v>43187.928969907407</v>
      </c>
    </row>
    <row r="153" spans="1:5">
      <c r="A153">
        <v>9233</v>
      </c>
      <c r="B153" t="s">
        <v>73</v>
      </c>
      <c r="C153" t="s">
        <v>73</v>
      </c>
      <c r="D153" t="s">
        <v>6</v>
      </c>
      <c r="E153" s="1">
        <v>43188.371481481481</v>
      </c>
    </row>
    <row r="154" spans="1:5">
      <c r="A154">
        <v>9239</v>
      </c>
      <c r="B154" t="s">
        <v>73</v>
      </c>
      <c r="C154" t="s">
        <v>73</v>
      </c>
      <c r="D154" t="s">
        <v>5</v>
      </c>
      <c r="E154" s="1">
        <v>43188.771087962959</v>
      </c>
    </row>
    <row r="155" spans="1:5">
      <c r="A155">
        <v>9242</v>
      </c>
      <c r="B155" t="s">
        <v>73</v>
      </c>
      <c r="C155" t="s">
        <v>73</v>
      </c>
      <c r="D155" t="s">
        <v>7</v>
      </c>
      <c r="E155" s="1">
        <v>43188.771192129629</v>
      </c>
    </row>
    <row r="156" spans="1:5">
      <c r="A156">
        <v>9253</v>
      </c>
      <c r="B156" t="s">
        <v>73</v>
      </c>
      <c r="C156" t="s">
        <v>73</v>
      </c>
      <c r="D156" t="s">
        <v>8</v>
      </c>
      <c r="E156" s="1">
        <v>43188.811759259261</v>
      </c>
    </row>
    <row r="157" spans="1:5">
      <c r="A157">
        <v>9267</v>
      </c>
      <c r="B157" t="s">
        <v>73</v>
      </c>
      <c r="C157" t="s">
        <v>73</v>
      </c>
      <c r="D157" t="s">
        <v>6</v>
      </c>
      <c r="E157" s="1">
        <v>43189.375243055554</v>
      </c>
    </row>
    <row r="158" spans="1:5">
      <c r="A158">
        <v>9273</v>
      </c>
      <c r="B158" t="s">
        <v>73</v>
      </c>
      <c r="C158" t="s">
        <v>73</v>
      </c>
      <c r="D158" t="s">
        <v>5</v>
      </c>
      <c r="E158" s="1">
        <v>43189.772175925929</v>
      </c>
    </row>
    <row r="159" spans="1:5">
      <c r="A159">
        <v>9291</v>
      </c>
      <c r="B159" t="s">
        <v>73</v>
      </c>
      <c r="C159" t="s">
        <v>73</v>
      </c>
      <c r="D159" t="s">
        <v>6</v>
      </c>
      <c r="E159" s="1">
        <v>43190.37226851852</v>
      </c>
    </row>
    <row r="160" spans="1:5">
      <c r="A160">
        <v>9297</v>
      </c>
      <c r="B160" t="s">
        <v>87</v>
      </c>
      <c r="C160" t="s">
        <v>73</v>
      </c>
      <c r="D160" t="s">
        <v>5</v>
      </c>
      <c r="E160" s="1">
        <v>43190.770416666666</v>
      </c>
    </row>
    <row r="161" spans="1:5">
      <c r="A161">
        <v>9298</v>
      </c>
      <c r="B161" t="s">
        <v>87</v>
      </c>
      <c r="C161" t="s">
        <v>73</v>
      </c>
      <c r="D161" t="s">
        <v>7</v>
      </c>
      <c r="E161" s="1">
        <v>43190.770474537036</v>
      </c>
    </row>
    <row r="162" spans="1:5">
      <c r="A162">
        <v>9308</v>
      </c>
      <c r="B162" t="s">
        <v>73</v>
      </c>
      <c r="C162" t="s">
        <v>73</v>
      </c>
      <c r="D162" t="s">
        <v>8</v>
      </c>
      <c r="E162" s="1">
        <v>43190.891689814816</v>
      </c>
    </row>
    <row r="163" spans="1:5">
      <c r="A163">
        <v>9321</v>
      </c>
      <c r="B163" t="s">
        <v>73</v>
      </c>
      <c r="C163" t="s">
        <v>73</v>
      </c>
      <c r="D163" t="s">
        <v>6</v>
      </c>
      <c r="E163" s="1">
        <v>43192.370300925926</v>
      </c>
    </row>
    <row r="164" spans="1:5">
      <c r="A164">
        <v>9335</v>
      </c>
      <c r="B164" t="s">
        <v>73</v>
      </c>
      <c r="C164" t="s">
        <v>73</v>
      </c>
      <c r="D164" t="s">
        <v>5</v>
      </c>
      <c r="E164" s="1">
        <v>43192.771562499998</v>
      </c>
    </row>
    <row r="165" spans="1:5">
      <c r="A165">
        <v>9336</v>
      </c>
      <c r="B165" t="s">
        <v>73</v>
      </c>
      <c r="C165" t="s">
        <v>73</v>
      </c>
      <c r="D165" t="s">
        <v>7</v>
      </c>
      <c r="E165" s="1">
        <v>43192.771620370368</v>
      </c>
    </row>
    <row r="166" spans="1:5">
      <c r="A166">
        <v>8490</v>
      </c>
      <c r="B166" t="s">
        <v>11</v>
      </c>
      <c r="C166" t="s">
        <v>11</v>
      </c>
      <c r="D166" t="s">
        <v>6</v>
      </c>
      <c r="E166" s="1">
        <v>43160.362199074072</v>
      </c>
    </row>
    <row r="167" spans="1:5">
      <c r="A167">
        <v>8518</v>
      </c>
      <c r="B167" t="s">
        <v>11</v>
      </c>
      <c r="C167" t="s">
        <v>11</v>
      </c>
      <c r="D167" t="s">
        <v>5</v>
      </c>
      <c r="E167" s="1">
        <v>43160.842546296299</v>
      </c>
    </row>
    <row r="168" spans="1:5">
      <c r="A168">
        <v>8523</v>
      </c>
      <c r="B168" t="s">
        <v>11</v>
      </c>
      <c r="C168" t="s">
        <v>11</v>
      </c>
      <c r="D168" t="s">
        <v>6</v>
      </c>
      <c r="E168" s="1">
        <v>43161.364131944443</v>
      </c>
    </row>
    <row r="169" spans="1:5">
      <c r="A169">
        <v>8545</v>
      </c>
      <c r="B169" t="s">
        <v>11</v>
      </c>
      <c r="C169" t="s">
        <v>11</v>
      </c>
      <c r="D169" t="s">
        <v>5</v>
      </c>
      <c r="E169" s="1">
        <v>43161.845891203702</v>
      </c>
    </row>
    <row r="170" spans="1:5">
      <c r="A170">
        <v>8559</v>
      </c>
      <c r="B170" t="s">
        <v>11</v>
      </c>
      <c r="C170" t="s">
        <v>11</v>
      </c>
      <c r="D170" t="s">
        <v>6</v>
      </c>
      <c r="E170" s="1">
        <v>43164.362916666665</v>
      </c>
    </row>
    <row r="171" spans="1:5">
      <c r="A171">
        <v>8589</v>
      </c>
      <c r="B171" t="s">
        <v>11</v>
      </c>
      <c r="C171" t="s">
        <v>11</v>
      </c>
      <c r="D171" t="s">
        <v>5</v>
      </c>
      <c r="E171" s="1">
        <v>43164.886423611111</v>
      </c>
    </row>
    <row r="172" spans="1:5">
      <c r="A172">
        <v>8595</v>
      </c>
      <c r="B172" t="s">
        <v>11</v>
      </c>
      <c r="C172" t="s">
        <v>11</v>
      </c>
      <c r="D172" t="s">
        <v>6</v>
      </c>
      <c r="E172" s="1">
        <v>43165.362002314818</v>
      </c>
    </row>
    <row r="173" spans="1:5">
      <c r="A173">
        <v>8624</v>
      </c>
      <c r="B173" t="s">
        <v>11</v>
      </c>
      <c r="C173" t="s">
        <v>11</v>
      </c>
      <c r="D173" t="s">
        <v>5</v>
      </c>
      <c r="E173" s="1">
        <v>43165.906597222223</v>
      </c>
    </row>
    <row r="174" spans="1:5">
      <c r="A174">
        <v>8629</v>
      </c>
      <c r="B174" t="s">
        <v>11</v>
      </c>
      <c r="C174" t="s">
        <v>11</v>
      </c>
      <c r="D174" t="s">
        <v>6</v>
      </c>
      <c r="E174" s="1">
        <v>43166.364965277775</v>
      </c>
    </row>
    <row r="175" spans="1:5">
      <c r="A175">
        <v>8656</v>
      </c>
      <c r="B175" t="s">
        <v>11</v>
      </c>
      <c r="C175" t="s">
        <v>11</v>
      </c>
      <c r="D175" t="s">
        <v>5</v>
      </c>
      <c r="E175" s="1">
        <v>43166.85255787037</v>
      </c>
    </row>
    <row r="176" spans="1:5">
      <c r="A176">
        <v>8664</v>
      </c>
      <c r="B176" t="s">
        <v>11</v>
      </c>
      <c r="C176" t="s">
        <v>11</v>
      </c>
      <c r="D176" t="s">
        <v>6</v>
      </c>
      <c r="E176" s="1">
        <v>43167.360162037039</v>
      </c>
    </row>
    <row r="177" spans="1:5">
      <c r="A177">
        <v>8688</v>
      </c>
      <c r="B177" t="s">
        <v>11</v>
      </c>
      <c r="C177" t="s">
        <v>11</v>
      </c>
      <c r="D177" t="s">
        <v>5</v>
      </c>
      <c r="E177" s="1">
        <v>43167.834745370368</v>
      </c>
    </row>
    <row r="178" spans="1:5">
      <c r="A178">
        <v>8693</v>
      </c>
      <c r="B178" t="s">
        <v>78</v>
      </c>
      <c r="C178" t="s">
        <v>11</v>
      </c>
      <c r="D178" t="s">
        <v>6</v>
      </c>
      <c r="E178" s="1">
        <v>43168.362719907411</v>
      </c>
    </row>
    <row r="179" spans="1:5">
      <c r="A179">
        <v>8715</v>
      </c>
      <c r="B179" t="s">
        <v>11</v>
      </c>
      <c r="C179" t="s">
        <v>11</v>
      </c>
      <c r="D179" t="s">
        <v>5</v>
      </c>
      <c r="E179" s="1">
        <v>43168.786909722221</v>
      </c>
    </row>
    <row r="180" spans="1:5">
      <c r="A180">
        <v>8718</v>
      </c>
      <c r="B180" t="s">
        <v>11</v>
      </c>
      <c r="C180" t="s">
        <v>11</v>
      </c>
      <c r="D180" t="s">
        <v>7</v>
      </c>
      <c r="E180" s="1">
        <v>43169.418043981481</v>
      </c>
    </row>
    <row r="181" spans="1:5">
      <c r="A181">
        <v>8720</v>
      </c>
      <c r="B181" t="s">
        <v>11</v>
      </c>
      <c r="C181" t="s">
        <v>11</v>
      </c>
      <c r="D181" t="s">
        <v>8</v>
      </c>
      <c r="E181" s="1">
        <v>43169.421759259261</v>
      </c>
    </row>
    <row r="182" spans="1:5">
      <c r="A182">
        <v>8721</v>
      </c>
      <c r="B182" t="s">
        <v>11</v>
      </c>
      <c r="C182" t="s">
        <v>11</v>
      </c>
      <c r="D182" t="s">
        <v>7</v>
      </c>
      <c r="E182" s="1">
        <v>43169.430486111109</v>
      </c>
    </row>
    <row r="183" spans="1:5">
      <c r="A183">
        <v>8724</v>
      </c>
      <c r="B183" t="s">
        <v>11</v>
      </c>
      <c r="C183" t="s">
        <v>11</v>
      </c>
      <c r="D183" t="s">
        <v>8</v>
      </c>
      <c r="E183" s="1">
        <v>43169.550254629627</v>
      </c>
    </row>
    <row r="184" spans="1:5">
      <c r="A184">
        <v>8762</v>
      </c>
      <c r="B184" t="s">
        <v>11</v>
      </c>
      <c r="C184" t="s">
        <v>11</v>
      </c>
      <c r="D184" t="s">
        <v>6</v>
      </c>
      <c r="E184" s="1">
        <v>43171.362523148149</v>
      </c>
    </row>
    <row r="185" spans="1:5">
      <c r="A185">
        <v>8797</v>
      </c>
      <c r="B185" t="s">
        <v>11</v>
      </c>
      <c r="C185" t="s">
        <v>11</v>
      </c>
      <c r="D185" t="s">
        <v>5</v>
      </c>
      <c r="E185" s="1">
        <v>43171.909074074072</v>
      </c>
    </row>
    <row r="186" spans="1:5">
      <c r="A186">
        <v>8800</v>
      </c>
      <c r="B186" t="s">
        <v>11</v>
      </c>
      <c r="C186" t="s">
        <v>11</v>
      </c>
      <c r="D186" t="s">
        <v>6</v>
      </c>
      <c r="E186" s="1">
        <v>43172.361863425926</v>
      </c>
    </row>
    <row r="187" spans="1:5">
      <c r="A187">
        <v>8831</v>
      </c>
      <c r="B187" t="s">
        <v>11</v>
      </c>
      <c r="C187" t="s">
        <v>11</v>
      </c>
      <c r="D187" t="s">
        <v>5</v>
      </c>
      <c r="E187" s="1">
        <v>43172.86550925926</v>
      </c>
    </row>
    <row r="188" spans="1:5">
      <c r="A188">
        <v>8837</v>
      </c>
      <c r="B188" t="s">
        <v>11</v>
      </c>
      <c r="C188" t="s">
        <v>11</v>
      </c>
      <c r="D188" t="s">
        <v>6</v>
      </c>
      <c r="E188" s="1">
        <v>43173.361215277779</v>
      </c>
    </row>
    <row r="189" spans="1:5">
      <c r="A189">
        <v>8864</v>
      </c>
      <c r="B189" t="s">
        <v>11</v>
      </c>
      <c r="C189" t="s">
        <v>11</v>
      </c>
      <c r="D189" t="s">
        <v>5</v>
      </c>
      <c r="E189" s="1">
        <v>43173.857407407406</v>
      </c>
    </row>
    <row r="190" spans="1:5">
      <c r="A190">
        <v>8873</v>
      </c>
      <c r="B190" t="s">
        <v>78</v>
      </c>
      <c r="C190" t="s">
        <v>11</v>
      </c>
      <c r="D190" t="s">
        <v>6</v>
      </c>
      <c r="E190" s="1">
        <v>43174.363182870373</v>
      </c>
    </row>
    <row r="191" spans="1:5">
      <c r="A191">
        <v>8904</v>
      </c>
      <c r="B191" t="s">
        <v>11</v>
      </c>
      <c r="C191" t="s">
        <v>11</v>
      </c>
      <c r="D191" t="s">
        <v>5</v>
      </c>
      <c r="E191" s="1">
        <v>43174.878645833334</v>
      </c>
    </row>
    <row r="192" spans="1:5">
      <c r="A192">
        <v>8909</v>
      </c>
      <c r="B192" t="s">
        <v>11</v>
      </c>
      <c r="C192" t="s">
        <v>11</v>
      </c>
      <c r="D192" t="s">
        <v>6</v>
      </c>
      <c r="E192" s="1">
        <v>43175.36273148148</v>
      </c>
    </row>
    <row r="193" spans="1:5">
      <c r="A193">
        <v>8936</v>
      </c>
      <c r="B193" t="s">
        <v>11</v>
      </c>
      <c r="C193" t="s">
        <v>11</v>
      </c>
      <c r="D193" t="s">
        <v>5</v>
      </c>
      <c r="E193" s="1">
        <v>43175.815983796296</v>
      </c>
    </row>
    <row r="194" spans="1:5">
      <c r="A194">
        <v>8943</v>
      </c>
      <c r="B194" t="s">
        <v>11</v>
      </c>
      <c r="C194" t="s">
        <v>11</v>
      </c>
      <c r="D194" t="s">
        <v>7</v>
      </c>
      <c r="E194" s="1">
        <v>43176.42428240741</v>
      </c>
    </row>
    <row r="195" spans="1:5">
      <c r="A195">
        <v>8961</v>
      </c>
      <c r="B195" t="s">
        <v>11</v>
      </c>
      <c r="C195" t="s">
        <v>11</v>
      </c>
      <c r="D195" t="s">
        <v>8</v>
      </c>
      <c r="E195" s="1">
        <v>43176.587546296294</v>
      </c>
    </row>
    <row r="196" spans="1:5">
      <c r="A196">
        <v>9009</v>
      </c>
      <c r="B196" t="s">
        <v>11</v>
      </c>
      <c r="C196" t="s">
        <v>11</v>
      </c>
      <c r="D196" t="s">
        <v>6</v>
      </c>
      <c r="E196" s="1">
        <v>43179.362303240741</v>
      </c>
    </row>
    <row r="197" spans="1:5">
      <c r="A197">
        <v>9040</v>
      </c>
      <c r="B197" t="s">
        <v>11</v>
      </c>
      <c r="C197" t="s">
        <v>11</v>
      </c>
      <c r="D197" t="s">
        <v>5</v>
      </c>
      <c r="E197" s="1">
        <v>43179.817465277774</v>
      </c>
    </row>
    <row r="198" spans="1:5">
      <c r="A198">
        <v>9056</v>
      </c>
      <c r="B198" t="s">
        <v>78</v>
      </c>
      <c r="C198" t="s">
        <v>11</v>
      </c>
      <c r="D198" t="s">
        <v>6</v>
      </c>
      <c r="E198" s="1">
        <v>43180.597361111111</v>
      </c>
    </row>
    <row r="199" spans="1:5">
      <c r="A199">
        <v>9077</v>
      </c>
      <c r="B199" t="s">
        <v>11</v>
      </c>
      <c r="C199" t="s">
        <v>11</v>
      </c>
      <c r="D199" t="s">
        <v>5</v>
      </c>
      <c r="E199" s="1">
        <v>43180.849444444444</v>
      </c>
    </row>
    <row r="200" spans="1:5">
      <c r="A200">
        <v>9082</v>
      </c>
      <c r="B200" t="s">
        <v>11</v>
      </c>
      <c r="C200" t="s">
        <v>11</v>
      </c>
      <c r="D200" t="s">
        <v>6</v>
      </c>
      <c r="E200" s="1">
        <v>43181.364050925928</v>
      </c>
    </row>
    <row r="201" spans="1:5">
      <c r="A201">
        <v>9109</v>
      </c>
      <c r="B201" t="s">
        <v>11</v>
      </c>
      <c r="C201" t="s">
        <v>11</v>
      </c>
      <c r="D201" t="s">
        <v>5</v>
      </c>
      <c r="E201" s="1">
        <v>43181.830023148148</v>
      </c>
    </row>
    <row r="202" spans="1:5">
      <c r="A202">
        <v>9118</v>
      </c>
      <c r="B202" t="s">
        <v>11</v>
      </c>
      <c r="C202" t="s">
        <v>11</v>
      </c>
      <c r="D202" t="s">
        <v>6</v>
      </c>
      <c r="E202" s="1">
        <v>43182.36246527778</v>
      </c>
    </row>
    <row r="203" spans="1:5">
      <c r="A203">
        <v>9134</v>
      </c>
      <c r="B203" t="s">
        <v>11</v>
      </c>
      <c r="C203" t="s">
        <v>11</v>
      </c>
      <c r="D203" t="s">
        <v>5</v>
      </c>
      <c r="E203" s="1">
        <v>43182.774131944447</v>
      </c>
    </row>
    <row r="204" spans="1:5">
      <c r="A204">
        <v>9137</v>
      </c>
      <c r="B204" t="s">
        <v>11</v>
      </c>
      <c r="C204" t="s">
        <v>11</v>
      </c>
      <c r="D204" t="s">
        <v>6</v>
      </c>
      <c r="E204" s="1">
        <v>43185.359409722223</v>
      </c>
    </row>
    <row r="205" spans="1:5">
      <c r="A205">
        <v>9160</v>
      </c>
      <c r="B205" t="s">
        <v>11</v>
      </c>
      <c r="C205" t="s">
        <v>11</v>
      </c>
      <c r="D205" t="s">
        <v>5</v>
      </c>
      <c r="E205" s="1">
        <v>43185.839166666665</v>
      </c>
    </row>
    <row r="206" spans="1:5">
      <c r="A206">
        <v>9164</v>
      </c>
      <c r="B206" t="s">
        <v>78</v>
      </c>
      <c r="C206" t="s">
        <v>11</v>
      </c>
      <c r="D206" t="s">
        <v>6</v>
      </c>
      <c r="E206" s="1">
        <v>43186.360960648148</v>
      </c>
    </row>
    <row r="207" spans="1:5">
      <c r="A207">
        <v>9184</v>
      </c>
      <c r="B207" t="s">
        <v>11</v>
      </c>
      <c r="C207" t="s">
        <v>11</v>
      </c>
      <c r="D207" t="s">
        <v>5</v>
      </c>
      <c r="E207" s="1">
        <v>43186.812974537039</v>
      </c>
    </row>
    <row r="208" spans="1:5">
      <c r="A208">
        <v>9190</v>
      </c>
      <c r="B208" t="s">
        <v>11</v>
      </c>
      <c r="C208" t="s">
        <v>11</v>
      </c>
      <c r="D208" t="s">
        <v>6</v>
      </c>
      <c r="E208" s="1">
        <v>43187.35533564815</v>
      </c>
    </row>
    <row r="209" spans="1:5">
      <c r="A209">
        <v>9225</v>
      </c>
      <c r="B209" t="s">
        <v>11</v>
      </c>
      <c r="C209" t="s">
        <v>11</v>
      </c>
      <c r="D209" t="s">
        <v>5</v>
      </c>
      <c r="E209" s="1">
        <v>43187.950115740743</v>
      </c>
    </row>
    <row r="210" spans="1:5">
      <c r="A210">
        <v>9228</v>
      </c>
      <c r="B210" t="s">
        <v>11</v>
      </c>
      <c r="C210" t="s">
        <v>11</v>
      </c>
      <c r="D210" t="s">
        <v>6</v>
      </c>
      <c r="E210" s="1">
        <v>43188.364201388889</v>
      </c>
    </row>
    <row r="211" spans="1:5">
      <c r="A211">
        <v>9251</v>
      </c>
      <c r="B211" t="s">
        <v>11</v>
      </c>
      <c r="C211" t="s">
        <v>11</v>
      </c>
      <c r="D211" t="s">
        <v>5</v>
      </c>
      <c r="E211" s="1">
        <v>43188.802905092591</v>
      </c>
    </row>
    <row r="212" spans="1:5">
      <c r="A212">
        <v>9259</v>
      </c>
      <c r="B212" t="s">
        <v>11</v>
      </c>
      <c r="C212" t="s">
        <v>11</v>
      </c>
      <c r="D212" t="s">
        <v>6</v>
      </c>
      <c r="E212" s="1">
        <v>43189.359861111108</v>
      </c>
    </row>
    <row r="213" spans="1:5">
      <c r="A213">
        <v>9280</v>
      </c>
      <c r="B213" t="s">
        <v>11</v>
      </c>
      <c r="C213" t="s">
        <v>11</v>
      </c>
      <c r="D213" t="s">
        <v>5</v>
      </c>
      <c r="E213" s="1">
        <v>43189.8125462963</v>
      </c>
    </row>
    <row r="214" spans="1:5">
      <c r="A214">
        <v>9285</v>
      </c>
      <c r="B214" t="s">
        <v>78</v>
      </c>
      <c r="C214" t="s">
        <v>11</v>
      </c>
      <c r="D214" t="s">
        <v>6</v>
      </c>
      <c r="E214" s="1">
        <v>43190.361770833333</v>
      </c>
    </row>
    <row r="215" spans="1:5">
      <c r="A215">
        <v>9307</v>
      </c>
      <c r="B215" t="s">
        <v>11</v>
      </c>
      <c r="C215" t="s">
        <v>11</v>
      </c>
      <c r="D215" t="s">
        <v>5</v>
      </c>
      <c r="E215" s="1">
        <v>43190.818657407406</v>
      </c>
    </row>
    <row r="216" spans="1:5">
      <c r="A216">
        <v>9313</v>
      </c>
      <c r="B216" t="s">
        <v>11</v>
      </c>
      <c r="C216" t="s">
        <v>11</v>
      </c>
      <c r="D216" t="s">
        <v>6</v>
      </c>
      <c r="E216" s="1">
        <v>43192.362268518518</v>
      </c>
    </row>
    <row r="217" spans="1:5">
      <c r="A217">
        <v>8498</v>
      </c>
      <c r="B217" t="s">
        <v>99</v>
      </c>
      <c r="C217" t="s">
        <v>99</v>
      </c>
      <c r="D217" t="s">
        <v>6</v>
      </c>
      <c r="E217" s="1">
        <v>43160.379236111112</v>
      </c>
    </row>
    <row r="218" spans="1:5">
      <c r="A218">
        <v>8513</v>
      </c>
      <c r="B218" t="s">
        <v>99</v>
      </c>
      <c r="C218" t="s">
        <v>99</v>
      </c>
      <c r="D218" t="s">
        <v>5</v>
      </c>
      <c r="E218" s="1">
        <v>43160.793622685182</v>
      </c>
    </row>
    <row r="219" spans="1:5">
      <c r="A219">
        <v>8520</v>
      </c>
      <c r="B219" t="s">
        <v>99</v>
      </c>
      <c r="C219" t="s">
        <v>99</v>
      </c>
      <c r="D219" t="s">
        <v>6</v>
      </c>
      <c r="E219" s="1">
        <v>43161.358206018522</v>
      </c>
    </row>
    <row r="220" spans="1:5">
      <c r="A220">
        <v>8537</v>
      </c>
      <c r="B220" t="s">
        <v>99</v>
      </c>
      <c r="C220" t="s">
        <v>99</v>
      </c>
      <c r="D220" t="s">
        <v>7</v>
      </c>
      <c r="E220" s="1">
        <v>43161.769212962965</v>
      </c>
    </row>
    <row r="221" spans="1:5">
      <c r="A221">
        <v>8547</v>
      </c>
      <c r="B221" t="s">
        <v>99</v>
      </c>
      <c r="C221" t="s">
        <v>99</v>
      </c>
      <c r="D221" t="s">
        <v>5</v>
      </c>
      <c r="E221" s="1">
        <v>43161.890439814815</v>
      </c>
    </row>
    <row r="222" spans="1:5">
      <c r="A222">
        <v>8548</v>
      </c>
      <c r="B222" t="s">
        <v>99</v>
      </c>
      <c r="C222" t="s">
        <v>99</v>
      </c>
      <c r="D222" t="s">
        <v>6</v>
      </c>
      <c r="E222" s="1">
        <v>43162.420185185183</v>
      </c>
    </row>
    <row r="223" spans="1:5">
      <c r="A223">
        <v>8550</v>
      </c>
      <c r="B223" t="s">
        <v>99</v>
      </c>
      <c r="C223" t="s">
        <v>99</v>
      </c>
      <c r="D223" t="s">
        <v>8</v>
      </c>
      <c r="E223" s="1">
        <v>43162.555868055555</v>
      </c>
    </row>
    <row r="224" spans="1:5">
      <c r="A224">
        <v>8551</v>
      </c>
      <c r="B224" t="s">
        <v>99</v>
      </c>
      <c r="C224" t="s">
        <v>99</v>
      </c>
      <c r="D224" t="s">
        <v>7</v>
      </c>
      <c r="E224" s="1">
        <v>43162.577407407407</v>
      </c>
    </row>
    <row r="225" spans="1:5">
      <c r="A225">
        <v>8554</v>
      </c>
      <c r="B225" t="s">
        <v>99</v>
      </c>
      <c r="C225" t="s">
        <v>99</v>
      </c>
      <c r="D225" t="s">
        <v>8</v>
      </c>
      <c r="E225" s="1">
        <v>43162.718888888892</v>
      </c>
    </row>
    <row r="226" spans="1:5">
      <c r="A226">
        <v>8556</v>
      </c>
      <c r="B226" t="s">
        <v>99</v>
      </c>
      <c r="C226" t="s">
        <v>99</v>
      </c>
      <c r="D226" t="s">
        <v>6</v>
      </c>
      <c r="E226" s="1">
        <v>43164.357928240737</v>
      </c>
    </row>
    <row r="227" spans="1:5">
      <c r="A227">
        <v>8572</v>
      </c>
      <c r="B227" t="s">
        <v>99</v>
      </c>
      <c r="C227" t="s">
        <v>99</v>
      </c>
      <c r="D227" t="s">
        <v>5</v>
      </c>
      <c r="E227" s="1">
        <v>43164.76153935185</v>
      </c>
    </row>
    <row r="228" spans="1:5">
      <c r="A228">
        <v>8573</v>
      </c>
      <c r="B228" t="s">
        <v>99</v>
      </c>
      <c r="C228" t="s">
        <v>99</v>
      </c>
      <c r="D228" t="s">
        <v>7</v>
      </c>
      <c r="E228" s="1">
        <v>43164.761574074073</v>
      </c>
    </row>
    <row r="229" spans="1:5">
      <c r="A229">
        <v>8592</v>
      </c>
      <c r="B229" t="s">
        <v>99</v>
      </c>
      <c r="C229" t="s">
        <v>99</v>
      </c>
      <c r="D229" t="s">
        <v>8</v>
      </c>
      <c r="E229" s="1">
        <v>43164.939097222225</v>
      </c>
    </row>
    <row r="230" spans="1:5">
      <c r="A230">
        <v>8597</v>
      </c>
      <c r="B230" t="s">
        <v>99</v>
      </c>
      <c r="C230" t="s">
        <v>99</v>
      </c>
      <c r="D230" t="s">
        <v>6</v>
      </c>
      <c r="E230" s="1">
        <v>43165.363275462965</v>
      </c>
    </row>
    <row r="231" spans="1:5">
      <c r="A231">
        <v>8609</v>
      </c>
      <c r="B231" t="s">
        <v>99</v>
      </c>
      <c r="C231" t="s">
        <v>99</v>
      </c>
      <c r="D231" t="s">
        <v>5</v>
      </c>
      <c r="E231" s="1">
        <v>43165.768449074072</v>
      </c>
    </row>
    <row r="232" spans="1:5">
      <c r="A232">
        <v>8626</v>
      </c>
      <c r="B232" t="s">
        <v>99</v>
      </c>
      <c r="C232" t="s">
        <v>99</v>
      </c>
      <c r="D232" t="s">
        <v>6</v>
      </c>
      <c r="E232" s="1">
        <v>43166.359155092592</v>
      </c>
    </row>
    <row r="233" spans="1:5">
      <c r="A233">
        <v>8636</v>
      </c>
      <c r="B233" t="s">
        <v>99</v>
      </c>
      <c r="C233" t="s">
        <v>99</v>
      </c>
      <c r="D233" t="s">
        <v>5</v>
      </c>
      <c r="E233" s="1">
        <v>43166.438518518517</v>
      </c>
    </row>
    <row r="234" spans="1:5">
      <c r="A234">
        <v>8637</v>
      </c>
      <c r="B234" t="s">
        <v>99</v>
      </c>
      <c r="C234" t="s">
        <v>99</v>
      </c>
      <c r="D234" t="s">
        <v>6</v>
      </c>
      <c r="E234" s="1">
        <v>43166.584039351852</v>
      </c>
    </row>
    <row r="235" spans="1:5">
      <c r="A235">
        <v>8649</v>
      </c>
      <c r="B235" t="s">
        <v>99</v>
      </c>
      <c r="C235" t="s">
        <v>99</v>
      </c>
      <c r="D235" t="s">
        <v>5</v>
      </c>
      <c r="E235" s="1">
        <v>43166.77652777778</v>
      </c>
    </row>
    <row r="236" spans="1:5">
      <c r="A236">
        <v>8650</v>
      </c>
      <c r="B236" t="s">
        <v>99</v>
      </c>
      <c r="C236" t="s">
        <v>99</v>
      </c>
      <c r="D236" t="s">
        <v>7</v>
      </c>
      <c r="E236" s="1">
        <v>43166.776562500003</v>
      </c>
    </row>
    <row r="237" spans="1:5">
      <c r="A237">
        <v>8654</v>
      </c>
      <c r="B237" t="s">
        <v>99</v>
      </c>
      <c r="C237" t="s">
        <v>99</v>
      </c>
      <c r="D237" t="s">
        <v>8</v>
      </c>
      <c r="E237" s="1">
        <v>43166.84888888889</v>
      </c>
    </row>
    <row r="238" spans="1:5">
      <c r="A238">
        <v>8663</v>
      </c>
      <c r="B238" t="s">
        <v>99</v>
      </c>
      <c r="C238" t="s">
        <v>99</v>
      </c>
      <c r="D238" t="s">
        <v>6</v>
      </c>
      <c r="E238" s="1">
        <v>43167.359780092593</v>
      </c>
    </row>
    <row r="239" spans="1:5">
      <c r="A239">
        <v>8683</v>
      </c>
      <c r="B239" t="s">
        <v>99</v>
      </c>
      <c r="C239" t="s">
        <v>99</v>
      </c>
      <c r="D239" t="s">
        <v>5</v>
      </c>
      <c r="E239" s="1">
        <v>43167.773865740739</v>
      </c>
    </row>
    <row r="240" spans="1:5">
      <c r="A240">
        <v>8684</v>
      </c>
      <c r="B240" t="s">
        <v>99</v>
      </c>
      <c r="C240" t="s">
        <v>99</v>
      </c>
      <c r="D240" t="s">
        <v>7</v>
      </c>
      <c r="E240" s="1">
        <v>43167.773912037039</v>
      </c>
    </row>
    <row r="241" spans="1:5">
      <c r="A241">
        <v>8689</v>
      </c>
      <c r="B241" t="s">
        <v>99</v>
      </c>
      <c r="C241" t="s">
        <v>99</v>
      </c>
      <c r="D241" t="s">
        <v>8</v>
      </c>
      <c r="E241" s="1">
        <v>43167.839606481481</v>
      </c>
    </row>
    <row r="242" spans="1:5">
      <c r="A242">
        <v>8695</v>
      </c>
      <c r="B242" t="s">
        <v>99</v>
      </c>
      <c r="C242" t="s">
        <v>99</v>
      </c>
      <c r="D242" t="s">
        <v>6</v>
      </c>
      <c r="E242" s="1">
        <v>43168.365740740737</v>
      </c>
    </row>
    <row r="243" spans="1:5">
      <c r="A243">
        <v>8704</v>
      </c>
      <c r="B243" t="s">
        <v>99</v>
      </c>
      <c r="C243" t="s">
        <v>99</v>
      </c>
      <c r="D243" t="s">
        <v>5</v>
      </c>
      <c r="E243" s="1">
        <v>43168.767094907409</v>
      </c>
    </row>
    <row r="244" spans="1:5">
      <c r="A244">
        <v>8730</v>
      </c>
      <c r="B244" t="s">
        <v>99</v>
      </c>
      <c r="C244" t="s">
        <v>99</v>
      </c>
      <c r="D244" t="s">
        <v>7</v>
      </c>
      <c r="E244" s="1">
        <v>43170.422500000001</v>
      </c>
    </row>
    <row r="245" spans="1:5">
      <c r="A245">
        <v>8738</v>
      </c>
      <c r="B245" t="s">
        <v>99</v>
      </c>
      <c r="C245" t="s">
        <v>99</v>
      </c>
      <c r="D245" t="s">
        <v>8</v>
      </c>
      <c r="E245" s="1">
        <v>43170.550740740742</v>
      </c>
    </row>
    <row r="246" spans="1:5">
      <c r="A246">
        <v>8740</v>
      </c>
      <c r="B246" t="s">
        <v>99</v>
      </c>
      <c r="C246" t="s">
        <v>99</v>
      </c>
      <c r="D246" t="s">
        <v>7</v>
      </c>
      <c r="E246" s="1">
        <v>43170.572627314818</v>
      </c>
    </row>
    <row r="247" spans="1:5">
      <c r="A247">
        <v>8752</v>
      </c>
      <c r="B247" t="s">
        <v>99</v>
      </c>
      <c r="C247" t="s">
        <v>99</v>
      </c>
      <c r="D247" t="s">
        <v>8</v>
      </c>
      <c r="E247" s="1">
        <v>43170.751284722224</v>
      </c>
    </row>
    <row r="248" spans="1:5">
      <c r="A248">
        <v>8754</v>
      </c>
      <c r="B248" t="s">
        <v>99</v>
      </c>
      <c r="C248" t="s">
        <v>99</v>
      </c>
      <c r="D248" t="s">
        <v>7</v>
      </c>
      <c r="E248" s="1">
        <v>43170.751423611109</v>
      </c>
    </row>
    <row r="249" spans="1:5">
      <c r="A249">
        <v>8756</v>
      </c>
      <c r="B249" t="s">
        <v>99</v>
      </c>
      <c r="C249" t="s">
        <v>99</v>
      </c>
      <c r="D249" t="s">
        <v>8</v>
      </c>
      <c r="E249" s="1">
        <v>43170.785173611112</v>
      </c>
    </row>
    <row r="250" spans="1:5">
      <c r="A250">
        <v>8763</v>
      </c>
      <c r="B250" t="s">
        <v>100</v>
      </c>
      <c r="C250" t="s">
        <v>99</v>
      </c>
      <c r="D250" t="s">
        <v>6</v>
      </c>
      <c r="E250" s="1">
        <v>43171.366400462961</v>
      </c>
    </row>
    <row r="251" spans="1:5">
      <c r="A251">
        <v>8775</v>
      </c>
      <c r="B251" t="s">
        <v>99</v>
      </c>
      <c r="C251" t="s">
        <v>99</v>
      </c>
      <c r="D251" t="s">
        <v>5</v>
      </c>
      <c r="E251" s="1">
        <v>43171.768958333334</v>
      </c>
    </row>
    <row r="252" spans="1:5">
      <c r="A252">
        <v>8776</v>
      </c>
      <c r="B252" t="s">
        <v>99</v>
      </c>
      <c r="C252" t="s">
        <v>99</v>
      </c>
      <c r="D252" t="s">
        <v>7</v>
      </c>
      <c r="E252" s="1">
        <v>43171.769004629627</v>
      </c>
    </row>
    <row r="253" spans="1:5">
      <c r="A253">
        <v>8795</v>
      </c>
      <c r="B253" t="s">
        <v>99</v>
      </c>
      <c r="C253" t="s">
        <v>99</v>
      </c>
      <c r="D253" t="s">
        <v>8</v>
      </c>
      <c r="E253" s="1">
        <v>43171.908946759257</v>
      </c>
    </row>
    <row r="254" spans="1:5">
      <c r="A254">
        <v>8805</v>
      </c>
      <c r="B254" t="s">
        <v>100</v>
      </c>
      <c r="C254" t="s">
        <v>99</v>
      </c>
      <c r="D254" t="s">
        <v>6</v>
      </c>
      <c r="E254" s="1">
        <v>43172.368263888886</v>
      </c>
    </row>
    <row r="255" spans="1:5">
      <c r="A255">
        <v>8817</v>
      </c>
      <c r="B255" t="s">
        <v>99</v>
      </c>
      <c r="C255" t="s">
        <v>99</v>
      </c>
      <c r="D255" t="s">
        <v>5</v>
      </c>
      <c r="E255" s="1">
        <v>43172.773148148146</v>
      </c>
    </row>
    <row r="256" spans="1:5">
      <c r="A256">
        <v>8820</v>
      </c>
      <c r="B256" t="s">
        <v>99</v>
      </c>
      <c r="C256" t="s">
        <v>99</v>
      </c>
      <c r="D256" t="s">
        <v>7</v>
      </c>
      <c r="E256" s="1">
        <v>43172.773229166669</v>
      </c>
    </row>
    <row r="257" spans="1:5">
      <c r="A257">
        <v>8833</v>
      </c>
      <c r="B257" t="s">
        <v>99</v>
      </c>
      <c r="C257" t="s">
        <v>99</v>
      </c>
      <c r="D257" t="s">
        <v>8</v>
      </c>
      <c r="E257" s="1">
        <v>43172.872106481482</v>
      </c>
    </row>
    <row r="258" spans="1:5">
      <c r="A258">
        <v>8836</v>
      </c>
      <c r="B258" t="s">
        <v>99</v>
      </c>
      <c r="C258" t="s">
        <v>99</v>
      </c>
      <c r="D258" t="s">
        <v>6</v>
      </c>
      <c r="E258" s="1">
        <v>43173.356898148151</v>
      </c>
    </row>
    <row r="259" spans="1:5">
      <c r="A259">
        <v>8850</v>
      </c>
      <c r="B259" t="s">
        <v>99</v>
      </c>
      <c r="C259" t="s">
        <v>99</v>
      </c>
      <c r="D259" t="s">
        <v>5</v>
      </c>
      <c r="E259" s="1">
        <v>43173.768090277779</v>
      </c>
    </row>
    <row r="260" spans="1:5">
      <c r="A260">
        <v>8868</v>
      </c>
      <c r="B260" t="s">
        <v>100</v>
      </c>
      <c r="C260" t="s">
        <v>99</v>
      </c>
      <c r="D260" t="s">
        <v>5</v>
      </c>
      <c r="E260" s="1">
        <v>43173.864004629628</v>
      </c>
    </row>
    <row r="261" spans="1:5">
      <c r="A261">
        <v>8876</v>
      </c>
      <c r="B261" t="s">
        <v>100</v>
      </c>
      <c r="C261" t="s">
        <v>99</v>
      </c>
      <c r="D261" t="s">
        <v>6</v>
      </c>
      <c r="E261" s="1">
        <v>43174.36341435185</v>
      </c>
    </row>
    <row r="262" spans="1:5">
      <c r="A262">
        <v>8884</v>
      </c>
      <c r="B262" t="s">
        <v>99</v>
      </c>
      <c r="C262" t="s">
        <v>99</v>
      </c>
      <c r="D262" t="s">
        <v>5</v>
      </c>
      <c r="E262" s="1">
        <v>43174.767604166664</v>
      </c>
    </row>
    <row r="263" spans="1:5">
      <c r="A263">
        <v>8885</v>
      </c>
      <c r="B263" t="s">
        <v>99</v>
      </c>
      <c r="C263" t="s">
        <v>99</v>
      </c>
      <c r="D263" t="s">
        <v>7</v>
      </c>
      <c r="E263" s="1">
        <v>43174.767650462964</v>
      </c>
    </row>
    <row r="264" spans="1:5">
      <c r="A264">
        <v>8899</v>
      </c>
      <c r="B264" t="s">
        <v>99</v>
      </c>
      <c r="C264" t="s">
        <v>99</v>
      </c>
      <c r="D264" t="s">
        <v>8</v>
      </c>
      <c r="E264" s="1">
        <v>43174.848460648151</v>
      </c>
    </row>
    <row r="265" spans="1:5">
      <c r="A265">
        <v>8908</v>
      </c>
      <c r="B265" t="s">
        <v>99</v>
      </c>
      <c r="C265" t="s">
        <v>99</v>
      </c>
      <c r="D265" t="s">
        <v>6</v>
      </c>
      <c r="E265" s="1">
        <v>43175.362615740742</v>
      </c>
    </row>
    <row r="266" spans="1:5">
      <c r="A266">
        <v>8922</v>
      </c>
      <c r="B266" t="s">
        <v>99</v>
      </c>
      <c r="C266" t="s">
        <v>99</v>
      </c>
      <c r="D266" t="s">
        <v>5</v>
      </c>
      <c r="E266" s="1">
        <v>43175.768692129626</v>
      </c>
    </row>
    <row r="267" spans="1:5">
      <c r="A267">
        <v>8923</v>
      </c>
      <c r="B267" t="s">
        <v>99</v>
      </c>
      <c r="C267" t="s">
        <v>99</v>
      </c>
      <c r="D267" t="s">
        <v>7</v>
      </c>
      <c r="E267" s="1">
        <v>43175.76871527778</v>
      </c>
    </row>
    <row r="268" spans="1:5">
      <c r="A268">
        <v>8939</v>
      </c>
      <c r="B268" t="s">
        <v>100</v>
      </c>
      <c r="C268" t="s">
        <v>99</v>
      </c>
      <c r="D268" t="s">
        <v>8</v>
      </c>
      <c r="E268" s="1">
        <v>43175.905902777777</v>
      </c>
    </row>
    <row r="269" spans="1:5">
      <c r="A269">
        <v>8947</v>
      </c>
      <c r="B269" t="s">
        <v>99</v>
      </c>
      <c r="C269" t="s">
        <v>99</v>
      </c>
      <c r="D269" t="s">
        <v>6</v>
      </c>
      <c r="E269" s="1">
        <v>43176.453449074077</v>
      </c>
    </row>
    <row r="270" spans="1:5">
      <c r="A270">
        <v>8948</v>
      </c>
      <c r="B270" t="s">
        <v>99</v>
      </c>
      <c r="C270" t="s">
        <v>99</v>
      </c>
      <c r="D270" t="s">
        <v>5</v>
      </c>
      <c r="E270" s="1">
        <v>43176.453576388885</v>
      </c>
    </row>
    <row r="271" spans="1:5">
      <c r="A271">
        <v>8949</v>
      </c>
      <c r="B271" t="s">
        <v>99</v>
      </c>
      <c r="C271" t="s">
        <v>99</v>
      </c>
      <c r="D271" t="s">
        <v>7</v>
      </c>
      <c r="E271" s="1">
        <v>43176.453634259262</v>
      </c>
    </row>
    <row r="272" spans="1:5">
      <c r="A272">
        <v>8962</v>
      </c>
      <c r="B272" t="s">
        <v>99</v>
      </c>
      <c r="C272" t="s">
        <v>99</v>
      </c>
      <c r="D272" t="s">
        <v>8</v>
      </c>
      <c r="E272" s="1">
        <v>43176.633009259262</v>
      </c>
    </row>
    <row r="273" spans="1:5">
      <c r="A273">
        <v>8974</v>
      </c>
      <c r="B273" t="s">
        <v>99</v>
      </c>
      <c r="C273" t="s">
        <v>99</v>
      </c>
      <c r="D273" t="s">
        <v>6</v>
      </c>
      <c r="E273" s="1">
        <v>43178.364537037036</v>
      </c>
    </row>
    <row r="274" spans="1:5">
      <c r="A274">
        <v>8986</v>
      </c>
      <c r="B274" t="s">
        <v>99</v>
      </c>
      <c r="C274" t="s">
        <v>99</v>
      </c>
      <c r="D274" t="s">
        <v>5</v>
      </c>
      <c r="E274" s="1">
        <v>43178.767708333333</v>
      </c>
    </row>
    <row r="275" spans="1:5">
      <c r="A275">
        <v>8988</v>
      </c>
      <c r="B275" t="s">
        <v>99</v>
      </c>
      <c r="C275" t="s">
        <v>99</v>
      </c>
      <c r="D275" t="s">
        <v>7</v>
      </c>
      <c r="E275" s="1">
        <v>43178.768101851849</v>
      </c>
    </row>
    <row r="276" spans="1:5">
      <c r="A276">
        <v>9007</v>
      </c>
      <c r="B276" t="s">
        <v>99</v>
      </c>
      <c r="C276" t="s">
        <v>99</v>
      </c>
      <c r="D276" t="s">
        <v>8</v>
      </c>
      <c r="E276" s="1">
        <v>43178.914525462962</v>
      </c>
    </row>
    <row r="277" spans="1:5">
      <c r="A277">
        <v>9008</v>
      </c>
      <c r="B277" t="s">
        <v>99</v>
      </c>
      <c r="C277" t="s">
        <v>99</v>
      </c>
      <c r="D277" t="s">
        <v>6</v>
      </c>
      <c r="E277" s="1">
        <v>43179.361250000002</v>
      </c>
    </row>
    <row r="278" spans="1:5">
      <c r="A278">
        <v>9027</v>
      </c>
      <c r="B278" t="s">
        <v>99</v>
      </c>
      <c r="C278" t="s">
        <v>99</v>
      </c>
      <c r="D278" t="s">
        <v>5</v>
      </c>
      <c r="E278" s="1">
        <v>43179.769803240742</v>
      </c>
    </row>
    <row r="279" spans="1:5">
      <c r="A279">
        <v>9028</v>
      </c>
      <c r="B279" t="s">
        <v>99</v>
      </c>
      <c r="C279" t="s">
        <v>99</v>
      </c>
      <c r="D279" t="s">
        <v>7</v>
      </c>
      <c r="E279" s="1">
        <v>43179.769837962966</v>
      </c>
    </row>
    <row r="280" spans="1:5">
      <c r="A280">
        <v>9034</v>
      </c>
      <c r="B280" t="s">
        <v>99</v>
      </c>
      <c r="C280" t="s">
        <v>99</v>
      </c>
      <c r="D280" t="s">
        <v>8</v>
      </c>
      <c r="E280" s="1">
        <v>43179.778877314813</v>
      </c>
    </row>
    <row r="281" spans="1:5">
      <c r="A281">
        <v>9039</v>
      </c>
      <c r="B281" t="s">
        <v>99</v>
      </c>
      <c r="C281" t="s">
        <v>99</v>
      </c>
      <c r="D281" t="s">
        <v>7</v>
      </c>
      <c r="E281" s="1">
        <v>43179.799328703702</v>
      </c>
    </row>
    <row r="282" spans="1:5">
      <c r="A282">
        <v>9044</v>
      </c>
      <c r="B282" t="s">
        <v>99</v>
      </c>
      <c r="C282" t="s">
        <v>99</v>
      </c>
      <c r="D282" t="s">
        <v>8</v>
      </c>
      <c r="E282" s="1">
        <v>43179.884421296294</v>
      </c>
    </row>
    <row r="283" spans="1:5">
      <c r="A283">
        <v>9046</v>
      </c>
      <c r="B283" t="s">
        <v>99</v>
      </c>
      <c r="C283" t="s">
        <v>99</v>
      </c>
      <c r="D283" t="s">
        <v>6</v>
      </c>
      <c r="E283" s="1">
        <v>43180.363136574073</v>
      </c>
    </row>
    <row r="284" spans="1:5">
      <c r="A284">
        <v>9066</v>
      </c>
      <c r="B284" t="s">
        <v>99</v>
      </c>
      <c r="C284" t="s">
        <v>99</v>
      </c>
      <c r="D284" t="s">
        <v>5</v>
      </c>
      <c r="E284" s="1">
        <v>43180.771122685182</v>
      </c>
    </row>
    <row r="285" spans="1:5">
      <c r="A285">
        <v>9085</v>
      </c>
      <c r="B285" t="s">
        <v>99</v>
      </c>
      <c r="C285" t="s">
        <v>99</v>
      </c>
      <c r="D285" t="s">
        <v>6</v>
      </c>
      <c r="E285" s="1">
        <v>43181.364212962966</v>
      </c>
    </row>
    <row r="286" spans="1:5">
      <c r="A286">
        <v>9094</v>
      </c>
      <c r="B286" t="s">
        <v>99</v>
      </c>
      <c r="C286" t="s">
        <v>99</v>
      </c>
      <c r="D286" t="s">
        <v>5</v>
      </c>
      <c r="E286" s="1">
        <v>43181.763807870368</v>
      </c>
    </row>
    <row r="287" spans="1:5">
      <c r="A287">
        <v>9095</v>
      </c>
      <c r="B287" t="s">
        <v>99</v>
      </c>
      <c r="C287" t="s">
        <v>99</v>
      </c>
      <c r="D287" t="s">
        <v>7</v>
      </c>
      <c r="E287" s="1">
        <v>43181.764016203706</v>
      </c>
    </row>
    <row r="288" spans="1:5">
      <c r="A288">
        <v>9101</v>
      </c>
      <c r="B288" t="s">
        <v>99</v>
      </c>
      <c r="C288" t="s">
        <v>99</v>
      </c>
      <c r="D288" t="s">
        <v>8</v>
      </c>
      <c r="E288" s="1">
        <v>43181.784907407404</v>
      </c>
    </row>
    <row r="289" spans="1:5">
      <c r="A289">
        <v>9103</v>
      </c>
      <c r="B289" t="s">
        <v>99</v>
      </c>
      <c r="C289" t="s">
        <v>99</v>
      </c>
      <c r="D289" t="s">
        <v>7</v>
      </c>
      <c r="E289" s="1">
        <v>43181.796006944445</v>
      </c>
    </row>
    <row r="290" spans="1:5">
      <c r="A290">
        <v>9114</v>
      </c>
      <c r="B290" t="s">
        <v>99</v>
      </c>
      <c r="C290" t="s">
        <v>99</v>
      </c>
      <c r="D290" t="s">
        <v>8</v>
      </c>
      <c r="E290" s="1">
        <v>43181.935682870368</v>
      </c>
    </row>
    <row r="291" spans="1:5">
      <c r="A291">
        <v>9117</v>
      </c>
      <c r="B291" t="s">
        <v>99</v>
      </c>
      <c r="C291" t="s">
        <v>99</v>
      </c>
      <c r="D291" t="s">
        <v>6</v>
      </c>
      <c r="E291" s="1">
        <v>43182.362407407411</v>
      </c>
    </row>
    <row r="292" spans="1:5">
      <c r="A292">
        <v>9129</v>
      </c>
      <c r="B292" t="s">
        <v>99</v>
      </c>
      <c r="C292" t="s">
        <v>99</v>
      </c>
      <c r="D292" t="s">
        <v>5</v>
      </c>
      <c r="E292" s="1">
        <v>43182.768067129633</v>
      </c>
    </row>
    <row r="293" spans="1:5">
      <c r="A293">
        <v>9139</v>
      </c>
      <c r="B293" t="s">
        <v>99</v>
      </c>
      <c r="C293" t="s">
        <v>99</v>
      </c>
      <c r="D293" t="s">
        <v>6</v>
      </c>
      <c r="E293" s="1">
        <v>43185.363240740742</v>
      </c>
    </row>
    <row r="294" spans="1:5">
      <c r="A294">
        <v>9149</v>
      </c>
      <c r="B294" t="s">
        <v>99</v>
      </c>
      <c r="C294" t="s">
        <v>99</v>
      </c>
      <c r="D294" t="s">
        <v>5</v>
      </c>
      <c r="E294" s="1">
        <v>43185.767858796295</v>
      </c>
    </row>
    <row r="295" spans="1:5">
      <c r="A295">
        <v>9150</v>
      </c>
      <c r="B295" t="s">
        <v>99</v>
      </c>
      <c r="C295" t="s">
        <v>99</v>
      </c>
      <c r="D295" t="s">
        <v>7</v>
      </c>
      <c r="E295" s="1">
        <v>43185.767893518518</v>
      </c>
    </row>
    <row r="296" spans="1:5">
      <c r="A296">
        <v>9159</v>
      </c>
      <c r="B296" t="s">
        <v>99</v>
      </c>
      <c r="C296" t="s">
        <v>99</v>
      </c>
      <c r="D296" t="s">
        <v>8</v>
      </c>
      <c r="E296" s="1">
        <v>43185.831516203703</v>
      </c>
    </row>
    <row r="297" spans="1:5">
      <c r="A297">
        <v>9165</v>
      </c>
      <c r="B297" t="s">
        <v>100</v>
      </c>
      <c r="C297" t="s">
        <v>99</v>
      </c>
      <c r="D297" t="s">
        <v>6</v>
      </c>
      <c r="E297" s="1">
        <v>43186.360995370371</v>
      </c>
    </row>
    <row r="298" spans="1:5">
      <c r="A298">
        <v>9174</v>
      </c>
      <c r="B298" t="s">
        <v>100</v>
      </c>
      <c r="C298" t="s">
        <v>99</v>
      </c>
      <c r="D298" t="s">
        <v>5</v>
      </c>
      <c r="E298" s="1">
        <v>43186.773194444446</v>
      </c>
    </row>
    <row r="299" spans="1:5">
      <c r="A299">
        <v>9175</v>
      </c>
      <c r="B299" t="s">
        <v>100</v>
      </c>
      <c r="C299" t="s">
        <v>99</v>
      </c>
      <c r="D299" t="s">
        <v>7</v>
      </c>
      <c r="E299" s="1">
        <v>43186.773252314815</v>
      </c>
    </row>
    <row r="300" spans="1:5">
      <c r="A300">
        <v>9187</v>
      </c>
      <c r="B300" t="s">
        <v>99</v>
      </c>
      <c r="C300" t="s">
        <v>99</v>
      </c>
      <c r="D300" t="s">
        <v>8</v>
      </c>
      <c r="E300" s="1">
        <v>43186.835428240738</v>
      </c>
    </row>
    <row r="301" spans="1:5">
      <c r="A301">
        <v>9191</v>
      </c>
      <c r="B301" t="s">
        <v>99</v>
      </c>
      <c r="C301" t="s">
        <v>99</v>
      </c>
      <c r="D301" t="s">
        <v>6</v>
      </c>
      <c r="E301" s="1">
        <v>43187.357928240737</v>
      </c>
    </row>
    <row r="302" spans="1:5">
      <c r="A302">
        <v>9209</v>
      </c>
      <c r="B302" t="s">
        <v>99</v>
      </c>
      <c r="C302" t="s">
        <v>99</v>
      </c>
      <c r="D302" t="s">
        <v>5</v>
      </c>
      <c r="E302" s="1">
        <v>43187.771469907406</v>
      </c>
    </row>
    <row r="303" spans="1:5">
      <c r="A303">
        <v>9210</v>
      </c>
      <c r="B303" t="s">
        <v>99</v>
      </c>
      <c r="C303" t="s">
        <v>99</v>
      </c>
      <c r="D303" t="s">
        <v>7</v>
      </c>
      <c r="E303" s="1">
        <v>43187.771516203706</v>
      </c>
    </row>
    <row r="304" spans="1:5">
      <c r="A304">
        <v>9218</v>
      </c>
      <c r="B304" t="s">
        <v>99</v>
      </c>
      <c r="C304" t="s">
        <v>99</v>
      </c>
      <c r="D304" t="s">
        <v>5</v>
      </c>
      <c r="E304" s="1">
        <v>43187.795925925922</v>
      </c>
    </row>
    <row r="305" spans="1:5">
      <c r="A305">
        <v>9219</v>
      </c>
      <c r="B305" t="s">
        <v>99</v>
      </c>
      <c r="C305" t="s">
        <v>99</v>
      </c>
      <c r="D305" t="s">
        <v>8</v>
      </c>
      <c r="E305" s="1">
        <v>43187.796111111114</v>
      </c>
    </row>
    <row r="306" spans="1:5">
      <c r="A306">
        <v>9230</v>
      </c>
      <c r="B306" t="s">
        <v>99</v>
      </c>
      <c r="C306" t="s">
        <v>99</v>
      </c>
      <c r="D306" t="s">
        <v>6</v>
      </c>
      <c r="E306" s="1">
        <v>43188.366759259261</v>
      </c>
    </row>
    <row r="307" spans="1:5">
      <c r="A307">
        <v>9245</v>
      </c>
      <c r="B307" t="s">
        <v>100</v>
      </c>
      <c r="C307" t="s">
        <v>99</v>
      </c>
      <c r="D307" t="s">
        <v>5</v>
      </c>
      <c r="E307" s="1">
        <v>43188.772743055553</v>
      </c>
    </row>
    <row r="308" spans="1:5">
      <c r="A308">
        <v>9246</v>
      </c>
      <c r="B308" t="s">
        <v>100</v>
      </c>
      <c r="C308" t="s">
        <v>99</v>
      </c>
      <c r="D308" t="s">
        <v>7</v>
      </c>
      <c r="E308" s="1">
        <v>43188.772777777776</v>
      </c>
    </row>
    <row r="309" spans="1:5">
      <c r="A309">
        <v>9258</v>
      </c>
      <c r="B309" t="s">
        <v>99</v>
      </c>
      <c r="C309" t="s">
        <v>99</v>
      </c>
      <c r="D309" t="s">
        <v>8</v>
      </c>
      <c r="E309" s="1">
        <v>43188.850104166668</v>
      </c>
    </row>
    <row r="310" spans="1:5">
      <c r="A310">
        <v>9262</v>
      </c>
      <c r="B310" t="s">
        <v>100</v>
      </c>
      <c r="C310" t="s">
        <v>99</v>
      </c>
      <c r="D310" t="s">
        <v>6</v>
      </c>
      <c r="E310" s="1">
        <v>43189.364699074074</v>
      </c>
    </row>
    <row r="311" spans="1:5">
      <c r="A311">
        <v>9269</v>
      </c>
      <c r="B311" t="s">
        <v>99</v>
      </c>
      <c r="C311" t="s">
        <v>99</v>
      </c>
      <c r="D311" t="s">
        <v>5</v>
      </c>
      <c r="E311" s="1">
        <v>43189.765613425923</v>
      </c>
    </row>
    <row r="312" spans="1:5">
      <c r="A312">
        <v>9270</v>
      </c>
      <c r="B312" t="s">
        <v>99</v>
      </c>
      <c r="C312" t="s">
        <v>99</v>
      </c>
      <c r="D312" t="s">
        <v>8</v>
      </c>
      <c r="E312" s="1">
        <v>43189.765648148146</v>
      </c>
    </row>
    <row r="313" spans="1:5">
      <c r="A313">
        <v>9281</v>
      </c>
      <c r="B313" t="s">
        <v>99</v>
      </c>
      <c r="C313" t="s">
        <v>99</v>
      </c>
      <c r="D313" t="s">
        <v>8</v>
      </c>
      <c r="E313" s="1">
        <v>43189.846805555557</v>
      </c>
    </row>
    <row r="314" spans="1:5">
      <c r="A314">
        <v>9284</v>
      </c>
      <c r="B314" t="s">
        <v>100</v>
      </c>
      <c r="C314" t="s">
        <v>99</v>
      </c>
      <c r="D314" t="s">
        <v>6</v>
      </c>
      <c r="E314" s="1">
        <v>43190.361724537041</v>
      </c>
    </row>
    <row r="315" spans="1:5">
      <c r="A315">
        <v>9304</v>
      </c>
      <c r="B315" t="s">
        <v>99</v>
      </c>
      <c r="C315" t="s">
        <v>99</v>
      </c>
      <c r="D315" t="s">
        <v>5</v>
      </c>
      <c r="E315" s="1">
        <v>43190.792604166665</v>
      </c>
    </row>
    <row r="316" spans="1:5">
      <c r="A316">
        <v>9311</v>
      </c>
      <c r="B316" t="s">
        <v>99</v>
      </c>
      <c r="C316" t="s">
        <v>99</v>
      </c>
      <c r="D316" t="s">
        <v>7</v>
      </c>
      <c r="E316" s="1">
        <v>43191.500625000001</v>
      </c>
    </row>
    <row r="317" spans="1:5">
      <c r="A317">
        <v>9312</v>
      </c>
      <c r="B317" t="s">
        <v>99</v>
      </c>
      <c r="C317" t="s">
        <v>99</v>
      </c>
      <c r="D317" t="s">
        <v>8</v>
      </c>
      <c r="E317" s="1">
        <v>43191.644421296296</v>
      </c>
    </row>
    <row r="318" spans="1:5">
      <c r="A318">
        <v>9316</v>
      </c>
      <c r="B318" t="s">
        <v>99</v>
      </c>
      <c r="C318" t="s">
        <v>99</v>
      </c>
      <c r="D318" t="s">
        <v>6</v>
      </c>
      <c r="E318" s="1">
        <v>43192.366076388891</v>
      </c>
    </row>
    <row r="319" spans="1:5">
      <c r="A319">
        <v>9332</v>
      </c>
      <c r="B319" t="s">
        <v>100</v>
      </c>
      <c r="C319" t="s">
        <v>99</v>
      </c>
      <c r="D319" t="s">
        <v>5</v>
      </c>
      <c r="E319" s="1">
        <v>43192.77140046296</v>
      </c>
    </row>
    <row r="320" spans="1:5">
      <c r="A320">
        <v>9333</v>
      </c>
      <c r="B320" t="s">
        <v>100</v>
      </c>
      <c r="C320" t="s">
        <v>99</v>
      </c>
      <c r="D320" t="s">
        <v>7</v>
      </c>
      <c r="E320" s="1">
        <v>43192.771458333336</v>
      </c>
    </row>
    <row r="321" spans="1:5">
      <c r="A321">
        <v>8493</v>
      </c>
      <c r="B321" t="s">
        <v>39</v>
      </c>
      <c r="C321" t="s">
        <v>39</v>
      </c>
      <c r="D321" t="s">
        <v>6</v>
      </c>
      <c r="E321" s="1">
        <v>43160.367395833331</v>
      </c>
    </row>
    <row r="322" spans="1:5">
      <c r="A322">
        <v>8502</v>
      </c>
      <c r="B322" t="s">
        <v>39</v>
      </c>
      <c r="C322" t="s">
        <v>39</v>
      </c>
      <c r="D322" t="s">
        <v>5</v>
      </c>
      <c r="E322" s="1">
        <v>43160.770937499998</v>
      </c>
    </row>
    <row r="323" spans="1:5">
      <c r="A323">
        <v>8504</v>
      </c>
      <c r="B323" t="s">
        <v>39</v>
      </c>
      <c r="C323" t="s">
        <v>39</v>
      </c>
      <c r="D323" t="s">
        <v>7</v>
      </c>
      <c r="E323" s="1">
        <v>43160.770995370367</v>
      </c>
    </row>
    <row r="324" spans="1:5">
      <c r="A324">
        <v>8514</v>
      </c>
      <c r="B324" t="s">
        <v>39</v>
      </c>
      <c r="C324" t="s">
        <v>39</v>
      </c>
      <c r="D324" t="s">
        <v>8</v>
      </c>
      <c r="E324" s="1">
        <v>43160.804236111115</v>
      </c>
    </row>
    <row r="325" spans="1:5">
      <c r="A325">
        <v>8521</v>
      </c>
      <c r="B325" t="s">
        <v>39</v>
      </c>
      <c r="C325" t="s">
        <v>39</v>
      </c>
      <c r="D325" t="s">
        <v>6</v>
      </c>
      <c r="E325" s="1">
        <v>43161.363912037035</v>
      </c>
    </row>
    <row r="326" spans="1:5">
      <c r="A326">
        <v>8536</v>
      </c>
      <c r="B326" t="s">
        <v>39</v>
      </c>
      <c r="C326" t="s">
        <v>39</v>
      </c>
      <c r="D326" t="s">
        <v>5</v>
      </c>
      <c r="E326" s="1">
        <v>43161.767812500002</v>
      </c>
    </row>
    <row r="327" spans="1:5">
      <c r="A327">
        <v>8557</v>
      </c>
      <c r="B327" t="s">
        <v>39</v>
      </c>
      <c r="C327" t="s">
        <v>39</v>
      </c>
      <c r="D327" t="s">
        <v>6</v>
      </c>
      <c r="E327" s="1">
        <v>43164.361770833333</v>
      </c>
    </row>
    <row r="328" spans="1:5">
      <c r="A328">
        <v>8576</v>
      </c>
      <c r="B328" t="s">
        <v>39</v>
      </c>
      <c r="C328" t="s">
        <v>39</v>
      </c>
      <c r="D328" t="s">
        <v>5</v>
      </c>
      <c r="E328" s="1">
        <v>43164.765347222223</v>
      </c>
    </row>
    <row r="329" spans="1:5">
      <c r="A329">
        <v>8581</v>
      </c>
      <c r="B329" t="s">
        <v>39</v>
      </c>
      <c r="C329" t="s">
        <v>39</v>
      </c>
      <c r="D329" t="s">
        <v>7</v>
      </c>
      <c r="E329" s="1">
        <v>43164.774062500001</v>
      </c>
    </row>
    <row r="330" spans="1:5">
      <c r="A330">
        <v>8586</v>
      </c>
      <c r="B330" t="s">
        <v>39</v>
      </c>
      <c r="C330" t="s">
        <v>39</v>
      </c>
      <c r="D330" t="s">
        <v>8</v>
      </c>
      <c r="E330" s="1">
        <v>43164.836886574078</v>
      </c>
    </row>
    <row r="331" spans="1:5">
      <c r="A331">
        <v>8594</v>
      </c>
      <c r="B331" t="s">
        <v>39</v>
      </c>
      <c r="C331" t="s">
        <v>39</v>
      </c>
      <c r="D331" t="s">
        <v>6</v>
      </c>
      <c r="E331" s="1">
        <v>43165.361122685186</v>
      </c>
    </row>
    <row r="332" spans="1:5">
      <c r="A332">
        <v>8607</v>
      </c>
      <c r="B332" t="s">
        <v>39</v>
      </c>
      <c r="C332" t="s">
        <v>39</v>
      </c>
      <c r="D332" t="s">
        <v>5</v>
      </c>
      <c r="E332" s="1">
        <v>43165.764143518521</v>
      </c>
    </row>
    <row r="333" spans="1:5">
      <c r="A333">
        <v>8617</v>
      </c>
      <c r="B333" t="s">
        <v>39</v>
      </c>
      <c r="C333" t="s">
        <v>39</v>
      </c>
      <c r="D333" t="s">
        <v>7</v>
      </c>
      <c r="E333" s="1">
        <v>43165.786886574075</v>
      </c>
    </row>
    <row r="334" spans="1:5">
      <c r="A334">
        <v>8621</v>
      </c>
      <c r="B334" t="s">
        <v>39</v>
      </c>
      <c r="C334" t="s">
        <v>39</v>
      </c>
      <c r="D334" t="s">
        <v>8</v>
      </c>
      <c r="E334" s="1">
        <v>43165.884479166663</v>
      </c>
    </row>
    <row r="335" spans="1:5">
      <c r="A335">
        <v>8627</v>
      </c>
      <c r="B335" t="s">
        <v>39</v>
      </c>
      <c r="C335" t="s">
        <v>39</v>
      </c>
      <c r="D335" t="s">
        <v>6</v>
      </c>
      <c r="E335" s="1">
        <v>43166.363900462966</v>
      </c>
    </row>
    <row r="336" spans="1:5">
      <c r="A336">
        <v>8640</v>
      </c>
      <c r="B336" t="s">
        <v>39</v>
      </c>
      <c r="C336" t="s">
        <v>39</v>
      </c>
      <c r="D336" t="s">
        <v>5</v>
      </c>
      <c r="E336" s="1">
        <v>43166.762476851851</v>
      </c>
    </row>
    <row r="337" spans="1:5">
      <c r="A337">
        <v>8646</v>
      </c>
      <c r="B337" t="s">
        <v>39</v>
      </c>
      <c r="C337" t="s">
        <v>39</v>
      </c>
      <c r="D337" t="s">
        <v>7</v>
      </c>
      <c r="E337" s="1">
        <v>43166.771087962959</v>
      </c>
    </row>
    <row r="338" spans="1:5">
      <c r="A338">
        <v>8659</v>
      </c>
      <c r="B338" t="s">
        <v>39</v>
      </c>
      <c r="C338" t="s">
        <v>39</v>
      </c>
      <c r="D338" t="s">
        <v>8</v>
      </c>
      <c r="E338" s="1">
        <v>43166.865011574075</v>
      </c>
    </row>
    <row r="339" spans="1:5">
      <c r="A339">
        <v>8668</v>
      </c>
      <c r="B339" t="s">
        <v>39</v>
      </c>
      <c r="C339" t="s">
        <v>39</v>
      </c>
      <c r="D339" t="s">
        <v>6</v>
      </c>
      <c r="E339" s="1">
        <v>43167.368495370371</v>
      </c>
    </row>
    <row r="340" spans="1:5">
      <c r="A340">
        <v>8678</v>
      </c>
      <c r="B340" t="s">
        <v>39</v>
      </c>
      <c r="C340" t="s">
        <v>39</v>
      </c>
      <c r="D340" t="s">
        <v>7</v>
      </c>
      <c r="E340" s="1">
        <v>43167.770914351851</v>
      </c>
    </row>
    <row r="341" spans="1:5">
      <c r="A341">
        <v>8687</v>
      </c>
      <c r="B341" t="s">
        <v>39</v>
      </c>
      <c r="C341" t="s">
        <v>39</v>
      </c>
      <c r="D341" t="s">
        <v>8</v>
      </c>
      <c r="E341" s="1">
        <v>43167.808240740742</v>
      </c>
    </row>
    <row r="342" spans="1:5">
      <c r="A342">
        <v>8699</v>
      </c>
      <c r="B342" t="s">
        <v>39</v>
      </c>
      <c r="C342" t="s">
        <v>39</v>
      </c>
      <c r="D342" t="s">
        <v>10</v>
      </c>
      <c r="E342" s="1">
        <v>43168.369780092595</v>
      </c>
    </row>
    <row r="343" spans="1:5">
      <c r="A343">
        <v>8710</v>
      </c>
      <c r="B343" t="s">
        <v>39</v>
      </c>
      <c r="C343" t="s">
        <v>39</v>
      </c>
      <c r="D343" t="s">
        <v>5</v>
      </c>
      <c r="E343" s="1">
        <v>43168.77144675926</v>
      </c>
    </row>
    <row r="344" spans="1:5">
      <c r="A344">
        <v>8761</v>
      </c>
      <c r="B344" t="s">
        <v>39</v>
      </c>
      <c r="C344" t="s">
        <v>39</v>
      </c>
      <c r="D344" t="s">
        <v>6</v>
      </c>
      <c r="E344" s="1">
        <v>43171.362060185187</v>
      </c>
    </row>
    <row r="345" spans="1:5">
      <c r="A345">
        <v>8774</v>
      </c>
      <c r="B345" t="s">
        <v>39</v>
      </c>
      <c r="C345" t="s">
        <v>39</v>
      </c>
      <c r="D345" t="s">
        <v>5</v>
      </c>
      <c r="E345" s="1">
        <v>43171.764328703706</v>
      </c>
    </row>
    <row r="346" spans="1:5">
      <c r="A346">
        <v>8783</v>
      </c>
      <c r="B346" t="s">
        <v>39</v>
      </c>
      <c r="C346" t="s">
        <v>39</v>
      </c>
      <c r="D346" t="s">
        <v>7</v>
      </c>
      <c r="E346" s="1">
        <v>43171.771365740744</v>
      </c>
    </row>
    <row r="347" spans="1:5">
      <c r="A347">
        <v>8786</v>
      </c>
      <c r="B347" t="s">
        <v>39</v>
      </c>
      <c r="C347" t="s">
        <v>39</v>
      </c>
      <c r="D347" t="s">
        <v>8</v>
      </c>
      <c r="E347" s="1">
        <v>43171.784398148149</v>
      </c>
    </row>
    <row r="348" spans="1:5">
      <c r="A348">
        <v>8790</v>
      </c>
      <c r="B348" t="s">
        <v>39</v>
      </c>
      <c r="C348" t="s">
        <v>39</v>
      </c>
      <c r="D348" t="s">
        <v>7</v>
      </c>
      <c r="E348" s="1">
        <v>43171.798576388886</v>
      </c>
    </row>
    <row r="349" spans="1:5">
      <c r="A349">
        <v>8793</v>
      </c>
      <c r="B349" t="s">
        <v>39</v>
      </c>
      <c r="C349" t="s">
        <v>39</v>
      </c>
      <c r="D349" t="s">
        <v>8</v>
      </c>
      <c r="E349" s="1">
        <v>43171.902939814812</v>
      </c>
    </row>
    <row r="350" spans="1:5">
      <c r="A350">
        <v>8802</v>
      </c>
      <c r="B350" t="s">
        <v>39</v>
      </c>
      <c r="C350" t="s">
        <v>39</v>
      </c>
      <c r="D350" t="s">
        <v>6</v>
      </c>
      <c r="E350" s="1">
        <v>43172.362141203703</v>
      </c>
    </row>
    <row r="351" spans="1:5">
      <c r="A351">
        <v>8818</v>
      </c>
      <c r="B351" t="s">
        <v>39</v>
      </c>
      <c r="C351" t="s">
        <v>39</v>
      </c>
      <c r="D351" t="s">
        <v>5</v>
      </c>
      <c r="E351" s="1">
        <v>43172.7731712963</v>
      </c>
    </row>
    <row r="352" spans="1:5">
      <c r="A352">
        <v>8819</v>
      </c>
      <c r="B352" t="s">
        <v>39</v>
      </c>
      <c r="C352" t="s">
        <v>39</v>
      </c>
      <c r="D352" t="s">
        <v>7</v>
      </c>
      <c r="E352" s="1">
        <v>43172.773217592592</v>
      </c>
    </row>
    <row r="353" spans="1:5">
      <c r="A353">
        <v>8829</v>
      </c>
      <c r="B353" t="s">
        <v>39</v>
      </c>
      <c r="C353" t="s">
        <v>39</v>
      </c>
      <c r="D353" t="s">
        <v>8</v>
      </c>
      <c r="E353" s="1">
        <v>43172.852893518517</v>
      </c>
    </row>
    <row r="354" spans="1:5">
      <c r="A354">
        <v>8841</v>
      </c>
      <c r="B354" t="s">
        <v>39</v>
      </c>
      <c r="C354" t="s">
        <v>39</v>
      </c>
      <c r="D354" t="s">
        <v>6</v>
      </c>
      <c r="E354" s="1">
        <v>43173.36787037037</v>
      </c>
    </row>
    <row r="355" spans="1:5">
      <c r="A355">
        <v>8851</v>
      </c>
      <c r="B355" t="s">
        <v>39</v>
      </c>
      <c r="C355" t="s">
        <v>39</v>
      </c>
      <c r="D355" t="s">
        <v>5</v>
      </c>
      <c r="E355" s="1">
        <v>43173.770127314812</v>
      </c>
    </row>
    <row r="356" spans="1:5">
      <c r="A356">
        <v>8857</v>
      </c>
      <c r="B356" t="s">
        <v>39</v>
      </c>
      <c r="C356" t="s">
        <v>39</v>
      </c>
      <c r="D356" t="s">
        <v>7</v>
      </c>
      <c r="E356" s="1">
        <v>43173.772361111114</v>
      </c>
    </row>
    <row r="357" spans="1:5">
      <c r="A357">
        <v>8862</v>
      </c>
      <c r="B357" t="s">
        <v>39</v>
      </c>
      <c r="C357" t="s">
        <v>39</v>
      </c>
      <c r="D357" t="s">
        <v>8</v>
      </c>
      <c r="E357" s="1">
        <v>43173.849074074074</v>
      </c>
    </row>
    <row r="358" spans="1:5">
      <c r="A358">
        <v>8875</v>
      </c>
      <c r="B358" t="s">
        <v>94</v>
      </c>
      <c r="C358" t="s">
        <v>39</v>
      </c>
      <c r="D358" t="s">
        <v>6</v>
      </c>
      <c r="E358" s="1">
        <v>43174.363333333335</v>
      </c>
    </row>
    <row r="359" spans="1:5">
      <c r="A359">
        <v>8883</v>
      </c>
      <c r="B359" t="s">
        <v>39</v>
      </c>
      <c r="C359" t="s">
        <v>39</v>
      </c>
      <c r="D359" t="s">
        <v>5</v>
      </c>
      <c r="E359" s="1">
        <v>43174.76489583333</v>
      </c>
    </row>
    <row r="360" spans="1:5">
      <c r="A360">
        <v>8893</v>
      </c>
      <c r="B360" t="s">
        <v>39</v>
      </c>
      <c r="C360" t="s">
        <v>39</v>
      </c>
      <c r="D360" t="s">
        <v>7</v>
      </c>
      <c r="E360" s="1">
        <v>43174.77238425926</v>
      </c>
    </row>
    <row r="361" spans="1:5">
      <c r="A361">
        <v>8901</v>
      </c>
      <c r="B361" t="s">
        <v>39</v>
      </c>
      <c r="C361" t="s">
        <v>39</v>
      </c>
      <c r="D361" t="s">
        <v>8</v>
      </c>
      <c r="E361" s="1">
        <v>43174.86209490741</v>
      </c>
    </row>
    <row r="362" spans="1:5">
      <c r="A362">
        <v>8907</v>
      </c>
      <c r="B362" t="s">
        <v>39</v>
      </c>
      <c r="C362" t="s">
        <v>39</v>
      </c>
      <c r="D362" t="s">
        <v>6</v>
      </c>
      <c r="E362" s="1">
        <v>43175.361458333333</v>
      </c>
    </row>
    <row r="363" spans="1:5">
      <c r="A363">
        <v>8927</v>
      </c>
      <c r="B363" t="s">
        <v>39</v>
      </c>
      <c r="C363" t="s">
        <v>39</v>
      </c>
      <c r="D363" t="s">
        <v>5</v>
      </c>
      <c r="E363" s="1">
        <v>43175.774444444447</v>
      </c>
    </row>
    <row r="364" spans="1:5">
      <c r="A364">
        <v>8928</v>
      </c>
      <c r="B364" t="s">
        <v>39</v>
      </c>
      <c r="C364" t="s">
        <v>39</v>
      </c>
      <c r="D364" t="s">
        <v>7</v>
      </c>
      <c r="E364" s="1">
        <v>43175.77447916667</v>
      </c>
    </row>
    <row r="365" spans="1:5">
      <c r="A365">
        <v>8933</v>
      </c>
      <c r="B365" t="s">
        <v>39</v>
      </c>
      <c r="C365" t="s">
        <v>39</v>
      </c>
      <c r="D365" t="s">
        <v>8</v>
      </c>
      <c r="E365" s="1">
        <v>43175.798368055555</v>
      </c>
    </row>
    <row r="366" spans="1:5">
      <c r="A366">
        <v>8946</v>
      </c>
      <c r="B366" t="s">
        <v>101</v>
      </c>
      <c r="C366" t="s">
        <v>39</v>
      </c>
      <c r="D366" t="s">
        <v>7</v>
      </c>
      <c r="E366" s="1">
        <v>43176.441747685189</v>
      </c>
    </row>
    <row r="367" spans="1:5">
      <c r="A367">
        <v>8953</v>
      </c>
      <c r="B367" t="s">
        <v>39</v>
      </c>
      <c r="C367" t="s">
        <v>39</v>
      </c>
      <c r="D367" t="s">
        <v>8</v>
      </c>
      <c r="E367" s="1">
        <v>43176.506793981483</v>
      </c>
    </row>
    <row r="368" spans="1:5">
      <c r="A368">
        <v>8954</v>
      </c>
      <c r="B368" t="s">
        <v>39</v>
      </c>
      <c r="C368" t="s">
        <v>39</v>
      </c>
      <c r="D368" t="s">
        <v>7</v>
      </c>
      <c r="E368" s="1">
        <v>43176.562071759261</v>
      </c>
    </row>
    <row r="369" spans="1:5">
      <c r="A369">
        <v>8966</v>
      </c>
      <c r="B369" t="s">
        <v>39</v>
      </c>
      <c r="C369" t="s">
        <v>39</v>
      </c>
      <c r="D369" t="s">
        <v>8</v>
      </c>
      <c r="E369" s="1">
        <v>43176.699236111112</v>
      </c>
    </row>
    <row r="370" spans="1:5">
      <c r="A370">
        <v>8976</v>
      </c>
      <c r="B370" t="s">
        <v>39</v>
      </c>
      <c r="C370" t="s">
        <v>39</v>
      </c>
      <c r="D370" t="s">
        <v>6</v>
      </c>
      <c r="E370" s="1">
        <v>43178.366608796299</v>
      </c>
    </row>
    <row r="371" spans="1:5">
      <c r="A371">
        <v>8984</v>
      </c>
      <c r="B371" t="s">
        <v>39</v>
      </c>
      <c r="C371" t="s">
        <v>39</v>
      </c>
      <c r="D371" t="s">
        <v>5</v>
      </c>
      <c r="E371" s="1">
        <v>43178.765694444446</v>
      </c>
    </row>
    <row r="372" spans="1:5">
      <c r="A372">
        <v>8996</v>
      </c>
      <c r="B372" t="s">
        <v>39</v>
      </c>
      <c r="C372" t="s">
        <v>39</v>
      </c>
      <c r="D372" t="s">
        <v>7</v>
      </c>
      <c r="E372" s="1">
        <v>43178.792685185188</v>
      </c>
    </row>
    <row r="373" spans="1:5">
      <c r="A373">
        <v>9000</v>
      </c>
      <c r="B373" t="s">
        <v>39</v>
      </c>
      <c r="C373" t="s">
        <v>39</v>
      </c>
      <c r="D373" t="s">
        <v>8</v>
      </c>
      <c r="E373" s="1">
        <v>43178.856608796297</v>
      </c>
    </row>
    <row r="374" spans="1:5">
      <c r="A374">
        <v>9011</v>
      </c>
      <c r="B374" t="s">
        <v>39</v>
      </c>
      <c r="C374" t="s">
        <v>39</v>
      </c>
      <c r="D374" t="s">
        <v>6</v>
      </c>
      <c r="E374" s="1">
        <v>43179.364502314813</v>
      </c>
    </row>
    <row r="375" spans="1:5">
      <c r="A375">
        <v>9024</v>
      </c>
      <c r="B375" t="s">
        <v>39</v>
      </c>
      <c r="C375" t="s">
        <v>39</v>
      </c>
      <c r="D375" t="s">
        <v>5</v>
      </c>
      <c r="E375" s="1">
        <v>43179.768495370372</v>
      </c>
    </row>
    <row r="376" spans="1:5">
      <c r="A376">
        <v>9050</v>
      </c>
      <c r="B376" t="s">
        <v>39</v>
      </c>
      <c r="C376" t="s">
        <v>39</v>
      </c>
      <c r="D376" t="s">
        <v>6</v>
      </c>
      <c r="E376" s="1">
        <v>43180.368634259263</v>
      </c>
    </row>
    <row r="377" spans="1:5">
      <c r="A377">
        <v>9058</v>
      </c>
      <c r="B377" t="s">
        <v>39</v>
      </c>
      <c r="C377" t="s">
        <v>39</v>
      </c>
      <c r="D377" t="s">
        <v>5</v>
      </c>
      <c r="E377" s="1">
        <v>43180.769606481481</v>
      </c>
    </row>
    <row r="378" spans="1:5">
      <c r="A378">
        <v>9060</v>
      </c>
      <c r="B378" t="s">
        <v>39</v>
      </c>
      <c r="C378" t="s">
        <v>39</v>
      </c>
      <c r="D378" t="s">
        <v>7</v>
      </c>
      <c r="E378" s="1">
        <v>43180.770833333336</v>
      </c>
    </row>
    <row r="379" spans="1:5">
      <c r="A379">
        <v>9070</v>
      </c>
      <c r="B379" t="s">
        <v>39</v>
      </c>
      <c r="C379" t="s">
        <v>39</v>
      </c>
      <c r="D379" t="s">
        <v>8</v>
      </c>
      <c r="E379" s="1">
        <v>43180.782523148147</v>
      </c>
    </row>
    <row r="380" spans="1:5">
      <c r="A380">
        <v>9086</v>
      </c>
      <c r="B380" t="s">
        <v>39</v>
      </c>
      <c r="C380" t="s">
        <v>39</v>
      </c>
      <c r="D380" t="s">
        <v>6</v>
      </c>
      <c r="E380" s="1">
        <v>43181.36613425926</v>
      </c>
    </row>
    <row r="381" spans="1:5">
      <c r="A381">
        <v>9093</v>
      </c>
      <c r="B381" t="s">
        <v>39</v>
      </c>
      <c r="C381" t="s">
        <v>39</v>
      </c>
      <c r="D381" t="s">
        <v>5</v>
      </c>
      <c r="E381" s="1">
        <v>43181.762696759259</v>
      </c>
    </row>
    <row r="382" spans="1:5">
      <c r="A382">
        <v>9106</v>
      </c>
      <c r="B382" t="s">
        <v>39</v>
      </c>
      <c r="C382" t="s">
        <v>39</v>
      </c>
      <c r="D382" t="s">
        <v>7</v>
      </c>
      <c r="E382" s="1">
        <v>43181.798495370371</v>
      </c>
    </row>
    <row r="383" spans="1:5">
      <c r="A383">
        <v>9110</v>
      </c>
      <c r="B383" t="s">
        <v>39</v>
      </c>
      <c r="C383" t="s">
        <v>39</v>
      </c>
      <c r="D383" t="s">
        <v>8</v>
      </c>
      <c r="E383" s="1">
        <v>43181.927824074075</v>
      </c>
    </row>
    <row r="384" spans="1:5">
      <c r="A384">
        <v>9124</v>
      </c>
      <c r="B384" t="s">
        <v>39</v>
      </c>
      <c r="C384" t="s">
        <v>39</v>
      </c>
      <c r="D384" t="s">
        <v>10</v>
      </c>
      <c r="E384" s="1">
        <v>43182.372881944444</v>
      </c>
    </row>
    <row r="385" spans="1:5">
      <c r="A385">
        <v>9128</v>
      </c>
      <c r="B385" t="s">
        <v>39</v>
      </c>
      <c r="C385" t="s">
        <v>39</v>
      </c>
      <c r="D385" t="s">
        <v>5</v>
      </c>
      <c r="E385" s="1">
        <v>43182.763171296298</v>
      </c>
    </row>
    <row r="386" spans="1:5">
      <c r="A386">
        <v>9192</v>
      </c>
      <c r="B386" t="s">
        <v>39</v>
      </c>
      <c r="C386" t="s">
        <v>39</v>
      </c>
      <c r="D386" t="s">
        <v>6</v>
      </c>
      <c r="E386" s="1">
        <v>43187.359618055554</v>
      </c>
    </row>
    <row r="387" spans="1:5">
      <c r="A387">
        <v>9211</v>
      </c>
      <c r="B387" t="s">
        <v>39</v>
      </c>
      <c r="C387" t="s">
        <v>39</v>
      </c>
      <c r="D387" t="s">
        <v>5</v>
      </c>
      <c r="E387" s="1">
        <v>43187.771527777775</v>
      </c>
    </row>
    <row r="388" spans="1:5">
      <c r="A388">
        <v>9212</v>
      </c>
      <c r="B388" t="s">
        <v>39</v>
      </c>
      <c r="C388" t="s">
        <v>39</v>
      </c>
      <c r="D388" t="s">
        <v>7</v>
      </c>
      <c r="E388" s="1">
        <v>43187.771574074075</v>
      </c>
    </row>
    <row r="389" spans="1:5">
      <c r="A389">
        <v>9223</v>
      </c>
      <c r="B389" t="s">
        <v>39</v>
      </c>
      <c r="C389" t="s">
        <v>39</v>
      </c>
      <c r="D389" t="s">
        <v>8</v>
      </c>
      <c r="E389" s="1">
        <v>43187.896979166668</v>
      </c>
    </row>
    <row r="390" spans="1:5">
      <c r="A390">
        <v>9227</v>
      </c>
      <c r="B390" t="s">
        <v>39</v>
      </c>
      <c r="C390" t="s">
        <v>39</v>
      </c>
      <c r="D390" t="s">
        <v>6</v>
      </c>
      <c r="E390" s="1">
        <v>43188.357118055559</v>
      </c>
    </row>
    <row r="391" spans="1:5">
      <c r="A391">
        <v>9237</v>
      </c>
      <c r="B391" t="s">
        <v>39</v>
      </c>
      <c r="C391" t="s">
        <v>39</v>
      </c>
      <c r="D391" t="s">
        <v>5</v>
      </c>
      <c r="E391" s="1">
        <v>43188.763692129629</v>
      </c>
    </row>
    <row r="392" spans="1:5">
      <c r="A392">
        <v>9241</v>
      </c>
      <c r="B392" t="s">
        <v>39</v>
      </c>
      <c r="C392" t="s">
        <v>39</v>
      </c>
      <c r="D392" t="s">
        <v>7</v>
      </c>
      <c r="E392" s="1">
        <v>43188.771134259259</v>
      </c>
    </row>
    <row r="393" spans="1:5">
      <c r="A393">
        <v>9252</v>
      </c>
      <c r="B393" t="s">
        <v>39</v>
      </c>
      <c r="C393" t="s">
        <v>39</v>
      </c>
      <c r="D393" t="s">
        <v>8</v>
      </c>
      <c r="E393" s="1">
        <v>43188.811423611114</v>
      </c>
    </row>
    <row r="394" spans="1:5">
      <c r="A394">
        <v>9260</v>
      </c>
      <c r="B394" t="s">
        <v>39</v>
      </c>
      <c r="C394" t="s">
        <v>39</v>
      </c>
      <c r="D394" t="s">
        <v>6</v>
      </c>
      <c r="E394" s="1">
        <v>43189.360821759263</v>
      </c>
    </row>
    <row r="395" spans="1:5">
      <c r="A395">
        <v>9274</v>
      </c>
      <c r="B395" t="s">
        <v>39</v>
      </c>
      <c r="C395" t="s">
        <v>39</v>
      </c>
      <c r="D395" t="s">
        <v>5</v>
      </c>
      <c r="E395" s="1">
        <v>43189.773657407408</v>
      </c>
    </row>
    <row r="396" spans="1:5">
      <c r="A396">
        <v>9286</v>
      </c>
      <c r="B396" t="s">
        <v>94</v>
      </c>
      <c r="C396" t="s">
        <v>39</v>
      </c>
      <c r="D396" t="s">
        <v>6</v>
      </c>
      <c r="E396" s="1">
        <v>43190.361967592595</v>
      </c>
    </row>
    <row r="397" spans="1:5">
      <c r="A397">
        <v>9293</v>
      </c>
      <c r="B397" t="s">
        <v>39</v>
      </c>
      <c r="C397" t="s">
        <v>39</v>
      </c>
      <c r="D397" t="s">
        <v>5</v>
      </c>
      <c r="E397" s="1">
        <v>43190.764513888891</v>
      </c>
    </row>
    <row r="398" spans="1:5">
      <c r="A398">
        <v>9319</v>
      </c>
      <c r="B398" t="s">
        <v>39</v>
      </c>
      <c r="C398" t="s">
        <v>39</v>
      </c>
      <c r="D398" t="s">
        <v>10</v>
      </c>
      <c r="E398" s="1">
        <v>43192.369074074071</v>
      </c>
    </row>
    <row r="399" spans="1:5">
      <c r="A399">
        <v>9325</v>
      </c>
      <c r="B399" t="s">
        <v>39</v>
      </c>
      <c r="C399" t="s">
        <v>39</v>
      </c>
      <c r="D399" t="s">
        <v>5</v>
      </c>
      <c r="E399" s="1">
        <v>43192.763958333337</v>
      </c>
    </row>
    <row r="400" spans="1:5">
      <c r="A400">
        <v>9334</v>
      </c>
      <c r="B400" t="s">
        <v>39</v>
      </c>
      <c r="C400" t="s">
        <v>39</v>
      </c>
      <c r="D400" t="s">
        <v>7</v>
      </c>
      <c r="E400" s="1">
        <v>43192.771469907406</v>
      </c>
    </row>
    <row r="401" spans="1:5">
      <c r="A401">
        <v>8496</v>
      </c>
      <c r="B401" t="s">
        <v>63</v>
      </c>
      <c r="C401" t="s">
        <v>63</v>
      </c>
      <c r="D401" t="s">
        <v>6</v>
      </c>
      <c r="E401" s="1">
        <v>43160.373043981483</v>
      </c>
    </row>
    <row r="402" spans="1:5">
      <c r="A402">
        <v>8508</v>
      </c>
      <c r="B402" t="s">
        <v>63</v>
      </c>
      <c r="C402" t="s">
        <v>63</v>
      </c>
      <c r="D402" t="s">
        <v>5</v>
      </c>
      <c r="E402" s="1">
        <v>43160.785138888888</v>
      </c>
    </row>
    <row r="403" spans="1:5">
      <c r="A403">
        <v>8510</v>
      </c>
      <c r="B403" t="s">
        <v>63</v>
      </c>
      <c r="C403" t="s">
        <v>63</v>
      </c>
      <c r="D403" t="s">
        <v>7</v>
      </c>
      <c r="E403" s="1">
        <v>43160.785150462965</v>
      </c>
    </row>
    <row r="404" spans="1:5">
      <c r="A404">
        <v>8519</v>
      </c>
      <c r="B404" t="s">
        <v>63</v>
      </c>
      <c r="C404" t="s">
        <v>63</v>
      </c>
      <c r="D404" t="s">
        <v>8</v>
      </c>
      <c r="E404" s="1">
        <v>43160.891759259262</v>
      </c>
    </row>
    <row r="405" spans="1:5">
      <c r="A405">
        <v>8526</v>
      </c>
      <c r="B405" t="s">
        <v>63</v>
      </c>
      <c r="C405" t="s">
        <v>63</v>
      </c>
      <c r="D405" t="s">
        <v>6</v>
      </c>
      <c r="E405" s="1">
        <v>43161.368634259263</v>
      </c>
    </row>
    <row r="406" spans="1:5">
      <c r="A406">
        <v>8541</v>
      </c>
      <c r="B406" t="s">
        <v>79</v>
      </c>
      <c r="C406" t="s">
        <v>63</v>
      </c>
      <c r="D406" t="s">
        <v>5</v>
      </c>
      <c r="E406" s="1">
        <v>43161.799074074072</v>
      </c>
    </row>
    <row r="407" spans="1:5">
      <c r="A407">
        <v>8542</v>
      </c>
      <c r="B407" t="s">
        <v>79</v>
      </c>
      <c r="C407" t="s">
        <v>63</v>
      </c>
      <c r="D407" t="s">
        <v>6</v>
      </c>
      <c r="E407" s="1">
        <v>43161.799120370371</v>
      </c>
    </row>
    <row r="408" spans="1:5">
      <c r="A408">
        <v>8546</v>
      </c>
      <c r="B408" t="s">
        <v>63</v>
      </c>
      <c r="C408" t="s">
        <v>63</v>
      </c>
      <c r="D408" t="s">
        <v>8</v>
      </c>
      <c r="E408" s="1">
        <v>43161.885972222219</v>
      </c>
    </row>
    <row r="409" spans="1:5">
      <c r="A409">
        <v>8562</v>
      </c>
      <c r="B409" t="s">
        <v>63</v>
      </c>
      <c r="C409" t="s">
        <v>63</v>
      </c>
      <c r="D409" t="s">
        <v>6</v>
      </c>
      <c r="E409" s="1">
        <v>43164.3671875</v>
      </c>
    </row>
    <row r="410" spans="1:5">
      <c r="A410">
        <v>8567</v>
      </c>
      <c r="B410" t="s">
        <v>79</v>
      </c>
      <c r="C410" t="s">
        <v>63</v>
      </c>
      <c r="D410" t="s">
        <v>102</v>
      </c>
      <c r="E410" s="1">
        <v>43164.528865740744</v>
      </c>
    </row>
    <row r="411" spans="1:5">
      <c r="A411">
        <v>8571</v>
      </c>
      <c r="B411" t="s">
        <v>63</v>
      </c>
      <c r="C411" t="s">
        <v>63</v>
      </c>
      <c r="D411" t="s">
        <v>10</v>
      </c>
      <c r="E411" s="1">
        <v>43164.744363425925</v>
      </c>
    </row>
    <row r="412" spans="1:5">
      <c r="A412">
        <v>8577</v>
      </c>
      <c r="B412" t="s">
        <v>63</v>
      </c>
      <c r="C412" t="s">
        <v>63</v>
      </c>
      <c r="D412" t="s">
        <v>5</v>
      </c>
      <c r="E412" s="1">
        <v>43164.771631944444</v>
      </c>
    </row>
    <row r="413" spans="1:5">
      <c r="A413">
        <v>8578</v>
      </c>
      <c r="B413" t="s">
        <v>63</v>
      </c>
      <c r="C413" t="s">
        <v>63</v>
      </c>
      <c r="D413" t="s">
        <v>7</v>
      </c>
      <c r="E413" s="1">
        <v>43164.771643518521</v>
      </c>
    </row>
    <row r="414" spans="1:5">
      <c r="A414">
        <v>8591</v>
      </c>
      <c r="B414" t="s">
        <v>63</v>
      </c>
      <c r="C414" t="s">
        <v>63</v>
      </c>
      <c r="D414" t="s">
        <v>8</v>
      </c>
      <c r="E414" s="1">
        <v>43164.936956018515</v>
      </c>
    </row>
    <row r="415" spans="1:5">
      <c r="A415">
        <v>8602</v>
      </c>
      <c r="B415" t="s">
        <v>63</v>
      </c>
      <c r="C415" t="s">
        <v>63</v>
      </c>
      <c r="D415" t="s">
        <v>6</v>
      </c>
      <c r="E415" s="1">
        <v>43165.372662037036</v>
      </c>
    </row>
    <row r="416" spans="1:5">
      <c r="A416">
        <v>8612</v>
      </c>
      <c r="B416" t="s">
        <v>63</v>
      </c>
      <c r="C416" t="s">
        <v>63</v>
      </c>
      <c r="D416" t="s">
        <v>5</v>
      </c>
      <c r="E416" s="1">
        <v>43165.77616898148</v>
      </c>
    </row>
    <row r="417" spans="1:5">
      <c r="A417">
        <v>8613</v>
      </c>
      <c r="B417" t="s">
        <v>63</v>
      </c>
      <c r="C417" t="s">
        <v>63</v>
      </c>
      <c r="D417" t="s">
        <v>7</v>
      </c>
      <c r="E417" s="1">
        <v>43165.776180555556</v>
      </c>
    </row>
    <row r="418" spans="1:5">
      <c r="A418">
        <v>8625</v>
      </c>
      <c r="B418" t="s">
        <v>63</v>
      </c>
      <c r="C418" t="s">
        <v>63</v>
      </c>
      <c r="D418" t="s">
        <v>8</v>
      </c>
      <c r="E418" s="1">
        <v>43165.936967592592</v>
      </c>
    </row>
    <row r="419" spans="1:5">
      <c r="A419">
        <v>8630</v>
      </c>
      <c r="B419" t="s">
        <v>63</v>
      </c>
      <c r="C419" t="s">
        <v>63</v>
      </c>
      <c r="D419" t="s">
        <v>6</v>
      </c>
      <c r="E419" s="1">
        <v>43166.367060185185</v>
      </c>
    </row>
    <row r="420" spans="1:5">
      <c r="A420">
        <v>8651</v>
      </c>
      <c r="B420" t="s">
        <v>63</v>
      </c>
      <c r="C420" t="s">
        <v>63</v>
      </c>
      <c r="D420" t="s">
        <v>5</v>
      </c>
      <c r="E420" s="1">
        <v>43166.788541666669</v>
      </c>
    </row>
    <row r="421" spans="1:5">
      <c r="A421">
        <v>8652</v>
      </c>
      <c r="B421" t="s">
        <v>63</v>
      </c>
      <c r="C421" t="s">
        <v>63</v>
      </c>
      <c r="D421" t="s">
        <v>7</v>
      </c>
      <c r="E421" s="1">
        <v>43166.788564814815</v>
      </c>
    </row>
    <row r="422" spans="1:5">
      <c r="A422">
        <v>8661</v>
      </c>
      <c r="B422" t="s">
        <v>63</v>
      </c>
      <c r="C422" t="s">
        <v>63</v>
      </c>
      <c r="D422" t="s">
        <v>8</v>
      </c>
      <c r="E422" s="1">
        <v>43166.921157407407</v>
      </c>
    </row>
    <row r="423" spans="1:5">
      <c r="A423">
        <v>8672</v>
      </c>
      <c r="B423" t="s">
        <v>63</v>
      </c>
      <c r="C423" t="s">
        <v>63</v>
      </c>
      <c r="D423" t="s">
        <v>6</v>
      </c>
      <c r="E423" s="1">
        <v>43167.371944444443</v>
      </c>
    </row>
    <row r="424" spans="1:5">
      <c r="A424">
        <v>8679</v>
      </c>
      <c r="B424" t="s">
        <v>63</v>
      </c>
      <c r="C424" t="s">
        <v>63</v>
      </c>
      <c r="D424" t="s">
        <v>5</v>
      </c>
      <c r="E424" s="1">
        <v>43167.773773148147</v>
      </c>
    </row>
    <row r="425" spans="1:5">
      <c r="A425">
        <v>8680</v>
      </c>
      <c r="B425" t="s">
        <v>63</v>
      </c>
      <c r="C425" t="s">
        <v>63</v>
      </c>
      <c r="D425" t="s">
        <v>7</v>
      </c>
      <c r="E425" s="1">
        <v>43167.773796296293</v>
      </c>
    </row>
    <row r="426" spans="1:5">
      <c r="A426">
        <v>8691</v>
      </c>
      <c r="B426" t="s">
        <v>63</v>
      </c>
      <c r="C426" t="s">
        <v>63</v>
      </c>
      <c r="D426" t="s">
        <v>8</v>
      </c>
      <c r="E426" s="1">
        <v>43167.886759259258</v>
      </c>
    </row>
    <row r="427" spans="1:5">
      <c r="A427">
        <v>8701</v>
      </c>
      <c r="B427" t="s">
        <v>63</v>
      </c>
      <c r="C427" t="s">
        <v>63</v>
      </c>
      <c r="D427" t="s">
        <v>6</v>
      </c>
      <c r="E427" s="1">
        <v>43168.377453703702</v>
      </c>
    </row>
    <row r="428" spans="1:5">
      <c r="A428">
        <v>8711</v>
      </c>
      <c r="B428" t="s">
        <v>79</v>
      </c>
      <c r="C428" t="s">
        <v>63</v>
      </c>
      <c r="D428" t="s">
        <v>5</v>
      </c>
      <c r="E428" s="1">
        <v>43168.771481481483</v>
      </c>
    </row>
    <row r="429" spans="1:5">
      <c r="A429">
        <v>8712</v>
      </c>
      <c r="B429" t="s">
        <v>79</v>
      </c>
      <c r="C429" t="s">
        <v>63</v>
      </c>
      <c r="D429" t="s">
        <v>7</v>
      </c>
      <c r="E429" s="1">
        <v>43168.771562499998</v>
      </c>
    </row>
    <row r="430" spans="1:5">
      <c r="A430">
        <v>8717</v>
      </c>
      <c r="B430" t="s">
        <v>63</v>
      </c>
      <c r="C430" t="s">
        <v>63</v>
      </c>
      <c r="D430" t="s">
        <v>8</v>
      </c>
      <c r="E430" s="1">
        <v>43168.918483796297</v>
      </c>
    </row>
    <row r="431" spans="1:5">
      <c r="A431">
        <v>8722</v>
      </c>
      <c r="B431" t="s">
        <v>63</v>
      </c>
      <c r="C431" t="s">
        <v>63</v>
      </c>
      <c r="D431" t="s">
        <v>7</v>
      </c>
      <c r="E431" s="1">
        <v>43169.459178240744</v>
      </c>
    </row>
    <row r="432" spans="1:5">
      <c r="A432">
        <v>8725</v>
      </c>
      <c r="B432" t="s">
        <v>63</v>
      </c>
      <c r="C432" t="s">
        <v>63</v>
      </c>
      <c r="D432" t="s">
        <v>8</v>
      </c>
      <c r="E432" s="1">
        <v>43169.601655092592</v>
      </c>
    </row>
    <row r="433" spans="1:5">
      <c r="A433">
        <v>8726</v>
      </c>
      <c r="B433" t="s">
        <v>63</v>
      </c>
      <c r="C433" t="s">
        <v>63</v>
      </c>
      <c r="D433" t="s">
        <v>7</v>
      </c>
      <c r="E433" s="1">
        <v>43169.601712962962</v>
      </c>
    </row>
    <row r="434" spans="1:5">
      <c r="A434">
        <v>8727</v>
      </c>
      <c r="B434" t="s">
        <v>63</v>
      </c>
      <c r="C434" t="s">
        <v>63</v>
      </c>
      <c r="D434" t="s">
        <v>8</v>
      </c>
      <c r="E434" s="1">
        <v>43169.694780092592</v>
      </c>
    </row>
    <row r="435" spans="1:5">
      <c r="A435">
        <v>8733</v>
      </c>
      <c r="B435" t="s">
        <v>63</v>
      </c>
      <c r="C435" t="s">
        <v>63</v>
      </c>
      <c r="D435" t="s">
        <v>7</v>
      </c>
      <c r="E435" s="1">
        <v>43170.465104166666</v>
      </c>
    </row>
    <row r="436" spans="1:5">
      <c r="A436">
        <v>8737</v>
      </c>
      <c r="B436" t="s">
        <v>63</v>
      </c>
      <c r="C436" t="s">
        <v>63</v>
      </c>
      <c r="D436" t="s">
        <v>8</v>
      </c>
      <c r="E436" s="1">
        <v>43170.549849537034</v>
      </c>
    </row>
    <row r="437" spans="1:5">
      <c r="A437">
        <v>8742</v>
      </c>
      <c r="B437" t="s">
        <v>63</v>
      </c>
      <c r="C437" t="s">
        <v>63</v>
      </c>
      <c r="D437" t="s">
        <v>7</v>
      </c>
      <c r="E437" s="1">
        <v>43170.581793981481</v>
      </c>
    </row>
    <row r="438" spans="1:5">
      <c r="A438">
        <v>8753</v>
      </c>
      <c r="B438" t="s">
        <v>63</v>
      </c>
      <c r="C438" t="s">
        <v>63</v>
      </c>
      <c r="D438" t="s">
        <v>8</v>
      </c>
      <c r="E438" s="1">
        <v>43170.751388888886</v>
      </c>
    </row>
    <row r="439" spans="1:5">
      <c r="A439">
        <v>8755</v>
      </c>
      <c r="B439" t="s">
        <v>63</v>
      </c>
      <c r="C439" t="s">
        <v>63</v>
      </c>
      <c r="D439" t="s">
        <v>7</v>
      </c>
      <c r="E439" s="1">
        <v>43170.751435185186</v>
      </c>
    </row>
    <row r="440" spans="1:5">
      <c r="A440">
        <v>8757</v>
      </c>
      <c r="B440" t="s">
        <v>79</v>
      </c>
      <c r="C440" t="s">
        <v>63</v>
      </c>
      <c r="D440" t="s">
        <v>8</v>
      </c>
      <c r="E440" s="1">
        <v>43170.785185185188</v>
      </c>
    </row>
    <row r="441" spans="1:5">
      <c r="A441">
        <v>8770</v>
      </c>
      <c r="B441" t="s">
        <v>63</v>
      </c>
      <c r="C441" t="s">
        <v>63</v>
      </c>
      <c r="D441" t="s">
        <v>6</v>
      </c>
      <c r="E441" s="1">
        <v>43171.373472222222</v>
      </c>
    </row>
    <row r="442" spans="1:5">
      <c r="A442">
        <v>8784</v>
      </c>
      <c r="B442" t="s">
        <v>63</v>
      </c>
      <c r="C442" t="s">
        <v>63</v>
      </c>
      <c r="D442" t="s">
        <v>5</v>
      </c>
      <c r="E442" s="1">
        <v>43171.776643518519</v>
      </c>
    </row>
    <row r="443" spans="1:5">
      <c r="A443">
        <v>8785</v>
      </c>
      <c r="B443" t="s">
        <v>63</v>
      </c>
      <c r="C443" t="s">
        <v>63</v>
      </c>
      <c r="D443" t="s">
        <v>7</v>
      </c>
      <c r="E443" s="1">
        <v>43171.776655092595</v>
      </c>
    </row>
    <row r="444" spans="1:5">
      <c r="A444">
        <v>8788</v>
      </c>
      <c r="B444" t="s">
        <v>63</v>
      </c>
      <c r="C444" t="s">
        <v>63</v>
      </c>
      <c r="D444" t="s">
        <v>8</v>
      </c>
      <c r="E444" s="1">
        <v>43171.796215277776</v>
      </c>
    </row>
    <row r="445" spans="1:5">
      <c r="A445">
        <v>8792</v>
      </c>
      <c r="B445" t="s">
        <v>79</v>
      </c>
      <c r="C445" t="s">
        <v>63</v>
      </c>
      <c r="D445" t="s">
        <v>7</v>
      </c>
      <c r="E445" s="1">
        <v>43171.828460648147</v>
      </c>
    </row>
    <row r="446" spans="1:5">
      <c r="A446">
        <v>8799</v>
      </c>
      <c r="B446" t="s">
        <v>63</v>
      </c>
      <c r="C446" t="s">
        <v>63</v>
      </c>
      <c r="D446" t="s">
        <v>8</v>
      </c>
      <c r="E446" s="1">
        <v>43171.914884259262</v>
      </c>
    </row>
    <row r="447" spans="1:5">
      <c r="A447">
        <v>8803</v>
      </c>
      <c r="B447" t="s">
        <v>79</v>
      </c>
      <c r="C447" t="s">
        <v>63</v>
      </c>
      <c r="D447" t="s">
        <v>6</v>
      </c>
      <c r="E447" s="1">
        <v>43172.363738425927</v>
      </c>
    </row>
    <row r="448" spans="1:5">
      <c r="A448">
        <v>8825</v>
      </c>
      <c r="B448" t="s">
        <v>63</v>
      </c>
      <c r="C448" t="s">
        <v>63</v>
      </c>
      <c r="D448" t="s">
        <v>5</v>
      </c>
      <c r="E448" s="1">
        <v>43172.781076388892</v>
      </c>
    </row>
    <row r="449" spans="1:5">
      <c r="A449">
        <v>8826</v>
      </c>
      <c r="B449" t="s">
        <v>63</v>
      </c>
      <c r="C449" t="s">
        <v>63</v>
      </c>
      <c r="D449" t="s">
        <v>7</v>
      </c>
      <c r="E449" s="1">
        <v>43172.781099537038</v>
      </c>
    </row>
    <row r="450" spans="1:5">
      <c r="A450">
        <v>8834</v>
      </c>
      <c r="B450" t="s">
        <v>63</v>
      </c>
      <c r="C450" t="s">
        <v>63</v>
      </c>
      <c r="D450" t="s">
        <v>8</v>
      </c>
      <c r="E450" s="1">
        <v>43172.906770833331</v>
      </c>
    </row>
    <row r="451" spans="1:5">
      <c r="A451">
        <v>8840</v>
      </c>
      <c r="B451" t="s">
        <v>63</v>
      </c>
      <c r="C451" t="s">
        <v>63</v>
      </c>
      <c r="D451" t="s">
        <v>6</v>
      </c>
      <c r="E451" s="1">
        <v>43173.363900462966</v>
      </c>
    </row>
    <row r="452" spans="1:5">
      <c r="A452">
        <v>8858</v>
      </c>
      <c r="B452" t="s">
        <v>63</v>
      </c>
      <c r="C452" t="s">
        <v>63</v>
      </c>
      <c r="D452" t="s">
        <v>5</v>
      </c>
      <c r="E452" s="1">
        <v>43173.781793981485</v>
      </c>
    </row>
    <row r="453" spans="1:5">
      <c r="A453">
        <v>8859</v>
      </c>
      <c r="B453" t="s">
        <v>63</v>
      </c>
      <c r="C453" t="s">
        <v>63</v>
      </c>
      <c r="D453" t="s">
        <v>7</v>
      </c>
      <c r="E453" s="1">
        <v>43173.781805555554</v>
      </c>
    </row>
    <row r="454" spans="1:5">
      <c r="A454">
        <v>8871</v>
      </c>
      <c r="B454" t="s">
        <v>63</v>
      </c>
      <c r="C454" t="s">
        <v>63</v>
      </c>
      <c r="D454" t="s">
        <v>8</v>
      </c>
      <c r="E454" s="1">
        <v>43173.897604166668</v>
      </c>
    </row>
    <row r="455" spans="1:5">
      <c r="A455">
        <v>8880</v>
      </c>
      <c r="B455" t="s">
        <v>63</v>
      </c>
      <c r="C455" t="s">
        <v>63</v>
      </c>
      <c r="D455" t="s">
        <v>6</v>
      </c>
      <c r="E455" s="1">
        <v>43174.37332175926</v>
      </c>
    </row>
    <row r="456" spans="1:5">
      <c r="A456">
        <v>8891</v>
      </c>
      <c r="B456" t="s">
        <v>63</v>
      </c>
      <c r="C456" t="s">
        <v>63</v>
      </c>
      <c r="D456" t="s">
        <v>5</v>
      </c>
      <c r="E456" s="1">
        <v>43174.772233796299</v>
      </c>
    </row>
    <row r="457" spans="1:5">
      <c r="A457">
        <v>8892</v>
      </c>
      <c r="B457" t="s">
        <v>63</v>
      </c>
      <c r="C457" t="s">
        <v>63</v>
      </c>
      <c r="D457" t="s">
        <v>7</v>
      </c>
      <c r="E457" s="1">
        <v>43174.772280092591</v>
      </c>
    </row>
    <row r="458" spans="1:5">
      <c r="A458">
        <v>8905</v>
      </c>
      <c r="B458" t="s">
        <v>63</v>
      </c>
      <c r="C458" t="s">
        <v>63</v>
      </c>
      <c r="D458" t="s">
        <v>8</v>
      </c>
      <c r="E458" s="1">
        <v>43174.915555555555</v>
      </c>
    </row>
    <row r="459" spans="1:5">
      <c r="A459">
        <v>8915</v>
      </c>
      <c r="B459" t="s">
        <v>63</v>
      </c>
      <c r="C459" t="s">
        <v>63</v>
      </c>
      <c r="D459" t="s">
        <v>6</v>
      </c>
      <c r="E459" s="1">
        <v>43175.37158564815</v>
      </c>
    </row>
    <row r="460" spans="1:5">
      <c r="A460">
        <v>8925</v>
      </c>
      <c r="B460" t="s">
        <v>63</v>
      </c>
      <c r="C460" t="s">
        <v>63</v>
      </c>
      <c r="D460" t="s">
        <v>5</v>
      </c>
      <c r="E460" s="1">
        <v>43175.774097222224</v>
      </c>
    </row>
    <row r="461" spans="1:5">
      <c r="A461">
        <v>8926</v>
      </c>
      <c r="B461" t="s">
        <v>63</v>
      </c>
      <c r="C461" t="s">
        <v>63</v>
      </c>
      <c r="D461" t="s">
        <v>7</v>
      </c>
      <c r="E461" s="1">
        <v>43175.774108796293</v>
      </c>
    </row>
    <row r="462" spans="1:5">
      <c r="A462">
        <v>8931</v>
      </c>
      <c r="B462" t="s">
        <v>63</v>
      </c>
      <c r="C462" t="s">
        <v>63</v>
      </c>
      <c r="D462" t="s">
        <v>8</v>
      </c>
      <c r="E462" s="1">
        <v>43175.788819444446</v>
      </c>
    </row>
    <row r="463" spans="1:5">
      <c r="A463">
        <v>8937</v>
      </c>
      <c r="B463" t="s">
        <v>63</v>
      </c>
      <c r="C463" t="s">
        <v>63</v>
      </c>
      <c r="D463" t="s">
        <v>7</v>
      </c>
      <c r="E463" s="1">
        <v>43175.827546296299</v>
      </c>
    </row>
    <row r="464" spans="1:5">
      <c r="A464">
        <v>8940</v>
      </c>
      <c r="B464" t="s">
        <v>63</v>
      </c>
      <c r="C464" t="s">
        <v>63</v>
      </c>
      <c r="D464" t="s">
        <v>8</v>
      </c>
      <c r="E464" s="1">
        <v>43175.906192129631</v>
      </c>
    </row>
    <row r="465" spans="1:5">
      <c r="A465">
        <v>8951</v>
      </c>
      <c r="B465" t="s">
        <v>63</v>
      </c>
      <c r="C465" t="s">
        <v>63</v>
      </c>
      <c r="D465" t="s">
        <v>7</v>
      </c>
      <c r="E465" s="1">
        <v>43176.501944444448</v>
      </c>
    </row>
    <row r="466" spans="1:5">
      <c r="A466">
        <v>8955</v>
      </c>
      <c r="B466" t="s">
        <v>63</v>
      </c>
      <c r="C466" t="s">
        <v>63</v>
      </c>
      <c r="D466" t="s">
        <v>8</v>
      </c>
      <c r="E466" s="1">
        <v>43176.56695601852</v>
      </c>
    </row>
    <row r="467" spans="1:5">
      <c r="A467">
        <v>8959</v>
      </c>
      <c r="B467" t="s">
        <v>63</v>
      </c>
      <c r="C467" t="s">
        <v>63</v>
      </c>
      <c r="D467" t="s">
        <v>7</v>
      </c>
      <c r="E467" s="1">
        <v>43176.57576388889</v>
      </c>
    </row>
    <row r="468" spans="1:5">
      <c r="A468">
        <v>8967</v>
      </c>
      <c r="B468" t="s">
        <v>63</v>
      </c>
      <c r="C468" t="s">
        <v>63</v>
      </c>
      <c r="D468" t="s">
        <v>8</v>
      </c>
      <c r="E468" s="1">
        <v>43176.709537037037</v>
      </c>
    </row>
    <row r="469" spans="1:5">
      <c r="A469">
        <v>8968</v>
      </c>
      <c r="B469" t="s">
        <v>63</v>
      </c>
      <c r="C469" t="s">
        <v>63</v>
      </c>
      <c r="D469" t="s">
        <v>7</v>
      </c>
      <c r="E469" s="1">
        <v>43176.709548611114</v>
      </c>
    </row>
    <row r="470" spans="1:5">
      <c r="A470">
        <v>8973</v>
      </c>
      <c r="B470" t="s">
        <v>79</v>
      </c>
      <c r="C470" t="s">
        <v>63</v>
      </c>
      <c r="D470" t="s">
        <v>8</v>
      </c>
      <c r="E470" s="1">
        <v>43176.839062500003</v>
      </c>
    </row>
    <row r="471" spans="1:5">
      <c r="A471">
        <v>8980</v>
      </c>
      <c r="B471" t="s">
        <v>63</v>
      </c>
      <c r="C471" t="s">
        <v>63</v>
      </c>
      <c r="D471" t="s">
        <v>6</v>
      </c>
      <c r="E471" s="1">
        <v>43178.371666666666</v>
      </c>
    </row>
    <row r="472" spans="1:5">
      <c r="A472">
        <v>8987</v>
      </c>
      <c r="B472" t="s">
        <v>63</v>
      </c>
      <c r="C472" t="s">
        <v>63</v>
      </c>
      <c r="D472" t="s">
        <v>5</v>
      </c>
      <c r="E472" s="1">
        <v>43178.767800925925</v>
      </c>
    </row>
    <row r="473" spans="1:5">
      <c r="A473">
        <v>8998</v>
      </c>
      <c r="B473" t="s">
        <v>63</v>
      </c>
      <c r="C473" t="s">
        <v>63</v>
      </c>
      <c r="D473" t="s">
        <v>7</v>
      </c>
      <c r="E473" s="1">
        <v>43178.794733796298</v>
      </c>
    </row>
    <row r="474" spans="1:5">
      <c r="A474">
        <v>9006</v>
      </c>
      <c r="B474" t="s">
        <v>63</v>
      </c>
      <c r="C474" t="s">
        <v>63</v>
      </c>
      <c r="D474" t="s">
        <v>8</v>
      </c>
      <c r="E474" s="1">
        <v>43178.910752314812</v>
      </c>
    </row>
    <row r="475" spans="1:5">
      <c r="A475">
        <v>9014</v>
      </c>
      <c r="B475" t="s">
        <v>79</v>
      </c>
      <c r="C475" t="s">
        <v>63</v>
      </c>
      <c r="D475" t="s">
        <v>6</v>
      </c>
      <c r="E475" s="1">
        <v>43179.368750000001</v>
      </c>
    </row>
    <row r="476" spans="1:5">
      <c r="A476">
        <v>9029</v>
      </c>
      <c r="B476" t="s">
        <v>63</v>
      </c>
      <c r="C476" t="s">
        <v>63</v>
      </c>
      <c r="D476" t="s">
        <v>5</v>
      </c>
      <c r="E476" s="1">
        <v>43179.770729166667</v>
      </c>
    </row>
    <row r="477" spans="1:5">
      <c r="A477">
        <v>9035</v>
      </c>
      <c r="B477" t="s">
        <v>63</v>
      </c>
      <c r="C477" t="s">
        <v>63</v>
      </c>
      <c r="D477" t="s">
        <v>7</v>
      </c>
      <c r="E477" s="1">
        <v>43179.787592592591</v>
      </c>
    </row>
    <row r="478" spans="1:5">
      <c r="A478">
        <v>9045</v>
      </c>
      <c r="B478" t="s">
        <v>63</v>
      </c>
      <c r="C478" t="s">
        <v>63</v>
      </c>
      <c r="D478" t="s">
        <v>8</v>
      </c>
      <c r="E478" s="1">
        <v>43179.89508101852</v>
      </c>
    </row>
    <row r="479" spans="1:5">
      <c r="A479">
        <v>9051</v>
      </c>
      <c r="B479" t="s">
        <v>63</v>
      </c>
      <c r="C479" t="s">
        <v>63</v>
      </c>
      <c r="D479" t="s">
        <v>6</v>
      </c>
      <c r="E479" s="1">
        <v>43180.368668981479</v>
      </c>
    </row>
    <row r="480" spans="1:5">
      <c r="A480">
        <v>9061</v>
      </c>
      <c r="B480" t="s">
        <v>63</v>
      </c>
      <c r="C480" t="s">
        <v>63</v>
      </c>
      <c r="D480" t="s">
        <v>5</v>
      </c>
      <c r="E480" s="1">
        <v>43180.770833333336</v>
      </c>
    </row>
    <row r="481" spans="1:5">
      <c r="A481">
        <v>9063</v>
      </c>
      <c r="B481" t="s">
        <v>63</v>
      </c>
      <c r="C481" t="s">
        <v>63</v>
      </c>
      <c r="D481" t="s">
        <v>7</v>
      </c>
      <c r="E481" s="1">
        <v>43180.770914351851</v>
      </c>
    </row>
    <row r="482" spans="1:5">
      <c r="A482">
        <v>9072</v>
      </c>
      <c r="B482" t="s">
        <v>79</v>
      </c>
      <c r="C482" t="s">
        <v>63</v>
      </c>
      <c r="D482" t="s">
        <v>8</v>
      </c>
      <c r="E482" s="1">
        <v>43180.793495370373</v>
      </c>
    </row>
    <row r="483" spans="1:5">
      <c r="A483">
        <v>9074</v>
      </c>
      <c r="B483" t="s">
        <v>79</v>
      </c>
      <c r="C483" t="s">
        <v>63</v>
      </c>
      <c r="D483" t="s">
        <v>7</v>
      </c>
      <c r="E483" s="1">
        <v>43180.813136574077</v>
      </c>
    </row>
    <row r="484" spans="1:5">
      <c r="A484">
        <v>9081</v>
      </c>
      <c r="B484" t="s">
        <v>63</v>
      </c>
      <c r="C484" t="s">
        <v>63</v>
      </c>
      <c r="D484" t="s">
        <v>8</v>
      </c>
      <c r="E484" s="1">
        <v>43180.924537037034</v>
      </c>
    </row>
    <row r="485" spans="1:5">
      <c r="A485">
        <v>9090</v>
      </c>
      <c r="B485" t="s">
        <v>79</v>
      </c>
      <c r="C485" t="s">
        <v>63</v>
      </c>
      <c r="D485" t="s">
        <v>6</v>
      </c>
      <c r="E485" s="1">
        <v>43181.37327546296</v>
      </c>
    </row>
    <row r="486" spans="1:5">
      <c r="A486">
        <v>9100</v>
      </c>
      <c r="B486" t="s">
        <v>63</v>
      </c>
      <c r="C486" t="s">
        <v>63</v>
      </c>
      <c r="D486" t="s">
        <v>5</v>
      </c>
      <c r="E486" s="1">
        <v>43181.781655092593</v>
      </c>
    </row>
    <row r="487" spans="1:5">
      <c r="A487">
        <v>9107</v>
      </c>
      <c r="B487" t="s">
        <v>63</v>
      </c>
      <c r="C487" t="s">
        <v>63</v>
      </c>
      <c r="D487" t="s">
        <v>7</v>
      </c>
      <c r="E487" s="1">
        <v>43181.80777777778</v>
      </c>
    </row>
    <row r="488" spans="1:5">
      <c r="A488">
        <v>9116</v>
      </c>
      <c r="B488" t="s">
        <v>63</v>
      </c>
      <c r="C488" t="s">
        <v>63</v>
      </c>
      <c r="D488" t="s">
        <v>8</v>
      </c>
      <c r="E488" s="1">
        <v>43181.958391203705</v>
      </c>
    </row>
    <row r="489" spans="1:5">
      <c r="A489">
        <v>9126</v>
      </c>
      <c r="B489" t="s">
        <v>63</v>
      </c>
      <c r="C489" t="s">
        <v>63</v>
      </c>
      <c r="D489" t="s">
        <v>6</v>
      </c>
      <c r="E489" s="1">
        <v>43182.382407407407</v>
      </c>
    </row>
    <row r="490" spans="1:5">
      <c r="A490">
        <v>9135</v>
      </c>
      <c r="B490" t="s">
        <v>79</v>
      </c>
      <c r="C490" t="s">
        <v>63</v>
      </c>
      <c r="D490" t="s">
        <v>5</v>
      </c>
      <c r="E490" s="1">
        <v>43182.774178240739</v>
      </c>
    </row>
    <row r="491" spans="1:5">
      <c r="A491">
        <v>9144</v>
      </c>
      <c r="B491" t="s">
        <v>63</v>
      </c>
      <c r="C491" t="s">
        <v>63</v>
      </c>
      <c r="D491" t="s">
        <v>6</v>
      </c>
      <c r="E491" s="1">
        <v>43185.374988425923</v>
      </c>
    </row>
    <row r="492" spans="1:5">
      <c r="A492">
        <v>9152</v>
      </c>
      <c r="B492" t="s">
        <v>63</v>
      </c>
      <c r="C492" t="s">
        <v>63</v>
      </c>
      <c r="D492" t="s">
        <v>5</v>
      </c>
      <c r="E492" s="1">
        <v>43185.771192129629</v>
      </c>
    </row>
    <row r="493" spans="1:5">
      <c r="A493">
        <v>9153</v>
      </c>
      <c r="B493" t="s">
        <v>63</v>
      </c>
      <c r="C493" t="s">
        <v>63</v>
      </c>
      <c r="D493" t="s">
        <v>7</v>
      </c>
      <c r="E493" s="1">
        <v>43185.771215277775</v>
      </c>
    </row>
    <row r="494" spans="1:5">
      <c r="A494">
        <v>9163</v>
      </c>
      <c r="B494" t="s">
        <v>79</v>
      </c>
      <c r="C494" t="s">
        <v>63</v>
      </c>
      <c r="D494" t="s">
        <v>6</v>
      </c>
      <c r="E494" s="1">
        <v>43186.3596412037</v>
      </c>
    </row>
    <row r="495" spans="1:5">
      <c r="A495">
        <v>9173</v>
      </c>
      <c r="B495" t="s">
        <v>63</v>
      </c>
      <c r="C495" t="s">
        <v>63</v>
      </c>
      <c r="D495" t="s">
        <v>5</v>
      </c>
      <c r="E495" s="1">
        <v>43186.770949074074</v>
      </c>
    </row>
    <row r="496" spans="1:5">
      <c r="A496">
        <v>9189</v>
      </c>
      <c r="B496" t="s">
        <v>63</v>
      </c>
      <c r="C496" t="s">
        <v>63</v>
      </c>
      <c r="D496" t="s">
        <v>8</v>
      </c>
      <c r="E496" s="1">
        <v>43186.945752314816</v>
      </c>
    </row>
    <row r="497" spans="1:5">
      <c r="A497">
        <v>9197</v>
      </c>
      <c r="B497" t="s">
        <v>63</v>
      </c>
      <c r="C497" t="s">
        <v>63</v>
      </c>
      <c r="D497" t="s">
        <v>6</v>
      </c>
      <c r="E497" s="1">
        <v>43187.370706018519</v>
      </c>
    </row>
    <row r="498" spans="1:5">
      <c r="A498">
        <v>9207</v>
      </c>
      <c r="B498" t="s">
        <v>63</v>
      </c>
      <c r="C498" t="s">
        <v>63</v>
      </c>
      <c r="D498" t="s">
        <v>5</v>
      </c>
      <c r="E498" s="1">
        <v>43187.771412037036</v>
      </c>
    </row>
    <row r="499" spans="1:5">
      <c r="A499">
        <v>9208</v>
      </c>
      <c r="B499" t="s">
        <v>63</v>
      </c>
      <c r="C499" t="s">
        <v>63</v>
      </c>
      <c r="D499" t="s">
        <v>7</v>
      </c>
      <c r="E499" s="1">
        <v>43187.77144675926</v>
      </c>
    </row>
    <row r="500" spans="1:5">
      <c r="A500">
        <v>9226</v>
      </c>
      <c r="B500" t="s">
        <v>63</v>
      </c>
      <c r="C500" t="s">
        <v>63</v>
      </c>
      <c r="D500" t="s">
        <v>8</v>
      </c>
      <c r="E500" s="1">
        <v>43187.969224537039</v>
      </c>
    </row>
    <row r="501" spans="1:5">
      <c r="A501">
        <v>9235</v>
      </c>
      <c r="B501" t="s">
        <v>63</v>
      </c>
      <c r="C501" t="s">
        <v>63</v>
      </c>
      <c r="D501" t="s">
        <v>6</v>
      </c>
      <c r="E501" s="1">
        <v>43188.372858796298</v>
      </c>
    </row>
    <row r="502" spans="1:5">
      <c r="A502">
        <v>9247</v>
      </c>
      <c r="B502" t="s">
        <v>63</v>
      </c>
      <c r="C502" t="s">
        <v>63</v>
      </c>
      <c r="D502" t="s">
        <v>5</v>
      </c>
      <c r="E502" s="1">
        <v>43188.778402777774</v>
      </c>
    </row>
    <row r="503" spans="1:5">
      <c r="A503">
        <v>9248</v>
      </c>
      <c r="B503" t="s">
        <v>63</v>
      </c>
      <c r="C503" t="s">
        <v>63</v>
      </c>
      <c r="D503" t="s">
        <v>7</v>
      </c>
      <c r="E503" s="1">
        <v>43188.778414351851</v>
      </c>
    </row>
    <row r="504" spans="1:5">
      <c r="A504">
        <v>9255</v>
      </c>
      <c r="B504" t="s">
        <v>63</v>
      </c>
      <c r="C504" t="s">
        <v>63</v>
      </c>
      <c r="D504" t="s">
        <v>8</v>
      </c>
      <c r="E504" s="1">
        <v>43188.8362037037</v>
      </c>
    </row>
    <row r="505" spans="1:5">
      <c r="A505">
        <v>9266</v>
      </c>
      <c r="B505" t="s">
        <v>79</v>
      </c>
      <c r="C505" t="s">
        <v>63</v>
      </c>
      <c r="D505" t="s">
        <v>6</v>
      </c>
      <c r="E505" s="1">
        <v>43189.371331018519</v>
      </c>
    </row>
    <row r="506" spans="1:5">
      <c r="A506">
        <v>9277</v>
      </c>
      <c r="B506" t="s">
        <v>63</v>
      </c>
      <c r="C506" t="s">
        <v>63</v>
      </c>
      <c r="D506" t="s">
        <v>5</v>
      </c>
      <c r="E506" s="1">
        <v>43189.77584490741</v>
      </c>
    </row>
    <row r="507" spans="1:5">
      <c r="A507">
        <v>9278</v>
      </c>
      <c r="B507" t="s">
        <v>63</v>
      </c>
      <c r="C507" t="s">
        <v>63</v>
      </c>
      <c r="D507" t="s">
        <v>7</v>
      </c>
      <c r="E507" s="1">
        <v>43189.775902777779</v>
      </c>
    </row>
    <row r="508" spans="1:5">
      <c r="A508">
        <v>9282</v>
      </c>
      <c r="B508" t="s">
        <v>63</v>
      </c>
      <c r="C508" t="s">
        <v>63</v>
      </c>
      <c r="D508" t="s">
        <v>8</v>
      </c>
      <c r="E508" s="1">
        <v>43189.846886574072</v>
      </c>
    </row>
    <row r="509" spans="1:5">
      <c r="A509">
        <v>9287</v>
      </c>
      <c r="B509" t="s">
        <v>79</v>
      </c>
      <c r="C509" t="s">
        <v>63</v>
      </c>
      <c r="D509" t="s">
        <v>6</v>
      </c>
      <c r="E509" s="1">
        <v>43190.366932870369</v>
      </c>
    </row>
    <row r="510" spans="1:5">
      <c r="A510">
        <v>9305</v>
      </c>
      <c r="B510" t="s">
        <v>79</v>
      </c>
      <c r="C510" t="s">
        <v>63</v>
      </c>
      <c r="D510" t="s">
        <v>5</v>
      </c>
      <c r="E510" s="1">
        <v>43190.797442129631</v>
      </c>
    </row>
    <row r="511" spans="1:5">
      <c r="A511">
        <v>9306</v>
      </c>
      <c r="B511" t="s">
        <v>79</v>
      </c>
      <c r="C511" t="s">
        <v>63</v>
      </c>
      <c r="D511" t="s">
        <v>7</v>
      </c>
      <c r="E511" s="1">
        <v>43190.797465277778</v>
      </c>
    </row>
    <row r="512" spans="1:5">
      <c r="A512">
        <v>9309</v>
      </c>
      <c r="B512" t="s">
        <v>79</v>
      </c>
      <c r="C512" t="s">
        <v>63</v>
      </c>
      <c r="D512" t="s">
        <v>8</v>
      </c>
      <c r="E512" s="1">
        <v>43190.926006944443</v>
      </c>
    </row>
    <row r="513" spans="1:5">
      <c r="A513">
        <v>9314</v>
      </c>
      <c r="B513" t="s">
        <v>63</v>
      </c>
      <c r="C513" t="s">
        <v>63</v>
      </c>
      <c r="D513" t="s">
        <v>6</v>
      </c>
      <c r="E513" s="1">
        <v>43192.362314814818</v>
      </c>
    </row>
    <row r="514" spans="1:5">
      <c r="A514">
        <v>9328</v>
      </c>
      <c r="B514" t="s">
        <v>63</v>
      </c>
      <c r="C514" t="s">
        <v>63</v>
      </c>
      <c r="D514" t="s">
        <v>5</v>
      </c>
      <c r="E514" s="1">
        <v>43192.768217592595</v>
      </c>
    </row>
    <row r="515" spans="1:5">
      <c r="A515">
        <v>9338</v>
      </c>
      <c r="B515" t="s">
        <v>63</v>
      </c>
      <c r="C515" t="s">
        <v>63</v>
      </c>
      <c r="D515" t="s">
        <v>7</v>
      </c>
      <c r="E515" s="1">
        <v>43192.789664351854</v>
      </c>
    </row>
    <row r="516" spans="1:5">
      <c r="A516">
        <v>8491</v>
      </c>
      <c r="B516" t="s">
        <v>72</v>
      </c>
      <c r="C516" t="s">
        <v>72</v>
      </c>
      <c r="D516" t="s">
        <v>6</v>
      </c>
      <c r="E516" s="1">
        <v>43160.362291666665</v>
      </c>
    </row>
    <row r="517" spans="1:5">
      <c r="A517">
        <v>8509</v>
      </c>
      <c r="B517" t="s">
        <v>71</v>
      </c>
      <c r="C517" t="s">
        <v>72</v>
      </c>
      <c r="D517" t="s">
        <v>5</v>
      </c>
      <c r="E517" s="1">
        <v>43160.785150462965</v>
      </c>
    </row>
    <row r="518" spans="1:5">
      <c r="A518">
        <v>8511</v>
      </c>
      <c r="B518" t="s">
        <v>71</v>
      </c>
      <c r="C518" t="s">
        <v>72</v>
      </c>
      <c r="D518" t="s">
        <v>7</v>
      </c>
      <c r="E518" s="1">
        <v>43160.785185185188</v>
      </c>
    </row>
    <row r="519" spans="1:5">
      <c r="A519">
        <v>8517</v>
      </c>
      <c r="B519" t="s">
        <v>71</v>
      </c>
      <c r="C519" t="s">
        <v>72</v>
      </c>
      <c r="D519" t="s">
        <v>8</v>
      </c>
      <c r="E519" s="1">
        <v>43160.837962962964</v>
      </c>
    </row>
    <row r="520" spans="1:5">
      <c r="A520">
        <v>8525</v>
      </c>
      <c r="B520" t="s">
        <v>71</v>
      </c>
      <c r="C520" t="s">
        <v>72</v>
      </c>
      <c r="D520" t="s">
        <v>6</v>
      </c>
      <c r="E520" s="1">
        <v>43161.365624999999</v>
      </c>
    </row>
    <row r="521" spans="1:5">
      <c r="A521">
        <v>8540</v>
      </c>
      <c r="B521" t="s">
        <v>71</v>
      </c>
      <c r="C521" t="s">
        <v>72</v>
      </c>
      <c r="D521" t="s">
        <v>5</v>
      </c>
      <c r="E521" s="1">
        <v>43161.780821759261</v>
      </c>
    </row>
    <row r="522" spans="1:5">
      <c r="A522">
        <v>8560</v>
      </c>
      <c r="B522" t="s">
        <v>72</v>
      </c>
      <c r="C522" t="s">
        <v>72</v>
      </c>
      <c r="D522" t="s">
        <v>6</v>
      </c>
      <c r="E522" s="1">
        <v>43164.364525462966</v>
      </c>
    </row>
    <row r="523" spans="1:5">
      <c r="A523">
        <v>8582</v>
      </c>
      <c r="B523" t="s">
        <v>71</v>
      </c>
      <c r="C523" t="s">
        <v>72</v>
      </c>
      <c r="D523" t="s">
        <v>5</v>
      </c>
      <c r="E523" s="1">
        <v>43164.783391203702</v>
      </c>
    </row>
    <row r="524" spans="1:5">
      <c r="A524">
        <v>8583</v>
      </c>
      <c r="B524" t="s">
        <v>71</v>
      </c>
      <c r="C524" t="s">
        <v>72</v>
      </c>
      <c r="D524" t="s">
        <v>7</v>
      </c>
      <c r="E524" s="1">
        <v>43164.783425925925</v>
      </c>
    </row>
    <row r="525" spans="1:5">
      <c r="A525">
        <v>8588</v>
      </c>
      <c r="B525" t="s">
        <v>71</v>
      </c>
      <c r="C525" t="s">
        <v>72</v>
      </c>
      <c r="D525" t="s">
        <v>8</v>
      </c>
      <c r="E525" s="1">
        <v>43164.855034722219</v>
      </c>
    </row>
    <row r="526" spans="1:5">
      <c r="A526">
        <v>8596</v>
      </c>
      <c r="B526" t="s">
        <v>72</v>
      </c>
      <c r="C526" t="s">
        <v>72</v>
      </c>
      <c r="D526" t="s">
        <v>6</v>
      </c>
      <c r="E526" s="1">
        <v>43165.363182870373</v>
      </c>
    </row>
    <row r="527" spans="1:5">
      <c r="A527">
        <v>8614</v>
      </c>
      <c r="B527" t="s">
        <v>72</v>
      </c>
      <c r="C527" t="s">
        <v>72</v>
      </c>
      <c r="D527" t="s">
        <v>5</v>
      </c>
      <c r="E527" s="1">
        <v>43165.776226851849</v>
      </c>
    </row>
    <row r="528" spans="1:5">
      <c r="A528">
        <v>8615</v>
      </c>
      <c r="B528" t="s">
        <v>72</v>
      </c>
      <c r="C528" t="s">
        <v>72</v>
      </c>
      <c r="D528" t="s">
        <v>7</v>
      </c>
      <c r="E528" s="1">
        <v>43165.776261574072</v>
      </c>
    </row>
    <row r="529" spans="1:5">
      <c r="A529">
        <v>8623</v>
      </c>
      <c r="B529" t="s">
        <v>72</v>
      </c>
      <c r="C529" t="s">
        <v>72</v>
      </c>
      <c r="D529" t="s">
        <v>8</v>
      </c>
      <c r="E529" s="1">
        <v>43165.902118055557</v>
      </c>
    </row>
    <row r="530" spans="1:5">
      <c r="A530">
        <v>8628</v>
      </c>
      <c r="B530" t="s">
        <v>72</v>
      </c>
      <c r="C530" t="s">
        <v>72</v>
      </c>
      <c r="D530" t="s">
        <v>6</v>
      </c>
      <c r="E530" s="1">
        <v>43166.364398148151</v>
      </c>
    </row>
    <row r="531" spans="1:5">
      <c r="A531">
        <v>8647</v>
      </c>
      <c r="B531" t="s">
        <v>71</v>
      </c>
      <c r="C531" t="s">
        <v>72</v>
      </c>
      <c r="D531" t="s">
        <v>5</v>
      </c>
      <c r="E531" s="1">
        <v>43166.776412037034</v>
      </c>
    </row>
    <row r="532" spans="1:5">
      <c r="A532">
        <v>8648</v>
      </c>
      <c r="B532" t="s">
        <v>71</v>
      </c>
      <c r="C532" t="s">
        <v>72</v>
      </c>
      <c r="D532" t="s">
        <v>7</v>
      </c>
      <c r="E532" s="1">
        <v>43166.77648148148</v>
      </c>
    </row>
    <row r="533" spans="1:5">
      <c r="A533">
        <v>8655</v>
      </c>
      <c r="B533" t="s">
        <v>72</v>
      </c>
      <c r="C533" t="s">
        <v>72</v>
      </c>
      <c r="D533" t="s">
        <v>8</v>
      </c>
      <c r="E533" s="1">
        <v>43166.848969907405</v>
      </c>
    </row>
    <row r="534" spans="1:5">
      <c r="A534">
        <v>8670</v>
      </c>
      <c r="B534" t="s">
        <v>71</v>
      </c>
      <c r="C534" t="s">
        <v>72</v>
      </c>
      <c r="D534" t="s">
        <v>6</v>
      </c>
      <c r="E534" s="1">
        <v>43167.371180555558</v>
      </c>
    </row>
    <row r="535" spans="1:5">
      <c r="A535">
        <v>8681</v>
      </c>
      <c r="B535" t="s">
        <v>71</v>
      </c>
      <c r="C535" t="s">
        <v>72</v>
      </c>
      <c r="D535" t="s">
        <v>5</v>
      </c>
      <c r="E535" s="1">
        <v>43167.773796296293</v>
      </c>
    </row>
    <row r="536" spans="1:5">
      <c r="A536">
        <v>8682</v>
      </c>
      <c r="B536" t="s">
        <v>71</v>
      </c>
      <c r="C536" t="s">
        <v>72</v>
      </c>
      <c r="D536" t="s">
        <v>7</v>
      </c>
      <c r="E536" s="1">
        <v>43167.773854166669</v>
      </c>
    </row>
    <row r="537" spans="1:5">
      <c r="A537">
        <v>8690</v>
      </c>
      <c r="B537" t="s">
        <v>72</v>
      </c>
      <c r="C537" t="s">
        <v>72</v>
      </c>
      <c r="D537" t="s">
        <v>8</v>
      </c>
      <c r="E537" s="1">
        <v>43167.839675925927</v>
      </c>
    </row>
    <row r="538" spans="1:5">
      <c r="A538">
        <v>8692</v>
      </c>
      <c r="B538" t="s">
        <v>71</v>
      </c>
      <c r="C538" t="s">
        <v>72</v>
      </c>
      <c r="D538" t="s">
        <v>6</v>
      </c>
      <c r="E538" s="1">
        <v>43168.362662037034</v>
      </c>
    </row>
    <row r="539" spans="1:5">
      <c r="A539">
        <v>8705</v>
      </c>
      <c r="B539" t="s">
        <v>72</v>
      </c>
      <c r="C539" t="s">
        <v>72</v>
      </c>
      <c r="D539" t="s">
        <v>5</v>
      </c>
      <c r="E539" s="1">
        <v>43168.767766203702</v>
      </c>
    </row>
    <row r="540" spans="1:5">
      <c r="A540">
        <v>8729</v>
      </c>
      <c r="B540" t="s">
        <v>71</v>
      </c>
      <c r="C540" t="s">
        <v>72</v>
      </c>
      <c r="D540" t="s">
        <v>7</v>
      </c>
      <c r="E540" s="1">
        <v>43170.422361111108</v>
      </c>
    </row>
    <row r="541" spans="1:5">
      <c r="A541">
        <v>8735</v>
      </c>
      <c r="B541" t="s">
        <v>71</v>
      </c>
      <c r="C541" t="s">
        <v>72</v>
      </c>
      <c r="D541" t="s">
        <v>8</v>
      </c>
      <c r="E541" s="1">
        <v>43170.549699074072</v>
      </c>
    </row>
    <row r="542" spans="1:5">
      <c r="A542">
        <v>8741</v>
      </c>
      <c r="B542" t="s">
        <v>72</v>
      </c>
      <c r="C542" t="s">
        <v>72</v>
      </c>
      <c r="D542" t="s">
        <v>7</v>
      </c>
      <c r="E542" s="1">
        <v>43170.572708333333</v>
      </c>
    </row>
    <row r="543" spans="1:5">
      <c r="A543">
        <v>8746</v>
      </c>
      <c r="B543" t="s">
        <v>72</v>
      </c>
      <c r="C543" t="s">
        <v>72</v>
      </c>
      <c r="D543" t="s">
        <v>8</v>
      </c>
      <c r="E543" s="1">
        <v>43170.742708333331</v>
      </c>
    </row>
    <row r="544" spans="1:5">
      <c r="A544">
        <v>8764</v>
      </c>
      <c r="B544" t="s">
        <v>71</v>
      </c>
      <c r="C544" t="s">
        <v>72</v>
      </c>
      <c r="D544" t="s">
        <v>6</v>
      </c>
      <c r="E544" s="1">
        <v>43171.366435185184</v>
      </c>
    </row>
    <row r="545" spans="1:5">
      <c r="A545">
        <v>8777</v>
      </c>
      <c r="B545" t="s">
        <v>72</v>
      </c>
      <c r="C545" t="s">
        <v>72</v>
      </c>
      <c r="D545" t="s">
        <v>5</v>
      </c>
      <c r="E545" s="1">
        <v>43171.769074074073</v>
      </c>
    </row>
    <row r="546" spans="1:5">
      <c r="A546">
        <v>8778</v>
      </c>
      <c r="B546" t="s">
        <v>72</v>
      </c>
      <c r="C546" t="s">
        <v>72</v>
      </c>
      <c r="D546" t="s">
        <v>7</v>
      </c>
      <c r="E546" s="1">
        <v>43171.769131944442</v>
      </c>
    </row>
    <row r="547" spans="1:5">
      <c r="A547">
        <v>8796</v>
      </c>
      <c r="B547" t="s">
        <v>72</v>
      </c>
      <c r="C547" t="s">
        <v>72</v>
      </c>
      <c r="D547" t="s">
        <v>8</v>
      </c>
      <c r="E547" s="1">
        <v>43171.909016203703</v>
      </c>
    </row>
    <row r="548" spans="1:5">
      <c r="A548">
        <v>8804</v>
      </c>
      <c r="B548" t="s">
        <v>71</v>
      </c>
      <c r="C548" t="s">
        <v>72</v>
      </c>
      <c r="D548" t="s">
        <v>6</v>
      </c>
      <c r="E548" s="1">
        <v>43172.366342592592</v>
      </c>
    </row>
    <row r="549" spans="1:5">
      <c r="A549">
        <v>8821</v>
      </c>
      <c r="B549" t="s">
        <v>72</v>
      </c>
      <c r="C549" t="s">
        <v>72</v>
      </c>
      <c r="D549" t="s">
        <v>5</v>
      </c>
      <c r="E549" s="1">
        <v>43172.773298611108</v>
      </c>
    </row>
    <row r="550" spans="1:5">
      <c r="A550">
        <v>8822</v>
      </c>
      <c r="B550" t="s">
        <v>72</v>
      </c>
      <c r="C550" t="s">
        <v>72</v>
      </c>
      <c r="D550" t="s">
        <v>7</v>
      </c>
      <c r="E550" s="1">
        <v>43172.773344907408</v>
      </c>
    </row>
    <row r="551" spans="1:5">
      <c r="A551">
        <v>8832</v>
      </c>
      <c r="B551" t="s">
        <v>71</v>
      </c>
      <c r="C551" t="s">
        <v>72</v>
      </c>
      <c r="D551" t="s">
        <v>8</v>
      </c>
      <c r="E551" s="1">
        <v>43172.872094907405</v>
      </c>
    </row>
    <row r="552" spans="1:5">
      <c r="A552">
        <v>8838</v>
      </c>
      <c r="B552" t="s">
        <v>72</v>
      </c>
      <c r="C552" t="s">
        <v>72</v>
      </c>
      <c r="D552" t="s">
        <v>6</v>
      </c>
      <c r="E552" s="1">
        <v>43173.363634259258</v>
      </c>
    </row>
    <row r="553" spans="1:5">
      <c r="A553">
        <v>8867</v>
      </c>
      <c r="B553" t="s">
        <v>71</v>
      </c>
      <c r="C553" t="s">
        <v>72</v>
      </c>
      <c r="D553" t="s">
        <v>8</v>
      </c>
      <c r="E553" s="1">
        <v>43173.862118055556</v>
      </c>
    </row>
    <row r="554" spans="1:5">
      <c r="A554">
        <v>8872</v>
      </c>
      <c r="B554" t="s">
        <v>71</v>
      </c>
      <c r="C554" t="s">
        <v>72</v>
      </c>
      <c r="D554" t="s">
        <v>6</v>
      </c>
      <c r="E554" s="1">
        <v>43174.363125000003</v>
      </c>
    </row>
    <row r="555" spans="1:5">
      <c r="A555">
        <v>8889</v>
      </c>
      <c r="B555" t="s">
        <v>72</v>
      </c>
      <c r="C555" t="s">
        <v>72</v>
      </c>
      <c r="D555" t="s">
        <v>5</v>
      </c>
      <c r="E555" s="1">
        <v>43174.771412037036</v>
      </c>
    </row>
    <row r="556" spans="1:5">
      <c r="A556">
        <v>8890</v>
      </c>
      <c r="B556" t="s">
        <v>72</v>
      </c>
      <c r="C556" t="s">
        <v>72</v>
      </c>
      <c r="D556" t="s">
        <v>7</v>
      </c>
      <c r="E556" s="1">
        <v>43174.771469907406</v>
      </c>
    </row>
    <row r="557" spans="1:5">
      <c r="A557">
        <v>8903</v>
      </c>
      <c r="B557" t="s">
        <v>71</v>
      </c>
      <c r="C557" t="s">
        <v>72</v>
      </c>
      <c r="D557" t="s">
        <v>8</v>
      </c>
      <c r="E557" s="1">
        <v>43174.864120370374</v>
      </c>
    </row>
    <row r="558" spans="1:5">
      <c r="A558">
        <v>8910</v>
      </c>
      <c r="B558" t="s">
        <v>72</v>
      </c>
      <c r="C558" t="s">
        <v>72</v>
      </c>
      <c r="D558" t="s">
        <v>6</v>
      </c>
      <c r="E558" s="1">
        <v>43175.363020833334</v>
      </c>
    </row>
    <row r="559" spans="1:5">
      <c r="A559">
        <v>8920</v>
      </c>
      <c r="B559" t="s">
        <v>72</v>
      </c>
      <c r="C559" t="s">
        <v>72</v>
      </c>
      <c r="D559" t="s">
        <v>5</v>
      </c>
      <c r="E559" s="1">
        <v>43175.768587962964</v>
      </c>
    </row>
    <row r="560" spans="1:5">
      <c r="A560">
        <v>8921</v>
      </c>
      <c r="B560" t="s">
        <v>72</v>
      </c>
      <c r="C560" t="s">
        <v>72</v>
      </c>
      <c r="D560" t="s">
        <v>7</v>
      </c>
      <c r="E560" s="1">
        <v>43175.768645833334</v>
      </c>
    </row>
    <row r="561" spans="1:5">
      <c r="A561">
        <v>8938</v>
      </c>
      <c r="B561" t="s">
        <v>71</v>
      </c>
      <c r="C561" t="s">
        <v>72</v>
      </c>
      <c r="D561" t="s">
        <v>8</v>
      </c>
      <c r="E561" s="1">
        <v>43175.905868055554</v>
      </c>
    </row>
    <row r="562" spans="1:5">
      <c r="A562">
        <v>8942</v>
      </c>
      <c r="B562" t="s">
        <v>71</v>
      </c>
      <c r="C562" t="s">
        <v>72</v>
      </c>
      <c r="D562" t="s">
        <v>7</v>
      </c>
      <c r="E562" s="1">
        <v>43176.417395833334</v>
      </c>
    </row>
    <row r="563" spans="1:5">
      <c r="A563">
        <v>8956</v>
      </c>
      <c r="B563" t="s">
        <v>71</v>
      </c>
      <c r="C563" t="s">
        <v>72</v>
      </c>
      <c r="D563" t="s">
        <v>8</v>
      </c>
      <c r="E563" s="1">
        <v>43176.567013888889</v>
      </c>
    </row>
    <row r="564" spans="1:5">
      <c r="A564">
        <v>8958</v>
      </c>
      <c r="B564" t="s">
        <v>71</v>
      </c>
      <c r="C564" t="s">
        <v>72</v>
      </c>
      <c r="D564" t="s">
        <v>7</v>
      </c>
      <c r="E564" s="1">
        <v>43176.573819444442</v>
      </c>
    </row>
    <row r="565" spans="1:5">
      <c r="A565">
        <v>8965</v>
      </c>
      <c r="B565" t="s">
        <v>72</v>
      </c>
      <c r="C565" t="s">
        <v>72</v>
      </c>
      <c r="D565" t="s">
        <v>8</v>
      </c>
      <c r="E565" s="1">
        <v>43176.693854166668</v>
      </c>
    </row>
    <row r="566" spans="1:5">
      <c r="A566">
        <v>8975</v>
      </c>
      <c r="B566" t="s">
        <v>72</v>
      </c>
      <c r="C566" t="s">
        <v>72</v>
      </c>
      <c r="D566" t="s">
        <v>6</v>
      </c>
      <c r="E566" s="1">
        <v>43178.364583333336</v>
      </c>
    </row>
    <row r="567" spans="1:5">
      <c r="A567">
        <v>8989</v>
      </c>
      <c r="B567" t="s">
        <v>72</v>
      </c>
      <c r="C567" t="s">
        <v>72</v>
      </c>
      <c r="D567" t="s">
        <v>5</v>
      </c>
      <c r="E567" s="1">
        <v>43178.768275462964</v>
      </c>
    </row>
    <row r="568" spans="1:5">
      <c r="A568">
        <v>8990</v>
      </c>
      <c r="B568" t="s">
        <v>72</v>
      </c>
      <c r="C568" t="s">
        <v>72</v>
      </c>
      <c r="D568" t="s">
        <v>7</v>
      </c>
      <c r="E568" s="1">
        <v>43178.768321759257</v>
      </c>
    </row>
    <row r="569" spans="1:5">
      <c r="A569">
        <v>9003</v>
      </c>
      <c r="B569" t="s">
        <v>71</v>
      </c>
      <c r="C569" t="s">
        <v>72</v>
      </c>
      <c r="D569" t="s">
        <v>8</v>
      </c>
      <c r="E569" s="1">
        <v>43178.8672337963</v>
      </c>
    </row>
    <row r="570" spans="1:5">
      <c r="A570">
        <v>9012</v>
      </c>
      <c r="B570" t="s">
        <v>72</v>
      </c>
      <c r="C570" t="s">
        <v>72</v>
      </c>
      <c r="D570" t="s">
        <v>6</v>
      </c>
      <c r="E570" s="1">
        <v>43179.366030092591</v>
      </c>
    </row>
    <row r="571" spans="1:5">
      <c r="A571">
        <v>9025</v>
      </c>
      <c r="B571" t="s">
        <v>72</v>
      </c>
      <c r="C571" t="s">
        <v>72</v>
      </c>
      <c r="D571" t="s">
        <v>5</v>
      </c>
      <c r="E571" s="1">
        <v>43179.76971064815</v>
      </c>
    </row>
    <row r="572" spans="1:5">
      <c r="A572">
        <v>9026</v>
      </c>
      <c r="B572" t="s">
        <v>72</v>
      </c>
      <c r="C572" t="s">
        <v>72</v>
      </c>
      <c r="D572" t="s">
        <v>7</v>
      </c>
      <c r="E572" s="1">
        <v>43179.769756944443</v>
      </c>
    </row>
    <row r="573" spans="1:5">
      <c r="A573">
        <v>9030</v>
      </c>
      <c r="B573" t="s">
        <v>72</v>
      </c>
      <c r="C573" t="s">
        <v>72</v>
      </c>
      <c r="D573" t="s">
        <v>8</v>
      </c>
      <c r="E573" s="1">
        <v>43179.771481481483</v>
      </c>
    </row>
    <row r="574" spans="1:5">
      <c r="A574">
        <v>9037</v>
      </c>
      <c r="B574" t="s">
        <v>71</v>
      </c>
      <c r="C574" t="s">
        <v>72</v>
      </c>
      <c r="D574" t="s">
        <v>7</v>
      </c>
      <c r="E574" s="1">
        <v>43179.791238425925</v>
      </c>
    </row>
    <row r="575" spans="1:5">
      <c r="A575">
        <v>9043</v>
      </c>
      <c r="B575" t="s">
        <v>71</v>
      </c>
      <c r="C575" t="s">
        <v>72</v>
      </c>
      <c r="D575" t="s">
        <v>8</v>
      </c>
      <c r="E575" s="1">
        <v>43179.883935185186</v>
      </c>
    </row>
    <row r="576" spans="1:5">
      <c r="A576">
        <v>9047</v>
      </c>
      <c r="B576" t="s">
        <v>72</v>
      </c>
      <c r="C576" t="s">
        <v>72</v>
      </c>
      <c r="D576" t="s">
        <v>6</v>
      </c>
      <c r="E576" s="1">
        <v>43180.364814814813</v>
      </c>
    </row>
    <row r="577" spans="1:5">
      <c r="A577">
        <v>9064</v>
      </c>
      <c r="B577" t="s">
        <v>72</v>
      </c>
      <c r="C577" t="s">
        <v>72</v>
      </c>
      <c r="D577" t="s">
        <v>5</v>
      </c>
      <c r="E577" s="1">
        <v>43180.770972222221</v>
      </c>
    </row>
    <row r="578" spans="1:5">
      <c r="A578">
        <v>9065</v>
      </c>
      <c r="B578" t="s">
        <v>72</v>
      </c>
      <c r="C578" t="s">
        <v>72</v>
      </c>
      <c r="D578" t="s">
        <v>7</v>
      </c>
      <c r="E578" s="1">
        <v>43180.771018518521</v>
      </c>
    </row>
    <row r="579" spans="1:5">
      <c r="A579">
        <v>9078</v>
      </c>
      <c r="B579" t="s">
        <v>71</v>
      </c>
      <c r="C579" t="s">
        <v>72</v>
      </c>
      <c r="D579" t="s">
        <v>8</v>
      </c>
      <c r="E579" s="1">
        <v>43180.860636574071</v>
      </c>
    </row>
    <row r="580" spans="1:5">
      <c r="A580">
        <v>9084</v>
      </c>
      <c r="B580" t="s">
        <v>72</v>
      </c>
      <c r="C580" t="s">
        <v>72</v>
      </c>
      <c r="D580" t="s">
        <v>6</v>
      </c>
      <c r="E580" s="1">
        <v>43181.36414351852</v>
      </c>
    </row>
    <row r="581" spans="1:5">
      <c r="A581">
        <v>9096</v>
      </c>
      <c r="B581" t="s">
        <v>72</v>
      </c>
      <c r="C581" t="s">
        <v>72</v>
      </c>
      <c r="D581" t="s">
        <v>5</v>
      </c>
      <c r="E581" s="1">
        <v>43181.764143518521</v>
      </c>
    </row>
    <row r="582" spans="1:5">
      <c r="A582">
        <v>9097</v>
      </c>
      <c r="B582" t="s">
        <v>72</v>
      </c>
      <c r="C582" t="s">
        <v>72</v>
      </c>
      <c r="D582" t="s">
        <v>7</v>
      </c>
      <c r="E582" s="1">
        <v>43181.764189814814</v>
      </c>
    </row>
    <row r="583" spans="1:5">
      <c r="A583">
        <v>9104</v>
      </c>
      <c r="B583" t="s">
        <v>71</v>
      </c>
      <c r="C583" t="s">
        <v>72</v>
      </c>
      <c r="D583" t="s">
        <v>8</v>
      </c>
      <c r="E583" s="1">
        <v>43181.796226851853</v>
      </c>
    </row>
    <row r="584" spans="1:5">
      <c r="A584">
        <v>9113</v>
      </c>
      <c r="B584" t="s">
        <v>71</v>
      </c>
      <c r="C584" t="s">
        <v>72</v>
      </c>
      <c r="D584" t="s">
        <v>8</v>
      </c>
      <c r="E584" s="1">
        <v>43181.934814814813</v>
      </c>
    </row>
    <row r="585" spans="1:5">
      <c r="A585">
        <v>9121</v>
      </c>
      <c r="B585" t="s">
        <v>72</v>
      </c>
      <c r="C585" t="s">
        <v>72</v>
      </c>
      <c r="D585" t="s">
        <v>6</v>
      </c>
      <c r="E585" s="1">
        <v>43182.365787037037</v>
      </c>
    </row>
    <row r="586" spans="1:5">
      <c r="A586">
        <v>9130</v>
      </c>
      <c r="B586" t="s">
        <v>72</v>
      </c>
      <c r="C586" t="s">
        <v>72</v>
      </c>
      <c r="D586" t="s">
        <v>5</v>
      </c>
      <c r="E586" s="1">
        <v>43182.768171296295</v>
      </c>
    </row>
    <row r="587" spans="1:5">
      <c r="A587">
        <v>9140</v>
      </c>
      <c r="B587" t="s">
        <v>72</v>
      </c>
      <c r="C587" t="s">
        <v>72</v>
      </c>
      <c r="D587" t="s">
        <v>6</v>
      </c>
      <c r="E587" s="1">
        <v>43185.364085648151</v>
      </c>
    </row>
    <row r="588" spans="1:5">
      <c r="A588">
        <v>9147</v>
      </c>
      <c r="B588" t="s">
        <v>72</v>
      </c>
      <c r="C588" t="s">
        <v>72</v>
      </c>
      <c r="D588" t="s">
        <v>5</v>
      </c>
      <c r="E588" s="1">
        <v>43185.767766203702</v>
      </c>
    </row>
    <row r="589" spans="1:5">
      <c r="A589">
        <v>9148</v>
      </c>
      <c r="B589" t="s">
        <v>72</v>
      </c>
      <c r="C589" t="s">
        <v>72</v>
      </c>
      <c r="D589" t="s">
        <v>7</v>
      </c>
      <c r="E589" s="1">
        <v>43185.767824074072</v>
      </c>
    </row>
    <row r="590" spans="1:5">
      <c r="A590">
        <v>9157</v>
      </c>
      <c r="B590" t="s">
        <v>71</v>
      </c>
      <c r="C590" t="s">
        <v>72</v>
      </c>
      <c r="D590" t="s">
        <v>8</v>
      </c>
      <c r="E590" s="1">
        <v>43185.831134259257</v>
      </c>
    </row>
    <row r="591" spans="1:5">
      <c r="A591">
        <v>9158</v>
      </c>
      <c r="B591" t="s">
        <v>72</v>
      </c>
      <c r="C591" t="s">
        <v>72</v>
      </c>
      <c r="D591" t="s">
        <v>8</v>
      </c>
      <c r="E591" s="1">
        <v>43185.831458333334</v>
      </c>
    </row>
    <row r="592" spans="1:5">
      <c r="A592">
        <v>9166</v>
      </c>
      <c r="B592" t="s">
        <v>72</v>
      </c>
      <c r="C592" t="s">
        <v>72</v>
      </c>
      <c r="D592" t="s">
        <v>6</v>
      </c>
      <c r="E592" s="1">
        <v>43186.364432870374</v>
      </c>
    </row>
    <row r="593" spans="1:5">
      <c r="A593">
        <v>9176</v>
      </c>
      <c r="B593" t="s">
        <v>71</v>
      </c>
      <c r="C593" t="s">
        <v>72</v>
      </c>
      <c r="D593" t="s">
        <v>5</v>
      </c>
      <c r="E593" s="1">
        <v>43186.773310185185</v>
      </c>
    </row>
    <row r="594" spans="1:5">
      <c r="A594">
        <v>9177</v>
      </c>
      <c r="B594" t="s">
        <v>71</v>
      </c>
      <c r="C594" t="s">
        <v>72</v>
      </c>
      <c r="D594" t="s">
        <v>7</v>
      </c>
      <c r="E594" s="1">
        <v>43186.773344907408</v>
      </c>
    </row>
    <row r="595" spans="1:5">
      <c r="A595">
        <v>9185</v>
      </c>
      <c r="B595" t="s">
        <v>71</v>
      </c>
      <c r="C595" t="s">
        <v>72</v>
      </c>
      <c r="D595" t="s">
        <v>8</v>
      </c>
      <c r="E595" s="1">
        <v>43186.833564814813</v>
      </c>
    </row>
    <row r="596" spans="1:5">
      <c r="A596">
        <v>9195</v>
      </c>
      <c r="B596" t="s">
        <v>72</v>
      </c>
      <c r="C596" t="s">
        <v>72</v>
      </c>
      <c r="D596" t="s">
        <v>6</v>
      </c>
      <c r="E596" s="1">
        <v>43187.364629629628</v>
      </c>
    </row>
    <row r="597" spans="1:5">
      <c r="A597">
        <v>9205</v>
      </c>
      <c r="B597" t="s">
        <v>72</v>
      </c>
      <c r="C597" t="s">
        <v>72</v>
      </c>
      <c r="D597" t="s">
        <v>5</v>
      </c>
      <c r="E597" s="1">
        <v>43187.771296296298</v>
      </c>
    </row>
    <row r="598" spans="1:5">
      <c r="A598">
        <v>9206</v>
      </c>
      <c r="B598" t="s">
        <v>72</v>
      </c>
      <c r="C598" t="s">
        <v>72</v>
      </c>
      <c r="D598" t="s">
        <v>7</v>
      </c>
      <c r="E598" s="1">
        <v>43187.771377314813</v>
      </c>
    </row>
    <row r="599" spans="1:5">
      <c r="A599">
        <v>9222</v>
      </c>
      <c r="B599" t="s">
        <v>97</v>
      </c>
      <c r="C599" t="s">
        <v>72</v>
      </c>
      <c r="D599" t="s">
        <v>8</v>
      </c>
      <c r="E599" s="1">
        <v>43187.866747685184</v>
      </c>
    </row>
    <row r="600" spans="1:5">
      <c r="A600">
        <v>9229</v>
      </c>
      <c r="B600" t="s">
        <v>72</v>
      </c>
      <c r="C600" t="s">
        <v>72</v>
      </c>
      <c r="D600" t="s">
        <v>6</v>
      </c>
      <c r="E600" s="1">
        <v>43188.364247685182</v>
      </c>
    </row>
    <row r="601" spans="1:5">
      <c r="A601">
        <v>9243</v>
      </c>
      <c r="B601" t="s">
        <v>71</v>
      </c>
      <c r="C601" t="s">
        <v>72</v>
      </c>
      <c r="D601" t="s">
        <v>5</v>
      </c>
      <c r="E601" s="1">
        <v>43188.772650462961</v>
      </c>
    </row>
    <row r="602" spans="1:5">
      <c r="A602">
        <v>9244</v>
      </c>
      <c r="B602" t="s">
        <v>71</v>
      </c>
      <c r="C602" t="s">
        <v>72</v>
      </c>
      <c r="D602" t="s">
        <v>7</v>
      </c>
      <c r="E602" s="1">
        <v>43188.772685185184</v>
      </c>
    </row>
    <row r="603" spans="1:5">
      <c r="A603">
        <v>9256</v>
      </c>
      <c r="B603" t="s">
        <v>71</v>
      </c>
      <c r="C603" t="s">
        <v>72</v>
      </c>
      <c r="D603" t="s">
        <v>8</v>
      </c>
      <c r="E603" s="1">
        <v>43188.848252314812</v>
      </c>
    </row>
    <row r="604" spans="1:5">
      <c r="A604">
        <v>9261</v>
      </c>
      <c r="B604" t="s">
        <v>71</v>
      </c>
      <c r="C604" t="s">
        <v>72</v>
      </c>
      <c r="D604" t="s">
        <v>6</v>
      </c>
      <c r="E604" s="1">
        <v>43189.364664351851</v>
      </c>
    </row>
    <row r="605" spans="1:5">
      <c r="A605">
        <v>9276</v>
      </c>
      <c r="B605" t="s">
        <v>72</v>
      </c>
      <c r="C605" t="s">
        <v>72</v>
      </c>
      <c r="D605" t="s">
        <v>5</v>
      </c>
      <c r="E605" s="1">
        <v>43189.775706018518</v>
      </c>
    </row>
    <row r="606" spans="1:5">
      <c r="A606">
        <v>9283</v>
      </c>
      <c r="B606" t="s">
        <v>71</v>
      </c>
      <c r="C606" t="s">
        <v>72</v>
      </c>
      <c r="D606" t="s">
        <v>6</v>
      </c>
      <c r="E606" s="1">
        <v>43190.361689814818</v>
      </c>
    </row>
    <row r="607" spans="1:5">
      <c r="A607">
        <v>9294</v>
      </c>
      <c r="B607" t="s">
        <v>71</v>
      </c>
      <c r="C607" t="s">
        <v>72</v>
      </c>
      <c r="D607" t="s">
        <v>5</v>
      </c>
      <c r="E607" s="1">
        <v>43190.766122685185</v>
      </c>
    </row>
    <row r="608" spans="1:5">
      <c r="A608">
        <v>9315</v>
      </c>
      <c r="B608" t="s">
        <v>72</v>
      </c>
      <c r="C608" t="s">
        <v>72</v>
      </c>
      <c r="D608" t="s">
        <v>6</v>
      </c>
      <c r="E608" s="1">
        <v>43192.363298611112</v>
      </c>
    </row>
    <row r="609" spans="1:5">
      <c r="A609">
        <v>9330</v>
      </c>
      <c r="B609" t="s">
        <v>71</v>
      </c>
      <c r="C609" t="s">
        <v>72</v>
      </c>
      <c r="D609" t="s">
        <v>5</v>
      </c>
      <c r="E609" s="1">
        <v>43192.771099537036</v>
      </c>
    </row>
    <row r="610" spans="1:5">
      <c r="A610">
        <v>9331</v>
      </c>
      <c r="B610" t="s">
        <v>71</v>
      </c>
      <c r="C610" t="s">
        <v>72</v>
      </c>
      <c r="D610" t="s">
        <v>7</v>
      </c>
      <c r="E610" s="1">
        <v>43192.771145833336</v>
      </c>
    </row>
    <row r="611" spans="1:5">
      <c r="A611">
        <v>8494</v>
      </c>
      <c r="B611" t="s">
        <v>88</v>
      </c>
      <c r="C611" t="s">
        <v>88</v>
      </c>
      <c r="D611" t="s">
        <v>6</v>
      </c>
      <c r="E611" s="1">
        <v>43160.368009259262</v>
      </c>
    </row>
    <row r="612" spans="1:5">
      <c r="A612">
        <v>8505</v>
      </c>
      <c r="B612" t="s">
        <v>88</v>
      </c>
      <c r="C612" t="s">
        <v>88</v>
      </c>
      <c r="D612" t="s">
        <v>5</v>
      </c>
      <c r="E612" s="1">
        <v>43160.771053240744</v>
      </c>
    </row>
    <row r="613" spans="1:5">
      <c r="A613">
        <v>8527</v>
      </c>
      <c r="B613" t="s">
        <v>88</v>
      </c>
      <c r="C613" t="s">
        <v>88</v>
      </c>
      <c r="D613" t="s">
        <v>6</v>
      </c>
      <c r="E613" s="1">
        <v>43161.369259259256</v>
      </c>
    </row>
    <row r="614" spans="1:5">
      <c r="A614">
        <v>8535</v>
      </c>
      <c r="B614" t="s">
        <v>88</v>
      </c>
      <c r="C614" t="s">
        <v>88</v>
      </c>
      <c r="D614" t="s">
        <v>5</v>
      </c>
      <c r="E614" s="1">
        <v>43161.767060185186</v>
      </c>
    </row>
    <row r="615" spans="1:5">
      <c r="A615">
        <v>8568</v>
      </c>
      <c r="B615" t="s">
        <v>88</v>
      </c>
      <c r="C615" t="s">
        <v>88</v>
      </c>
      <c r="D615" t="s">
        <v>6</v>
      </c>
      <c r="E615" s="1">
        <v>43164.550879629627</v>
      </c>
    </row>
    <row r="616" spans="1:5">
      <c r="A616">
        <v>8575</v>
      </c>
      <c r="B616" t="s">
        <v>89</v>
      </c>
      <c r="C616" t="s">
        <v>88</v>
      </c>
      <c r="D616" t="s">
        <v>5</v>
      </c>
      <c r="E616" s="1">
        <v>43164.765069444446</v>
      </c>
    </row>
    <row r="617" spans="1:5">
      <c r="A617">
        <v>8601</v>
      </c>
      <c r="B617" t="s">
        <v>88</v>
      </c>
      <c r="C617" t="s">
        <v>88</v>
      </c>
      <c r="D617" t="s">
        <v>6</v>
      </c>
      <c r="E617" s="1">
        <v>43165.369756944441</v>
      </c>
    </row>
    <row r="618" spans="1:5">
      <c r="A618">
        <v>8610</v>
      </c>
      <c r="B618" t="s">
        <v>89</v>
      </c>
      <c r="C618" t="s">
        <v>88</v>
      </c>
      <c r="D618" t="s">
        <v>5</v>
      </c>
      <c r="E618" s="1">
        <v>43165.773113425923</v>
      </c>
    </row>
    <row r="619" spans="1:5">
      <c r="A619">
        <v>8611</v>
      </c>
      <c r="B619" t="s">
        <v>89</v>
      </c>
      <c r="C619" t="s">
        <v>88</v>
      </c>
      <c r="D619" t="s">
        <v>7</v>
      </c>
      <c r="E619" s="1">
        <v>43165.773194444446</v>
      </c>
    </row>
    <row r="620" spans="1:5">
      <c r="A620">
        <v>8616</v>
      </c>
      <c r="B620" t="s">
        <v>89</v>
      </c>
      <c r="C620" t="s">
        <v>88</v>
      </c>
      <c r="D620" t="s">
        <v>8</v>
      </c>
      <c r="E620" s="1">
        <v>43165.78229166667</v>
      </c>
    </row>
    <row r="621" spans="1:5">
      <c r="A621">
        <v>8631</v>
      </c>
      <c r="B621" t="s">
        <v>88</v>
      </c>
      <c r="C621" t="s">
        <v>88</v>
      </c>
      <c r="D621" t="s">
        <v>6</v>
      </c>
      <c r="E621" s="1">
        <v>43166.367650462962</v>
      </c>
    </row>
    <row r="622" spans="1:5">
      <c r="A622">
        <v>8641</v>
      </c>
      <c r="B622" t="s">
        <v>89</v>
      </c>
      <c r="C622" t="s">
        <v>88</v>
      </c>
      <c r="D622" t="s">
        <v>5</v>
      </c>
      <c r="E622" s="1">
        <v>43166.770243055558</v>
      </c>
    </row>
    <row r="623" spans="1:5">
      <c r="A623">
        <v>8645</v>
      </c>
      <c r="B623" t="s">
        <v>89</v>
      </c>
      <c r="C623" t="s">
        <v>88</v>
      </c>
      <c r="D623" t="s">
        <v>7</v>
      </c>
      <c r="E623" s="1">
        <v>43166.770949074074</v>
      </c>
    </row>
    <row r="624" spans="1:5">
      <c r="A624">
        <v>8653</v>
      </c>
      <c r="B624" t="s">
        <v>89</v>
      </c>
      <c r="C624" t="s">
        <v>88</v>
      </c>
      <c r="D624" t="s">
        <v>8</v>
      </c>
      <c r="E624" s="1">
        <v>43166.798622685186</v>
      </c>
    </row>
    <row r="625" spans="1:5">
      <c r="A625">
        <v>8669</v>
      </c>
      <c r="B625" t="s">
        <v>88</v>
      </c>
      <c r="C625" t="s">
        <v>88</v>
      </c>
      <c r="D625" t="s">
        <v>6</v>
      </c>
      <c r="E625" s="1">
        <v>43167.369953703703</v>
      </c>
    </row>
    <row r="626" spans="1:5">
      <c r="A626">
        <v>8674</v>
      </c>
      <c r="B626" t="s">
        <v>89</v>
      </c>
      <c r="C626" t="s">
        <v>88</v>
      </c>
      <c r="D626" t="s">
        <v>5</v>
      </c>
      <c r="E626" s="1">
        <v>43167.76667824074</v>
      </c>
    </row>
    <row r="627" spans="1:5">
      <c r="A627">
        <v>8697</v>
      </c>
      <c r="B627" t="s">
        <v>88</v>
      </c>
      <c r="C627" t="s">
        <v>88</v>
      </c>
      <c r="D627" t="s">
        <v>6</v>
      </c>
      <c r="E627" s="1">
        <v>43168.36922453704</v>
      </c>
    </row>
    <row r="628" spans="1:5">
      <c r="A628">
        <v>8713</v>
      </c>
      <c r="B628" t="s">
        <v>88</v>
      </c>
      <c r="C628" t="s">
        <v>88</v>
      </c>
      <c r="D628" t="s">
        <v>5</v>
      </c>
      <c r="E628" s="1">
        <v>43168.777488425927</v>
      </c>
    </row>
    <row r="629" spans="1:5">
      <c r="A629">
        <v>8745</v>
      </c>
      <c r="B629" t="s">
        <v>88</v>
      </c>
      <c r="C629" t="s">
        <v>88</v>
      </c>
      <c r="D629" t="s">
        <v>7</v>
      </c>
      <c r="E629" s="1">
        <v>43170.653912037036</v>
      </c>
    </row>
    <row r="630" spans="1:5">
      <c r="A630">
        <v>8758</v>
      </c>
      <c r="B630" t="s">
        <v>88</v>
      </c>
      <c r="C630" t="s">
        <v>88</v>
      </c>
      <c r="D630" t="s">
        <v>8</v>
      </c>
      <c r="E630" s="1">
        <v>43170.787361111114</v>
      </c>
    </row>
    <row r="631" spans="1:5">
      <c r="A631">
        <v>8768</v>
      </c>
      <c r="B631" t="s">
        <v>88</v>
      </c>
      <c r="C631" t="s">
        <v>88</v>
      </c>
      <c r="D631" t="s">
        <v>6</v>
      </c>
      <c r="E631" s="1">
        <v>43171.371006944442</v>
      </c>
    </row>
    <row r="632" spans="1:5">
      <c r="A632">
        <v>8781</v>
      </c>
      <c r="B632" t="s">
        <v>89</v>
      </c>
      <c r="C632" t="s">
        <v>88</v>
      </c>
      <c r="D632" t="s">
        <v>5</v>
      </c>
      <c r="E632" s="1">
        <v>43171.771099537036</v>
      </c>
    </row>
    <row r="633" spans="1:5">
      <c r="A633">
        <v>8782</v>
      </c>
      <c r="B633" t="s">
        <v>89</v>
      </c>
      <c r="C633" t="s">
        <v>88</v>
      </c>
      <c r="D633" t="s">
        <v>7</v>
      </c>
      <c r="E633" s="1">
        <v>43171.771180555559</v>
      </c>
    </row>
    <row r="634" spans="1:5">
      <c r="A634">
        <v>8791</v>
      </c>
      <c r="B634" t="s">
        <v>89</v>
      </c>
      <c r="C634" t="s">
        <v>88</v>
      </c>
      <c r="D634" t="s">
        <v>8</v>
      </c>
      <c r="E634" s="1">
        <v>43171.804340277777</v>
      </c>
    </row>
    <row r="635" spans="1:5">
      <c r="A635">
        <v>8809</v>
      </c>
      <c r="B635" t="s">
        <v>88</v>
      </c>
      <c r="C635" t="s">
        <v>88</v>
      </c>
      <c r="D635" t="s">
        <v>6</v>
      </c>
      <c r="E635" s="1">
        <v>43172.36991898148</v>
      </c>
    </row>
    <row r="636" spans="1:5">
      <c r="A636">
        <v>8814</v>
      </c>
      <c r="B636" t="s">
        <v>89</v>
      </c>
      <c r="C636" t="s">
        <v>88</v>
      </c>
      <c r="D636" t="s">
        <v>5</v>
      </c>
      <c r="E636" s="1">
        <v>43172.771678240744</v>
      </c>
    </row>
    <row r="637" spans="1:5">
      <c r="A637">
        <v>8815</v>
      </c>
      <c r="B637" t="s">
        <v>89</v>
      </c>
      <c r="C637" t="s">
        <v>88</v>
      </c>
      <c r="D637" t="s">
        <v>7</v>
      </c>
      <c r="E637" s="1">
        <v>43172.771886574075</v>
      </c>
    </row>
    <row r="638" spans="1:5">
      <c r="A638">
        <v>8828</v>
      </c>
      <c r="B638" t="s">
        <v>89</v>
      </c>
      <c r="C638" t="s">
        <v>88</v>
      </c>
      <c r="D638" t="s">
        <v>8</v>
      </c>
      <c r="E638" s="1">
        <v>43172.836226851854</v>
      </c>
    </row>
    <row r="639" spans="1:5">
      <c r="A639">
        <v>8843</v>
      </c>
      <c r="B639" t="s">
        <v>88</v>
      </c>
      <c r="C639" t="s">
        <v>88</v>
      </c>
      <c r="D639" t="s">
        <v>6</v>
      </c>
      <c r="E639" s="1">
        <v>43173.371018518519</v>
      </c>
    </row>
    <row r="640" spans="1:5">
      <c r="A640">
        <v>8852</v>
      </c>
      <c r="B640" t="s">
        <v>89</v>
      </c>
      <c r="C640" t="s">
        <v>88</v>
      </c>
      <c r="D640" t="s">
        <v>5</v>
      </c>
      <c r="E640" s="1">
        <v>43173.77175925926</v>
      </c>
    </row>
    <row r="641" spans="1:5">
      <c r="A641">
        <v>8855</v>
      </c>
      <c r="B641" t="s">
        <v>89</v>
      </c>
      <c r="C641" t="s">
        <v>88</v>
      </c>
      <c r="D641" t="s">
        <v>7</v>
      </c>
      <c r="E641" s="1">
        <v>43173.771898148145</v>
      </c>
    </row>
    <row r="642" spans="1:5">
      <c r="A642">
        <v>8866</v>
      </c>
      <c r="B642" t="s">
        <v>89</v>
      </c>
      <c r="C642" t="s">
        <v>88</v>
      </c>
      <c r="D642" t="s">
        <v>8</v>
      </c>
      <c r="E642" s="1">
        <v>43173.861967592595</v>
      </c>
    </row>
    <row r="643" spans="1:5">
      <c r="A643">
        <v>8879</v>
      </c>
      <c r="B643" t="s">
        <v>88</v>
      </c>
      <c r="C643" t="s">
        <v>88</v>
      </c>
      <c r="D643" t="s">
        <v>6</v>
      </c>
      <c r="E643" s="1">
        <v>43174.371828703705</v>
      </c>
    </row>
    <row r="644" spans="1:5">
      <c r="A644">
        <v>8897</v>
      </c>
      <c r="B644" t="s">
        <v>89</v>
      </c>
      <c r="C644" t="s">
        <v>88</v>
      </c>
      <c r="D644" t="s">
        <v>5</v>
      </c>
      <c r="E644" s="1">
        <v>43174.777789351851</v>
      </c>
    </row>
    <row r="645" spans="1:5">
      <c r="A645">
        <v>8913</v>
      </c>
      <c r="B645" t="s">
        <v>88</v>
      </c>
      <c r="C645" t="s">
        <v>88</v>
      </c>
      <c r="D645" t="s">
        <v>6</v>
      </c>
      <c r="E645" s="1">
        <v>43175.367476851854</v>
      </c>
    </row>
    <row r="646" spans="1:5">
      <c r="A646">
        <v>8932</v>
      </c>
      <c r="B646" t="s">
        <v>89</v>
      </c>
      <c r="C646" t="s">
        <v>88</v>
      </c>
      <c r="D646" t="s">
        <v>5</v>
      </c>
      <c r="E646" s="1">
        <v>43175.791076388887</v>
      </c>
    </row>
    <row r="647" spans="1:5">
      <c r="A647">
        <v>8978</v>
      </c>
      <c r="B647" t="s">
        <v>88</v>
      </c>
      <c r="C647" t="s">
        <v>88</v>
      </c>
      <c r="D647" t="s">
        <v>6</v>
      </c>
      <c r="E647" s="1">
        <v>43178.369305555556</v>
      </c>
    </row>
    <row r="648" spans="1:5">
      <c r="A648">
        <v>8985</v>
      </c>
      <c r="B648" t="s">
        <v>88</v>
      </c>
      <c r="C648" t="s">
        <v>88</v>
      </c>
      <c r="D648" t="s">
        <v>5</v>
      </c>
      <c r="E648" s="1">
        <v>43178.766215277778</v>
      </c>
    </row>
    <row r="649" spans="1:5">
      <c r="A649">
        <v>8994</v>
      </c>
      <c r="B649" t="s">
        <v>88</v>
      </c>
      <c r="C649" t="s">
        <v>88</v>
      </c>
      <c r="D649" t="s">
        <v>7</v>
      </c>
      <c r="E649" s="1">
        <v>43178.780497685184</v>
      </c>
    </row>
    <row r="650" spans="1:5">
      <c r="A650">
        <v>8999</v>
      </c>
      <c r="B650" t="s">
        <v>89</v>
      </c>
      <c r="C650" t="s">
        <v>88</v>
      </c>
      <c r="D650" t="s">
        <v>8</v>
      </c>
      <c r="E650" s="1">
        <v>43178.851469907408</v>
      </c>
    </row>
    <row r="651" spans="1:5">
      <c r="A651">
        <v>9016</v>
      </c>
      <c r="B651" t="s">
        <v>88</v>
      </c>
      <c r="C651" t="s">
        <v>88</v>
      </c>
      <c r="D651" t="s">
        <v>6</v>
      </c>
      <c r="E651" s="1">
        <v>43179.37054398148</v>
      </c>
    </row>
    <row r="652" spans="1:5">
      <c r="A652">
        <v>9031</v>
      </c>
      <c r="B652" t="s">
        <v>89</v>
      </c>
      <c r="C652" t="s">
        <v>88</v>
      </c>
      <c r="D652" t="s">
        <v>5</v>
      </c>
      <c r="E652" s="1">
        <v>43179.771666666667</v>
      </c>
    </row>
    <row r="653" spans="1:5">
      <c r="A653">
        <v>9032</v>
      </c>
      <c r="B653" t="s">
        <v>89</v>
      </c>
      <c r="C653" t="s">
        <v>88</v>
      </c>
      <c r="D653" t="s">
        <v>7</v>
      </c>
      <c r="E653" s="1">
        <v>43179.771701388891</v>
      </c>
    </row>
    <row r="654" spans="1:5">
      <c r="A654">
        <v>9036</v>
      </c>
      <c r="B654" t="s">
        <v>89</v>
      </c>
      <c r="C654" t="s">
        <v>88</v>
      </c>
      <c r="D654" t="s">
        <v>8</v>
      </c>
      <c r="E654" s="1">
        <v>43179.788703703707</v>
      </c>
    </row>
    <row r="655" spans="1:5">
      <c r="A655">
        <v>9053</v>
      </c>
      <c r="B655" t="s">
        <v>88</v>
      </c>
      <c r="C655" t="s">
        <v>88</v>
      </c>
      <c r="D655" t="s">
        <v>6</v>
      </c>
      <c r="E655" s="1">
        <v>43180.370289351849</v>
      </c>
    </row>
    <row r="656" spans="1:5">
      <c r="A656">
        <v>9069</v>
      </c>
      <c r="B656" t="s">
        <v>88</v>
      </c>
      <c r="C656" t="s">
        <v>88</v>
      </c>
      <c r="D656" t="s">
        <v>5</v>
      </c>
      <c r="E656" s="1">
        <v>43180.781828703701</v>
      </c>
    </row>
    <row r="657" spans="1:5">
      <c r="A657">
        <v>9088</v>
      </c>
      <c r="B657" t="s">
        <v>88</v>
      </c>
      <c r="C657" t="s">
        <v>88</v>
      </c>
      <c r="D657" t="s">
        <v>6</v>
      </c>
      <c r="E657" s="1">
        <v>43181.370983796296</v>
      </c>
    </row>
    <row r="658" spans="1:5">
      <c r="A658">
        <v>9099</v>
      </c>
      <c r="B658" t="s">
        <v>89</v>
      </c>
      <c r="C658" t="s">
        <v>88</v>
      </c>
      <c r="D658" t="s">
        <v>5</v>
      </c>
      <c r="E658" s="1">
        <v>43181.770856481482</v>
      </c>
    </row>
    <row r="659" spans="1:5">
      <c r="A659">
        <v>9102</v>
      </c>
      <c r="B659" t="s">
        <v>89</v>
      </c>
      <c r="C659" t="s">
        <v>88</v>
      </c>
      <c r="D659" t="s">
        <v>7</v>
      </c>
      <c r="E659" s="1">
        <v>43181.791145833333</v>
      </c>
    </row>
    <row r="660" spans="1:5">
      <c r="A660">
        <v>9111</v>
      </c>
      <c r="B660" t="s">
        <v>88</v>
      </c>
      <c r="C660" t="s">
        <v>88</v>
      </c>
      <c r="D660" t="s">
        <v>8</v>
      </c>
      <c r="E660" s="1">
        <v>43181.928819444445</v>
      </c>
    </row>
    <row r="661" spans="1:5">
      <c r="A661">
        <v>9123</v>
      </c>
      <c r="B661" t="s">
        <v>88</v>
      </c>
      <c r="C661" t="s">
        <v>88</v>
      </c>
      <c r="D661" t="s">
        <v>6</v>
      </c>
      <c r="E661" s="1">
        <v>43182.372719907406</v>
      </c>
    </row>
    <row r="662" spans="1:5">
      <c r="A662">
        <v>9132</v>
      </c>
      <c r="B662" t="s">
        <v>88</v>
      </c>
      <c r="C662" t="s">
        <v>88</v>
      </c>
      <c r="D662" t="s">
        <v>5</v>
      </c>
      <c r="E662" s="1">
        <v>43182.769293981481</v>
      </c>
    </row>
    <row r="663" spans="1:5">
      <c r="A663">
        <v>9141</v>
      </c>
      <c r="B663" t="s">
        <v>88</v>
      </c>
      <c r="C663" t="s">
        <v>88</v>
      </c>
      <c r="D663" t="s">
        <v>6</v>
      </c>
      <c r="E663" s="1">
        <v>43185.368750000001</v>
      </c>
    </row>
    <row r="664" spans="1:5">
      <c r="A664">
        <v>9154</v>
      </c>
      <c r="B664" t="s">
        <v>89</v>
      </c>
      <c r="C664" t="s">
        <v>88</v>
      </c>
      <c r="D664" t="s">
        <v>5</v>
      </c>
      <c r="E664" s="1">
        <v>43185.778981481482</v>
      </c>
    </row>
    <row r="665" spans="1:5">
      <c r="A665">
        <v>9168</v>
      </c>
      <c r="B665" t="s">
        <v>88</v>
      </c>
      <c r="C665" t="s">
        <v>88</v>
      </c>
      <c r="D665" t="s">
        <v>6</v>
      </c>
      <c r="E665" s="1">
        <v>43186.369687500002</v>
      </c>
    </row>
    <row r="666" spans="1:5">
      <c r="A666">
        <v>9182</v>
      </c>
      <c r="B666" t="s">
        <v>88</v>
      </c>
      <c r="C666" t="s">
        <v>88</v>
      </c>
      <c r="D666" t="s">
        <v>5</v>
      </c>
      <c r="E666" s="1">
        <v>43186.785162037035</v>
      </c>
    </row>
    <row r="667" spans="1:5">
      <c r="A667">
        <v>9196</v>
      </c>
      <c r="B667" t="s">
        <v>88</v>
      </c>
      <c r="C667" t="s">
        <v>88</v>
      </c>
      <c r="D667" t="s">
        <v>6</v>
      </c>
      <c r="E667" s="1">
        <v>43187.365277777775</v>
      </c>
    </row>
    <row r="668" spans="1:5">
      <c r="A668">
        <v>9202</v>
      </c>
      <c r="B668" t="s">
        <v>89</v>
      </c>
      <c r="C668" t="s">
        <v>88</v>
      </c>
      <c r="D668" t="s">
        <v>5</v>
      </c>
      <c r="E668" s="1">
        <v>43187.768645833334</v>
      </c>
    </row>
    <row r="669" spans="1:5">
      <c r="A669">
        <v>9232</v>
      </c>
      <c r="B669" t="s">
        <v>88</v>
      </c>
      <c r="C669" t="s">
        <v>88</v>
      </c>
      <c r="D669" t="s">
        <v>6</v>
      </c>
      <c r="E669" s="1">
        <v>43188.369687500002</v>
      </c>
    </row>
    <row r="670" spans="1:5">
      <c r="A670">
        <v>9249</v>
      </c>
      <c r="B670" t="s">
        <v>88</v>
      </c>
      <c r="C670" t="s">
        <v>88</v>
      </c>
      <c r="D670" t="s">
        <v>5</v>
      </c>
      <c r="E670" s="1">
        <v>43188.781307870369</v>
      </c>
    </row>
    <row r="671" spans="1:5">
      <c r="A671">
        <v>9264</v>
      </c>
      <c r="B671" t="s">
        <v>88</v>
      </c>
      <c r="C671" t="s">
        <v>88</v>
      </c>
      <c r="D671" t="s">
        <v>6</v>
      </c>
      <c r="E671" s="1">
        <v>43189.369467592594</v>
      </c>
    </row>
    <row r="672" spans="1:5">
      <c r="A672">
        <v>9275</v>
      </c>
      <c r="B672" t="s">
        <v>88</v>
      </c>
      <c r="C672" t="s">
        <v>88</v>
      </c>
      <c r="D672" t="s">
        <v>5</v>
      </c>
      <c r="E672" s="1">
        <v>43189.775196759256</v>
      </c>
    </row>
    <row r="673" spans="1:5">
      <c r="A673">
        <v>9289</v>
      </c>
      <c r="B673" t="s">
        <v>88</v>
      </c>
      <c r="C673" t="s">
        <v>88</v>
      </c>
      <c r="D673" t="s">
        <v>6</v>
      </c>
      <c r="E673" s="1">
        <v>43190.368402777778</v>
      </c>
    </row>
    <row r="674" spans="1:5">
      <c r="A674">
        <v>9301</v>
      </c>
      <c r="B674" t="s">
        <v>88</v>
      </c>
      <c r="C674" t="s">
        <v>88</v>
      </c>
      <c r="D674" t="s">
        <v>5</v>
      </c>
      <c r="E674" s="1">
        <v>43190.774594907409</v>
      </c>
    </row>
    <row r="675" spans="1:5">
      <c r="A675">
        <v>8566</v>
      </c>
      <c r="B675" t="s">
        <v>12</v>
      </c>
      <c r="C675" t="s">
        <v>12</v>
      </c>
      <c r="D675" t="s">
        <v>6</v>
      </c>
      <c r="E675" s="1">
        <v>43164.380509259259</v>
      </c>
    </row>
    <row r="676" spans="1:5">
      <c r="A676">
        <v>8569</v>
      </c>
      <c r="B676" t="s">
        <v>12</v>
      </c>
      <c r="C676" t="s">
        <v>12</v>
      </c>
      <c r="D676" t="s">
        <v>5</v>
      </c>
      <c r="E676" s="1">
        <v>43164.567743055559</v>
      </c>
    </row>
    <row r="677" spans="1:5">
      <c r="A677">
        <v>8667</v>
      </c>
      <c r="B677" t="s">
        <v>12</v>
      </c>
      <c r="C677" t="s">
        <v>12</v>
      </c>
      <c r="D677" t="s">
        <v>6</v>
      </c>
      <c r="E677" s="1">
        <v>43167.368321759262</v>
      </c>
    </row>
    <row r="678" spans="1:5">
      <c r="A678">
        <v>8766</v>
      </c>
      <c r="B678" t="s">
        <v>12</v>
      </c>
      <c r="C678" t="s">
        <v>12</v>
      </c>
      <c r="D678" t="s">
        <v>6</v>
      </c>
      <c r="E678" s="1">
        <v>43171.370115740741</v>
      </c>
    </row>
    <row r="679" spans="1:5">
      <c r="A679">
        <v>9318</v>
      </c>
      <c r="B679" t="s">
        <v>12</v>
      </c>
      <c r="C679" t="s">
        <v>12</v>
      </c>
      <c r="D679" t="s">
        <v>6</v>
      </c>
      <c r="E679" s="1">
        <v>43192.367175925923</v>
      </c>
    </row>
    <row r="680" spans="1:5">
      <c r="A680">
        <v>9324</v>
      </c>
      <c r="B680" t="s">
        <v>12</v>
      </c>
      <c r="C680" t="s">
        <v>12</v>
      </c>
      <c r="D680" t="s">
        <v>5</v>
      </c>
      <c r="E680" s="1">
        <v>43192.752314814818</v>
      </c>
    </row>
    <row r="681" spans="1:5">
      <c r="A681">
        <v>8492</v>
      </c>
      <c r="B681" t="s">
        <v>15</v>
      </c>
      <c r="C681" t="s">
        <v>15</v>
      </c>
      <c r="D681" t="s">
        <v>6</v>
      </c>
      <c r="E681" s="1">
        <v>43160.364583333336</v>
      </c>
    </row>
    <row r="682" spans="1:5">
      <c r="A682">
        <v>8506</v>
      </c>
      <c r="B682" t="s">
        <v>15</v>
      </c>
      <c r="C682" t="s">
        <v>15</v>
      </c>
      <c r="D682" t="s">
        <v>5</v>
      </c>
      <c r="E682" s="1">
        <v>43160.78497685185</v>
      </c>
    </row>
    <row r="683" spans="1:5">
      <c r="A683">
        <v>8507</v>
      </c>
      <c r="B683" t="s">
        <v>15</v>
      </c>
      <c r="C683" t="s">
        <v>15</v>
      </c>
      <c r="D683" t="s">
        <v>7</v>
      </c>
      <c r="E683" s="1">
        <v>43160.78502314815</v>
      </c>
    </row>
    <row r="684" spans="1:5">
      <c r="A684">
        <v>8516</v>
      </c>
      <c r="B684" t="s">
        <v>15</v>
      </c>
      <c r="C684" t="s">
        <v>15</v>
      </c>
      <c r="D684" t="s">
        <v>8</v>
      </c>
      <c r="E684" s="1">
        <v>43160.822743055556</v>
      </c>
    </row>
    <row r="685" spans="1:5">
      <c r="A685">
        <v>8524</v>
      </c>
      <c r="B685" t="s">
        <v>15</v>
      </c>
      <c r="C685" t="s">
        <v>15</v>
      </c>
      <c r="D685" t="s">
        <v>6</v>
      </c>
      <c r="E685" s="1">
        <v>43161.365011574075</v>
      </c>
    </row>
    <row r="686" spans="1:5">
      <c r="A686">
        <v>8538</v>
      </c>
      <c r="B686" t="s">
        <v>15</v>
      </c>
      <c r="C686" t="s">
        <v>15</v>
      </c>
      <c r="D686" t="s">
        <v>5</v>
      </c>
      <c r="E686" s="1">
        <v>43161.773622685185</v>
      </c>
    </row>
    <row r="687" spans="1:5">
      <c r="A687">
        <v>8539</v>
      </c>
      <c r="B687" t="s">
        <v>15</v>
      </c>
      <c r="C687" t="s">
        <v>15</v>
      </c>
      <c r="D687" t="s">
        <v>7</v>
      </c>
      <c r="E687" s="1">
        <v>43161.773668981485</v>
      </c>
    </row>
    <row r="688" spans="1:5">
      <c r="A688">
        <v>8544</v>
      </c>
      <c r="B688" t="s">
        <v>15</v>
      </c>
      <c r="C688" t="s">
        <v>15</v>
      </c>
      <c r="D688" t="s">
        <v>8</v>
      </c>
      <c r="E688" s="1">
        <v>43161.824756944443</v>
      </c>
    </row>
    <row r="689" spans="1:5">
      <c r="A689">
        <v>8561</v>
      </c>
      <c r="B689" t="s">
        <v>15</v>
      </c>
      <c r="C689" t="s">
        <v>15</v>
      </c>
      <c r="D689" t="s">
        <v>6</v>
      </c>
      <c r="E689" s="1">
        <v>43164.36478009259</v>
      </c>
    </row>
    <row r="690" spans="1:5">
      <c r="A690">
        <v>8574</v>
      </c>
      <c r="B690" t="s">
        <v>15</v>
      </c>
      <c r="C690" t="s">
        <v>15</v>
      </c>
      <c r="D690" t="s">
        <v>5</v>
      </c>
      <c r="E690" s="1">
        <v>43164.762280092589</v>
      </c>
    </row>
    <row r="691" spans="1:5">
      <c r="A691">
        <v>8584</v>
      </c>
      <c r="B691" t="s">
        <v>15</v>
      </c>
      <c r="C691" t="s">
        <v>15</v>
      </c>
      <c r="D691" t="s">
        <v>7</v>
      </c>
      <c r="E691" s="1">
        <v>43164.801041666666</v>
      </c>
    </row>
    <row r="692" spans="1:5">
      <c r="A692">
        <v>8590</v>
      </c>
      <c r="B692" t="s">
        <v>15</v>
      </c>
      <c r="C692" t="s">
        <v>15</v>
      </c>
      <c r="D692" t="s">
        <v>8</v>
      </c>
      <c r="E692" s="1">
        <v>43164.930856481478</v>
      </c>
    </row>
    <row r="693" spans="1:5">
      <c r="A693">
        <v>8599</v>
      </c>
      <c r="B693" t="s">
        <v>15</v>
      </c>
      <c r="C693" t="s">
        <v>15</v>
      </c>
      <c r="D693" t="s">
        <v>6</v>
      </c>
      <c r="E693" s="1">
        <v>43165.369502314818</v>
      </c>
    </row>
    <row r="694" spans="1:5">
      <c r="A694">
        <v>8606</v>
      </c>
      <c r="B694" t="s">
        <v>15</v>
      </c>
      <c r="C694" t="s">
        <v>15</v>
      </c>
      <c r="D694" t="s">
        <v>5</v>
      </c>
      <c r="E694" s="1">
        <v>43165.764062499999</v>
      </c>
    </row>
    <row r="695" spans="1:5">
      <c r="A695">
        <v>8619</v>
      </c>
      <c r="B695" t="s">
        <v>15</v>
      </c>
      <c r="C695" t="s">
        <v>15</v>
      </c>
      <c r="D695" t="s">
        <v>7</v>
      </c>
      <c r="E695" s="1">
        <v>43165.788055555553</v>
      </c>
    </row>
    <row r="696" spans="1:5">
      <c r="A696">
        <v>8622</v>
      </c>
      <c r="B696" t="s">
        <v>15</v>
      </c>
      <c r="C696" t="s">
        <v>15</v>
      </c>
      <c r="D696" t="s">
        <v>8</v>
      </c>
      <c r="E696" s="1">
        <v>43165.899189814816</v>
      </c>
    </row>
    <row r="697" spans="1:5">
      <c r="A697">
        <v>8634</v>
      </c>
      <c r="B697" t="s">
        <v>15</v>
      </c>
      <c r="C697" t="s">
        <v>15</v>
      </c>
      <c r="D697" t="s">
        <v>6</v>
      </c>
      <c r="E697" s="1">
        <v>43166.371666666666</v>
      </c>
    </row>
    <row r="698" spans="1:5">
      <c r="A698">
        <v>8644</v>
      </c>
      <c r="B698" t="s">
        <v>15</v>
      </c>
      <c r="C698" t="s">
        <v>15</v>
      </c>
      <c r="D698" t="s">
        <v>5</v>
      </c>
      <c r="E698" s="1">
        <v>43166.770613425928</v>
      </c>
    </row>
    <row r="699" spans="1:5">
      <c r="A699">
        <v>8665</v>
      </c>
      <c r="B699" t="s">
        <v>15</v>
      </c>
      <c r="C699" t="s">
        <v>15</v>
      </c>
      <c r="D699" t="s">
        <v>6</v>
      </c>
      <c r="E699" s="1">
        <v>43167.364722222221</v>
      </c>
    </row>
    <row r="700" spans="1:5">
      <c r="A700">
        <v>8675</v>
      </c>
      <c r="B700" t="s">
        <v>15</v>
      </c>
      <c r="C700" t="s">
        <v>15</v>
      </c>
      <c r="D700" t="s">
        <v>5</v>
      </c>
      <c r="E700" s="1">
        <v>43167.766863425924</v>
      </c>
    </row>
    <row r="701" spans="1:5">
      <c r="A701">
        <v>8696</v>
      </c>
      <c r="B701" t="s">
        <v>15</v>
      </c>
      <c r="C701" t="s">
        <v>15</v>
      </c>
      <c r="D701" t="s">
        <v>6</v>
      </c>
      <c r="E701" s="1">
        <v>43168.367430555554</v>
      </c>
    </row>
    <row r="702" spans="1:5">
      <c r="A702">
        <v>8707</v>
      </c>
      <c r="B702" t="s">
        <v>95</v>
      </c>
      <c r="C702" t="s">
        <v>15</v>
      </c>
      <c r="D702" t="s">
        <v>5</v>
      </c>
      <c r="E702" s="1">
        <v>43168.771111111113</v>
      </c>
    </row>
    <row r="703" spans="1:5">
      <c r="A703">
        <v>8708</v>
      </c>
      <c r="B703" t="s">
        <v>95</v>
      </c>
      <c r="C703" t="s">
        <v>15</v>
      </c>
      <c r="D703" t="s">
        <v>7</v>
      </c>
      <c r="E703" s="1">
        <v>43168.771145833336</v>
      </c>
    </row>
    <row r="704" spans="1:5">
      <c r="A704">
        <v>8714</v>
      </c>
      <c r="B704" t="s">
        <v>15</v>
      </c>
      <c r="C704" t="s">
        <v>15</v>
      </c>
      <c r="D704" t="s">
        <v>8</v>
      </c>
      <c r="E704" s="1">
        <v>43168.785324074073</v>
      </c>
    </row>
    <row r="705" spans="1:5">
      <c r="A705">
        <v>8732</v>
      </c>
      <c r="B705" t="s">
        <v>95</v>
      </c>
      <c r="C705" t="s">
        <v>15</v>
      </c>
      <c r="D705" t="s">
        <v>7</v>
      </c>
      <c r="E705" s="1">
        <v>43170.436840277776</v>
      </c>
    </row>
    <row r="706" spans="1:5">
      <c r="A706">
        <v>8736</v>
      </c>
      <c r="B706" t="s">
        <v>15</v>
      </c>
      <c r="C706" t="s">
        <v>15</v>
      </c>
      <c r="D706" t="s">
        <v>8</v>
      </c>
      <c r="E706" s="1">
        <v>43170.549791666665</v>
      </c>
    </row>
    <row r="707" spans="1:5">
      <c r="A707">
        <v>8743</v>
      </c>
      <c r="B707" t="s">
        <v>15</v>
      </c>
      <c r="C707" t="s">
        <v>15</v>
      </c>
      <c r="D707" t="s">
        <v>7</v>
      </c>
      <c r="E707" s="1">
        <v>43170.584976851853</v>
      </c>
    </row>
    <row r="708" spans="1:5">
      <c r="A708">
        <v>8749</v>
      </c>
      <c r="B708" t="s">
        <v>15</v>
      </c>
      <c r="C708" t="s">
        <v>15</v>
      </c>
      <c r="D708" t="s">
        <v>5</v>
      </c>
      <c r="E708" s="1">
        <v>43170.751018518517</v>
      </c>
    </row>
    <row r="709" spans="1:5">
      <c r="A709">
        <v>8750</v>
      </c>
      <c r="B709" t="s">
        <v>15</v>
      </c>
      <c r="C709" t="s">
        <v>15</v>
      </c>
      <c r="D709" t="s">
        <v>8</v>
      </c>
      <c r="E709" s="1">
        <v>43170.751134259262</v>
      </c>
    </row>
    <row r="710" spans="1:5">
      <c r="A710">
        <v>8751</v>
      </c>
      <c r="B710" t="s">
        <v>15</v>
      </c>
      <c r="C710" t="s">
        <v>15</v>
      </c>
      <c r="D710" t="s">
        <v>7</v>
      </c>
      <c r="E710" s="1">
        <v>43170.751192129632</v>
      </c>
    </row>
    <row r="711" spans="1:5">
      <c r="A711">
        <v>8759</v>
      </c>
      <c r="B711" t="s">
        <v>15</v>
      </c>
      <c r="C711" t="s">
        <v>15</v>
      </c>
      <c r="D711" t="s">
        <v>8</v>
      </c>
      <c r="E711" s="1">
        <v>43170.792662037034</v>
      </c>
    </row>
    <row r="712" spans="1:5">
      <c r="A712">
        <v>8765</v>
      </c>
      <c r="B712" t="s">
        <v>15</v>
      </c>
      <c r="C712" t="s">
        <v>15</v>
      </c>
      <c r="D712" t="s">
        <v>6</v>
      </c>
      <c r="E712" s="1">
        <v>43171.369097222225</v>
      </c>
    </row>
    <row r="713" spans="1:5">
      <c r="A713">
        <v>8779</v>
      </c>
      <c r="B713" t="s">
        <v>15</v>
      </c>
      <c r="C713" t="s">
        <v>15</v>
      </c>
      <c r="D713" t="s">
        <v>5</v>
      </c>
      <c r="E713" s="1">
        <v>43171.770277777781</v>
      </c>
    </row>
    <row r="714" spans="1:5">
      <c r="A714">
        <v>8807</v>
      </c>
      <c r="B714" t="s">
        <v>95</v>
      </c>
      <c r="C714" t="s">
        <v>15</v>
      </c>
      <c r="D714" t="s">
        <v>6</v>
      </c>
      <c r="E714" s="1">
        <v>43172.369039351855</v>
      </c>
    </row>
    <row r="715" spans="1:5">
      <c r="A715">
        <v>8812</v>
      </c>
      <c r="B715" t="s">
        <v>15</v>
      </c>
      <c r="C715" t="s">
        <v>15</v>
      </c>
      <c r="D715" t="s">
        <v>5</v>
      </c>
      <c r="E715" s="1">
        <v>43172.76935185185</v>
      </c>
    </row>
    <row r="716" spans="1:5">
      <c r="A716">
        <v>8813</v>
      </c>
      <c r="B716" t="s">
        <v>15</v>
      </c>
      <c r="C716" t="s">
        <v>15</v>
      </c>
      <c r="D716" t="s">
        <v>7</v>
      </c>
      <c r="E716" s="1">
        <v>43172.770925925928</v>
      </c>
    </row>
    <row r="717" spans="1:5">
      <c r="A717">
        <v>8830</v>
      </c>
      <c r="B717" t="s">
        <v>15</v>
      </c>
      <c r="C717" t="s">
        <v>15</v>
      </c>
      <c r="D717" t="s">
        <v>8</v>
      </c>
      <c r="E717" s="1">
        <v>43172.863553240742</v>
      </c>
    </row>
    <row r="718" spans="1:5">
      <c r="A718">
        <v>8842</v>
      </c>
      <c r="B718" t="s">
        <v>15</v>
      </c>
      <c r="C718" t="s">
        <v>15</v>
      </c>
      <c r="D718" t="s">
        <v>6</v>
      </c>
      <c r="E718" s="1">
        <v>43173.369479166664</v>
      </c>
    </row>
    <row r="719" spans="1:5">
      <c r="A719">
        <v>8849</v>
      </c>
      <c r="B719" t="s">
        <v>15</v>
      </c>
      <c r="C719" t="s">
        <v>15</v>
      </c>
      <c r="D719" t="s">
        <v>5</v>
      </c>
      <c r="E719" s="1">
        <v>43173.76798611111</v>
      </c>
    </row>
    <row r="720" spans="1:5">
      <c r="A720">
        <v>8856</v>
      </c>
      <c r="B720" t="s">
        <v>15</v>
      </c>
      <c r="C720" t="s">
        <v>15</v>
      </c>
      <c r="D720" t="s">
        <v>7</v>
      </c>
      <c r="E720" s="1">
        <v>43173.772187499999</v>
      </c>
    </row>
    <row r="721" spans="1:5">
      <c r="A721">
        <v>8860</v>
      </c>
      <c r="B721" t="s">
        <v>15</v>
      </c>
      <c r="C721" t="s">
        <v>15</v>
      </c>
      <c r="D721" t="s">
        <v>8</v>
      </c>
      <c r="E721" s="1">
        <v>43173.832083333335</v>
      </c>
    </row>
    <row r="722" spans="1:5">
      <c r="A722">
        <v>8861</v>
      </c>
      <c r="B722" t="s">
        <v>15</v>
      </c>
      <c r="C722" t="s">
        <v>15</v>
      </c>
      <c r="D722" t="s">
        <v>7</v>
      </c>
      <c r="E722" s="1">
        <v>43173.838993055557</v>
      </c>
    </row>
    <row r="723" spans="1:5">
      <c r="A723">
        <v>8870</v>
      </c>
      <c r="B723" t="s">
        <v>15</v>
      </c>
      <c r="C723" t="s">
        <v>15</v>
      </c>
      <c r="D723" t="s">
        <v>8</v>
      </c>
      <c r="E723" s="1">
        <v>43173.882060185184</v>
      </c>
    </row>
    <row r="724" spans="1:5">
      <c r="A724">
        <v>8877</v>
      </c>
      <c r="B724" t="s">
        <v>95</v>
      </c>
      <c r="C724" t="s">
        <v>15</v>
      </c>
      <c r="D724" t="s">
        <v>6</v>
      </c>
      <c r="E724" s="1">
        <v>43174.369270833333</v>
      </c>
    </row>
    <row r="725" spans="1:5">
      <c r="A725">
        <v>8887</v>
      </c>
      <c r="B725" t="s">
        <v>15</v>
      </c>
      <c r="C725" t="s">
        <v>15</v>
      </c>
      <c r="D725" t="s">
        <v>5</v>
      </c>
      <c r="E725" s="1">
        <v>43174.771319444444</v>
      </c>
    </row>
    <row r="726" spans="1:5">
      <c r="A726">
        <v>8888</v>
      </c>
      <c r="B726" t="s">
        <v>15</v>
      </c>
      <c r="C726" t="s">
        <v>15</v>
      </c>
      <c r="D726" t="s">
        <v>7</v>
      </c>
      <c r="E726" s="1">
        <v>43174.771354166667</v>
      </c>
    </row>
    <row r="727" spans="1:5">
      <c r="A727">
        <v>8902</v>
      </c>
      <c r="B727" t="s">
        <v>15</v>
      </c>
      <c r="C727" t="s">
        <v>15</v>
      </c>
      <c r="D727" t="s">
        <v>8</v>
      </c>
      <c r="E727" s="1">
        <v>43174.863692129627</v>
      </c>
    </row>
    <row r="728" spans="1:5">
      <c r="A728">
        <v>8906</v>
      </c>
      <c r="B728" t="s">
        <v>15</v>
      </c>
      <c r="C728" t="s">
        <v>15</v>
      </c>
      <c r="D728" t="s">
        <v>6</v>
      </c>
      <c r="E728" s="1">
        <v>43175.331493055557</v>
      </c>
    </row>
    <row r="729" spans="1:5">
      <c r="A729">
        <v>8918</v>
      </c>
      <c r="B729" t="s">
        <v>95</v>
      </c>
      <c r="C729" t="s">
        <v>15</v>
      </c>
      <c r="D729" t="s">
        <v>5</v>
      </c>
      <c r="E729" s="1">
        <v>43175.764872685184</v>
      </c>
    </row>
    <row r="730" spans="1:5">
      <c r="A730">
        <v>8960</v>
      </c>
      <c r="B730" t="s">
        <v>15</v>
      </c>
      <c r="C730" t="s">
        <v>15</v>
      </c>
      <c r="D730" t="s">
        <v>7</v>
      </c>
      <c r="E730" s="1">
        <v>43176.582395833335</v>
      </c>
    </row>
    <row r="731" spans="1:5">
      <c r="A731">
        <v>8969</v>
      </c>
      <c r="B731" t="s">
        <v>15</v>
      </c>
      <c r="C731" t="s">
        <v>15</v>
      </c>
      <c r="D731" t="s">
        <v>8</v>
      </c>
      <c r="E731" s="1">
        <v>43176.743437500001</v>
      </c>
    </row>
    <row r="732" spans="1:5">
      <c r="A732">
        <v>8970</v>
      </c>
      <c r="B732" t="s">
        <v>15</v>
      </c>
      <c r="C732" t="s">
        <v>15</v>
      </c>
      <c r="D732" t="s">
        <v>7</v>
      </c>
      <c r="E732" s="1">
        <v>43176.743495370371</v>
      </c>
    </row>
    <row r="733" spans="1:5">
      <c r="A733">
        <v>8971</v>
      </c>
      <c r="B733" t="s">
        <v>15</v>
      </c>
      <c r="C733" t="s">
        <v>15</v>
      </c>
      <c r="D733" t="s">
        <v>8</v>
      </c>
      <c r="E733" s="1">
        <v>43176.832384259258</v>
      </c>
    </row>
    <row r="734" spans="1:5">
      <c r="A734">
        <v>8982</v>
      </c>
      <c r="B734" t="s">
        <v>95</v>
      </c>
      <c r="C734" t="s">
        <v>15</v>
      </c>
      <c r="D734" t="s">
        <v>6</v>
      </c>
      <c r="E734" s="1">
        <v>43178.430451388886</v>
      </c>
    </row>
    <row r="735" spans="1:5">
      <c r="A735">
        <v>8983</v>
      </c>
      <c r="B735" t="s">
        <v>15</v>
      </c>
      <c r="C735" t="s">
        <v>15</v>
      </c>
      <c r="D735" t="s">
        <v>5</v>
      </c>
      <c r="E735" s="1">
        <v>43178.762141203704</v>
      </c>
    </row>
    <row r="736" spans="1:5">
      <c r="A736">
        <v>8995</v>
      </c>
      <c r="B736" t="s">
        <v>15</v>
      </c>
      <c r="C736" t="s">
        <v>15</v>
      </c>
      <c r="D736" t="s">
        <v>7</v>
      </c>
      <c r="E736" s="1">
        <v>43178.792187500003</v>
      </c>
    </row>
    <row r="737" spans="1:5">
      <c r="A737">
        <v>9002</v>
      </c>
      <c r="B737" t="s">
        <v>15</v>
      </c>
      <c r="C737" t="s">
        <v>15</v>
      </c>
      <c r="D737" t="s">
        <v>8</v>
      </c>
      <c r="E737" s="1">
        <v>43178.864652777775</v>
      </c>
    </row>
    <row r="738" spans="1:5">
      <c r="A738">
        <v>9013</v>
      </c>
      <c r="B738" t="s">
        <v>15</v>
      </c>
      <c r="C738" t="s">
        <v>15</v>
      </c>
      <c r="D738" t="s">
        <v>6</v>
      </c>
      <c r="E738" s="1">
        <v>43179.367002314815</v>
      </c>
    </row>
    <row r="739" spans="1:5">
      <c r="A739">
        <v>9023</v>
      </c>
      <c r="B739" t="s">
        <v>15</v>
      </c>
      <c r="C739" t="s">
        <v>15</v>
      </c>
      <c r="D739" t="s">
        <v>5</v>
      </c>
      <c r="E739" s="1">
        <v>43179.767951388887</v>
      </c>
    </row>
    <row r="740" spans="1:5">
      <c r="A740">
        <v>9048</v>
      </c>
      <c r="B740" t="s">
        <v>15</v>
      </c>
      <c r="C740" t="s">
        <v>15</v>
      </c>
      <c r="D740" t="s">
        <v>6</v>
      </c>
      <c r="E740" s="1">
        <v>43180.367048611108</v>
      </c>
    </row>
    <row r="741" spans="1:5">
      <c r="A741">
        <v>9059</v>
      </c>
      <c r="B741" t="s">
        <v>15</v>
      </c>
      <c r="C741" t="s">
        <v>15</v>
      </c>
      <c r="D741" t="s">
        <v>5</v>
      </c>
      <c r="E741" s="1">
        <v>43180.770208333335</v>
      </c>
    </row>
    <row r="742" spans="1:5">
      <c r="A742">
        <v>9062</v>
      </c>
      <c r="B742" t="s">
        <v>15</v>
      </c>
      <c r="C742" t="s">
        <v>15</v>
      </c>
      <c r="D742" t="s">
        <v>7</v>
      </c>
      <c r="E742" s="1">
        <v>43180.770879629628</v>
      </c>
    </row>
    <row r="743" spans="1:5">
      <c r="A743">
        <v>9076</v>
      </c>
      <c r="B743" t="s">
        <v>15</v>
      </c>
      <c r="C743" t="s">
        <v>15</v>
      </c>
      <c r="D743" t="s">
        <v>8</v>
      </c>
      <c r="E743" s="1">
        <v>43180.819282407407</v>
      </c>
    </row>
    <row r="744" spans="1:5">
      <c r="A744">
        <v>9083</v>
      </c>
      <c r="B744" t="s">
        <v>15</v>
      </c>
      <c r="C744" t="s">
        <v>15</v>
      </c>
      <c r="D744" t="s">
        <v>6</v>
      </c>
      <c r="E744" s="1">
        <v>43181.36409722222</v>
      </c>
    </row>
    <row r="745" spans="1:5">
      <c r="A745">
        <v>9092</v>
      </c>
      <c r="B745" t="s">
        <v>15</v>
      </c>
      <c r="C745" t="s">
        <v>15</v>
      </c>
      <c r="D745" t="s">
        <v>5</v>
      </c>
      <c r="E745" s="1">
        <v>43181.761145833334</v>
      </c>
    </row>
    <row r="746" spans="1:5">
      <c r="A746">
        <v>9105</v>
      </c>
      <c r="B746" t="s">
        <v>15</v>
      </c>
      <c r="C746" t="s">
        <v>15</v>
      </c>
      <c r="D746" t="s">
        <v>7</v>
      </c>
      <c r="E746" s="1">
        <v>43181.797777777778</v>
      </c>
    </row>
    <row r="747" spans="1:5">
      <c r="A747">
        <v>9115</v>
      </c>
      <c r="B747" t="s">
        <v>15</v>
      </c>
      <c r="C747" t="s">
        <v>15</v>
      </c>
      <c r="D747" t="s">
        <v>8</v>
      </c>
      <c r="E747" s="1">
        <v>43181.95579861111</v>
      </c>
    </row>
    <row r="748" spans="1:5">
      <c r="A748">
        <v>9119</v>
      </c>
      <c r="B748" t="s">
        <v>15</v>
      </c>
      <c r="C748" t="s">
        <v>15</v>
      </c>
      <c r="D748" t="s">
        <v>6</v>
      </c>
      <c r="E748" s="1">
        <v>43182.364560185182</v>
      </c>
    </row>
    <row r="749" spans="1:5">
      <c r="A749">
        <v>9136</v>
      </c>
      <c r="B749" t="s">
        <v>15</v>
      </c>
      <c r="C749" t="s">
        <v>15</v>
      </c>
      <c r="D749" t="s">
        <v>5</v>
      </c>
      <c r="E749" s="1">
        <v>43182.782997685186</v>
      </c>
    </row>
    <row r="750" spans="1:5">
      <c r="A750">
        <v>9143</v>
      </c>
      <c r="B750" t="s">
        <v>15</v>
      </c>
      <c r="C750" t="s">
        <v>15</v>
      </c>
      <c r="D750" t="s">
        <v>6</v>
      </c>
      <c r="E750" s="1">
        <v>43185.371342592596</v>
      </c>
    </row>
    <row r="751" spans="1:5">
      <c r="A751">
        <v>9151</v>
      </c>
      <c r="B751" t="s">
        <v>15</v>
      </c>
      <c r="C751" t="s">
        <v>15</v>
      </c>
      <c r="D751" t="s">
        <v>5</v>
      </c>
      <c r="E751" s="1">
        <v>43185.771157407406</v>
      </c>
    </row>
    <row r="752" spans="1:5">
      <c r="A752">
        <v>9167</v>
      </c>
      <c r="B752" t="s">
        <v>15</v>
      </c>
      <c r="C752" t="s">
        <v>15</v>
      </c>
      <c r="D752" t="s">
        <v>6</v>
      </c>
      <c r="E752" s="1">
        <v>43186.367314814815</v>
      </c>
    </row>
    <row r="753" spans="1:5">
      <c r="A753">
        <v>9171</v>
      </c>
      <c r="B753" t="s">
        <v>15</v>
      </c>
      <c r="C753" t="s">
        <v>15</v>
      </c>
      <c r="D753" t="s">
        <v>5</v>
      </c>
      <c r="E753" s="1">
        <v>43186.767210648148</v>
      </c>
    </row>
    <row r="754" spans="1:5">
      <c r="A754">
        <v>9172</v>
      </c>
      <c r="B754" t="s">
        <v>15</v>
      </c>
      <c r="C754" t="s">
        <v>15</v>
      </c>
      <c r="D754" t="s">
        <v>7</v>
      </c>
      <c r="E754" s="1">
        <v>43186.770891203705</v>
      </c>
    </row>
    <row r="755" spans="1:5">
      <c r="A755">
        <v>9178</v>
      </c>
      <c r="B755" t="s">
        <v>15</v>
      </c>
      <c r="C755" t="s">
        <v>15</v>
      </c>
      <c r="D755" t="s">
        <v>8</v>
      </c>
      <c r="E755" s="1">
        <v>43186.773726851854</v>
      </c>
    </row>
    <row r="756" spans="1:5">
      <c r="A756">
        <v>9186</v>
      </c>
      <c r="B756" t="s">
        <v>15</v>
      </c>
      <c r="C756" t="s">
        <v>15</v>
      </c>
      <c r="D756" t="s">
        <v>7</v>
      </c>
      <c r="E756" s="1">
        <v>43186.834930555553</v>
      </c>
    </row>
    <row r="757" spans="1:5">
      <c r="A757">
        <v>9188</v>
      </c>
      <c r="B757" t="s">
        <v>15</v>
      </c>
      <c r="C757" t="s">
        <v>15</v>
      </c>
      <c r="D757" t="s">
        <v>8</v>
      </c>
      <c r="E757" s="1">
        <v>43186.896597222221</v>
      </c>
    </row>
    <row r="758" spans="1:5">
      <c r="A758">
        <v>9194</v>
      </c>
      <c r="B758" t="s">
        <v>15</v>
      </c>
      <c r="C758" t="s">
        <v>15</v>
      </c>
      <c r="D758" t="s">
        <v>6</v>
      </c>
      <c r="E758" s="1">
        <v>43187.364560185182</v>
      </c>
    </row>
    <row r="759" spans="1:5">
      <c r="A759">
        <v>9203</v>
      </c>
      <c r="B759" t="s">
        <v>15</v>
      </c>
      <c r="C759" t="s">
        <v>15</v>
      </c>
      <c r="D759" t="s">
        <v>5</v>
      </c>
      <c r="E759" s="1">
        <v>43187.769456018519</v>
      </c>
    </row>
    <row r="760" spans="1:5">
      <c r="A760">
        <v>9204</v>
      </c>
      <c r="B760" t="s">
        <v>15</v>
      </c>
      <c r="C760" t="s">
        <v>15</v>
      </c>
      <c r="D760" t="s">
        <v>7</v>
      </c>
      <c r="E760" s="1">
        <v>43187.770844907405</v>
      </c>
    </row>
    <row r="761" spans="1:5">
      <c r="A761">
        <v>9217</v>
      </c>
      <c r="B761" t="s">
        <v>15</v>
      </c>
      <c r="C761" t="s">
        <v>15</v>
      </c>
      <c r="D761" t="s">
        <v>8</v>
      </c>
      <c r="E761" s="1">
        <v>43187.787708333337</v>
      </c>
    </row>
    <row r="762" spans="1:5">
      <c r="A762">
        <v>9231</v>
      </c>
      <c r="B762" t="s">
        <v>15</v>
      </c>
      <c r="C762" t="s">
        <v>15</v>
      </c>
      <c r="D762" t="s">
        <v>6</v>
      </c>
      <c r="E762" s="1">
        <v>43188.369293981479</v>
      </c>
    </row>
    <row r="763" spans="1:5">
      <c r="A763">
        <v>9238</v>
      </c>
      <c r="B763" t="s">
        <v>15</v>
      </c>
      <c r="C763" t="s">
        <v>15</v>
      </c>
      <c r="D763" t="s">
        <v>5</v>
      </c>
      <c r="E763" s="1">
        <v>43188.766377314816</v>
      </c>
    </row>
    <row r="764" spans="1:5">
      <c r="A764">
        <v>9250</v>
      </c>
      <c r="B764" t="s">
        <v>15</v>
      </c>
      <c r="C764" t="s">
        <v>15</v>
      </c>
      <c r="D764" t="s">
        <v>7</v>
      </c>
      <c r="E764" s="1">
        <v>43188.792314814818</v>
      </c>
    </row>
    <row r="765" spans="1:5">
      <c r="A765">
        <v>9257</v>
      </c>
      <c r="B765" t="s">
        <v>15</v>
      </c>
      <c r="C765" t="s">
        <v>15</v>
      </c>
      <c r="D765" t="s">
        <v>8</v>
      </c>
      <c r="E765" s="1">
        <v>43188.84951388889</v>
      </c>
    </row>
    <row r="766" spans="1:5">
      <c r="A766">
        <v>9288</v>
      </c>
      <c r="B766" t="s">
        <v>15</v>
      </c>
      <c r="C766" t="s">
        <v>15</v>
      </c>
      <c r="D766" t="s">
        <v>6</v>
      </c>
      <c r="E766" s="1">
        <v>43190.366944444446</v>
      </c>
    </row>
    <row r="767" spans="1:5">
      <c r="A767">
        <v>9296</v>
      </c>
      <c r="B767" t="s">
        <v>15</v>
      </c>
      <c r="C767" t="s">
        <v>15</v>
      </c>
      <c r="D767" t="s">
        <v>5</v>
      </c>
      <c r="E767" s="1">
        <v>43190.770370370374</v>
      </c>
    </row>
    <row r="768" spans="1:5">
      <c r="A768">
        <v>9299</v>
      </c>
      <c r="B768" t="s">
        <v>15</v>
      </c>
      <c r="C768" t="s">
        <v>15</v>
      </c>
      <c r="D768" t="s">
        <v>7</v>
      </c>
      <c r="E768" s="1">
        <v>43190.770833333336</v>
      </c>
    </row>
    <row r="769" spans="1:5">
      <c r="A769">
        <v>9303</v>
      </c>
      <c r="B769" t="s">
        <v>15</v>
      </c>
      <c r="C769" t="s">
        <v>15</v>
      </c>
      <c r="D769" t="s">
        <v>8</v>
      </c>
      <c r="E769" s="1">
        <v>43190.788101851853</v>
      </c>
    </row>
    <row r="770" spans="1:5">
      <c r="A770">
        <v>9320</v>
      </c>
      <c r="B770" t="s">
        <v>95</v>
      </c>
      <c r="C770" t="s">
        <v>15</v>
      </c>
      <c r="D770" t="s">
        <v>6</v>
      </c>
      <c r="E770" s="1">
        <v>43192.36923611111</v>
      </c>
    </row>
    <row r="771" spans="1:5">
      <c r="A771">
        <v>9329</v>
      </c>
      <c r="B771" t="s">
        <v>15</v>
      </c>
      <c r="C771" t="s">
        <v>15</v>
      </c>
      <c r="D771" t="s">
        <v>5</v>
      </c>
      <c r="E771" s="1">
        <v>43192.76829861111</v>
      </c>
    </row>
    <row r="772" spans="1:5">
      <c r="A772">
        <v>9337</v>
      </c>
      <c r="B772" t="s">
        <v>15</v>
      </c>
      <c r="C772" t="s">
        <v>15</v>
      </c>
      <c r="D772" t="s">
        <v>7</v>
      </c>
      <c r="E772" s="1">
        <v>43192.774745370371</v>
      </c>
    </row>
    <row r="773" spans="1:5">
      <c r="A773">
        <v>8529</v>
      </c>
      <c r="B773" t="s">
        <v>90</v>
      </c>
      <c r="C773" t="s">
        <v>90</v>
      </c>
      <c r="D773" t="s">
        <v>6</v>
      </c>
      <c r="E773" s="1">
        <v>43161.372106481482</v>
      </c>
    </row>
    <row r="774" spans="1:5">
      <c r="A774">
        <v>8531</v>
      </c>
      <c r="B774" t="s">
        <v>90</v>
      </c>
      <c r="C774" t="s">
        <v>90</v>
      </c>
      <c r="D774" t="s">
        <v>5</v>
      </c>
      <c r="E774" s="1">
        <v>43161.505891203706</v>
      </c>
    </row>
    <row r="775" spans="1:5">
      <c r="A775">
        <v>8558</v>
      </c>
      <c r="B775" t="s">
        <v>90</v>
      </c>
      <c r="C775" t="s">
        <v>90</v>
      </c>
      <c r="D775" t="s">
        <v>6</v>
      </c>
      <c r="E775" s="1">
        <v>43164.362858796296</v>
      </c>
    </row>
    <row r="776" spans="1:5">
      <c r="A776">
        <v>8587</v>
      </c>
      <c r="B776" t="s">
        <v>90</v>
      </c>
      <c r="C776" t="s">
        <v>90</v>
      </c>
      <c r="D776" t="s">
        <v>5</v>
      </c>
      <c r="E776" s="1">
        <v>43164.83898148148</v>
      </c>
    </row>
    <row r="777" spans="1:5">
      <c r="A777">
        <v>8638</v>
      </c>
      <c r="B777" t="s">
        <v>90</v>
      </c>
      <c r="C777" t="s">
        <v>90</v>
      </c>
      <c r="D777" t="s">
        <v>6</v>
      </c>
      <c r="E777" s="1">
        <v>43166.650659722225</v>
      </c>
    </row>
    <row r="778" spans="1:5">
      <c r="A778">
        <v>8658</v>
      </c>
      <c r="B778" t="s">
        <v>90</v>
      </c>
      <c r="C778" t="s">
        <v>90</v>
      </c>
      <c r="D778" t="s">
        <v>5</v>
      </c>
      <c r="E778" s="1">
        <v>43166.864432870374</v>
      </c>
    </row>
    <row r="779" spans="1:5">
      <c r="A779">
        <v>8698</v>
      </c>
      <c r="B779" t="s">
        <v>90</v>
      </c>
      <c r="C779" t="s">
        <v>90</v>
      </c>
      <c r="D779" t="s">
        <v>6</v>
      </c>
      <c r="E779" s="1">
        <v>43168.369363425925</v>
      </c>
    </row>
    <row r="780" spans="1:5">
      <c r="A780">
        <v>8703</v>
      </c>
      <c r="B780" t="s">
        <v>90</v>
      </c>
      <c r="C780" t="s">
        <v>90</v>
      </c>
      <c r="D780" t="s">
        <v>5</v>
      </c>
      <c r="E780" s="1">
        <v>43168.507569444446</v>
      </c>
    </row>
    <row r="781" spans="1:5">
      <c r="A781">
        <v>8719</v>
      </c>
      <c r="B781" t="s">
        <v>90</v>
      </c>
      <c r="C781" t="s">
        <v>90</v>
      </c>
      <c r="D781" t="s">
        <v>7</v>
      </c>
      <c r="E781" s="1">
        <v>43169.41810185185</v>
      </c>
    </row>
    <row r="782" spans="1:5">
      <c r="A782">
        <v>8723</v>
      </c>
      <c r="B782" t="s">
        <v>90</v>
      </c>
      <c r="C782" t="s">
        <v>90</v>
      </c>
      <c r="D782" t="s">
        <v>8</v>
      </c>
      <c r="E782" s="1">
        <v>43169.51972222222</v>
      </c>
    </row>
    <row r="783" spans="1:5">
      <c r="A783">
        <v>8771</v>
      </c>
      <c r="B783" t="s">
        <v>90</v>
      </c>
      <c r="C783" t="s">
        <v>90</v>
      </c>
      <c r="D783" t="s">
        <v>6</v>
      </c>
      <c r="E783" s="1">
        <v>43171.375775462962</v>
      </c>
    </row>
    <row r="784" spans="1:5">
      <c r="A784">
        <v>8787</v>
      </c>
      <c r="B784" t="s">
        <v>90</v>
      </c>
      <c r="C784" t="s">
        <v>90</v>
      </c>
      <c r="D784" t="s">
        <v>5</v>
      </c>
      <c r="E784" s="1">
        <v>43171.786782407406</v>
      </c>
    </row>
    <row r="785" spans="1:5">
      <c r="A785">
        <v>8848</v>
      </c>
      <c r="B785" t="s">
        <v>103</v>
      </c>
      <c r="C785" t="s">
        <v>90</v>
      </c>
      <c r="D785" t="s">
        <v>6</v>
      </c>
      <c r="E785" s="1">
        <v>43173.715868055559</v>
      </c>
    </row>
    <row r="786" spans="1:5">
      <c r="A786">
        <v>8865</v>
      </c>
      <c r="B786" t="s">
        <v>90</v>
      </c>
      <c r="C786" t="s">
        <v>90</v>
      </c>
      <c r="D786" t="s">
        <v>5</v>
      </c>
      <c r="E786" s="1">
        <v>43173.858969907407</v>
      </c>
    </row>
    <row r="787" spans="1:5">
      <c r="A787">
        <v>8911</v>
      </c>
      <c r="B787" t="s">
        <v>90</v>
      </c>
      <c r="C787" t="s">
        <v>90</v>
      </c>
      <c r="D787" t="s">
        <v>6</v>
      </c>
      <c r="E787" s="1">
        <v>43175.36445601852</v>
      </c>
    </row>
    <row r="788" spans="1:5">
      <c r="A788">
        <v>8917</v>
      </c>
      <c r="B788" t="s">
        <v>90</v>
      </c>
      <c r="C788" t="s">
        <v>90</v>
      </c>
      <c r="D788" t="s">
        <v>5</v>
      </c>
      <c r="E788" s="1">
        <v>43175.499918981484</v>
      </c>
    </row>
    <row r="789" spans="1:5">
      <c r="A789">
        <v>8945</v>
      </c>
      <c r="B789" t="s">
        <v>90</v>
      </c>
      <c r="C789" t="s">
        <v>90</v>
      </c>
      <c r="D789" t="s">
        <v>6</v>
      </c>
      <c r="E789" s="1">
        <v>43176.426099537035</v>
      </c>
    </row>
    <row r="790" spans="1:5">
      <c r="A790">
        <v>8963</v>
      </c>
      <c r="B790" t="s">
        <v>90</v>
      </c>
      <c r="C790" t="s">
        <v>90</v>
      </c>
      <c r="D790" t="s">
        <v>5</v>
      </c>
      <c r="E790" s="1">
        <v>43176.643912037034</v>
      </c>
    </row>
    <row r="791" spans="1:5">
      <c r="A791">
        <v>8981</v>
      </c>
      <c r="B791" t="s">
        <v>90</v>
      </c>
      <c r="C791" t="s">
        <v>90</v>
      </c>
      <c r="D791" t="s">
        <v>6</v>
      </c>
      <c r="E791" s="1">
        <v>43178.383750000001</v>
      </c>
    </row>
    <row r="792" spans="1:5">
      <c r="A792">
        <v>9005</v>
      </c>
      <c r="B792" t="s">
        <v>90</v>
      </c>
      <c r="C792" t="s">
        <v>90</v>
      </c>
      <c r="D792" t="s">
        <v>5</v>
      </c>
      <c r="E792" s="1">
        <v>43178.875960648147</v>
      </c>
    </row>
    <row r="793" spans="1:5">
      <c r="A793">
        <v>9020</v>
      </c>
      <c r="B793" t="s">
        <v>104</v>
      </c>
      <c r="C793" t="s">
        <v>90</v>
      </c>
      <c r="D793" t="s">
        <v>6</v>
      </c>
      <c r="E793" s="1">
        <v>43179.71974537037</v>
      </c>
    </row>
    <row r="794" spans="1:5">
      <c r="A794">
        <v>9041</v>
      </c>
      <c r="B794" t="s">
        <v>90</v>
      </c>
      <c r="C794" t="s">
        <v>90</v>
      </c>
      <c r="D794" t="s">
        <v>5</v>
      </c>
      <c r="E794" s="1">
        <v>43179.830590277779</v>
      </c>
    </row>
    <row r="795" spans="1:5">
      <c r="A795">
        <v>9125</v>
      </c>
      <c r="B795" t="s">
        <v>90</v>
      </c>
      <c r="C795" t="s">
        <v>90</v>
      </c>
      <c r="D795" t="s">
        <v>6</v>
      </c>
      <c r="E795" s="1">
        <v>43182.377662037034</v>
      </c>
    </row>
    <row r="796" spans="1:5">
      <c r="A796">
        <v>9127</v>
      </c>
      <c r="B796" t="s">
        <v>90</v>
      </c>
      <c r="C796" t="s">
        <v>90</v>
      </c>
      <c r="D796" t="s">
        <v>5</v>
      </c>
      <c r="E796" s="1">
        <v>43182.504259259258</v>
      </c>
    </row>
    <row r="797" spans="1:5">
      <c r="A797">
        <v>9145</v>
      </c>
      <c r="B797" t="s">
        <v>90</v>
      </c>
      <c r="C797" t="s">
        <v>90</v>
      </c>
      <c r="D797" t="s">
        <v>6</v>
      </c>
      <c r="E797" s="1">
        <v>43185.413958333331</v>
      </c>
    </row>
    <row r="798" spans="1:5">
      <c r="A798">
        <v>9162</v>
      </c>
      <c r="B798" t="s">
        <v>90</v>
      </c>
      <c r="C798" t="s">
        <v>90</v>
      </c>
      <c r="D798" t="s">
        <v>5</v>
      </c>
      <c r="E798" s="1">
        <v>43185.863530092596</v>
      </c>
    </row>
    <row r="799" spans="1:5">
      <c r="A799">
        <v>9200</v>
      </c>
      <c r="B799" t="s">
        <v>104</v>
      </c>
      <c r="C799" t="s">
        <v>90</v>
      </c>
      <c r="D799" t="s">
        <v>6</v>
      </c>
      <c r="E799" s="1">
        <v>43187.714548611111</v>
      </c>
    </row>
    <row r="800" spans="1:5">
      <c r="A800">
        <v>9221</v>
      </c>
      <c r="B800" t="s">
        <v>90</v>
      </c>
      <c r="C800" t="s">
        <v>90</v>
      </c>
      <c r="D800" t="s">
        <v>5</v>
      </c>
      <c r="E800" s="1">
        <v>43187.866053240738</v>
      </c>
    </row>
    <row r="801" spans="1:5">
      <c r="A801">
        <v>9265</v>
      </c>
      <c r="B801" t="s">
        <v>90</v>
      </c>
      <c r="C801" t="s">
        <v>90</v>
      </c>
      <c r="D801" t="s">
        <v>6</v>
      </c>
      <c r="E801" s="1">
        <v>43189.371296296296</v>
      </c>
    </row>
    <row r="802" spans="1:5">
      <c r="A802">
        <v>9268</v>
      </c>
      <c r="B802" t="s">
        <v>90</v>
      </c>
      <c r="C802" t="s">
        <v>90</v>
      </c>
      <c r="D802" t="s">
        <v>5</v>
      </c>
      <c r="E802" s="1">
        <v>43189.503159722219</v>
      </c>
    </row>
    <row r="803" spans="1:5">
      <c r="A803">
        <v>9322</v>
      </c>
      <c r="B803" t="s">
        <v>90</v>
      </c>
      <c r="C803" t="s">
        <v>90</v>
      </c>
      <c r="D803" t="s">
        <v>6</v>
      </c>
      <c r="E803" s="1">
        <v>43192.390509259261</v>
      </c>
    </row>
    <row r="804" spans="1:5">
      <c r="A804">
        <v>8497</v>
      </c>
      <c r="B804" t="s">
        <v>92</v>
      </c>
      <c r="C804" t="s">
        <v>91</v>
      </c>
      <c r="D804" t="s">
        <v>6</v>
      </c>
      <c r="E804" s="1">
        <v>43160.376539351855</v>
      </c>
    </row>
    <row r="805" spans="1:5">
      <c r="A805">
        <v>8500</v>
      </c>
      <c r="B805" t="s">
        <v>91</v>
      </c>
      <c r="C805" t="s">
        <v>91</v>
      </c>
      <c r="D805" t="s">
        <v>5</v>
      </c>
      <c r="E805" s="1">
        <v>43160.761712962965</v>
      </c>
    </row>
    <row r="806" spans="1:5">
      <c r="A806">
        <v>8530</v>
      </c>
      <c r="B806" t="s">
        <v>91</v>
      </c>
      <c r="C806" t="s">
        <v>91</v>
      </c>
      <c r="D806" t="s">
        <v>6</v>
      </c>
      <c r="E806" s="1">
        <v>43161.382303240738</v>
      </c>
    </row>
    <row r="807" spans="1:5">
      <c r="A807">
        <v>8549</v>
      </c>
      <c r="B807" t="s">
        <v>92</v>
      </c>
      <c r="C807" t="s">
        <v>91</v>
      </c>
      <c r="D807" t="s">
        <v>6</v>
      </c>
      <c r="E807" s="1">
        <v>43162.486400462964</v>
      </c>
    </row>
    <row r="808" spans="1:5">
      <c r="A808">
        <v>8552</v>
      </c>
      <c r="B808" t="s">
        <v>91</v>
      </c>
      <c r="C808" t="s">
        <v>91</v>
      </c>
      <c r="D808" t="s">
        <v>5</v>
      </c>
      <c r="E808" s="1">
        <v>43162.661828703705</v>
      </c>
    </row>
    <row r="809" spans="1:5">
      <c r="A809">
        <v>8553</v>
      </c>
      <c r="B809" t="s">
        <v>91</v>
      </c>
      <c r="C809" t="s">
        <v>91</v>
      </c>
      <c r="D809" t="s">
        <v>6</v>
      </c>
      <c r="E809" s="1">
        <v>43162.683321759258</v>
      </c>
    </row>
    <row r="810" spans="1:5">
      <c r="A810">
        <v>8555</v>
      </c>
      <c r="B810" t="s">
        <v>92</v>
      </c>
      <c r="C810" t="s">
        <v>91</v>
      </c>
      <c r="D810" t="s">
        <v>5</v>
      </c>
      <c r="E810" s="1">
        <v>43162.897245370368</v>
      </c>
    </row>
    <row r="811" spans="1:5">
      <c r="A811">
        <v>8563</v>
      </c>
      <c r="B811" t="s">
        <v>91</v>
      </c>
      <c r="C811" t="s">
        <v>91</v>
      </c>
      <c r="D811" t="s">
        <v>6</v>
      </c>
      <c r="E811" s="1">
        <v>43164.369537037041</v>
      </c>
    </row>
    <row r="812" spans="1:5">
      <c r="A812">
        <v>8593</v>
      </c>
      <c r="B812" t="s">
        <v>92</v>
      </c>
      <c r="C812" t="s">
        <v>91</v>
      </c>
      <c r="D812" t="s">
        <v>5</v>
      </c>
      <c r="E812" s="1">
        <v>43164.941701388889</v>
      </c>
    </row>
    <row r="813" spans="1:5">
      <c r="A813">
        <v>8603</v>
      </c>
      <c r="B813" t="s">
        <v>92</v>
      </c>
      <c r="C813" t="s">
        <v>91</v>
      </c>
      <c r="D813" t="s">
        <v>6</v>
      </c>
      <c r="E813" s="1">
        <v>43165.383159722223</v>
      </c>
    </row>
    <row r="814" spans="1:5">
      <c r="A814">
        <v>8605</v>
      </c>
      <c r="B814" t="s">
        <v>96</v>
      </c>
      <c r="C814" t="s">
        <v>91</v>
      </c>
      <c r="D814" t="s">
        <v>5</v>
      </c>
      <c r="E814" s="1">
        <v>43165.761284722219</v>
      </c>
    </row>
    <row r="815" spans="1:5">
      <c r="A815">
        <v>8635</v>
      </c>
      <c r="B815" t="s">
        <v>96</v>
      </c>
      <c r="C815" t="s">
        <v>91</v>
      </c>
      <c r="D815" t="s">
        <v>6</v>
      </c>
      <c r="E815" s="1">
        <v>43166.399178240739</v>
      </c>
    </row>
    <row r="816" spans="1:5">
      <c r="A816">
        <v>8660</v>
      </c>
      <c r="B816" t="s">
        <v>92</v>
      </c>
      <c r="C816" t="s">
        <v>91</v>
      </c>
      <c r="D816" t="s">
        <v>5</v>
      </c>
      <c r="E816" s="1">
        <v>43166.918379629627</v>
      </c>
    </row>
    <row r="817" spans="1:5">
      <c r="A817">
        <v>8662</v>
      </c>
      <c r="B817" t="s">
        <v>91</v>
      </c>
      <c r="C817" t="s">
        <v>91</v>
      </c>
      <c r="D817" t="s">
        <v>6</v>
      </c>
      <c r="E817" s="1">
        <v>43167.357511574075</v>
      </c>
    </row>
    <row r="818" spans="1:5">
      <c r="A818">
        <v>8676</v>
      </c>
      <c r="B818" t="s">
        <v>91</v>
      </c>
      <c r="C818" t="s">
        <v>91</v>
      </c>
      <c r="D818" t="s">
        <v>5</v>
      </c>
      <c r="E818" s="1">
        <v>43167.767939814818</v>
      </c>
    </row>
    <row r="819" spans="1:5">
      <c r="A819">
        <v>8702</v>
      </c>
      <c r="B819" t="s">
        <v>92</v>
      </c>
      <c r="C819" t="s">
        <v>91</v>
      </c>
      <c r="D819" t="s">
        <v>6</v>
      </c>
      <c r="E819" s="1">
        <v>43168.381712962961</v>
      </c>
    </row>
    <row r="820" spans="1:5">
      <c r="A820">
        <v>8716</v>
      </c>
      <c r="B820" t="s">
        <v>92</v>
      </c>
      <c r="C820" t="s">
        <v>91</v>
      </c>
      <c r="D820" t="s">
        <v>5</v>
      </c>
      <c r="E820" s="1">
        <v>43168.887557870374</v>
      </c>
    </row>
    <row r="821" spans="1:5">
      <c r="A821">
        <v>8731</v>
      </c>
      <c r="B821" t="s">
        <v>96</v>
      </c>
      <c r="C821" t="s">
        <v>91</v>
      </c>
      <c r="D821" t="s">
        <v>6</v>
      </c>
      <c r="E821" s="1">
        <v>43170.428483796299</v>
      </c>
    </row>
    <row r="822" spans="1:5">
      <c r="A822">
        <v>8739</v>
      </c>
      <c r="B822" t="s">
        <v>91</v>
      </c>
      <c r="C822" t="s">
        <v>91</v>
      </c>
      <c r="D822" t="s">
        <v>5</v>
      </c>
      <c r="E822" s="1">
        <v>43170.561145833337</v>
      </c>
    </row>
    <row r="823" spans="1:5">
      <c r="A823">
        <v>8744</v>
      </c>
      <c r="B823" t="s">
        <v>92</v>
      </c>
      <c r="C823" t="s">
        <v>91</v>
      </c>
      <c r="D823" t="s">
        <v>6</v>
      </c>
      <c r="E823" s="1">
        <v>43170.604456018518</v>
      </c>
    </row>
    <row r="824" spans="1:5">
      <c r="A824">
        <v>8747</v>
      </c>
      <c r="B824" t="s">
        <v>92</v>
      </c>
      <c r="C824" t="s">
        <v>91</v>
      </c>
      <c r="D824" t="s">
        <v>5</v>
      </c>
      <c r="E824" s="1">
        <v>43170.747303240743</v>
      </c>
    </row>
    <row r="825" spans="1:5">
      <c r="A825">
        <v>8748</v>
      </c>
      <c r="B825" t="s">
        <v>92</v>
      </c>
      <c r="C825" t="s">
        <v>91</v>
      </c>
      <c r="D825" t="s">
        <v>6</v>
      </c>
      <c r="E825" s="1">
        <v>43170.748113425929</v>
      </c>
    </row>
    <row r="826" spans="1:5">
      <c r="A826">
        <v>8760</v>
      </c>
      <c r="B826" t="s">
        <v>92</v>
      </c>
      <c r="C826" t="s">
        <v>91</v>
      </c>
      <c r="D826" t="s">
        <v>5</v>
      </c>
      <c r="E826" s="1">
        <v>43170.797407407408</v>
      </c>
    </row>
    <row r="827" spans="1:5">
      <c r="A827">
        <v>8772</v>
      </c>
      <c r="B827" t="s">
        <v>91</v>
      </c>
      <c r="C827" t="s">
        <v>91</v>
      </c>
      <c r="D827" t="s">
        <v>6</v>
      </c>
      <c r="E827" s="1">
        <v>43171.382048611114</v>
      </c>
    </row>
    <row r="828" spans="1:5">
      <c r="A828">
        <v>8798</v>
      </c>
      <c r="B828" t="s">
        <v>92</v>
      </c>
      <c r="C828" t="s">
        <v>91</v>
      </c>
      <c r="D828" t="s">
        <v>5</v>
      </c>
      <c r="E828" s="1">
        <v>43171.914039351854</v>
      </c>
    </row>
    <row r="829" spans="1:5">
      <c r="A829">
        <v>8806</v>
      </c>
      <c r="B829" t="s">
        <v>96</v>
      </c>
      <c r="C829" t="s">
        <v>91</v>
      </c>
      <c r="D829" t="s">
        <v>6</v>
      </c>
      <c r="E829" s="1">
        <v>43172.368321759262</v>
      </c>
    </row>
    <row r="830" spans="1:5">
      <c r="A830">
        <v>8823</v>
      </c>
      <c r="B830" t="s">
        <v>91</v>
      </c>
      <c r="C830" t="s">
        <v>91</v>
      </c>
      <c r="D830" t="s">
        <v>5</v>
      </c>
      <c r="E830" s="1">
        <v>43172.773449074077</v>
      </c>
    </row>
    <row r="831" spans="1:5">
      <c r="A831">
        <v>8845</v>
      </c>
      <c r="B831" t="s">
        <v>91</v>
      </c>
      <c r="C831" t="s">
        <v>91</v>
      </c>
      <c r="D831" t="s">
        <v>6</v>
      </c>
      <c r="E831" s="1">
        <v>43173.372731481482</v>
      </c>
    </row>
    <row r="832" spans="1:5">
      <c r="A832">
        <v>8869</v>
      </c>
      <c r="B832" t="s">
        <v>91</v>
      </c>
      <c r="C832" t="s">
        <v>91</v>
      </c>
      <c r="D832" t="s">
        <v>5</v>
      </c>
      <c r="E832" s="1">
        <v>43173.876458333332</v>
      </c>
    </row>
    <row r="833" spans="1:5">
      <c r="A833">
        <v>8881</v>
      </c>
      <c r="B833" t="s">
        <v>96</v>
      </c>
      <c r="C833" t="s">
        <v>91</v>
      </c>
      <c r="D833" t="s">
        <v>6</v>
      </c>
      <c r="E833" s="1">
        <v>43174.379340277781</v>
      </c>
    </row>
    <row r="834" spans="1:5">
      <c r="A834">
        <v>8895</v>
      </c>
      <c r="B834" t="s">
        <v>91</v>
      </c>
      <c r="C834" t="s">
        <v>91</v>
      </c>
      <c r="D834" t="s">
        <v>5</v>
      </c>
      <c r="E834" s="1">
        <v>43174.775312500002</v>
      </c>
    </row>
    <row r="835" spans="1:5">
      <c r="A835">
        <v>8916</v>
      </c>
      <c r="B835" t="s">
        <v>91</v>
      </c>
      <c r="C835" t="s">
        <v>91</v>
      </c>
      <c r="D835" t="s">
        <v>6</v>
      </c>
      <c r="E835" s="1">
        <v>43175.389456018522</v>
      </c>
    </row>
    <row r="836" spans="1:5">
      <c r="A836">
        <v>8941</v>
      </c>
      <c r="B836" t="s">
        <v>96</v>
      </c>
      <c r="C836" t="s">
        <v>91</v>
      </c>
      <c r="D836" t="s">
        <v>5</v>
      </c>
      <c r="E836" s="1">
        <v>43175.910613425927</v>
      </c>
    </row>
    <row r="837" spans="1:5">
      <c r="A837">
        <v>8950</v>
      </c>
      <c r="B837" t="s">
        <v>96</v>
      </c>
      <c r="C837" t="s">
        <v>91</v>
      </c>
      <c r="D837" t="s">
        <v>6</v>
      </c>
      <c r="E837" s="1">
        <v>43176.471851851849</v>
      </c>
    </row>
    <row r="838" spans="1:5">
      <c r="A838">
        <v>8972</v>
      </c>
      <c r="B838" t="s">
        <v>96</v>
      </c>
      <c r="C838" t="s">
        <v>91</v>
      </c>
      <c r="D838" t="s">
        <v>5</v>
      </c>
      <c r="E838" s="1">
        <v>43176.836921296293</v>
      </c>
    </row>
    <row r="839" spans="1:5">
      <c r="A839">
        <v>8977</v>
      </c>
      <c r="B839" t="s">
        <v>91</v>
      </c>
      <c r="C839" t="s">
        <v>91</v>
      </c>
      <c r="D839" t="s">
        <v>6</v>
      </c>
      <c r="E839" s="1">
        <v>43178.368078703701</v>
      </c>
    </row>
    <row r="840" spans="1:5">
      <c r="A840">
        <v>8992</v>
      </c>
      <c r="B840" t="s">
        <v>92</v>
      </c>
      <c r="C840" t="s">
        <v>91</v>
      </c>
      <c r="D840" t="s">
        <v>5</v>
      </c>
      <c r="E840" s="1">
        <v>43178.770011574074</v>
      </c>
    </row>
    <row r="841" spans="1:5">
      <c r="A841">
        <v>8993</v>
      </c>
      <c r="B841" t="s">
        <v>92</v>
      </c>
      <c r="C841" t="s">
        <v>91</v>
      </c>
      <c r="D841" t="s">
        <v>7</v>
      </c>
      <c r="E841" s="1">
        <v>43178.770069444443</v>
      </c>
    </row>
    <row r="842" spans="1:5">
      <c r="A842">
        <v>9004</v>
      </c>
      <c r="B842" t="s">
        <v>91</v>
      </c>
      <c r="C842" t="s">
        <v>91</v>
      </c>
      <c r="D842" t="s">
        <v>8</v>
      </c>
      <c r="E842" s="1">
        <v>43178.868437500001</v>
      </c>
    </row>
    <row r="843" spans="1:5">
      <c r="A843">
        <v>9017</v>
      </c>
      <c r="B843" t="s">
        <v>91</v>
      </c>
      <c r="C843" t="s">
        <v>91</v>
      </c>
      <c r="D843" t="s">
        <v>6</v>
      </c>
      <c r="E843" s="1">
        <v>43179.37332175926</v>
      </c>
    </row>
    <row r="844" spans="1:5">
      <c r="A844">
        <v>9021</v>
      </c>
      <c r="B844" t="s">
        <v>96</v>
      </c>
      <c r="C844" t="s">
        <v>91</v>
      </c>
      <c r="D844" t="s">
        <v>5</v>
      </c>
      <c r="E844" s="1">
        <v>43179.76152777778</v>
      </c>
    </row>
    <row r="845" spans="1:5">
      <c r="A845">
        <v>9054</v>
      </c>
      <c r="B845" t="s">
        <v>96</v>
      </c>
      <c r="C845" t="s">
        <v>91</v>
      </c>
      <c r="D845" t="s">
        <v>6</v>
      </c>
      <c r="E845" s="1">
        <v>43180.375254629631</v>
      </c>
    </row>
    <row r="846" spans="1:5">
      <c r="A846">
        <v>9071</v>
      </c>
      <c r="B846" t="s">
        <v>91</v>
      </c>
      <c r="C846" t="s">
        <v>91</v>
      </c>
      <c r="D846" t="s">
        <v>5</v>
      </c>
      <c r="E846" s="1">
        <v>43180.79347222222</v>
      </c>
    </row>
    <row r="847" spans="1:5">
      <c r="A847">
        <v>9075</v>
      </c>
      <c r="B847" t="s">
        <v>92</v>
      </c>
      <c r="C847" t="s">
        <v>91</v>
      </c>
      <c r="D847" t="s">
        <v>7</v>
      </c>
      <c r="E847" s="1">
        <v>43180.817465277774</v>
      </c>
    </row>
    <row r="848" spans="1:5">
      <c r="A848">
        <v>9080</v>
      </c>
      <c r="B848" t="s">
        <v>92</v>
      </c>
      <c r="C848" t="s">
        <v>91</v>
      </c>
      <c r="D848" t="s">
        <v>8</v>
      </c>
      <c r="E848" s="1">
        <v>43180.893796296295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E854"/>
  <sheetViews>
    <sheetView tabSelected="1" workbookViewId="0">
      <selection activeCell="H18" sqref="H18"/>
    </sheetView>
  </sheetViews>
  <sheetFormatPr baseColWidth="10" defaultColWidth="8.83203125" defaultRowHeight="15"/>
  <cols>
    <col min="5" max="5" width="18.1640625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8810</v>
      </c>
      <c r="B2" t="s">
        <v>43</v>
      </c>
      <c r="C2" t="s">
        <v>43</v>
      </c>
      <c r="D2" t="s">
        <v>6</v>
      </c>
      <c r="E2" s="1">
        <v>43172.623773148145</v>
      </c>
    </row>
    <row r="3" spans="1:5">
      <c r="A3">
        <v>8827</v>
      </c>
      <c r="B3" t="s">
        <v>43</v>
      </c>
      <c r="C3" t="s">
        <v>43</v>
      </c>
      <c r="D3" t="s">
        <v>5</v>
      </c>
      <c r="E3" s="1">
        <v>43172.79277777778</v>
      </c>
    </row>
    <row r="4" spans="1:5">
      <c r="A4">
        <v>8846</v>
      </c>
      <c r="B4" t="s">
        <v>43</v>
      </c>
      <c r="C4" t="s">
        <v>43</v>
      </c>
      <c r="D4" t="s">
        <v>6</v>
      </c>
      <c r="E4" s="1">
        <v>43173.467245370368</v>
      </c>
    </row>
    <row r="5" spans="1:5" s="2" customFormat="1">
      <c r="A5" s="2">
        <v>8898</v>
      </c>
      <c r="B5" s="2" t="s">
        <v>43</v>
      </c>
      <c r="C5" s="2" t="s">
        <v>43</v>
      </c>
      <c r="D5" s="2" t="s">
        <v>5</v>
      </c>
      <c r="E5" s="405">
        <v>43173.771180555559</v>
      </c>
    </row>
    <row r="6" spans="1:5">
      <c r="A6">
        <v>8882</v>
      </c>
      <c r="B6" t="s">
        <v>43</v>
      </c>
      <c r="C6" t="s">
        <v>43</v>
      </c>
      <c r="D6" t="s">
        <v>6</v>
      </c>
      <c r="E6" s="1">
        <v>43174.434930555559</v>
      </c>
    </row>
    <row r="7" spans="1:5">
      <c r="A7">
        <v>8898</v>
      </c>
      <c r="B7" t="s">
        <v>43</v>
      </c>
      <c r="C7" t="s">
        <v>43</v>
      </c>
      <c r="D7" t="s">
        <v>5</v>
      </c>
      <c r="E7" s="1">
        <v>43174.823263888888</v>
      </c>
    </row>
    <row r="8" spans="1:5">
      <c r="A8">
        <v>9018</v>
      </c>
      <c r="B8" t="s">
        <v>98</v>
      </c>
      <c r="C8" t="s">
        <v>43</v>
      </c>
      <c r="D8" t="s">
        <v>6</v>
      </c>
      <c r="E8" s="1">
        <v>43179.422511574077</v>
      </c>
    </row>
    <row r="9" spans="1:5">
      <c r="A9">
        <v>9033</v>
      </c>
      <c r="B9" t="s">
        <v>43</v>
      </c>
      <c r="C9" t="s">
        <v>43</v>
      </c>
      <c r="D9" t="s">
        <v>5</v>
      </c>
      <c r="E9" s="1">
        <v>43179.773518518516</v>
      </c>
    </row>
    <row r="10" spans="1:5">
      <c r="A10">
        <v>9055</v>
      </c>
      <c r="B10" t="s">
        <v>43</v>
      </c>
      <c r="C10" t="s">
        <v>43</v>
      </c>
      <c r="D10" t="s">
        <v>6</v>
      </c>
      <c r="E10" s="1">
        <v>43180.390474537038</v>
      </c>
    </row>
    <row r="11" spans="1:5">
      <c r="A11">
        <v>9079</v>
      </c>
      <c r="B11" t="s">
        <v>43</v>
      </c>
      <c r="C11" t="s">
        <v>43</v>
      </c>
      <c r="D11" t="s">
        <v>5</v>
      </c>
      <c r="E11" s="1">
        <v>43180.888749999998</v>
      </c>
    </row>
    <row r="12" spans="1:5" s="2" customFormat="1">
      <c r="A12" s="2">
        <v>9055</v>
      </c>
      <c r="B12" s="2" t="s">
        <v>43</v>
      </c>
      <c r="C12" s="2" t="s">
        <v>43</v>
      </c>
      <c r="D12" s="2" t="s">
        <v>6</v>
      </c>
      <c r="E12" s="405">
        <v>43181.416863425926</v>
      </c>
    </row>
    <row r="13" spans="1:5" s="2" customFormat="1">
      <c r="A13" s="2">
        <v>9079</v>
      </c>
      <c r="B13" s="2" t="s">
        <v>43</v>
      </c>
      <c r="C13" s="2" t="s">
        <v>43</v>
      </c>
      <c r="D13" s="2" t="s">
        <v>5</v>
      </c>
      <c r="E13" s="405">
        <v>43181.667222222219</v>
      </c>
    </row>
    <row r="14" spans="1:5">
      <c r="A14">
        <v>9170</v>
      </c>
      <c r="B14" t="s">
        <v>43</v>
      </c>
      <c r="C14" t="s">
        <v>43</v>
      </c>
      <c r="D14" t="s">
        <v>6</v>
      </c>
      <c r="E14" s="1">
        <v>43186.39571759259</v>
      </c>
    </row>
    <row r="15" spans="1:5">
      <c r="A15">
        <v>9181</v>
      </c>
      <c r="B15" t="s">
        <v>43</v>
      </c>
      <c r="C15" t="s">
        <v>43</v>
      </c>
      <c r="D15" t="s">
        <v>5</v>
      </c>
      <c r="E15" s="1">
        <v>43186.785081018519</v>
      </c>
    </row>
    <row r="16" spans="1:5">
      <c r="A16">
        <v>9199</v>
      </c>
      <c r="B16" t="s">
        <v>43</v>
      </c>
      <c r="C16" t="s">
        <v>43</v>
      </c>
      <c r="D16" t="s">
        <v>6</v>
      </c>
      <c r="E16" s="1">
        <v>43187.415520833332</v>
      </c>
    </row>
    <row r="17" spans="1:5">
      <c r="A17">
        <v>9213</v>
      </c>
      <c r="B17" t="s">
        <v>43</v>
      </c>
      <c r="C17" t="s">
        <v>43</v>
      </c>
      <c r="D17" t="s">
        <v>5</v>
      </c>
      <c r="E17" s="1">
        <v>43187.771597222221</v>
      </c>
    </row>
    <row r="18" spans="1:5">
      <c r="A18">
        <v>9214</v>
      </c>
      <c r="B18" t="s">
        <v>43</v>
      </c>
      <c r="C18" t="s">
        <v>43</v>
      </c>
      <c r="D18" t="s">
        <v>7</v>
      </c>
      <c r="E18" s="1">
        <v>43187.771701388891</v>
      </c>
    </row>
    <row r="19" spans="1:5">
      <c r="A19">
        <v>9220</v>
      </c>
      <c r="B19" t="s">
        <v>43</v>
      </c>
      <c r="C19" t="s">
        <v>43</v>
      </c>
      <c r="D19" t="s">
        <v>8</v>
      </c>
      <c r="E19" s="1">
        <v>43187.849131944444</v>
      </c>
    </row>
    <row r="20" spans="1:5">
      <c r="A20">
        <v>9236</v>
      </c>
      <c r="B20" t="s">
        <v>43</v>
      </c>
      <c r="C20" t="s">
        <v>43</v>
      </c>
      <c r="D20" t="s">
        <v>6</v>
      </c>
      <c r="E20" s="1">
        <v>43188.416863425926</v>
      </c>
    </row>
    <row r="21" spans="1:5" s="2" customFormat="1">
      <c r="A21" s="2">
        <v>9213</v>
      </c>
      <c r="B21" s="2" t="s">
        <v>43</v>
      </c>
      <c r="C21" s="2" t="s">
        <v>43</v>
      </c>
      <c r="D21" s="2" t="s">
        <v>5</v>
      </c>
      <c r="E21" s="405">
        <v>43188.771597222221</v>
      </c>
    </row>
    <row r="22" spans="1:5" s="2" customFormat="1">
      <c r="A22" s="2">
        <v>9214</v>
      </c>
      <c r="B22" s="2" t="s">
        <v>43</v>
      </c>
      <c r="C22" s="2" t="s">
        <v>43</v>
      </c>
      <c r="D22" s="2" t="s">
        <v>7</v>
      </c>
      <c r="E22" s="405">
        <v>43188.771701388891</v>
      </c>
    </row>
    <row r="23" spans="1:5">
      <c r="A23">
        <v>9254</v>
      </c>
      <c r="B23" t="s">
        <v>43</v>
      </c>
      <c r="C23" t="s">
        <v>43</v>
      </c>
      <c r="D23" t="s">
        <v>8</v>
      </c>
      <c r="E23" s="1">
        <v>43188.81753472222</v>
      </c>
    </row>
    <row r="24" spans="1:5">
      <c r="A24">
        <v>9292</v>
      </c>
      <c r="B24" t="s">
        <v>43</v>
      </c>
      <c r="C24" t="s">
        <v>43</v>
      </c>
      <c r="D24" t="s">
        <v>6</v>
      </c>
      <c r="E24" s="1">
        <v>43190.411076388889</v>
      </c>
    </row>
    <row r="25" spans="1:5">
      <c r="A25">
        <v>9302</v>
      </c>
      <c r="B25" t="s">
        <v>43</v>
      </c>
      <c r="C25" t="s">
        <v>43</v>
      </c>
      <c r="D25" t="s">
        <v>5</v>
      </c>
      <c r="E25" s="1">
        <v>43190.776030092595</v>
      </c>
    </row>
    <row r="26" spans="1:5">
      <c r="A26">
        <v>8499</v>
      </c>
      <c r="B26" t="s">
        <v>9</v>
      </c>
      <c r="C26" t="s">
        <v>9</v>
      </c>
      <c r="D26" t="s">
        <v>6</v>
      </c>
      <c r="E26" s="1">
        <v>43160.725474537037</v>
      </c>
    </row>
    <row r="27" spans="1:5">
      <c r="A27">
        <v>8512</v>
      </c>
      <c r="B27" t="s">
        <v>9</v>
      </c>
      <c r="C27" t="s">
        <v>9</v>
      </c>
      <c r="D27" t="s">
        <v>5</v>
      </c>
      <c r="E27" s="1">
        <v>43160.787256944444</v>
      </c>
    </row>
    <row r="28" spans="1:5">
      <c r="A28">
        <v>8522</v>
      </c>
      <c r="B28" t="s">
        <v>9</v>
      </c>
      <c r="C28" t="s">
        <v>9</v>
      </c>
      <c r="D28" t="s">
        <v>6</v>
      </c>
      <c r="E28" s="1">
        <v>43161.363958333335</v>
      </c>
    </row>
    <row r="29" spans="1:5">
      <c r="A29">
        <v>8532</v>
      </c>
      <c r="B29" t="s">
        <v>9</v>
      </c>
      <c r="C29" t="s">
        <v>9</v>
      </c>
      <c r="D29" t="s">
        <v>5</v>
      </c>
      <c r="E29" s="1">
        <v>43161.517256944448</v>
      </c>
    </row>
    <row r="30" spans="1:5">
      <c r="A30">
        <v>8533</v>
      </c>
      <c r="B30" t="s">
        <v>9</v>
      </c>
      <c r="C30" t="s">
        <v>9</v>
      </c>
      <c r="D30" t="s">
        <v>6</v>
      </c>
      <c r="E30" s="1">
        <v>43161.679837962962</v>
      </c>
    </row>
    <row r="31" spans="1:5">
      <c r="A31">
        <v>8534</v>
      </c>
      <c r="B31" t="s">
        <v>9</v>
      </c>
      <c r="C31" t="s">
        <v>9</v>
      </c>
      <c r="D31" t="s">
        <v>5</v>
      </c>
      <c r="E31" s="1">
        <v>43161.759039351855</v>
      </c>
    </row>
    <row r="32" spans="1:5">
      <c r="A32">
        <v>8565</v>
      </c>
      <c r="B32" t="s">
        <v>93</v>
      </c>
      <c r="C32" t="s">
        <v>9</v>
      </c>
      <c r="D32" t="s">
        <v>6</v>
      </c>
      <c r="E32" s="1">
        <v>43164.373113425929</v>
      </c>
    </row>
    <row r="33" spans="1:5">
      <c r="A33">
        <v>8570</v>
      </c>
      <c r="B33" t="s">
        <v>9</v>
      </c>
      <c r="C33" t="s">
        <v>9</v>
      </c>
      <c r="D33" t="s">
        <v>5</v>
      </c>
      <c r="E33" s="1">
        <v>43164.71471064815</v>
      </c>
    </row>
    <row r="34" spans="1:5">
      <c r="A34">
        <v>8600</v>
      </c>
      <c r="B34" t="s">
        <v>9</v>
      </c>
      <c r="C34" t="s">
        <v>9</v>
      </c>
      <c r="D34" t="s">
        <v>6</v>
      </c>
      <c r="E34" s="1">
        <v>43165.369710648149</v>
      </c>
    </row>
    <row r="35" spans="1:5">
      <c r="A35">
        <v>8604</v>
      </c>
      <c r="B35" t="s">
        <v>9</v>
      </c>
      <c r="C35" t="s">
        <v>9</v>
      </c>
      <c r="D35" t="s">
        <v>5</v>
      </c>
      <c r="E35" s="1">
        <v>43165.750092592592</v>
      </c>
    </row>
    <row r="36" spans="1:5">
      <c r="A36">
        <v>8632</v>
      </c>
      <c r="B36" t="s">
        <v>9</v>
      </c>
      <c r="C36" t="s">
        <v>9</v>
      </c>
      <c r="D36" t="s">
        <v>6</v>
      </c>
      <c r="E36" s="1">
        <v>43166.369409722225</v>
      </c>
    </row>
    <row r="37" spans="1:5">
      <c r="A37">
        <v>8639</v>
      </c>
      <c r="B37" t="s">
        <v>9</v>
      </c>
      <c r="C37" t="s">
        <v>9</v>
      </c>
      <c r="D37" t="s">
        <v>5</v>
      </c>
      <c r="E37" s="1">
        <v>43166.719189814816</v>
      </c>
    </row>
    <row r="38" spans="1:5">
      <c r="A38">
        <v>8666</v>
      </c>
      <c r="B38" t="s">
        <v>9</v>
      </c>
      <c r="C38" t="s">
        <v>9</v>
      </c>
      <c r="D38" t="s">
        <v>6</v>
      </c>
      <c r="E38" s="1">
        <v>43167.368275462963</v>
      </c>
    </row>
    <row r="39" spans="1:5">
      <c r="A39">
        <v>8673</v>
      </c>
      <c r="B39" t="s">
        <v>9</v>
      </c>
      <c r="C39" t="s">
        <v>9</v>
      </c>
      <c r="D39" t="s">
        <v>5</v>
      </c>
      <c r="E39" s="1">
        <v>43167.765798611108</v>
      </c>
    </row>
    <row r="40" spans="1:5">
      <c r="A40">
        <v>8694</v>
      </c>
      <c r="B40" t="s">
        <v>93</v>
      </c>
      <c r="C40" t="s">
        <v>9</v>
      </c>
      <c r="D40" t="s">
        <v>6</v>
      </c>
      <c r="E40" s="1">
        <v>43168.363437499997</v>
      </c>
    </row>
    <row r="41" spans="1:5">
      <c r="A41">
        <v>8706</v>
      </c>
      <c r="B41" t="s">
        <v>9</v>
      </c>
      <c r="C41" t="s">
        <v>9</v>
      </c>
      <c r="D41" t="s">
        <v>5</v>
      </c>
      <c r="E41" s="1">
        <v>43168.767951388887</v>
      </c>
    </row>
    <row r="42" spans="1:5" s="406" customFormat="1">
      <c r="A42" s="406">
        <v>8728</v>
      </c>
      <c r="B42" s="406" t="s">
        <v>9</v>
      </c>
      <c r="C42" s="406" t="s">
        <v>9</v>
      </c>
      <c r="D42" s="406" t="s">
        <v>108</v>
      </c>
      <c r="E42" s="390">
        <v>43170.37572916667</v>
      </c>
    </row>
    <row r="43" spans="1:5">
      <c r="A43">
        <v>8734</v>
      </c>
      <c r="B43" t="s">
        <v>9</v>
      </c>
      <c r="C43" t="s">
        <v>9</v>
      </c>
      <c r="D43" t="s">
        <v>8</v>
      </c>
      <c r="E43" s="1">
        <v>43170.546168981484</v>
      </c>
    </row>
    <row r="44" spans="1:5">
      <c r="A44">
        <v>8767</v>
      </c>
      <c r="B44" t="s">
        <v>9</v>
      </c>
      <c r="C44" t="s">
        <v>9</v>
      </c>
      <c r="D44" t="s">
        <v>6</v>
      </c>
      <c r="E44" s="1">
        <v>43171.370196759257</v>
      </c>
    </row>
    <row r="45" spans="1:5">
      <c r="A45">
        <v>8773</v>
      </c>
      <c r="B45" t="s">
        <v>9</v>
      </c>
      <c r="C45" t="s">
        <v>9</v>
      </c>
      <c r="D45" t="s">
        <v>5</v>
      </c>
      <c r="E45" s="1">
        <v>43171.719606481478</v>
      </c>
    </row>
    <row r="46" spans="1:5">
      <c r="A46">
        <v>8801</v>
      </c>
      <c r="B46" t="s">
        <v>9</v>
      </c>
      <c r="C46" t="s">
        <v>9</v>
      </c>
      <c r="D46" t="s">
        <v>6</v>
      </c>
      <c r="E46" s="1">
        <v>43172.361921296295</v>
      </c>
    </row>
    <row r="47" spans="1:5">
      <c r="A47">
        <v>8811</v>
      </c>
      <c r="B47" t="s">
        <v>9</v>
      </c>
      <c r="C47" t="s">
        <v>9</v>
      </c>
      <c r="D47" t="s">
        <v>5</v>
      </c>
      <c r="E47" s="1">
        <v>43172.714143518519</v>
      </c>
    </row>
    <row r="48" spans="1:5">
      <c r="A48">
        <v>8839</v>
      </c>
      <c r="B48" t="s">
        <v>9</v>
      </c>
      <c r="C48" t="s">
        <v>9</v>
      </c>
      <c r="D48" t="s">
        <v>6</v>
      </c>
      <c r="E48" s="1">
        <v>43173.36383101852</v>
      </c>
    </row>
    <row r="49" spans="1:5">
      <c r="A49">
        <v>8847</v>
      </c>
      <c r="B49" t="s">
        <v>9</v>
      </c>
      <c r="C49" t="s">
        <v>9</v>
      </c>
      <c r="D49" t="s">
        <v>5</v>
      </c>
      <c r="E49" s="1">
        <v>43173.714131944442</v>
      </c>
    </row>
    <row r="50" spans="1:5">
      <c r="A50">
        <v>8874</v>
      </c>
      <c r="B50" t="s">
        <v>93</v>
      </c>
      <c r="C50" t="s">
        <v>9</v>
      </c>
      <c r="D50" t="s">
        <v>6</v>
      </c>
      <c r="E50" s="1">
        <v>43174.363240740742</v>
      </c>
    </row>
    <row r="51" spans="1:5">
      <c r="A51">
        <v>8886</v>
      </c>
      <c r="B51" t="s">
        <v>9</v>
      </c>
      <c r="C51" t="s">
        <v>9</v>
      </c>
      <c r="D51" t="s">
        <v>5</v>
      </c>
      <c r="E51" s="1">
        <v>43174.768576388888</v>
      </c>
    </row>
    <row r="52" spans="1:5">
      <c r="A52">
        <v>8912</v>
      </c>
      <c r="B52" t="s">
        <v>9</v>
      </c>
      <c r="C52" t="s">
        <v>9</v>
      </c>
      <c r="D52" t="s">
        <v>6</v>
      </c>
      <c r="E52" s="1">
        <v>43175.365243055552</v>
      </c>
    </row>
    <row r="53" spans="1:5">
      <c r="A53">
        <v>8919</v>
      </c>
      <c r="B53" t="s">
        <v>9</v>
      </c>
      <c r="C53" t="s">
        <v>9</v>
      </c>
      <c r="D53" t="s">
        <v>5</v>
      </c>
      <c r="E53" s="1">
        <v>43175.76494212963</v>
      </c>
    </row>
    <row r="54" spans="1:5">
      <c r="A54">
        <v>8924</v>
      </c>
      <c r="B54" t="s">
        <v>9</v>
      </c>
      <c r="C54" t="s">
        <v>9</v>
      </c>
      <c r="D54" t="s">
        <v>7</v>
      </c>
      <c r="E54" s="1">
        <v>43175.771273148152</v>
      </c>
    </row>
    <row r="55" spans="1:5">
      <c r="A55">
        <v>8935</v>
      </c>
      <c r="B55" t="s">
        <v>9</v>
      </c>
      <c r="C55" t="s">
        <v>9</v>
      </c>
      <c r="D55" t="s">
        <v>8</v>
      </c>
      <c r="E55" s="1">
        <v>43175.814016203702</v>
      </c>
    </row>
    <row r="56" spans="1:5" s="2" customFormat="1">
      <c r="A56" s="2">
        <v>9010</v>
      </c>
      <c r="B56" s="2" t="s">
        <v>9</v>
      </c>
      <c r="C56" s="2" t="s">
        <v>9</v>
      </c>
      <c r="D56" s="2" t="s">
        <v>6</v>
      </c>
      <c r="E56" s="405">
        <v>43178.354710648149</v>
      </c>
    </row>
    <row r="57" spans="1:5" s="2" customFormat="1">
      <c r="A57" s="2">
        <v>9019</v>
      </c>
      <c r="B57" s="2" t="s">
        <v>9</v>
      </c>
      <c r="C57" s="2" t="s">
        <v>9</v>
      </c>
      <c r="D57" s="2" t="s">
        <v>5</v>
      </c>
      <c r="E57" s="405">
        <v>43178.750208333331</v>
      </c>
    </row>
    <row r="58" spans="1:5">
      <c r="A58">
        <v>9010</v>
      </c>
      <c r="B58" t="s">
        <v>9</v>
      </c>
      <c r="C58" t="s">
        <v>9</v>
      </c>
      <c r="D58" t="s">
        <v>6</v>
      </c>
      <c r="E58" s="1">
        <v>43179.362349537034</v>
      </c>
    </row>
    <row r="59" spans="1:5">
      <c r="A59">
        <v>9019</v>
      </c>
      <c r="B59" t="s">
        <v>9</v>
      </c>
      <c r="C59" t="s">
        <v>9</v>
      </c>
      <c r="D59" t="s">
        <v>5</v>
      </c>
      <c r="E59" s="1">
        <v>43179.718958333331</v>
      </c>
    </row>
    <row r="60" spans="1:5">
      <c r="A60">
        <v>9049</v>
      </c>
      <c r="B60" t="s">
        <v>9</v>
      </c>
      <c r="C60" t="s">
        <v>9</v>
      </c>
      <c r="D60" t="s">
        <v>6</v>
      </c>
      <c r="E60" s="1">
        <v>43180.367094907408</v>
      </c>
    </row>
    <row r="61" spans="1:5">
      <c r="A61">
        <v>9057</v>
      </c>
      <c r="B61" t="s">
        <v>9</v>
      </c>
      <c r="C61" t="s">
        <v>9</v>
      </c>
      <c r="D61" t="s">
        <v>5</v>
      </c>
      <c r="E61" s="1">
        <v>43180.714965277781</v>
      </c>
    </row>
    <row r="62" spans="1:5">
      <c r="A62">
        <v>9089</v>
      </c>
      <c r="B62" t="s">
        <v>9</v>
      </c>
      <c r="C62" t="s">
        <v>9</v>
      </c>
      <c r="D62" t="s">
        <v>6</v>
      </c>
      <c r="E62" s="1">
        <v>43181.372604166667</v>
      </c>
    </row>
    <row r="63" spans="1:5">
      <c r="A63">
        <v>9091</v>
      </c>
      <c r="B63" t="s">
        <v>93</v>
      </c>
      <c r="C63" t="s">
        <v>9</v>
      </c>
      <c r="D63" t="s">
        <v>5</v>
      </c>
      <c r="E63" s="1">
        <v>43181.584687499999</v>
      </c>
    </row>
    <row r="64" spans="1:5">
      <c r="A64">
        <v>9120</v>
      </c>
      <c r="B64" t="s">
        <v>9</v>
      </c>
      <c r="C64" t="s">
        <v>9</v>
      </c>
      <c r="D64" t="s">
        <v>6</v>
      </c>
      <c r="E64" s="1">
        <v>43182.364606481482</v>
      </c>
    </row>
    <row r="65" spans="1:5">
      <c r="A65">
        <v>9133</v>
      </c>
      <c r="B65" t="s">
        <v>93</v>
      </c>
      <c r="C65" t="s">
        <v>9</v>
      </c>
      <c r="D65" t="s">
        <v>5</v>
      </c>
      <c r="E65" s="1">
        <v>43182.773877314816</v>
      </c>
    </row>
    <row r="66" spans="1:5">
      <c r="A66">
        <v>9138</v>
      </c>
      <c r="B66" t="s">
        <v>9</v>
      </c>
      <c r="C66" t="s">
        <v>9</v>
      </c>
      <c r="D66" t="s">
        <v>6</v>
      </c>
      <c r="E66" s="1">
        <v>43185.360289351855</v>
      </c>
    </row>
    <row r="67" spans="1:5">
      <c r="A67">
        <v>9146</v>
      </c>
      <c r="B67" t="s">
        <v>9</v>
      </c>
      <c r="C67" t="s">
        <v>9</v>
      </c>
      <c r="D67" t="s">
        <v>5</v>
      </c>
      <c r="E67" s="1">
        <v>43185.723333333335</v>
      </c>
    </row>
    <row r="68" spans="1:5" s="2" customFormat="1">
      <c r="A68" s="2">
        <v>9010</v>
      </c>
      <c r="B68" s="2" t="s">
        <v>9</v>
      </c>
      <c r="C68" s="2" t="s">
        <v>9</v>
      </c>
      <c r="D68" s="2" t="s">
        <v>6</v>
      </c>
      <c r="E68" s="405">
        <v>43186.354710648149</v>
      </c>
    </row>
    <row r="69" spans="1:5" s="2" customFormat="1">
      <c r="A69" s="2">
        <v>9019</v>
      </c>
      <c r="B69" s="2" t="s">
        <v>9</v>
      </c>
      <c r="C69" s="2" t="s">
        <v>9</v>
      </c>
      <c r="D69" s="2" t="s">
        <v>5</v>
      </c>
      <c r="E69" s="405">
        <v>43186.750208333331</v>
      </c>
    </row>
    <row r="70" spans="1:5">
      <c r="A70">
        <v>9193</v>
      </c>
      <c r="B70" t="s">
        <v>9</v>
      </c>
      <c r="C70" t="s">
        <v>9</v>
      </c>
      <c r="D70" t="s">
        <v>6</v>
      </c>
      <c r="E70" s="1">
        <v>43187.363703703704</v>
      </c>
    </row>
    <row r="71" spans="1:5">
      <c r="A71">
        <v>9201</v>
      </c>
      <c r="B71" t="s">
        <v>9</v>
      </c>
      <c r="C71" t="s">
        <v>9</v>
      </c>
      <c r="D71" t="s">
        <v>5</v>
      </c>
      <c r="E71" s="1">
        <v>43187.717395833337</v>
      </c>
    </row>
    <row r="72" spans="1:5">
      <c r="A72">
        <v>9234</v>
      </c>
      <c r="B72" t="s">
        <v>9</v>
      </c>
      <c r="C72" t="s">
        <v>9</v>
      </c>
      <c r="D72" t="s">
        <v>6</v>
      </c>
      <c r="E72" s="1">
        <v>43188.372164351851</v>
      </c>
    </row>
    <row r="73" spans="1:5">
      <c r="A73">
        <v>9240</v>
      </c>
      <c r="B73" t="s">
        <v>9</v>
      </c>
      <c r="C73" t="s">
        <v>9</v>
      </c>
      <c r="D73" t="s">
        <v>5</v>
      </c>
      <c r="E73" s="1">
        <v>43188.771134259259</v>
      </c>
    </row>
    <row r="74" spans="1:5">
      <c r="A74">
        <v>9263</v>
      </c>
      <c r="B74" t="s">
        <v>9</v>
      </c>
      <c r="C74" t="s">
        <v>9</v>
      </c>
      <c r="D74" t="s">
        <v>6</v>
      </c>
      <c r="E74" s="1">
        <v>43189.364768518521</v>
      </c>
    </row>
    <row r="75" spans="1:5">
      <c r="A75">
        <v>9271</v>
      </c>
      <c r="B75" t="s">
        <v>9</v>
      </c>
      <c r="C75" t="s">
        <v>9</v>
      </c>
      <c r="D75" t="s">
        <v>5</v>
      </c>
      <c r="E75" s="1">
        <v>43189.771423611113</v>
      </c>
    </row>
    <row r="76" spans="1:5">
      <c r="A76">
        <v>9272</v>
      </c>
      <c r="B76" t="s">
        <v>9</v>
      </c>
      <c r="C76" t="s">
        <v>9</v>
      </c>
      <c r="D76" t="s">
        <v>7</v>
      </c>
      <c r="E76" s="1">
        <v>43189.771458333336</v>
      </c>
    </row>
    <row r="77" spans="1:5">
      <c r="A77">
        <v>9279</v>
      </c>
      <c r="B77" t="s">
        <v>9</v>
      </c>
      <c r="C77" t="s">
        <v>9</v>
      </c>
      <c r="D77" t="s">
        <v>8</v>
      </c>
      <c r="E77" s="1">
        <v>43189.783275462964</v>
      </c>
    </row>
    <row r="78" spans="1:5">
      <c r="A78">
        <v>9290</v>
      </c>
      <c r="B78" t="s">
        <v>9</v>
      </c>
      <c r="C78" t="s">
        <v>9</v>
      </c>
      <c r="D78" t="s">
        <v>6</v>
      </c>
      <c r="E78" s="1">
        <v>43190.370393518519</v>
      </c>
    </row>
    <row r="79" spans="1:5">
      <c r="A79">
        <v>9295</v>
      </c>
      <c r="B79" t="s">
        <v>9</v>
      </c>
      <c r="C79" t="s">
        <v>9</v>
      </c>
      <c r="D79" t="s">
        <v>5</v>
      </c>
      <c r="E79" s="1">
        <v>43190.767708333333</v>
      </c>
    </row>
    <row r="80" spans="1:5">
      <c r="A80">
        <v>9300</v>
      </c>
      <c r="B80" t="s">
        <v>9</v>
      </c>
      <c r="C80" t="s">
        <v>9</v>
      </c>
      <c r="D80" t="s">
        <v>7</v>
      </c>
      <c r="E80" s="1">
        <v>43190.771620370368</v>
      </c>
    </row>
    <row r="81" spans="1:5">
      <c r="A81">
        <v>9310</v>
      </c>
      <c r="B81" t="s">
        <v>9</v>
      </c>
      <c r="C81" t="s">
        <v>9</v>
      </c>
      <c r="D81" t="s">
        <v>8</v>
      </c>
      <c r="E81" s="1">
        <v>43190.946331018517</v>
      </c>
    </row>
    <row r="82" spans="1:5" s="406" customFormat="1">
      <c r="A82" s="406">
        <v>9223</v>
      </c>
      <c r="B82" s="406" t="s">
        <v>105</v>
      </c>
      <c r="C82" s="406" t="s">
        <v>105</v>
      </c>
      <c r="D82" s="406" t="s">
        <v>6</v>
      </c>
      <c r="E82" s="390">
        <v>43174.583807870367</v>
      </c>
    </row>
    <row r="83" spans="1:5" s="406" customFormat="1">
      <c r="A83" s="406">
        <v>9223</v>
      </c>
      <c r="B83" s="406" t="s">
        <v>105</v>
      </c>
      <c r="C83" s="406" t="s">
        <v>105</v>
      </c>
      <c r="D83" s="406" t="s">
        <v>5</v>
      </c>
      <c r="E83" s="390">
        <v>43174.729548611111</v>
      </c>
    </row>
    <row r="84" spans="1:5" s="406" customFormat="1">
      <c r="A84" s="406">
        <v>9223</v>
      </c>
      <c r="B84" s="406" t="s">
        <v>105</v>
      </c>
      <c r="C84" s="406" t="s">
        <v>105</v>
      </c>
      <c r="D84" s="406" t="s">
        <v>6</v>
      </c>
      <c r="E84" s="390">
        <v>43187.417141203703</v>
      </c>
    </row>
    <row r="85" spans="1:5" s="406" customFormat="1">
      <c r="A85" s="406">
        <v>9223</v>
      </c>
      <c r="B85" s="406" t="s">
        <v>105</v>
      </c>
      <c r="C85" s="406" t="s">
        <v>105</v>
      </c>
      <c r="D85" s="406" t="s">
        <v>5</v>
      </c>
      <c r="E85" s="390">
        <v>43187.521215277775</v>
      </c>
    </row>
    <row r="86" spans="1:5">
      <c r="A86">
        <v>8495</v>
      </c>
      <c r="B86" t="s">
        <v>73</v>
      </c>
      <c r="C86" t="s">
        <v>73</v>
      </c>
      <c r="D86" t="s">
        <v>6</v>
      </c>
      <c r="E86" s="1">
        <v>43160.370567129627</v>
      </c>
    </row>
    <row r="87" spans="1:5">
      <c r="A87">
        <v>8501</v>
      </c>
      <c r="B87" t="s">
        <v>73</v>
      </c>
      <c r="C87" t="s">
        <v>73</v>
      </c>
      <c r="D87" t="s">
        <v>5</v>
      </c>
      <c r="E87" s="1">
        <v>43160.770902777775</v>
      </c>
    </row>
    <row r="88" spans="1:5">
      <c r="A88">
        <v>8503</v>
      </c>
      <c r="B88" t="s">
        <v>73</v>
      </c>
      <c r="C88" t="s">
        <v>73</v>
      </c>
      <c r="D88" t="s">
        <v>7</v>
      </c>
      <c r="E88" s="1">
        <v>43160.770983796298</v>
      </c>
    </row>
    <row r="89" spans="1:5">
      <c r="A89">
        <v>8515</v>
      </c>
      <c r="B89" t="s">
        <v>73</v>
      </c>
      <c r="C89" t="s">
        <v>73</v>
      </c>
      <c r="D89" t="s">
        <v>8</v>
      </c>
      <c r="E89" s="1">
        <v>43160.814201388886</v>
      </c>
    </row>
    <row r="90" spans="1:5">
      <c r="A90">
        <v>8528</v>
      </c>
      <c r="B90" t="s">
        <v>73</v>
      </c>
      <c r="C90" t="s">
        <v>73</v>
      </c>
      <c r="D90" t="s">
        <v>6</v>
      </c>
      <c r="E90" s="1">
        <v>43161.370648148149</v>
      </c>
    </row>
    <row r="91" spans="1:5">
      <c r="A91">
        <v>8501</v>
      </c>
      <c r="B91" t="s">
        <v>73</v>
      </c>
      <c r="C91" t="s">
        <v>73</v>
      </c>
      <c r="D91" t="s">
        <v>5</v>
      </c>
      <c r="E91" s="1">
        <v>43161.770902777775</v>
      </c>
    </row>
    <row r="92" spans="1:5">
      <c r="A92">
        <v>8503</v>
      </c>
      <c r="B92" t="s">
        <v>73</v>
      </c>
      <c r="C92" t="s">
        <v>73</v>
      </c>
      <c r="D92" t="s">
        <v>7</v>
      </c>
      <c r="E92" s="1">
        <v>43161.770983796298</v>
      </c>
    </row>
    <row r="93" spans="1:5">
      <c r="A93">
        <v>8543</v>
      </c>
      <c r="B93" t="s">
        <v>73</v>
      </c>
      <c r="C93" t="s">
        <v>73</v>
      </c>
      <c r="D93" t="s">
        <v>8</v>
      </c>
      <c r="E93" s="1">
        <v>43161.801782407405</v>
      </c>
    </row>
    <row r="94" spans="1:5">
      <c r="A94">
        <v>8564</v>
      </c>
      <c r="B94" t="s">
        <v>73</v>
      </c>
      <c r="C94" t="s">
        <v>73</v>
      </c>
      <c r="D94" t="s">
        <v>6</v>
      </c>
      <c r="E94" s="1">
        <v>43164.36991898148</v>
      </c>
    </row>
    <row r="95" spans="1:5">
      <c r="A95">
        <v>8579</v>
      </c>
      <c r="B95" t="s">
        <v>73</v>
      </c>
      <c r="C95" t="s">
        <v>73</v>
      </c>
      <c r="D95" t="s">
        <v>5</v>
      </c>
      <c r="E95" s="1">
        <v>43164.772824074076</v>
      </c>
    </row>
    <row r="96" spans="1:5">
      <c r="A96">
        <v>8580</v>
      </c>
      <c r="B96" t="s">
        <v>73</v>
      </c>
      <c r="C96" t="s">
        <v>73</v>
      </c>
      <c r="D96" t="s">
        <v>7</v>
      </c>
      <c r="E96" s="1">
        <v>43164.772986111115</v>
      </c>
    </row>
    <row r="97" spans="1:5">
      <c r="A97">
        <v>8585</v>
      </c>
      <c r="B97" t="s">
        <v>73</v>
      </c>
      <c r="C97" t="s">
        <v>73</v>
      </c>
      <c r="D97" t="s">
        <v>8</v>
      </c>
      <c r="E97" s="1">
        <v>43164.834791666668</v>
      </c>
    </row>
    <row r="98" spans="1:5">
      <c r="A98">
        <v>8598</v>
      </c>
      <c r="B98" t="s">
        <v>73</v>
      </c>
      <c r="C98" t="s">
        <v>73</v>
      </c>
      <c r="D98" t="s">
        <v>6</v>
      </c>
      <c r="E98" s="1">
        <v>43165.369328703702</v>
      </c>
    </row>
    <row r="99" spans="1:5">
      <c r="A99">
        <v>8608</v>
      </c>
      <c r="B99" t="s">
        <v>73</v>
      </c>
      <c r="C99" t="s">
        <v>73</v>
      </c>
      <c r="D99" t="s">
        <v>5</v>
      </c>
      <c r="E99" s="1">
        <v>43165.766770833332</v>
      </c>
    </row>
    <row r="100" spans="1:5">
      <c r="A100">
        <v>8618</v>
      </c>
      <c r="B100" t="s">
        <v>73</v>
      </c>
      <c r="C100" t="s">
        <v>73</v>
      </c>
      <c r="D100" t="s">
        <v>7</v>
      </c>
      <c r="E100" s="1">
        <v>43165.78702546296</v>
      </c>
    </row>
    <row r="101" spans="1:5">
      <c r="A101">
        <v>8620</v>
      </c>
      <c r="B101" t="s">
        <v>73</v>
      </c>
      <c r="C101" t="s">
        <v>73</v>
      </c>
      <c r="D101" t="s">
        <v>8</v>
      </c>
      <c r="E101" s="1">
        <v>43165.876226851855</v>
      </c>
    </row>
    <row r="102" spans="1:5">
      <c r="A102">
        <v>8633</v>
      </c>
      <c r="B102" t="s">
        <v>73</v>
      </c>
      <c r="C102" t="s">
        <v>73</v>
      </c>
      <c r="D102" t="s">
        <v>6</v>
      </c>
      <c r="E102" s="1">
        <v>43166.370625000003</v>
      </c>
    </row>
    <row r="103" spans="1:5">
      <c r="A103">
        <v>8642</v>
      </c>
      <c r="B103" t="s">
        <v>73</v>
      </c>
      <c r="C103" t="s">
        <v>73</v>
      </c>
      <c r="D103" t="s">
        <v>5</v>
      </c>
      <c r="E103" s="1">
        <v>43166.770324074074</v>
      </c>
    </row>
    <row r="104" spans="1:5">
      <c r="A104">
        <v>8643</v>
      </c>
      <c r="B104" t="s">
        <v>73</v>
      </c>
      <c r="C104" t="s">
        <v>73</v>
      </c>
      <c r="D104" t="s">
        <v>7</v>
      </c>
      <c r="E104" s="1">
        <v>43166.770335648151</v>
      </c>
    </row>
    <row r="105" spans="1:5">
      <c r="A105">
        <v>8657</v>
      </c>
      <c r="B105" t="s">
        <v>73</v>
      </c>
      <c r="C105" t="s">
        <v>73</v>
      </c>
      <c r="D105" t="s">
        <v>8</v>
      </c>
      <c r="E105" s="1">
        <v>43166.855914351851</v>
      </c>
    </row>
    <row r="106" spans="1:5">
      <c r="A106">
        <v>8671</v>
      </c>
      <c r="B106" t="s">
        <v>73</v>
      </c>
      <c r="C106" t="s">
        <v>73</v>
      </c>
      <c r="D106" t="s">
        <v>6</v>
      </c>
      <c r="E106" s="1">
        <v>43167.371261574073</v>
      </c>
    </row>
    <row r="107" spans="1:5">
      <c r="A107">
        <v>8677</v>
      </c>
      <c r="B107" t="s">
        <v>73</v>
      </c>
      <c r="C107" t="s">
        <v>73</v>
      </c>
      <c r="D107" t="s">
        <v>5</v>
      </c>
      <c r="E107" s="1">
        <v>43167.770868055559</v>
      </c>
    </row>
    <row r="108" spans="1:5">
      <c r="A108">
        <v>8685</v>
      </c>
      <c r="B108" t="s">
        <v>73</v>
      </c>
      <c r="C108" t="s">
        <v>73</v>
      </c>
      <c r="D108" t="s">
        <v>7</v>
      </c>
      <c r="E108" s="1">
        <v>43167.781597222223</v>
      </c>
    </row>
    <row r="109" spans="1:5">
      <c r="A109">
        <v>8686</v>
      </c>
      <c r="B109" t="s">
        <v>73</v>
      </c>
      <c r="C109" t="s">
        <v>73</v>
      </c>
      <c r="D109" t="s">
        <v>8</v>
      </c>
      <c r="E109" s="1">
        <v>43167.795949074076</v>
      </c>
    </row>
    <row r="110" spans="1:5">
      <c r="A110">
        <v>8700</v>
      </c>
      <c r="B110" t="s">
        <v>73</v>
      </c>
      <c r="C110" t="s">
        <v>73</v>
      </c>
      <c r="D110" t="s">
        <v>6</v>
      </c>
      <c r="E110" s="1">
        <v>43168.37295138889</v>
      </c>
    </row>
    <row r="111" spans="1:5">
      <c r="A111">
        <v>8709</v>
      </c>
      <c r="B111" t="s">
        <v>73</v>
      </c>
      <c r="C111" t="s">
        <v>73</v>
      </c>
      <c r="D111" t="s">
        <v>5</v>
      </c>
      <c r="E111" s="1">
        <v>43168.771168981482</v>
      </c>
    </row>
    <row r="112" spans="1:5">
      <c r="A112">
        <v>8769</v>
      </c>
      <c r="B112" t="s">
        <v>73</v>
      </c>
      <c r="C112" t="s">
        <v>73</v>
      </c>
      <c r="D112" t="s">
        <v>6</v>
      </c>
      <c r="E112" s="1">
        <v>43171.371828703705</v>
      </c>
    </row>
    <row r="113" spans="1:5">
      <c r="A113">
        <v>8780</v>
      </c>
      <c r="B113" t="s">
        <v>87</v>
      </c>
      <c r="C113" t="s">
        <v>73</v>
      </c>
      <c r="D113" t="s">
        <v>5</v>
      </c>
      <c r="E113" s="1">
        <v>43171.77070601852</v>
      </c>
    </row>
    <row r="114" spans="1:5">
      <c r="A114">
        <v>8789</v>
      </c>
      <c r="B114" t="s">
        <v>87</v>
      </c>
      <c r="C114" t="s">
        <v>73</v>
      </c>
      <c r="D114" t="s">
        <v>7</v>
      </c>
      <c r="E114" s="1">
        <v>43171.798321759263</v>
      </c>
    </row>
    <row r="115" spans="1:5">
      <c r="A115">
        <v>8794</v>
      </c>
      <c r="B115" t="s">
        <v>73</v>
      </c>
      <c r="C115" t="s">
        <v>73</v>
      </c>
      <c r="D115" t="s">
        <v>8</v>
      </c>
      <c r="E115" s="1">
        <v>43171.9062962963</v>
      </c>
    </row>
    <row r="116" spans="1:5">
      <c r="A116">
        <v>8808</v>
      </c>
      <c r="B116" t="s">
        <v>73</v>
      </c>
      <c r="C116" t="s">
        <v>73</v>
      </c>
      <c r="D116" t="s">
        <v>6</v>
      </c>
      <c r="E116" s="1">
        <v>43172.369884259257</v>
      </c>
    </row>
    <row r="117" spans="1:5">
      <c r="A117">
        <v>8816</v>
      </c>
      <c r="B117" t="s">
        <v>73</v>
      </c>
      <c r="C117" t="s">
        <v>73</v>
      </c>
      <c r="D117" t="s">
        <v>5</v>
      </c>
      <c r="E117" s="1">
        <v>43172.772013888891</v>
      </c>
    </row>
    <row r="118" spans="1:5">
      <c r="A118">
        <v>8824</v>
      </c>
      <c r="B118" t="s">
        <v>73</v>
      </c>
      <c r="C118" t="s">
        <v>73</v>
      </c>
      <c r="D118" t="s">
        <v>7</v>
      </c>
      <c r="E118" s="1">
        <v>43172.775231481479</v>
      </c>
    </row>
    <row r="119" spans="1:5">
      <c r="A119">
        <v>8835</v>
      </c>
      <c r="B119" t="s">
        <v>73</v>
      </c>
      <c r="C119" t="s">
        <v>73</v>
      </c>
      <c r="D119" t="s">
        <v>8</v>
      </c>
      <c r="E119" s="1">
        <v>43172.909479166665</v>
      </c>
    </row>
    <row r="120" spans="1:5">
      <c r="A120">
        <v>8844</v>
      </c>
      <c r="B120" t="s">
        <v>73</v>
      </c>
      <c r="C120" t="s">
        <v>73</v>
      </c>
      <c r="D120" t="s">
        <v>6</v>
      </c>
      <c r="E120" s="1">
        <v>43173.371423611112</v>
      </c>
    </row>
    <row r="121" spans="1:5">
      <c r="A121">
        <v>8853</v>
      </c>
      <c r="B121" t="s">
        <v>87</v>
      </c>
      <c r="C121" t="s">
        <v>73</v>
      </c>
      <c r="D121" t="s">
        <v>5</v>
      </c>
      <c r="E121" s="1">
        <v>43173.771828703706</v>
      </c>
    </row>
    <row r="122" spans="1:5">
      <c r="A122">
        <v>8854</v>
      </c>
      <c r="B122" t="s">
        <v>87</v>
      </c>
      <c r="C122" t="s">
        <v>73</v>
      </c>
      <c r="D122" t="s">
        <v>7</v>
      </c>
      <c r="E122" s="1">
        <v>43173.771863425929</v>
      </c>
    </row>
    <row r="123" spans="1:5">
      <c r="A123">
        <v>8863</v>
      </c>
      <c r="B123" t="s">
        <v>73</v>
      </c>
      <c r="C123" t="s">
        <v>73</v>
      </c>
      <c r="D123" t="s">
        <v>8</v>
      </c>
      <c r="E123" s="1">
        <v>43173.854097222225</v>
      </c>
    </row>
    <row r="124" spans="1:5">
      <c r="A124">
        <v>8878</v>
      </c>
      <c r="B124" t="s">
        <v>73</v>
      </c>
      <c r="C124" t="s">
        <v>73</v>
      </c>
      <c r="D124" t="s">
        <v>6</v>
      </c>
      <c r="E124" s="1">
        <v>43174.369722222225</v>
      </c>
    </row>
    <row r="125" spans="1:5">
      <c r="A125">
        <v>8894</v>
      </c>
      <c r="B125" t="s">
        <v>87</v>
      </c>
      <c r="C125" t="s">
        <v>73</v>
      </c>
      <c r="D125" t="s">
        <v>5</v>
      </c>
      <c r="E125" s="1">
        <v>43174.772534722222</v>
      </c>
    </row>
    <row r="126" spans="1:5">
      <c r="A126">
        <v>8896</v>
      </c>
      <c r="B126" t="s">
        <v>87</v>
      </c>
      <c r="C126" t="s">
        <v>73</v>
      </c>
      <c r="D126" t="s">
        <v>7</v>
      </c>
      <c r="E126" s="1">
        <v>43174.775324074071</v>
      </c>
    </row>
    <row r="127" spans="1:5">
      <c r="A127">
        <v>8900</v>
      </c>
      <c r="B127" t="s">
        <v>73</v>
      </c>
      <c r="C127" t="s">
        <v>73</v>
      </c>
      <c r="D127" t="s">
        <v>8</v>
      </c>
      <c r="E127" s="1">
        <v>43174.849930555552</v>
      </c>
    </row>
    <row r="128" spans="1:5">
      <c r="A128">
        <v>8914</v>
      </c>
      <c r="B128" t="s">
        <v>73</v>
      </c>
      <c r="C128" t="s">
        <v>73</v>
      </c>
      <c r="D128" t="s">
        <v>6</v>
      </c>
      <c r="E128" s="1">
        <v>43175.370972222219</v>
      </c>
    </row>
    <row r="129" spans="1:5">
      <c r="A129">
        <v>8929</v>
      </c>
      <c r="B129" t="s">
        <v>73</v>
      </c>
      <c r="C129" t="s">
        <v>73</v>
      </c>
      <c r="D129" t="s">
        <v>5</v>
      </c>
      <c r="E129" s="1">
        <v>43175.774571759262</v>
      </c>
    </row>
    <row r="130" spans="1:5">
      <c r="A130">
        <v>8930</v>
      </c>
      <c r="B130" t="s">
        <v>73</v>
      </c>
      <c r="C130" t="s">
        <v>73</v>
      </c>
      <c r="D130" t="s">
        <v>7</v>
      </c>
      <c r="E130" s="1">
        <v>43175.774606481478</v>
      </c>
    </row>
    <row r="131" spans="1:5">
      <c r="A131">
        <v>8934</v>
      </c>
      <c r="B131" t="s">
        <v>73</v>
      </c>
      <c r="C131" t="s">
        <v>73</v>
      </c>
      <c r="D131" t="s">
        <v>8</v>
      </c>
      <c r="E131" s="1">
        <v>43175.806134259263</v>
      </c>
    </row>
    <row r="132" spans="1:5">
      <c r="A132">
        <v>8944</v>
      </c>
      <c r="B132" t="s">
        <v>73</v>
      </c>
      <c r="C132" t="s">
        <v>73</v>
      </c>
      <c r="D132" t="s">
        <v>7</v>
      </c>
      <c r="E132" s="1">
        <v>43176.426030092596</v>
      </c>
    </row>
    <row r="133" spans="1:5">
      <c r="A133">
        <v>8952</v>
      </c>
      <c r="B133" t="s">
        <v>73</v>
      </c>
      <c r="C133" t="s">
        <v>73</v>
      </c>
      <c r="D133" t="s">
        <v>8</v>
      </c>
      <c r="E133" s="1">
        <v>43176.503946759258</v>
      </c>
    </row>
    <row r="134" spans="1:5">
      <c r="A134">
        <v>8957</v>
      </c>
      <c r="B134" t="s">
        <v>73</v>
      </c>
      <c r="C134" t="s">
        <v>73</v>
      </c>
      <c r="D134" t="s">
        <v>7</v>
      </c>
      <c r="E134" s="1">
        <v>43176.567928240744</v>
      </c>
    </row>
    <row r="135" spans="1:5">
      <c r="A135">
        <v>8964</v>
      </c>
      <c r="B135" t="s">
        <v>87</v>
      </c>
      <c r="C135" t="s">
        <v>73</v>
      </c>
      <c r="D135" t="s">
        <v>8</v>
      </c>
      <c r="E135" s="1">
        <v>43176.684062499997</v>
      </c>
    </row>
    <row r="136" spans="1:5">
      <c r="A136">
        <v>8979</v>
      </c>
      <c r="B136" t="s">
        <v>73</v>
      </c>
      <c r="C136" t="s">
        <v>73</v>
      </c>
      <c r="D136" t="s">
        <v>6</v>
      </c>
      <c r="E136" s="1">
        <v>43178.370821759258</v>
      </c>
    </row>
    <row r="137" spans="1:5">
      <c r="A137">
        <v>8991</v>
      </c>
      <c r="B137" t="s">
        <v>87</v>
      </c>
      <c r="C137" t="s">
        <v>73</v>
      </c>
      <c r="D137" t="s">
        <v>5</v>
      </c>
      <c r="E137" s="1">
        <v>43178.769166666665</v>
      </c>
    </row>
    <row r="138" spans="1:5">
      <c r="A138">
        <v>8997</v>
      </c>
      <c r="B138" t="s">
        <v>87</v>
      </c>
      <c r="C138" t="s">
        <v>73</v>
      </c>
      <c r="D138" t="s">
        <v>7</v>
      </c>
      <c r="E138" s="1">
        <v>43178.793032407404</v>
      </c>
    </row>
    <row r="139" spans="1:5">
      <c r="A139">
        <v>9001</v>
      </c>
      <c r="B139" t="s">
        <v>73</v>
      </c>
      <c r="C139" t="s">
        <v>73</v>
      </c>
      <c r="D139" t="s">
        <v>8</v>
      </c>
      <c r="E139" s="1">
        <v>43178.857222222221</v>
      </c>
    </row>
    <row r="140" spans="1:5">
      <c r="A140">
        <v>9015</v>
      </c>
      <c r="B140" t="s">
        <v>73</v>
      </c>
      <c r="C140" t="s">
        <v>73</v>
      </c>
      <c r="D140" t="s">
        <v>6</v>
      </c>
      <c r="E140" s="1">
        <v>43179.370300925926</v>
      </c>
    </row>
    <row r="141" spans="1:5">
      <c r="A141">
        <v>9022</v>
      </c>
      <c r="B141" t="s">
        <v>87</v>
      </c>
      <c r="C141" t="s">
        <v>73</v>
      </c>
      <c r="D141" t="s">
        <v>5</v>
      </c>
      <c r="E141" s="1">
        <v>43179.766759259262</v>
      </c>
    </row>
    <row r="142" spans="1:5">
      <c r="A142">
        <v>9038</v>
      </c>
      <c r="B142" t="s">
        <v>87</v>
      </c>
      <c r="C142" t="s">
        <v>73</v>
      </c>
      <c r="D142" t="s">
        <v>7</v>
      </c>
      <c r="E142" s="1">
        <v>43179.795983796299</v>
      </c>
    </row>
    <row r="143" spans="1:5">
      <c r="A143">
        <v>9042</v>
      </c>
      <c r="B143" t="s">
        <v>73</v>
      </c>
      <c r="C143" t="s">
        <v>73</v>
      </c>
      <c r="D143" t="s">
        <v>8</v>
      </c>
      <c r="E143" s="1">
        <v>43179.882395833331</v>
      </c>
    </row>
    <row r="144" spans="1:5">
      <c r="A144">
        <v>9052</v>
      </c>
      <c r="B144" t="s">
        <v>73</v>
      </c>
      <c r="C144" t="s">
        <v>73</v>
      </c>
      <c r="D144" t="s">
        <v>6</v>
      </c>
      <c r="E144" s="1">
        <v>43180.370254629626</v>
      </c>
    </row>
    <row r="145" spans="1:5">
      <c r="A145">
        <v>9067</v>
      </c>
      <c r="B145" t="s">
        <v>73</v>
      </c>
      <c r="C145" t="s">
        <v>73</v>
      </c>
      <c r="D145" t="s">
        <v>5</v>
      </c>
      <c r="E145" s="1">
        <v>43180.771261574075</v>
      </c>
    </row>
    <row r="146" spans="1:5">
      <c r="A146">
        <v>9068</v>
      </c>
      <c r="B146" t="s">
        <v>73</v>
      </c>
      <c r="C146" t="s">
        <v>73</v>
      </c>
      <c r="D146" t="s">
        <v>7</v>
      </c>
      <c r="E146" s="1">
        <v>43180.77134259259</v>
      </c>
    </row>
    <row r="147" spans="1:5">
      <c r="A147">
        <v>9073</v>
      </c>
      <c r="B147" t="s">
        <v>73</v>
      </c>
      <c r="C147" t="s">
        <v>73</v>
      </c>
      <c r="D147" t="s">
        <v>8</v>
      </c>
      <c r="E147" s="1">
        <v>43180.802083333336</v>
      </c>
    </row>
    <row r="148" spans="1:5">
      <c r="A148">
        <v>9087</v>
      </c>
      <c r="B148" t="s">
        <v>73</v>
      </c>
      <c r="C148" t="s">
        <v>73</v>
      </c>
      <c r="D148" t="s">
        <v>6</v>
      </c>
      <c r="E148" s="1">
        <v>43181.370266203703</v>
      </c>
    </row>
    <row r="149" spans="1:5">
      <c r="A149">
        <v>9098</v>
      </c>
      <c r="B149" t="s">
        <v>73</v>
      </c>
      <c r="C149" t="s">
        <v>73</v>
      </c>
      <c r="D149" t="s">
        <v>5</v>
      </c>
      <c r="E149" s="1">
        <v>43181.766435185185</v>
      </c>
    </row>
    <row r="150" spans="1:5">
      <c r="A150">
        <v>9108</v>
      </c>
      <c r="B150" t="s">
        <v>73</v>
      </c>
      <c r="C150" t="s">
        <v>73</v>
      </c>
      <c r="D150" t="s">
        <v>7</v>
      </c>
      <c r="E150" s="1">
        <v>43181.810185185182</v>
      </c>
    </row>
    <row r="151" spans="1:5">
      <c r="A151">
        <v>9112</v>
      </c>
      <c r="B151" t="s">
        <v>73</v>
      </c>
      <c r="C151" t="s">
        <v>73</v>
      </c>
      <c r="D151" t="s">
        <v>8</v>
      </c>
      <c r="E151" s="1">
        <v>43181.93105324074</v>
      </c>
    </row>
    <row r="152" spans="1:5">
      <c r="A152">
        <v>9122</v>
      </c>
      <c r="B152" t="s">
        <v>87</v>
      </c>
      <c r="C152" t="s">
        <v>73</v>
      </c>
      <c r="D152" t="s">
        <v>6</v>
      </c>
      <c r="E152" s="1">
        <v>43182.372523148151</v>
      </c>
    </row>
    <row r="153" spans="1:5">
      <c r="A153">
        <v>9131</v>
      </c>
      <c r="B153" t="s">
        <v>73</v>
      </c>
      <c r="C153" t="s">
        <v>73</v>
      </c>
      <c r="D153" t="s">
        <v>5</v>
      </c>
      <c r="E153" s="1">
        <v>43182.769016203703</v>
      </c>
    </row>
    <row r="154" spans="1:5">
      <c r="A154">
        <v>9142</v>
      </c>
      <c r="B154" t="s">
        <v>73</v>
      </c>
      <c r="C154" t="s">
        <v>73</v>
      </c>
      <c r="D154" t="s">
        <v>6</v>
      </c>
      <c r="E154" s="1">
        <v>43185.369583333333</v>
      </c>
    </row>
    <row r="155" spans="1:5">
      <c r="A155">
        <v>9155</v>
      </c>
      <c r="B155" t="s">
        <v>87</v>
      </c>
      <c r="C155" t="s">
        <v>73</v>
      </c>
      <c r="D155" t="s">
        <v>5</v>
      </c>
      <c r="E155" s="1">
        <v>43185.78229166667</v>
      </c>
    </row>
    <row r="156" spans="1:5">
      <c r="A156">
        <v>9156</v>
      </c>
      <c r="B156" t="s">
        <v>87</v>
      </c>
      <c r="C156" t="s">
        <v>73</v>
      </c>
      <c r="D156" t="s">
        <v>7</v>
      </c>
      <c r="E156" s="1">
        <v>43185.782337962963</v>
      </c>
    </row>
    <row r="157" spans="1:5">
      <c r="A157">
        <v>9161</v>
      </c>
      <c r="B157" t="s">
        <v>73</v>
      </c>
      <c r="C157" t="s">
        <v>73</v>
      </c>
      <c r="D157" t="s">
        <v>8</v>
      </c>
      <c r="E157" s="1">
        <v>43185.853217592594</v>
      </c>
    </row>
    <row r="158" spans="1:5">
      <c r="A158">
        <v>9169</v>
      </c>
      <c r="B158" t="s">
        <v>73</v>
      </c>
      <c r="C158" t="s">
        <v>73</v>
      </c>
      <c r="D158" t="s">
        <v>6</v>
      </c>
      <c r="E158" s="1">
        <v>43186.372106481482</v>
      </c>
    </row>
    <row r="159" spans="1:5">
      <c r="A159">
        <v>9179</v>
      </c>
      <c r="B159" t="s">
        <v>73</v>
      </c>
      <c r="C159" t="s">
        <v>73</v>
      </c>
      <c r="D159" t="s">
        <v>5</v>
      </c>
      <c r="E159" s="1">
        <v>43186.77511574074</v>
      </c>
    </row>
    <row r="160" spans="1:5">
      <c r="A160">
        <v>9180</v>
      </c>
      <c r="B160" t="s">
        <v>73</v>
      </c>
      <c r="C160" t="s">
        <v>73</v>
      </c>
      <c r="D160" t="s">
        <v>7</v>
      </c>
      <c r="E160" s="1">
        <v>43186.780092592591</v>
      </c>
    </row>
    <row r="161" spans="1:5">
      <c r="A161">
        <v>9183</v>
      </c>
      <c r="B161" t="s">
        <v>73</v>
      </c>
      <c r="C161" t="s">
        <v>73</v>
      </c>
      <c r="D161" t="s">
        <v>8</v>
      </c>
      <c r="E161" s="1">
        <v>43186.790196759262</v>
      </c>
    </row>
    <row r="162" spans="1:5">
      <c r="A162">
        <v>9198</v>
      </c>
      <c r="B162" t="s">
        <v>73</v>
      </c>
      <c r="C162" t="s">
        <v>73</v>
      </c>
      <c r="D162" t="s">
        <v>6</v>
      </c>
      <c r="E162" s="1">
        <v>43187.372523148151</v>
      </c>
    </row>
    <row r="163" spans="1:5">
      <c r="A163">
        <v>9215</v>
      </c>
      <c r="B163" t="s">
        <v>87</v>
      </c>
      <c r="C163" t="s">
        <v>73</v>
      </c>
      <c r="D163" t="s">
        <v>5</v>
      </c>
      <c r="E163" s="1">
        <v>43187.773645833331</v>
      </c>
    </row>
    <row r="164" spans="1:5">
      <c r="A164">
        <v>9216</v>
      </c>
      <c r="B164" t="s">
        <v>87</v>
      </c>
      <c r="C164" t="s">
        <v>73</v>
      </c>
      <c r="D164" t="s">
        <v>7</v>
      </c>
      <c r="E164" s="1">
        <v>43187.773692129631</v>
      </c>
    </row>
    <row r="165" spans="1:5">
      <c r="A165">
        <v>9224</v>
      </c>
      <c r="B165" t="s">
        <v>73</v>
      </c>
      <c r="C165" t="s">
        <v>73</v>
      </c>
      <c r="D165" t="s">
        <v>8</v>
      </c>
      <c r="E165" s="1">
        <v>43187.928969907407</v>
      </c>
    </row>
    <row r="166" spans="1:5">
      <c r="A166">
        <v>9233</v>
      </c>
      <c r="B166" t="s">
        <v>73</v>
      </c>
      <c r="C166" t="s">
        <v>73</v>
      </c>
      <c r="D166" t="s">
        <v>6</v>
      </c>
      <c r="E166" s="1">
        <v>43188.371481481481</v>
      </c>
    </row>
    <row r="167" spans="1:5">
      <c r="A167">
        <v>9239</v>
      </c>
      <c r="B167" t="s">
        <v>73</v>
      </c>
      <c r="C167" t="s">
        <v>73</v>
      </c>
      <c r="D167" t="s">
        <v>5</v>
      </c>
      <c r="E167" s="1">
        <v>43188.771087962959</v>
      </c>
    </row>
    <row r="168" spans="1:5">
      <c r="A168">
        <v>9242</v>
      </c>
      <c r="B168" t="s">
        <v>73</v>
      </c>
      <c r="C168" t="s">
        <v>73</v>
      </c>
      <c r="D168" t="s">
        <v>7</v>
      </c>
      <c r="E168" s="1">
        <v>43188.771192129629</v>
      </c>
    </row>
    <row r="169" spans="1:5">
      <c r="A169">
        <v>9253</v>
      </c>
      <c r="B169" t="s">
        <v>73</v>
      </c>
      <c r="C169" t="s">
        <v>73</v>
      </c>
      <c r="D169" t="s">
        <v>8</v>
      </c>
      <c r="E169" s="1">
        <v>43188.811759259261</v>
      </c>
    </row>
    <row r="170" spans="1:5">
      <c r="A170">
        <v>9267</v>
      </c>
      <c r="B170" t="s">
        <v>73</v>
      </c>
      <c r="C170" t="s">
        <v>73</v>
      </c>
      <c r="D170" t="s">
        <v>6</v>
      </c>
      <c r="E170" s="1">
        <v>43189.375243055554</v>
      </c>
    </row>
    <row r="171" spans="1:5">
      <c r="A171">
        <v>9273</v>
      </c>
      <c r="B171" t="s">
        <v>73</v>
      </c>
      <c r="C171" t="s">
        <v>73</v>
      </c>
      <c r="D171" t="s">
        <v>5</v>
      </c>
      <c r="E171" s="1">
        <v>43189.772175925929</v>
      </c>
    </row>
    <row r="172" spans="1:5">
      <c r="A172">
        <v>9291</v>
      </c>
      <c r="B172" t="s">
        <v>73</v>
      </c>
      <c r="C172" t="s">
        <v>73</v>
      </c>
      <c r="D172" t="s">
        <v>6</v>
      </c>
      <c r="E172" s="1">
        <v>43190.37226851852</v>
      </c>
    </row>
    <row r="173" spans="1:5">
      <c r="A173">
        <v>9297</v>
      </c>
      <c r="B173" t="s">
        <v>87</v>
      </c>
      <c r="C173" t="s">
        <v>73</v>
      </c>
      <c r="D173" t="s">
        <v>5</v>
      </c>
      <c r="E173" s="1">
        <v>43190.770416666666</v>
      </c>
    </row>
    <row r="174" spans="1:5">
      <c r="A174">
        <v>9298</v>
      </c>
      <c r="B174" t="s">
        <v>87</v>
      </c>
      <c r="C174" t="s">
        <v>73</v>
      </c>
      <c r="D174" t="s">
        <v>7</v>
      </c>
      <c r="E174" s="1">
        <v>43190.770474537036</v>
      </c>
    </row>
    <row r="175" spans="1:5">
      <c r="A175">
        <v>9308</v>
      </c>
      <c r="B175" t="s">
        <v>73</v>
      </c>
      <c r="C175" t="s">
        <v>73</v>
      </c>
      <c r="D175" t="s">
        <v>8</v>
      </c>
      <c r="E175" s="1">
        <v>43190.891689814816</v>
      </c>
    </row>
    <row r="176" spans="1:5">
      <c r="A176">
        <v>8490</v>
      </c>
      <c r="B176" t="s">
        <v>11</v>
      </c>
      <c r="C176" t="s">
        <v>11</v>
      </c>
      <c r="D176" t="s">
        <v>6</v>
      </c>
      <c r="E176" s="1">
        <v>43160.362199074072</v>
      </c>
    </row>
    <row r="177" spans="1:5">
      <c r="A177">
        <v>8518</v>
      </c>
      <c r="B177" t="s">
        <v>11</v>
      </c>
      <c r="C177" t="s">
        <v>11</v>
      </c>
      <c r="D177" t="s">
        <v>5</v>
      </c>
      <c r="E177" s="1">
        <v>43160.842546296299</v>
      </c>
    </row>
    <row r="178" spans="1:5">
      <c r="A178">
        <v>8523</v>
      </c>
      <c r="B178" t="s">
        <v>11</v>
      </c>
      <c r="C178" t="s">
        <v>11</v>
      </c>
      <c r="D178" t="s">
        <v>6</v>
      </c>
      <c r="E178" s="1">
        <v>43161.364131944443</v>
      </c>
    </row>
    <row r="179" spans="1:5">
      <c r="A179">
        <v>8545</v>
      </c>
      <c r="B179" t="s">
        <v>11</v>
      </c>
      <c r="C179" t="s">
        <v>11</v>
      </c>
      <c r="D179" t="s">
        <v>5</v>
      </c>
      <c r="E179" s="1">
        <v>43161.845891203702</v>
      </c>
    </row>
    <row r="180" spans="1:5">
      <c r="A180">
        <v>8559</v>
      </c>
      <c r="B180" t="s">
        <v>11</v>
      </c>
      <c r="C180" t="s">
        <v>11</v>
      </c>
      <c r="D180" t="s">
        <v>6</v>
      </c>
      <c r="E180" s="1">
        <v>43164.362916666665</v>
      </c>
    </row>
    <row r="181" spans="1:5">
      <c r="A181">
        <v>8589</v>
      </c>
      <c r="B181" t="s">
        <v>11</v>
      </c>
      <c r="C181" t="s">
        <v>11</v>
      </c>
      <c r="D181" t="s">
        <v>5</v>
      </c>
      <c r="E181" s="1">
        <v>43164.886423611111</v>
      </c>
    </row>
    <row r="182" spans="1:5">
      <c r="A182">
        <v>8595</v>
      </c>
      <c r="B182" t="s">
        <v>11</v>
      </c>
      <c r="C182" t="s">
        <v>11</v>
      </c>
      <c r="D182" t="s">
        <v>6</v>
      </c>
      <c r="E182" s="1">
        <v>43165.362002314818</v>
      </c>
    </row>
    <row r="183" spans="1:5">
      <c r="A183">
        <v>8624</v>
      </c>
      <c r="B183" t="s">
        <v>11</v>
      </c>
      <c r="C183" t="s">
        <v>11</v>
      </c>
      <c r="D183" t="s">
        <v>5</v>
      </c>
      <c r="E183" s="1">
        <v>43165.906597222223</v>
      </c>
    </row>
    <row r="184" spans="1:5">
      <c r="A184">
        <v>8629</v>
      </c>
      <c r="B184" t="s">
        <v>11</v>
      </c>
      <c r="C184" t="s">
        <v>11</v>
      </c>
      <c r="D184" t="s">
        <v>6</v>
      </c>
      <c r="E184" s="1">
        <v>43166.364965277775</v>
      </c>
    </row>
    <row r="185" spans="1:5">
      <c r="A185">
        <v>8656</v>
      </c>
      <c r="B185" t="s">
        <v>11</v>
      </c>
      <c r="C185" t="s">
        <v>11</v>
      </c>
      <c r="D185" t="s">
        <v>5</v>
      </c>
      <c r="E185" s="1">
        <v>43166.85255787037</v>
      </c>
    </row>
    <row r="186" spans="1:5">
      <c r="A186">
        <v>8664</v>
      </c>
      <c r="B186" t="s">
        <v>11</v>
      </c>
      <c r="C186" t="s">
        <v>11</v>
      </c>
      <c r="D186" t="s">
        <v>6</v>
      </c>
      <c r="E186" s="1">
        <v>43167.360162037039</v>
      </c>
    </row>
    <row r="187" spans="1:5">
      <c r="A187">
        <v>8688</v>
      </c>
      <c r="B187" t="s">
        <v>11</v>
      </c>
      <c r="C187" t="s">
        <v>11</v>
      </c>
      <c r="D187" t="s">
        <v>5</v>
      </c>
      <c r="E187" s="1">
        <v>43167.834745370368</v>
      </c>
    </row>
    <row r="188" spans="1:5">
      <c r="A188">
        <v>8693</v>
      </c>
      <c r="B188" t="s">
        <v>78</v>
      </c>
      <c r="C188" t="s">
        <v>11</v>
      </c>
      <c r="D188" t="s">
        <v>6</v>
      </c>
      <c r="E188" s="1">
        <v>43168.362719907411</v>
      </c>
    </row>
    <row r="189" spans="1:5">
      <c r="A189">
        <v>8715</v>
      </c>
      <c r="B189" t="s">
        <v>11</v>
      </c>
      <c r="C189" t="s">
        <v>11</v>
      </c>
      <c r="D189" t="s">
        <v>5</v>
      </c>
      <c r="E189" s="1">
        <v>43168.786909722221</v>
      </c>
    </row>
    <row r="190" spans="1:5">
      <c r="A190">
        <v>8718</v>
      </c>
      <c r="B190" t="s">
        <v>11</v>
      </c>
      <c r="C190" t="s">
        <v>11</v>
      </c>
      <c r="D190" t="s">
        <v>7</v>
      </c>
      <c r="E190" s="1">
        <v>43169.418043981481</v>
      </c>
    </row>
    <row r="191" spans="1:5">
      <c r="A191">
        <v>8720</v>
      </c>
      <c r="B191" t="s">
        <v>11</v>
      </c>
      <c r="C191" t="s">
        <v>11</v>
      </c>
      <c r="D191" t="s">
        <v>8</v>
      </c>
      <c r="E191" s="1">
        <v>43169.421759259261</v>
      </c>
    </row>
    <row r="192" spans="1:5">
      <c r="A192">
        <v>8721</v>
      </c>
      <c r="B192" t="s">
        <v>11</v>
      </c>
      <c r="C192" t="s">
        <v>11</v>
      </c>
      <c r="D192" t="s">
        <v>7</v>
      </c>
      <c r="E192" s="1">
        <v>43169.430486111109</v>
      </c>
    </row>
    <row r="193" spans="1:5">
      <c r="A193">
        <v>8724</v>
      </c>
      <c r="B193" t="s">
        <v>11</v>
      </c>
      <c r="C193" t="s">
        <v>11</v>
      </c>
      <c r="D193" t="s">
        <v>8</v>
      </c>
      <c r="E193" s="1">
        <v>43169.550254629627</v>
      </c>
    </row>
    <row r="194" spans="1:5">
      <c r="A194">
        <v>8762</v>
      </c>
      <c r="B194" t="s">
        <v>11</v>
      </c>
      <c r="C194" t="s">
        <v>11</v>
      </c>
      <c r="D194" t="s">
        <v>6</v>
      </c>
      <c r="E194" s="1">
        <v>43171.362523148149</v>
      </c>
    </row>
    <row r="195" spans="1:5">
      <c r="A195">
        <v>8797</v>
      </c>
      <c r="B195" t="s">
        <v>11</v>
      </c>
      <c r="C195" t="s">
        <v>11</v>
      </c>
      <c r="D195" t="s">
        <v>5</v>
      </c>
      <c r="E195" s="1">
        <v>43171.909074074072</v>
      </c>
    </row>
    <row r="196" spans="1:5">
      <c r="A196">
        <v>8800</v>
      </c>
      <c r="B196" t="s">
        <v>11</v>
      </c>
      <c r="C196" t="s">
        <v>11</v>
      </c>
      <c r="D196" t="s">
        <v>6</v>
      </c>
      <c r="E196" s="1">
        <v>43172.361863425926</v>
      </c>
    </row>
    <row r="197" spans="1:5">
      <c r="A197">
        <v>8831</v>
      </c>
      <c r="B197" t="s">
        <v>11</v>
      </c>
      <c r="C197" t="s">
        <v>11</v>
      </c>
      <c r="D197" t="s">
        <v>5</v>
      </c>
      <c r="E197" s="1">
        <v>43172.86550925926</v>
      </c>
    </row>
    <row r="198" spans="1:5">
      <c r="A198">
        <v>8837</v>
      </c>
      <c r="B198" t="s">
        <v>11</v>
      </c>
      <c r="C198" t="s">
        <v>11</v>
      </c>
      <c r="D198" t="s">
        <v>6</v>
      </c>
      <c r="E198" s="1">
        <v>43173.361215277779</v>
      </c>
    </row>
    <row r="199" spans="1:5">
      <c r="A199">
        <v>8864</v>
      </c>
      <c r="B199" t="s">
        <v>11</v>
      </c>
      <c r="C199" t="s">
        <v>11</v>
      </c>
      <c r="D199" t="s">
        <v>5</v>
      </c>
      <c r="E199" s="1">
        <v>43173.857407407406</v>
      </c>
    </row>
    <row r="200" spans="1:5">
      <c r="A200">
        <v>8873</v>
      </c>
      <c r="B200" t="s">
        <v>78</v>
      </c>
      <c r="C200" t="s">
        <v>11</v>
      </c>
      <c r="D200" t="s">
        <v>6</v>
      </c>
      <c r="E200" s="1">
        <v>43174.363182870373</v>
      </c>
    </row>
    <row r="201" spans="1:5">
      <c r="A201">
        <v>8904</v>
      </c>
      <c r="B201" t="s">
        <v>11</v>
      </c>
      <c r="C201" t="s">
        <v>11</v>
      </c>
      <c r="D201" t="s">
        <v>5</v>
      </c>
      <c r="E201" s="1">
        <v>43174.878645833334</v>
      </c>
    </row>
    <row r="202" spans="1:5">
      <c r="A202">
        <v>8909</v>
      </c>
      <c r="B202" t="s">
        <v>11</v>
      </c>
      <c r="C202" t="s">
        <v>11</v>
      </c>
      <c r="D202" t="s">
        <v>6</v>
      </c>
      <c r="E202" s="1">
        <v>43175.36273148148</v>
      </c>
    </row>
    <row r="203" spans="1:5">
      <c r="A203">
        <v>8936</v>
      </c>
      <c r="B203" t="s">
        <v>11</v>
      </c>
      <c r="C203" t="s">
        <v>11</v>
      </c>
      <c r="D203" t="s">
        <v>5</v>
      </c>
      <c r="E203" s="1">
        <v>43175.815983796296</v>
      </c>
    </row>
    <row r="204" spans="1:5">
      <c r="A204">
        <v>8943</v>
      </c>
      <c r="B204" t="s">
        <v>11</v>
      </c>
      <c r="C204" t="s">
        <v>11</v>
      </c>
      <c r="D204" t="s">
        <v>7</v>
      </c>
      <c r="E204" s="1">
        <v>43176.42428240741</v>
      </c>
    </row>
    <row r="205" spans="1:5">
      <c r="A205">
        <v>8961</v>
      </c>
      <c r="B205" t="s">
        <v>11</v>
      </c>
      <c r="C205" t="s">
        <v>11</v>
      </c>
      <c r="D205" t="s">
        <v>8</v>
      </c>
      <c r="E205" s="1">
        <v>43176.587546296294</v>
      </c>
    </row>
    <row r="206" spans="1:5" s="2" customFormat="1">
      <c r="A206" s="2">
        <v>9009</v>
      </c>
      <c r="B206" s="2" t="s">
        <v>11</v>
      </c>
      <c r="C206" s="2" t="s">
        <v>11</v>
      </c>
      <c r="D206" s="2" t="s">
        <v>6</v>
      </c>
      <c r="E206" s="405">
        <v>43178.354664351849</v>
      </c>
    </row>
    <row r="207" spans="1:5" s="2" customFormat="1">
      <c r="A207" s="2">
        <v>9040</v>
      </c>
      <c r="B207" s="2" t="s">
        <v>11</v>
      </c>
      <c r="C207" s="2" t="s">
        <v>11</v>
      </c>
      <c r="D207" s="2" t="s">
        <v>5</v>
      </c>
      <c r="E207" s="405">
        <v>43178.750104166669</v>
      </c>
    </row>
    <row r="208" spans="1:5">
      <c r="A208">
        <v>9009</v>
      </c>
      <c r="B208" t="s">
        <v>11</v>
      </c>
      <c r="C208" t="s">
        <v>11</v>
      </c>
      <c r="D208" t="s">
        <v>6</v>
      </c>
      <c r="E208" s="1">
        <v>43179.362303240741</v>
      </c>
    </row>
    <row r="209" spans="1:5">
      <c r="A209">
        <v>9040</v>
      </c>
      <c r="B209" t="s">
        <v>11</v>
      </c>
      <c r="C209" t="s">
        <v>11</v>
      </c>
      <c r="D209" t="s">
        <v>5</v>
      </c>
      <c r="E209" s="1">
        <v>43179.817465277774</v>
      </c>
    </row>
    <row r="210" spans="1:5">
      <c r="A210">
        <v>9056</v>
      </c>
      <c r="B210" t="s">
        <v>78</v>
      </c>
      <c r="C210" t="s">
        <v>11</v>
      </c>
      <c r="D210" t="s">
        <v>6</v>
      </c>
      <c r="E210" s="1">
        <v>43180.597361111111</v>
      </c>
    </row>
    <row r="211" spans="1:5">
      <c r="A211">
        <v>9077</v>
      </c>
      <c r="B211" t="s">
        <v>11</v>
      </c>
      <c r="C211" t="s">
        <v>11</v>
      </c>
      <c r="D211" t="s">
        <v>5</v>
      </c>
      <c r="E211" s="1">
        <v>43180.849444444444</v>
      </c>
    </row>
    <row r="212" spans="1:5">
      <c r="A212">
        <v>9082</v>
      </c>
      <c r="B212" t="s">
        <v>11</v>
      </c>
      <c r="C212" t="s">
        <v>11</v>
      </c>
      <c r="D212" t="s">
        <v>6</v>
      </c>
      <c r="E212" s="1">
        <v>43181.364050925928</v>
      </c>
    </row>
    <row r="213" spans="1:5">
      <c r="A213">
        <v>9109</v>
      </c>
      <c r="B213" t="s">
        <v>11</v>
      </c>
      <c r="C213" t="s">
        <v>11</v>
      </c>
      <c r="D213" t="s">
        <v>5</v>
      </c>
      <c r="E213" s="1">
        <v>43181.830023148148</v>
      </c>
    </row>
    <row r="214" spans="1:5">
      <c r="A214">
        <v>9118</v>
      </c>
      <c r="B214" t="s">
        <v>11</v>
      </c>
      <c r="C214" t="s">
        <v>11</v>
      </c>
      <c r="D214" t="s">
        <v>6</v>
      </c>
      <c r="E214" s="1">
        <v>43182.36246527778</v>
      </c>
    </row>
    <row r="215" spans="1:5">
      <c r="A215">
        <v>9134</v>
      </c>
      <c r="B215" t="s">
        <v>11</v>
      </c>
      <c r="C215" t="s">
        <v>11</v>
      </c>
      <c r="D215" t="s">
        <v>5</v>
      </c>
      <c r="E215" s="1">
        <v>43182.774131944447</v>
      </c>
    </row>
    <row r="216" spans="1:5">
      <c r="A216">
        <v>9137</v>
      </c>
      <c r="B216" t="s">
        <v>11</v>
      </c>
      <c r="C216" t="s">
        <v>11</v>
      </c>
      <c r="D216" t="s">
        <v>6</v>
      </c>
      <c r="E216" s="1">
        <v>43185.359409722223</v>
      </c>
    </row>
    <row r="217" spans="1:5">
      <c r="A217">
        <v>9160</v>
      </c>
      <c r="B217" t="s">
        <v>11</v>
      </c>
      <c r="C217" t="s">
        <v>11</v>
      </c>
      <c r="D217" t="s">
        <v>5</v>
      </c>
      <c r="E217" s="1">
        <v>43185.839166666665</v>
      </c>
    </row>
    <row r="218" spans="1:5">
      <c r="A218">
        <v>9164</v>
      </c>
      <c r="B218" t="s">
        <v>78</v>
      </c>
      <c r="C218" t="s">
        <v>11</v>
      </c>
      <c r="D218" t="s">
        <v>6</v>
      </c>
      <c r="E218" s="1">
        <v>43186.360960648148</v>
      </c>
    </row>
    <row r="219" spans="1:5">
      <c r="A219">
        <v>9184</v>
      </c>
      <c r="B219" t="s">
        <v>11</v>
      </c>
      <c r="C219" t="s">
        <v>11</v>
      </c>
      <c r="D219" t="s">
        <v>5</v>
      </c>
      <c r="E219" s="1">
        <v>43186.812974537039</v>
      </c>
    </row>
    <row r="220" spans="1:5">
      <c r="A220">
        <v>9190</v>
      </c>
      <c r="B220" t="s">
        <v>11</v>
      </c>
      <c r="C220" t="s">
        <v>11</v>
      </c>
      <c r="D220" t="s">
        <v>6</v>
      </c>
      <c r="E220" s="1">
        <v>43187.35533564815</v>
      </c>
    </row>
    <row r="221" spans="1:5">
      <c r="A221">
        <v>9225</v>
      </c>
      <c r="B221" t="s">
        <v>11</v>
      </c>
      <c r="C221" t="s">
        <v>11</v>
      </c>
      <c r="D221" t="s">
        <v>5</v>
      </c>
      <c r="E221" s="1">
        <v>43187.950115740743</v>
      </c>
    </row>
    <row r="222" spans="1:5">
      <c r="A222">
        <v>9228</v>
      </c>
      <c r="B222" t="s">
        <v>11</v>
      </c>
      <c r="C222" t="s">
        <v>11</v>
      </c>
      <c r="D222" t="s">
        <v>6</v>
      </c>
      <c r="E222" s="1">
        <v>43188.364201388889</v>
      </c>
    </row>
    <row r="223" spans="1:5">
      <c r="A223">
        <v>9251</v>
      </c>
      <c r="B223" t="s">
        <v>11</v>
      </c>
      <c r="C223" t="s">
        <v>11</v>
      </c>
      <c r="D223" t="s">
        <v>5</v>
      </c>
      <c r="E223" s="1">
        <v>43188.802905092591</v>
      </c>
    </row>
    <row r="224" spans="1:5">
      <c r="A224">
        <v>9259</v>
      </c>
      <c r="B224" t="s">
        <v>11</v>
      </c>
      <c r="C224" t="s">
        <v>11</v>
      </c>
      <c r="D224" t="s">
        <v>6</v>
      </c>
      <c r="E224" s="1">
        <v>43189.359861111108</v>
      </c>
    </row>
    <row r="225" spans="1:5">
      <c r="A225">
        <v>9280</v>
      </c>
      <c r="B225" t="s">
        <v>11</v>
      </c>
      <c r="C225" t="s">
        <v>11</v>
      </c>
      <c r="D225" t="s">
        <v>5</v>
      </c>
      <c r="E225" s="1">
        <v>43189.8125462963</v>
      </c>
    </row>
    <row r="226" spans="1:5">
      <c r="A226">
        <v>9285</v>
      </c>
      <c r="B226" t="s">
        <v>78</v>
      </c>
      <c r="C226" t="s">
        <v>11</v>
      </c>
      <c r="D226" t="s">
        <v>6</v>
      </c>
      <c r="E226" s="1">
        <v>43190.361770833333</v>
      </c>
    </row>
    <row r="227" spans="1:5">
      <c r="A227">
        <v>9307</v>
      </c>
      <c r="B227" t="s">
        <v>11</v>
      </c>
      <c r="C227" t="s">
        <v>11</v>
      </c>
      <c r="D227" t="s">
        <v>5</v>
      </c>
      <c r="E227" s="1">
        <v>43190.818657407406</v>
      </c>
    </row>
    <row r="228" spans="1:5">
      <c r="A228">
        <v>8498</v>
      </c>
      <c r="B228" t="s">
        <v>99</v>
      </c>
      <c r="C228" t="s">
        <v>99</v>
      </c>
      <c r="D228" t="s">
        <v>6</v>
      </c>
      <c r="E228" s="1">
        <v>43160.379236111112</v>
      </c>
    </row>
    <row r="229" spans="1:5">
      <c r="A229">
        <v>8513</v>
      </c>
      <c r="B229" t="s">
        <v>99</v>
      </c>
      <c r="C229" t="s">
        <v>99</v>
      </c>
      <c r="D229" t="s">
        <v>5</v>
      </c>
      <c r="E229" s="1">
        <v>43160.793622685182</v>
      </c>
    </row>
    <row r="230" spans="1:5">
      <c r="A230">
        <v>8520</v>
      </c>
      <c r="B230" t="s">
        <v>99</v>
      </c>
      <c r="C230" t="s">
        <v>99</v>
      </c>
      <c r="D230" t="s">
        <v>6</v>
      </c>
      <c r="E230" s="1">
        <v>43161.358206018522</v>
      </c>
    </row>
    <row r="231" spans="1:5" s="406" customFormat="1">
      <c r="A231" s="406">
        <v>8537</v>
      </c>
      <c r="B231" s="406" t="s">
        <v>99</v>
      </c>
      <c r="C231" s="406" t="s">
        <v>99</v>
      </c>
      <c r="D231" s="406" t="s">
        <v>106</v>
      </c>
      <c r="E231" s="390">
        <v>43161.769212962965</v>
      </c>
    </row>
    <row r="232" spans="1:5" s="406" customFormat="1">
      <c r="A232" s="406">
        <v>8551</v>
      </c>
      <c r="B232" s="406" t="s">
        <v>99</v>
      </c>
      <c r="C232" s="406" t="s">
        <v>99</v>
      </c>
      <c r="D232" s="406" t="s">
        <v>7</v>
      </c>
      <c r="E232" s="390">
        <v>43161.771157407406</v>
      </c>
    </row>
    <row r="233" spans="1:5" s="406" customFormat="1">
      <c r="A233" s="406">
        <v>8547</v>
      </c>
      <c r="B233" s="406" t="s">
        <v>99</v>
      </c>
      <c r="C233" s="406" t="s">
        <v>99</v>
      </c>
      <c r="D233" s="406" t="s">
        <v>107</v>
      </c>
      <c r="E233" s="390">
        <v>43161.890439814815</v>
      </c>
    </row>
    <row r="234" spans="1:5" s="406" customFormat="1">
      <c r="A234" s="406">
        <v>8548</v>
      </c>
      <c r="B234" s="406" t="s">
        <v>99</v>
      </c>
      <c r="C234" s="406" t="s">
        <v>99</v>
      </c>
      <c r="D234" s="406" t="s">
        <v>108</v>
      </c>
      <c r="E234" s="390">
        <v>43162.420185185183</v>
      </c>
    </row>
    <row r="235" spans="1:5">
      <c r="A235">
        <v>8550</v>
      </c>
      <c r="B235" t="s">
        <v>99</v>
      </c>
      <c r="C235" t="s">
        <v>99</v>
      </c>
      <c r="D235" t="s">
        <v>8</v>
      </c>
      <c r="E235" s="1">
        <v>43162.555868055555</v>
      </c>
    </row>
    <row r="236" spans="1:5">
      <c r="A236">
        <v>8551</v>
      </c>
      <c r="B236" t="s">
        <v>99</v>
      </c>
      <c r="C236" t="s">
        <v>99</v>
      </c>
      <c r="D236" t="s">
        <v>7</v>
      </c>
      <c r="E236" s="1">
        <v>43162.577407407407</v>
      </c>
    </row>
    <row r="237" spans="1:5">
      <c r="A237">
        <v>8554</v>
      </c>
      <c r="B237" t="s">
        <v>99</v>
      </c>
      <c r="C237" t="s">
        <v>99</v>
      </c>
      <c r="D237" t="s">
        <v>8</v>
      </c>
      <c r="E237" s="1">
        <v>43162.718888888892</v>
      </c>
    </row>
    <row r="238" spans="1:5">
      <c r="A238">
        <v>8556</v>
      </c>
      <c r="B238" t="s">
        <v>99</v>
      </c>
      <c r="C238" t="s">
        <v>99</v>
      </c>
      <c r="D238" t="s">
        <v>6</v>
      </c>
      <c r="E238" s="1">
        <v>43164.357928240737</v>
      </c>
    </row>
    <row r="239" spans="1:5">
      <c r="A239">
        <v>8572</v>
      </c>
      <c r="B239" t="s">
        <v>99</v>
      </c>
      <c r="C239" t="s">
        <v>99</v>
      </c>
      <c r="D239" t="s">
        <v>5</v>
      </c>
      <c r="E239" s="1">
        <v>43164.76153935185</v>
      </c>
    </row>
    <row r="240" spans="1:5">
      <c r="A240">
        <v>8573</v>
      </c>
      <c r="B240" t="s">
        <v>99</v>
      </c>
      <c r="C240" t="s">
        <v>99</v>
      </c>
      <c r="D240" t="s">
        <v>7</v>
      </c>
      <c r="E240" s="1">
        <v>43164.761574074073</v>
      </c>
    </row>
    <row r="241" spans="1:5">
      <c r="A241">
        <v>8592</v>
      </c>
      <c r="B241" t="s">
        <v>99</v>
      </c>
      <c r="C241" t="s">
        <v>99</v>
      </c>
      <c r="D241" t="s">
        <v>8</v>
      </c>
      <c r="E241" s="1">
        <v>43164.939097222225</v>
      </c>
    </row>
    <row r="242" spans="1:5">
      <c r="A242">
        <v>8597</v>
      </c>
      <c r="B242" t="s">
        <v>99</v>
      </c>
      <c r="C242" t="s">
        <v>99</v>
      </c>
      <c r="D242" t="s">
        <v>6</v>
      </c>
      <c r="E242" s="1">
        <v>43165.363275462965</v>
      </c>
    </row>
    <row r="243" spans="1:5">
      <c r="A243">
        <v>8609</v>
      </c>
      <c r="B243" t="s">
        <v>99</v>
      </c>
      <c r="C243" t="s">
        <v>99</v>
      </c>
      <c r="D243" t="s">
        <v>5</v>
      </c>
      <c r="E243" s="1">
        <v>43165.768449074072</v>
      </c>
    </row>
    <row r="244" spans="1:5">
      <c r="A244">
        <v>8626</v>
      </c>
      <c r="B244" t="s">
        <v>99</v>
      </c>
      <c r="C244" t="s">
        <v>99</v>
      </c>
      <c r="D244" t="s">
        <v>6</v>
      </c>
      <c r="E244" s="1">
        <v>43166.359155092592</v>
      </c>
    </row>
    <row r="245" spans="1:5">
      <c r="A245">
        <v>8636</v>
      </c>
      <c r="B245" t="s">
        <v>99</v>
      </c>
      <c r="C245" t="s">
        <v>99</v>
      </c>
      <c r="D245" t="s">
        <v>5</v>
      </c>
      <c r="E245" s="1">
        <v>43166.438518518517</v>
      </c>
    </row>
    <row r="246" spans="1:5">
      <c r="A246">
        <v>8637</v>
      </c>
      <c r="B246" t="s">
        <v>99</v>
      </c>
      <c r="C246" t="s">
        <v>99</v>
      </c>
      <c r="D246" t="s">
        <v>6</v>
      </c>
      <c r="E246" s="1">
        <v>43166.584039351852</v>
      </c>
    </row>
    <row r="247" spans="1:5">
      <c r="A247">
        <v>8649</v>
      </c>
      <c r="B247" t="s">
        <v>99</v>
      </c>
      <c r="C247" t="s">
        <v>99</v>
      </c>
      <c r="D247" t="s">
        <v>5</v>
      </c>
      <c r="E247" s="1">
        <v>43166.77652777778</v>
      </c>
    </row>
    <row r="248" spans="1:5">
      <c r="A248">
        <v>8650</v>
      </c>
      <c r="B248" t="s">
        <v>99</v>
      </c>
      <c r="C248" t="s">
        <v>99</v>
      </c>
      <c r="D248" t="s">
        <v>7</v>
      </c>
      <c r="E248" s="1">
        <v>43166.776562500003</v>
      </c>
    </row>
    <row r="249" spans="1:5">
      <c r="A249">
        <v>8654</v>
      </c>
      <c r="B249" t="s">
        <v>99</v>
      </c>
      <c r="C249" t="s">
        <v>99</v>
      </c>
      <c r="D249" t="s">
        <v>8</v>
      </c>
      <c r="E249" s="1">
        <v>43166.84888888889</v>
      </c>
    </row>
    <row r="250" spans="1:5">
      <c r="A250">
        <v>8663</v>
      </c>
      <c r="B250" t="s">
        <v>99</v>
      </c>
      <c r="C250" t="s">
        <v>99</v>
      </c>
      <c r="D250" t="s">
        <v>6</v>
      </c>
      <c r="E250" s="1">
        <v>43167.359780092593</v>
      </c>
    </row>
    <row r="251" spans="1:5">
      <c r="A251">
        <v>8683</v>
      </c>
      <c r="B251" t="s">
        <v>99</v>
      </c>
      <c r="C251" t="s">
        <v>99</v>
      </c>
      <c r="D251" t="s">
        <v>5</v>
      </c>
      <c r="E251" s="1">
        <v>43167.773865740739</v>
      </c>
    </row>
    <row r="252" spans="1:5">
      <c r="A252">
        <v>8684</v>
      </c>
      <c r="B252" t="s">
        <v>99</v>
      </c>
      <c r="C252" t="s">
        <v>99</v>
      </c>
      <c r="D252" t="s">
        <v>7</v>
      </c>
      <c r="E252" s="1">
        <v>43167.773912037039</v>
      </c>
    </row>
    <row r="253" spans="1:5">
      <c r="A253">
        <v>8689</v>
      </c>
      <c r="B253" t="s">
        <v>99</v>
      </c>
      <c r="C253" t="s">
        <v>99</v>
      </c>
      <c r="D253" t="s">
        <v>8</v>
      </c>
      <c r="E253" s="1">
        <v>43167.839606481481</v>
      </c>
    </row>
    <row r="254" spans="1:5">
      <c r="A254">
        <v>8695</v>
      </c>
      <c r="B254" t="s">
        <v>99</v>
      </c>
      <c r="C254" t="s">
        <v>99</v>
      </c>
      <c r="D254" t="s">
        <v>6</v>
      </c>
      <c r="E254" s="1">
        <v>43168.365740740737</v>
      </c>
    </row>
    <row r="255" spans="1:5">
      <c r="A255">
        <v>8704</v>
      </c>
      <c r="B255" t="s">
        <v>99</v>
      </c>
      <c r="C255" t="s">
        <v>99</v>
      </c>
      <c r="D255" t="s">
        <v>5</v>
      </c>
      <c r="E255" s="1">
        <v>43168.767094907409</v>
      </c>
    </row>
    <row r="256" spans="1:5">
      <c r="A256">
        <v>8730</v>
      </c>
      <c r="B256" t="s">
        <v>99</v>
      </c>
      <c r="C256" t="s">
        <v>99</v>
      </c>
      <c r="D256" t="s">
        <v>7</v>
      </c>
      <c r="E256" s="1">
        <v>43170.422500000001</v>
      </c>
    </row>
    <row r="257" spans="1:5">
      <c r="A257">
        <v>8738</v>
      </c>
      <c r="B257" t="s">
        <v>99</v>
      </c>
      <c r="C257" t="s">
        <v>99</v>
      </c>
      <c r="D257" t="s">
        <v>8</v>
      </c>
      <c r="E257" s="1">
        <v>43170.550740740742</v>
      </c>
    </row>
    <row r="258" spans="1:5">
      <c r="A258">
        <v>8740</v>
      </c>
      <c r="B258" t="s">
        <v>99</v>
      </c>
      <c r="C258" t="s">
        <v>99</v>
      </c>
      <c r="D258" t="s">
        <v>7</v>
      </c>
      <c r="E258" s="1">
        <v>43170.572627314818</v>
      </c>
    </row>
    <row r="259" spans="1:5">
      <c r="A259">
        <v>8752</v>
      </c>
      <c r="B259" t="s">
        <v>99</v>
      </c>
      <c r="C259" t="s">
        <v>99</v>
      </c>
      <c r="D259" t="s">
        <v>8</v>
      </c>
      <c r="E259" s="1">
        <v>43170.751284722224</v>
      </c>
    </row>
    <row r="260" spans="1:5">
      <c r="A260">
        <v>8754</v>
      </c>
      <c r="B260" t="s">
        <v>99</v>
      </c>
      <c r="C260" t="s">
        <v>99</v>
      </c>
      <c r="D260" t="s">
        <v>7</v>
      </c>
      <c r="E260" s="1">
        <v>43170.751423611109</v>
      </c>
    </row>
    <row r="261" spans="1:5">
      <c r="A261">
        <v>8756</v>
      </c>
      <c r="B261" t="s">
        <v>99</v>
      </c>
      <c r="C261" t="s">
        <v>99</v>
      </c>
      <c r="D261" t="s">
        <v>8</v>
      </c>
      <c r="E261" s="1">
        <v>43170.785173611112</v>
      </c>
    </row>
    <row r="262" spans="1:5">
      <c r="A262">
        <v>8763</v>
      </c>
      <c r="B262" t="s">
        <v>100</v>
      </c>
      <c r="C262" t="s">
        <v>99</v>
      </c>
      <c r="D262" t="s">
        <v>6</v>
      </c>
      <c r="E262" s="1">
        <v>43171.366400462961</v>
      </c>
    </row>
    <row r="263" spans="1:5">
      <c r="A263">
        <v>8775</v>
      </c>
      <c r="B263" t="s">
        <v>99</v>
      </c>
      <c r="C263" t="s">
        <v>99</v>
      </c>
      <c r="D263" t="s">
        <v>5</v>
      </c>
      <c r="E263" s="1">
        <v>43171.768958333334</v>
      </c>
    </row>
    <row r="264" spans="1:5">
      <c r="A264">
        <v>8776</v>
      </c>
      <c r="B264" t="s">
        <v>99</v>
      </c>
      <c r="C264" t="s">
        <v>99</v>
      </c>
      <c r="D264" t="s">
        <v>7</v>
      </c>
      <c r="E264" s="1">
        <v>43171.769004629627</v>
      </c>
    </row>
    <row r="265" spans="1:5">
      <c r="A265">
        <v>8795</v>
      </c>
      <c r="B265" t="s">
        <v>99</v>
      </c>
      <c r="C265" t="s">
        <v>99</v>
      </c>
      <c r="D265" t="s">
        <v>8</v>
      </c>
      <c r="E265" s="1">
        <v>43171.908946759257</v>
      </c>
    </row>
    <row r="266" spans="1:5">
      <c r="A266">
        <v>8805</v>
      </c>
      <c r="B266" t="s">
        <v>100</v>
      </c>
      <c r="C266" t="s">
        <v>99</v>
      </c>
      <c r="D266" t="s">
        <v>6</v>
      </c>
      <c r="E266" s="1">
        <v>43172.368263888886</v>
      </c>
    </row>
    <row r="267" spans="1:5">
      <c r="A267">
        <v>8817</v>
      </c>
      <c r="B267" t="s">
        <v>99</v>
      </c>
      <c r="C267" t="s">
        <v>99</v>
      </c>
      <c r="D267" t="s">
        <v>5</v>
      </c>
      <c r="E267" s="1">
        <v>43172.773148148146</v>
      </c>
    </row>
    <row r="268" spans="1:5">
      <c r="A268">
        <v>8820</v>
      </c>
      <c r="B268" t="s">
        <v>99</v>
      </c>
      <c r="C268" t="s">
        <v>99</v>
      </c>
      <c r="D268" t="s">
        <v>7</v>
      </c>
      <c r="E268" s="1">
        <v>43172.773229166669</v>
      </c>
    </row>
    <row r="269" spans="1:5">
      <c r="A269">
        <v>8833</v>
      </c>
      <c r="B269" t="s">
        <v>99</v>
      </c>
      <c r="C269" t="s">
        <v>99</v>
      </c>
      <c r="D269" t="s">
        <v>8</v>
      </c>
      <c r="E269" s="1">
        <v>43172.872106481482</v>
      </c>
    </row>
    <row r="270" spans="1:5">
      <c r="A270">
        <v>8836</v>
      </c>
      <c r="B270" t="s">
        <v>99</v>
      </c>
      <c r="C270" t="s">
        <v>99</v>
      </c>
      <c r="D270" t="s">
        <v>6</v>
      </c>
      <c r="E270" s="1">
        <v>43173.356898148151</v>
      </c>
    </row>
    <row r="271" spans="1:5">
      <c r="A271">
        <v>8850</v>
      </c>
      <c r="B271" t="s">
        <v>99</v>
      </c>
      <c r="C271" t="s">
        <v>99</v>
      </c>
      <c r="D271" t="s">
        <v>5</v>
      </c>
      <c r="E271" s="1">
        <v>43173.768090277779</v>
      </c>
    </row>
    <row r="272" spans="1:5">
      <c r="A272">
        <v>8868</v>
      </c>
      <c r="B272" t="s">
        <v>100</v>
      </c>
      <c r="C272" t="s">
        <v>99</v>
      </c>
      <c r="D272" t="s">
        <v>5</v>
      </c>
      <c r="E272" s="1">
        <v>43173.864004629628</v>
      </c>
    </row>
    <row r="273" spans="1:5">
      <c r="A273">
        <v>8876</v>
      </c>
      <c r="B273" t="s">
        <v>100</v>
      </c>
      <c r="C273" t="s">
        <v>99</v>
      </c>
      <c r="D273" t="s">
        <v>6</v>
      </c>
      <c r="E273" s="1">
        <v>43174.36341435185</v>
      </c>
    </row>
    <row r="274" spans="1:5">
      <c r="A274">
        <v>8884</v>
      </c>
      <c r="B274" t="s">
        <v>99</v>
      </c>
      <c r="C274" t="s">
        <v>99</v>
      </c>
      <c r="D274" t="s">
        <v>5</v>
      </c>
      <c r="E274" s="1">
        <v>43174.767604166664</v>
      </c>
    </row>
    <row r="275" spans="1:5">
      <c r="A275">
        <v>8885</v>
      </c>
      <c r="B275" t="s">
        <v>99</v>
      </c>
      <c r="C275" t="s">
        <v>99</v>
      </c>
      <c r="D275" t="s">
        <v>7</v>
      </c>
      <c r="E275" s="1">
        <v>43174.767650462964</v>
      </c>
    </row>
    <row r="276" spans="1:5">
      <c r="A276">
        <v>8899</v>
      </c>
      <c r="B276" t="s">
        <v>99</v>
      </c>
      <c r="C276" t="s">
        <v>99</v>
      </c>
      <c r="D276" t="s">
        <v>8</v>
      </c>
      <c r="E276" s="1">
        <v>43174.848460648151</v>
      </c>
    </row>
    <row r="277" spans="1:5">
      <c r="A277">
        <v>8908</v>
      </c>
      <c r="B277" t="s">
        <v>99</v>
      </c>
      <c r="C277" t="s">
        <v>99</v>
      </c>
      <c r="D277" t="s">
        <v>6</v>
      </c>
      <c r="E277" s="1">
        <v>43175.362615740742</v>
      </c>
    </row>
    <row r="278" spans="1:5">
      <c r="A278">
        <v>8922</v>
      </c>
      <c r="B278" t="s">
        <v>99</v>
      </c>
      <c r="C278" t="s">
        <v>99</v>
      </c>
      <c r="D278" t="s">
        <v>5</v>
      </c>
      <c r="E278" s="1">
        <v>43175.768692129626</v>
      </c>
    </row>
    <row r="279" spans="1:5">
      <c r="A279">
        <v>8923</v>
      </c>
      <c r="B279" t="s">
        <v>99</v>
      </c>
      <c r="C279" t="s">
        <v>99</v>
      </c>
      <c r="D279" t="s">
        <v>7</v>
      </c>
      <c r="E279" s="1">
        <v>43175.76871527778</v>
      </c>
    </row>
    <row r="280" spans="1:5">
      <c r="A280">
        <v>8939</v>
      </c>
      <c r="B280" t="s">
        <v>100</v>
      </c>
      <c r="C280" t="s">
        <v>99</v>
      </c>
      <c r="D280" t="s">
        <v>8</v>
      </c>
      <c r="E280" s="1">
        <v>43175.905902777777</v>
      </c>
    </row>
    <row r="281" spans="1:5">
      <c r="A281">
        <v>8947</v>
      </c>
      <c r="B281" t="s">
        <v>99</v>
      </c>
      <c r="C281" t="s">
        <v>99</v>
      </c>
      <c r="D281" t="s">
        <v>6</v>
      </c>
      <c r="E281" s="1">
        <v>43176.453449074077</v>
      </c>
    </row>
    <row r="282" spans="1:5">
      <c r="A282">
        <v>8948</v>
      </c>
      <c r="B282" t="s">
        <v>99</v>
      </c>
      <c r="C282" t="s">
        <v>99</v>
      </c>
      <c r="D282" t="s">
        <v>5</v>
      </c>
      <c r="E282" s="1">
        <v>43176.453576388885</v>
      </c>
    </row>
    <row r="283" spans="1:5">
      <c r="A283">
        <v>8949</v>
      </c>
      <c r="B283" t="s">
        <v>99</v>
      </c>
      <c r="C283" t="s">
        <v>99</v>
      </c>
      <c r="D283" t="s">
        <v>7</v>
      </c>
      <c r="E283" s="1">
        <v>43176.453634259262</v>
      </c>
    </row>
    <row r="284" spans="1:5">
      <c r="A284">
        <v>8962</v>
      </c>
      <c r="B284" t="s">
        <v>99</v>
      </c>
      <c r="C284" t="s">
        <v>99</v>
      </c>
      <c r="D284" t="s">
        <v>8</v>
      </c>
      <c r="E284" s="1">
        <v>43176.633009259262</v>
      </c>
    </row>
    <row r="285" spans="1:5">
      <c r="A285">
        <v>8974</v>
      </c>
      <c r="B285" t="s">
        <v>99</v>
      </c>
      <c r="C285" t="s">
        <v>99</v>
      </c>
      <c r="D285" t="s">
        <v>6</v>
      </c>
      <c r="E285" s="1">
        <v>43178.364537037036</v>
      </c>
    </row>
    <row r="286" spans="1:5">
      <c r="A286">
        <v>8986</v>
      </c>
      <c r="B286" t="s">
        <v>99</v>
      </c>
      <c r="C286" t="s">
        <v>99</v>
      </c>
      <c r="D286" t="s">
        <v>5</v>
      </c>
      <c r="E286" s="1">
        <v>43178.767708333333</v>
      </c>
    </row>
    <row r="287" spans="1:5">
      <c r="A287">
        <v>8988</v>
      </c>
      <c r="B287" t="s">
        <v>99</v>
      </c>
      <c r="C287" t="s">
        <v>99</v>
      </c>
      <c r="D287" t="s">
        <v>7</v>
      </c>
      <c r="E287" s="1">
        <v>43178.768101851849</v>
      </c>
    </row>
    <row r="288" spans="1:5">
      <c r="A288">
        <v>9007</v>
      </c>
      <c r="B288" t="s">
        <v>99</v>
      </c>
      <c r="C288" t="s">
        <v>99</v>
      </c>
      <c r="D288" t="s">
        <v>8</v>
      </c>
      <c r="E288" s="1">
        <v>43178.914525462962</v>
      </c>
    </row>
    <row r="289" spans="1:5">
      <c r="A289">
        <v>9008</v>
      </c>
      <c r="B289" t="s">
        <v>99</v>
      </c>
      <c r="C289" t="s">
        <v>99</v>
      </c>
      <c r="D289" t="s">
        <v>6</v>
      </c>
      <c r="E289" s="1">
        <v>43179.361250000002</v>
      </c>
    </row>
    <row r="290" spans="1:5">
      <c r="A290">
        <v>9027</v>
      </c>
      <c r="B290" t="s">
        <v>99</v>
      </c>
      <c r="C290" t="s">
        <v>99</v>
      </c>
      <c r="D290" t="s">
        <v>5</v>
      </c>
      <c r="E290" s="1">
        <v>43179.769803240742</v>
      </c>
    </row>
    <row r="291" spans="1:5">
      <c r="A291">
        <v>9028</v>
      </c>
      <c r="B291" t="s">
        <v>99</v>
      </c>
      <c r="C291" t="s">
        <v>99</v>
      </c>
      <c r="D291" t="s">
        <v>7</v>
      </c>
      <c r="E291" s="1">
        <v>43179.769837962966</v>
      </c>
    </row>
    <row r="292" spans="1:5">
      <c r="A292">
        <v>9034</v>
      </c>
      <c r="B292" t="s">
        <v>99</v>
      </c>
      <c r="C292" t="s">
        <v>99</v>
      </c>
      <c r="D292" t="s">
        <v>8</v>
      </c>
      <c r="E292" s="1">
        <v>43179.778877314813</v>
      </c>
    </row>
    <row r="293" spans="1:5">
      <c r="A293">
        <v>9039</v>
      </c>
      <c r="B293" t="s">
        <v>99</v>
      </c>
      <c r="C293" t="s">
        <v>99</v>
      </c>
      <c r="D293" t="s">
        <v>7</v>
      </c>
      <c r="E293" s="1">
        <v>43179.799328703702</v>
      </c>
    </row>
    <row r="294" spans="1:5">
      <c r="A294">
        <v>9044</v>
      </c>
      <c r="B294" t="s">
        <v>99</v>
      </c>
      <c r="C294" t="s">
        <v>99</v>
      </c>
      <c r="D294" t="s">
        <v>8</v>
      </c>
      <c r="E294" s="1">
        <v>43179.884421296294</v>
      </c>
    </row>
    <row r="295" spans="1:5">
      <c r="A295">
        <v>9046</v>
      </c>
      <c r="B295" t="s">
        <v>99</v>
      </c>
      <c r="C295" t="s">
        <v>99</v>
      </c>
      <c r="D295" t="s">
        <v>6</v>
      </c>
      <c r="E295" s="1">
        <v>43180.363136574073</v>
      </c>
    </row>
    <row r="296" spans="1:5">
      <c r="A296">
        <v>9066</v>
      </c>
      <c r="B296" t="s">
        <v>99</v>
      </c>
      <c r="C296" t="s">
        <v>99</v>
      </c>
      <c r="D296" t="s">
        <v>5</v>
      </c>
      <c r="E296" s="1">
        <v>43180.771122685182</v>
      </c>
    </row>
    <row r="297" spans="1:5">
      <c r="A297">
        <v>9085</v>
      </c>
      <c r="B297" t="s">
        <v>99</v>
      </c>
      <c r="C297" t="s">
        <v>99</v>
      </c>
      <c r="D297" t="s">
        <v>6</v>
      </c>
      <c r="E297" s="1">
        <v>43181.364212962966</v>
      </c>
    </row>
    <row r="298" spans="1:5">
      <c r="A298">
        <v>9094</v>
      </c>
      <c r="B298" t="s">
        <v>99</v>
      </c>
      <c r="C298" t="s">
        <v>99</v>
      </c>
      <c r="D298" t="s">
        <v>5</v>
      </c>
      <c r="E298" s="1">
        <v>43181.763807870368</v>
      </c>
    </row>
    <row r="299" spans="1:5">
      <c r="A299">
        <v>9095</v>
      </c>
      <c r="B299" t="s">
        <v>99</v>
      </c>
      <c r="C299" t="s">
        <v>99</v>
      </c>
      <c r="D299" t="s">
        <v>7</v>
      </c>
      <c r="E299" s="1">
        <v>43181.764016203706</v>
      </c>
    </row>
    <row r="300" spans="1:5">
      <c r="A300">
        <v>9101</v>
      </c>
      <c r="B300" t="s">
        <v>99</v>
      </c>
      <c r="C300" t="s">
        <v>99</v>
      </c>
      <c r="D300" t="s">
        <v>8</v>
      </c>
      <c r="E300" s="1">
        <v>43181.784907407404</v>
      </c>
    </row>
    <row r="301" spans="1:5">
      <c r="A301">
        <v>9103</v>
      </c>
      <c r="B301" t="s">
        <v>99</v>
      </c>
      <c r="C301" t="s">
        <v>99</v>
      </c>
      <c r="D301" t="s">
        <v>7</v>
      </c>
      <c r="E301" s="1">
        <v>43181.796006944445</v>
      </c>
    </row>
    <row r="302" spans="1:5">
      <c r="A302">
        <v>9114</v>
      </c>
      <c r="B302" t="s">
        <v>99</v>
      </c>
      <c r="C302" t="s">
        <v>99</v>
      </c>
      <c r="D302" t="s">
        <v>8</v>
      </c>
      <c r="E302" s="1">
        <v>43181.935682870368</v>
      </c>
    </row>
    <row r="303" spans="1:5">
      <c r="A303">
        <v>9117</v>
      </c>
      <c r="B303" t="s">
        <v>99</v>
      </c>
      <c r="C303" t="s">
        <v>99</v>
      </c>
      <c r="D303" t="s">
        <v>6</v>
      </c>
      <c r="E303" s="1">
        <v>43182.362407407411</v>
      </c>
    </row>
    <row r="304" spans="1:5">
      <c r="A304">
        <v>9129</v>
      </c>
      <c r="B304" t="s">
        <v>99</v>
      </c>
      <c r="C304" t="s">
        <v>99</v>
      </c>
      <c r="D304" t="s">
        <v>5</v>
      </c>
      <c r="E304" s="1">
        <v>43182.768067129633</v>
      </c>
    </row>
    <row r="305" spans="1:5">
      <c r="A305">
        <v>9139</v>
      </c>
      <c r="B305" t="s">
        <v>99</v>
      </c>
      <c r="C305" t="s">
        <v>99</v>
      </c>
      <c r="D305" t="s">
        <v>6</v>
      </c>
      <c r="E305" s="1">
        <v>43185.363240740742</v>
      </c>
    </row>
    <row r="306" spans="1:5">
      <c r="A306">
        <v>9149</v>
      </c>
      <c r="B306" t="s">
        <v>99</v>
      </c>
      <c r="C306" t="s">
        <v>99</v>
      </c>
      <c r="D306" t="s">
        <v>5</v>
      </c>
      <c r="E306" s="1">
        <v>43185.767858796295</v>
      </c>
    </row>
    <row r="307" spans="1:5">
      <c r="A307">
        <v>9150</v>
      </c>
      <c r="B307" t="s">
        <v>99</v>
      </c>
      <c r="C307" t="s">
        <v>99</v>
      </c>
      <c r="D307" t="s">
        <v>7</v>
      </c>
      <c r="E307" s="1">
        <v>43185.767893518518</v>
      </c>
    </row>
    <row r="308" spans="1:5">
      <c r="A308">
        <v>9159</v>
      </c>
      <c r="B308" t="s">
        <v>99</v>
      </c>
      <c r="C308" t="s">
        <v>99</v>
      </c>
      <c r="D308" t="s">
        <v>8</v>
      </c>
      <c r="E308" s="1">
        <v>43185.831516203703</v>
      </c>
    </row>
    <row r="309" spans="1:5">
      <c r="A309">
        <v>9165</v>
      </c>
      <c r="B309" t="s">
        <v>100</v>
      </c>
      <c r="C309" t="s">
        <v>99</v>
      </c>
      <c r="D309" t="s">
        <v>6</v>
      </c>
      <c r="E309" s="1">
        <v>43186.360995370371</v>
      </c>
    </row>
    <row r="310" spans="1:5">
      <c r="A310">
        <v>9174</v>
      </c>
      <c r="B310" t="s">
        <v>100</v>
      </c>
      <c r="C310" t="s">
        <v>99</v>
      </c>
      <c r="D310" t="s">
        <v>5</v>
      </c>
      <c r="E310" s="1">
        <v>43186.773194444446</v>
      </c>
    </row>
    <row r="311" spans="1:5">
      <c r="A311">
        <v>9175</v>
      </c>
      <c r="B311" t="s">
        <v>100</v>
      </c>
      <c r="C311" t="s">
        <v>99</v>
      </c>
      <c r="D311" t="s">
        <v>7</v>
      </c>
      <c r="E311" s="1">
        <v>43186.773252314815</v>
      </c>
    </row>
    <row r="312" spans="1:5">
      <c r="A312">
        <v>9187</v>
      </c>
      <c r="B312" t="s">
        <v>99</v>
      </c>
      <c r="C312" t="s">
        <v>99</v>
      </c>
      <c r="D312" t="s">
        <v>8</v>
      </c>
      <c r="E312" s="1">
        <v>43186.835428240738</v>
      </c>
    </row>
    <row r="313" spans="1:5">
      <c r="A313">
        <v>9191</v>
      </c>
      <c r="B313" t="s">
        <v>99</v>
      </c>
      <c r="C313" t="s">
        <v>99</v>
      </c>
      <c r="D313" t="s">
        <v>6</v>
      </c>
      <c r="E313" s="1">
        <v>43187.357928240737</v>
      </c>
    </row>
    <row r="314" spans="1:5">
      <c r="A314">
        <v>9209</v>
      </c>
      <c r="B314" t="s">
        <v>99</v>
      </c>
      <c r="C314" t="s">
        <v>99</v>
      </c>
      <c r="D314" t="s">
        <v>5</v>
      </c>
      <c r="E314" s="1">
        <v>43187.771469907406</v>
      </c>
    </row>
    <row r="315" spans="1:5">
      <c r="A315">
        <v>9210</v>
      </c>
      <c r="B315" t="s">
        <v>99</v>
      </c>
      <c r="C315" t="s">
        <v>99</v>
      </c>
      <c r="D315" t="s">
        <v>7</v>
      </c>
      <c r="E315" s="1">
        <v>43187.771516203706</v>
      </c>
    </row>
    <row r="316" spans="1:5">
      <c r="A316">
        <v>9219</v>
      </c>
      <c r="B316" t="s">
        <v>99</v>
      </c>
      <c r="C316" t="s">
        <v>99</v>
      </c>
      <c r="D316" t="s">
        <v>8</v>
      </c>
      <c r="E316" s="1">
        <v>43187.796111111114</v>
      </c>
    </row>
    <row r="317" spans="1:5">
      <c r="A317">
        <v>9230</v>
      </c>
      <c r="B317" t="s">
        <v>99</v>
      </c>
      <c r="C317" t="s">
        <v>99</v>
      </c>
      <c r="D317" t="s">
        <v>6</v>
      </c>
      <c r="E317" s="1">
        <v>43188.366759259261</v>
      </c>
    </row>
    <row r="318" spans="1:5">
      <c r="A318">
        <v>9245</v>
      </c>
      <c r="B318" t="s">
        <v>100</v>
      </c>
      <c r="C318" t="s">
        <v>99</v>
      </c>
      <c r="D318" t="s">
        <v>5</v>
      </c>
      <c r="E318" s="1">
        <v>43188.772743055553</v>
      </c>
    </row>
    <row r="319" spans="1:5">
      <c r="A319">
        <v>9246</v>
      </c>
      <c r="B319" t="s">
        <v>100</v>
      </c>
      <c r="C319" t="s">
        <v>99</v>
      </c>
      <c r="D319" t="s">
        <v>7</v>
      </c>
      <c r="E319" s="1">
        <v>43188.772777777776</v>
      </c>
    </row>
    <row r="320" spans="1:5">
      <c r="A320">
        <v>9258</v>
      </c>
      <c r="B320" t="s">
        <v>99</v>
      </c>
      <c r="C320" t="s">
        <v>99</v>
      </c>
      <c r="D320" t="s">
        <v>8</v>
      </c>
      <c r="E320" s="1">
        <v>43188.850104166668</v>
      </c>
    </row>
    <row r="321" spans="1:5">
      <c r="A321">
        <v>9262</v>
      </c>
      <c r="B321" t="s">
        <v>100</v>
      </c>
      <c r="C321" t="s">
        <v>99</v>
      </c>
      <c r="D321" t="s">
        <v>6</v>
      </c>
      <c r="E321" s="1">
        <v>43189.364699074074</v>
      </c>
    </row>
    <row r="322" spans="1:5">
      <c r="A322">
        <v>9269</v>
      </c>
      <c r="B322" t="s">
        <v>99</v>
      </c>
      <c r="C322" t="s">
        <v>99</v>
      </c>
      <c r="D322" t="s">
        <v>5</v>
      </c>
      <c r="E322" s="1">
        <v>43189.765613425923</v>
      </c>
    </row>
    <row r="323" spans="1:5">
      <c r="A323">
        <v>9270</v>
      </c>
      <c r="B323" t="s">
        <v>99</v>
      </c>
      <c r="C323" t="s">
        <v>99</v>
      </c>
      <c r="D323" t="s">
        <v>108</v>
      </c>
      <c r="E323" s="1">
        <v>43189.771203703705</v>
      </c>
    </row>
    <row r="324" spans="1:5">
      <c r="A324">
        <v>9281</v>
      </c>
      <c r="B324" t="s">
        <v>99</v>
      </c>
      <c r="C324" t="s">
        <v>99</v>
      </c>
      <c r="D324" t="s">
        <v>8</v>
      </c>
      <c r="E324" s="1">
        <v>43189.846805555557</v>
      </c>
    </row>
    <row r="325" spans="1:5">
      <c r="A325">
        <v>9284</v>
      </c>
      <c r="B325" t="s">
        <v>100</v>
      </c>
      <c r="C325" t="s">
        <v>99</v>
      </c>
      <c r="D325" t="s">
        <v>6</v>
      </c>
      <c r="E325" s="1">
        <v>43190.361724537041</v>
      </c>
    </row>
    <row r="326" spans="1:5">
      <c r="A326">
        <v>9304</v>
      </c>
      <c r="B326" t="s">
        <v>99</v>
      </c>
      <c r="C326" t="s">
        <v>99</v>
      </c>
      <c r="D326" t="s">
        <v>5</v>
      </c>
      <c r="E326" s="1">
        <v>43190.792604166665</v>
      </c>
    </row>
    <row r="327" spans="1:5">
      <c r="A327">
        <v>8493</v>
      </c>
      <c r="B327" t="s">
        <v>39</v>
      </c>
      <c r="C327" t="s">
        <v>39</v>
      </c>
      <c r="D327" t="s">
        <v>6</v>
      </c>
      <c r="E327" s="1">
        <v>43160.367395833331</v>
      </c>
    </row>
    <row r="328" spans="1:5">
      <c r="A328">
        <v>8502</v>
      </c>
      <c r="B328" t="s">
        <v>39</v>
      </c>
      <c r="C328" t="s">
        <v>39</v>
      </c>
      <c r="D328" t="s">
        <v>5</v>
      </c>
      <c r="E328" s="1">
        <v>43160.770937499998</v>
      </c>
    </row>
    <row r="329" spans="1:5">
      <c r="A329">
        <v>8504</v>
      </c>
      <c r="B329" t="s">
        <v>39</v>
      </c>
      <c r="C329" t="s">
        <v>39</v>
      </c>
      <c r="D329" t="s">
        <v>7</v>
      </c>
      <c r="E329" s="1">
        <v>43160.770995370367</v>
      </c>
    </row>
    <row r="330" spans="1:5">
      <c r="A330">
        <v>8514</v>
      </c>
      <c r="B330" t="s">
        <v>39</v>
      </c>
      <c r="C330" t="s">
        <v>39</v>
      </c>
      <c r="D330" t="s">
        <v>8</v>
      </c>
      <c r="E330" s="1">
        <v>43160.804236111115</v>
      </c>
    </row>
    <row r="331" spans="1:5">
      <c r="A331">
        <v>8521</v>
      </c>
      <c r="B331" t="s">
        <v>39</v>
      </c>
      <c r="C331" t="s">
        <v>39</v>
      </c>
      <c r="D331" t="s">
        <v>6</v>
      </c>
      <c r="E331" s="1">
        <v>43161.363912037035</v>
      </c>
    </row>
    <row r="332" spans="1:5">
      <c r="A332">
        <v>8536</v>
      </c>
      <c r="B332" t="s">
        <v>39</v>
      </c>
      <c r="C332" t="s">
        <v>39</v>
      </c>
      <c r="D332" t="s">
        <v>5</v>
      </c>
      <c r="E332" s="1">
        <v>43161.767812500002</v>
      </c>
    </row>
    <row r="333" spans="1:5">
      <c r="A333">
        <v>8557</v>
      </c>
      <c r="B333" t="s">
        <v>39</v>
      </c>
      <c r="C333" t="s">
        <v>39</v>
      </c>
      <c r="D333" t="s">
        <v>6</v>
      </c>
      <c r="E333" s="1">
        <v>43164.361770833333</v>
      </c>
    </row>
    <row r="334" spans="1:5">
      <c r="A334">
        <v>8576</v>
      </c>
      <c r="B334" t="s">
        <v>39</v>
      </c>
      <c r="C334" t="s">
        <v>39</v>
      </c>
      <c r="D334" t="s">
        <v>5</v>
      </c>
      <c r="E334" s="1">
        <v>43164.765347222223</v>
      </c>
    </row>
    <row r="335" spans="1:5">
      <c r="A335">
        <v>8581</v>
      </c>
      <c r="B335" t="s">
        <v>39</v>
      </c>
      <c r="C335" t="s">
        <v>39</v>
      </c>
      <c r="D335" t="s">
        <v>7</v>
      </c>
      <c r="E335" s="1">
        <v>43164.774062500001</v>
      </c>
    </row>
    <row r="336" spans="1:5">
      <c r="A336">
        <v>8586</v>
      </c>
      <c r="B336" t="s">
        <v>39</v>
      </c>
      <c r="C336" t="s">
        <v>39</v>
      </c>
      <c r="D336" t="s">
        <v>8</v>
      </c>
      <c r="E336" s="1">
        <v>43164.836886574078</v>
      </c>
    </row>
    <row r="337" spans="1:5">
      <c r="A337">
        <v>8594</v>
      </c>
      <c r="B337" t="s">
        <v>39</v>
      </c>
      <c r="C337" t="s">
        <v>39</v>
      </c>
      <c r="D337" t="s">
        <v>6</v>
      </c>
      <c r="E337" s="1">
        <v>43165.361122685186</v>
      </c>
    </row>
    <row r="338" spans="1:5">
      <c r="A338">
        <v>8607</v>
      </c>
      <c r="B338" t="s">
        <v>39</v>
      </c>
      <c r="C338" t="s">
        <v>39</v>
      </c>
      <c r="D338" t="s">
        <v>5</v>
      </c>
      <c r="E338" s="1">
        <v>43165.764143518521</v>
      </c>
    </row>
    <row r="339" spans="1:5">
      <c r="A339">
        <v>8617</v>
      </c>
      <c r="B339" t="s">
        <v>39</v>
      </c>
      <c r="C339" t="s">
        <v>39</v>
      </c>
      <c r="D339" t="s">
        <v>7</v>
      </c>
      <c r="E339" s="1">
        <v>43165.786886574075</v>
      </c>
    </row>
    <row r="340" spans="1:5">
      <c r="A340">
        <v>8621</v>
      </c>
      <c r="B340" t="s">
        <v>39</v>
      </c>
      <c r="C340" t="s">
        <v>39</v>
      </c>
      <c r="D340" t="s">
        <v>8</v>
      </c>
      <c r="E340" s="1">
        <v>43165.884479166663</v>
      </c>
    </row>
    <row r="341" spans="1:5">
      <c r="A341">
        <v>8627</v>
      </c>
      <c r="B341" t="s">
        <v>39</v>
      </c>
      <c r="C341" t="s">
        <v>39</v>
      </c>
      <c r="D341" t="s">
        <v>6</v>
      </c>
      <c r="E341" s="1">
        <v>43166.363900462966</v>
      </c>
    </row>
    <row r="342" spans="1:5">
      <c r="A342">
        <v>8640</v>
      </c>
      <c r="B342" t="s">
        <v>39</v>
      </c>
      <c r="C342" t="s">
        <v>39</v>
      </c>
      <c r="D342" t="s">
        <v>5</v>
      </c>
      <c r="E342" s="1">
        <v>43166.762476851851</v>
      </c>
    </row>
    <row r="343" spans="1:5">
      <c r="A343">
        <v>8646</v>
      </c>
      <c r="B343" t="s">
        <v>39</v>
      </c>
      <c r="C343" t="s">
        <v>39</v>
      </c>
      <c r="D343" t="s">
        <v>7</v>
      </c>
      <c r="E343" s="1">
        <v>43166.771087962959</v>
      </c>
    </row>
    <row r="344" spans="1:5">
      <c r="A344">
        <v>8659</v>
      </c>
      <c r="B344" t="s">
        <v>39</v>
      </c>
      <c r="C344" t="s">
        <v>39</v>
      </c>
      <c r="D344" t="s">
        <v>8</v>
      </c>
      <c r="E344" s="1">
        <v>43166.865011574075</v>
      </c>
    </row>
    <row r="345" spans="1:5">
      <c r="A345">
        <v>8668</v>
      </c>
      <c r="B345" t="s">
        <v>39</v>
      </c>
      <c r="C345" t="s">
        <v>39</v>
      </c>
      <c r="D345" t="s">
        <v>6</v>
      </c>
      <c r="E345" s="1">
        <v>43167.368495370371</v>
      </c>
    </row>
    <row r="346" spans="1:5">
      <c r="A346">
        <v>8640</v>
      </c>
      <c r="B346" t="s">
        <v>39</v>
      </c>
      <c r="C346" t="s">
        <v>39</v>
      </c>
      <c r="D346" t="s">
        <v>5</v>
      </c>
      <c r="E346" s="1">
        <v>43167.766643518517</v>
      </c>
    </row>
    <row r="347" spans="1:5">
      <c r="A347">
        <v>8678</v>
      </c>
      <c r="B347" t="s">
        <v>39</v>
      </c>
      <c r="C347" t="s">
        <v>39</v>
      </c>
      <c r="D347" t="s">
        <v>7</v>
      </c>
      <c r="E347" s="1">
        <v>43167.770914351851</v>
      </c>
    </row>
    <row r="348" spans="1:5">
      <c r="A348">
        <v>8687</v>
      </c>
      <c r="B348" t="s">
        <v>39</v>
      </c>
      <c r="C348" t="s">
        <v>39</v>
      </c>
      <c r="D348" t="s">
        <v>8</v>
      </c>
      <c r="E348" s="1">
        <v>43167.808240740742</v>
      </c>
    </row>
    <row r="349" spans="1:5" s="406" customFormat="1">
      <c r="A349" s="406">
        <v>8699</v>
      </c>
      <c r="B349" s="406" t="s">
        <v>39</v>
      </c>
      <c r="C349" s="406" t="s">
        <v>39</v>
      </c>
      <c r="D349" s="406" t="s">
        <v>109</v>
      </c>
      <c r="E349" s="390">
        <v>43168.354502314818</v>
      </c>
    </row>
    <row r="350" spans="1:5">
      <c r="A350">
        <v>8710</v>
      </c>
      <c r="B350" t="s">
        <v>39</v>
      </c>
      <c r="C350" t="s">
        <v>39</v>
      </c>
      <c r="D350" t="s">
        <v>5</v>
      </c>
      <c r="E350" s="1">
        <v>43168.77144675926</v>
      </c>
    </row>
    <row r="351" spans="1:5">
      <c r="A351">
        <v>8761</v>
      </c>
      <c r="B351" t="s">
        <v>39</v>
      </c>
      <c r="C351" t="s">
        <v>39</v>
      </c>
      <c r="D351" t="s">
        <v>6</v>
      </c>
      <c r="E351" s="1">
        <v>43171.362060185187</v>
      </c>
    </row>
    <row r="352" spans="1:5">
      <c r="A352">
        <v>8774</v>
      </c>
      <c r="B352" t="s">
        <v>39</v>
      </c>
      <c r="C352" t="s">
        <v>39</v>
      </c>
      <c r="D352" t="s">
        <v>5</v>
      </c>
      <c r="E352" s="1">
        <v>43171.764328703706</v>
      </c>
    </row>
    <row r="353" spans="1:5">
      <c r="A353">
        <v>8783</v>
      </c>
      <c r="B353" t="s">
        <v>39</v>
      </c>
      <c r="C353" t="s">
        <v>39</v>
      </c>
      <c r="D353" t="s">
        <v>7</v>
      </c>
      <c r="E353" s="1">
        <v>43171.771365740744</v>
      </c>
    </row>
    <row r="354" spans="1:5">
      <c r="A354">
        <v>8786</v>
      </c>
      <c r="B354" t="s">
        <v>39</v>
      </c>
      <c r="C354" t="s">
        <v>39</v>
      </c>
      <c r="D354" t="s">
        <v>8</v>
      </c>
      <c r="E354" s="1">
        <v>43171.784398148149</v>
      </c>
    </row>
    <row r="355" spans="1:5">
      <c r="A355">
        <v>8790</v>
      </c>
      <c r="B355" t="s">
        <v>39</v>
      </c>
      <c r="C355" t="s">
        <v>39</v>
      </c>
      <c r="D355" t="s">
        <v>7</v>
      </c>
      <c r="E355" s="1">
        <v>43171.798576388886</v>
      </c>
    </row>
    <row r="356" spans="1:5">
      <c r="A356">
        <v>8793</v>
      </c>
      <c r="B356" t="s">
        <v>39</v>
      </c>
      <c r="C356" t="s">
        <v>39</v>
      </c>
      <c r="D356" t="s">
        <v>8</v>
      </c>
      <c r="E356" s="1">
        <v>43171.902939814812</v>
      </c>
    </row>
    <row r="357" spans="1:5">
      <c r="A357">
        <v>8802</v>
      </c>
      <c r="B357" t="s">
        <v>39</v>
      </c>
      <c r="C357" t="s">
        <v>39</v>
      </c>
      <c r="D357" t="s">
        <v>6</v>
      </c>
      <c r="E357" s="1">
        <v>43172.362141203703</v>
      </c>
    </row>
    <row r="358" spans="1:5">
      <c r="A358">
        <v>8818</v>
      </c>
      <c r="B358" t="s">
        <v>39</v>
      </c>
      <c r="C358" t="s">
        <v>39</v>
      </c>
      <c r="D358" t="s">
        <v>5</v>
      </c>
      <c r="E358" s="1">
        <v>43172.7731712963</v>
      </c>
    </row>
    <row r="359" spans="1:5">
      <c r="A359">
        <v>8819</v>
      </c>
      <c r="B359" t="s">
        <v>39</v>
      </c>
      <c r="C359" t="s">
        <v>39</v>
      </c>
      <c r="D359" t="s">
        <v>7</v>
      </c>
      <c r="E359" s="1">
        <v>43172.773217592592</v>
      </c>
    </row>
    <row r="360" spans="1:5">
      <c r="A360">
        <v>8829</v>
      </c>
      <c r="B360" t="s">
        <v>39</v>
      </c>
      <c r="C360" t="s">
        <v>39</v>
      </c>
      <c r="D360" t="s">
        <v>8</v>
      </c>
      <c r="E360" s="1">
        <v>43172.852893518517</v>
      </c>
    </row>
    <row r="361" spans="1:5">
      <c r="A361">
        <v>8841</v>
      </c>
      <c r="B361" t="s">
        <v>39</v>
      </c>
      <c r="C361" t="s">
        <v>39</v>
      </c>
      <c r="D361" t="s">
        <v>6</v>
      </c>
      <c r="E361" s="1">
        <v>43173.36787037037</v>
      </c>
    </row>
    <row r="362" spans="1:5">
      <c r="A362">
        <v>8851</v>
      </c>
      <c r="B362" t="s">
        <v>39</v>
      </c>
      <c r="C362" t="s">
        <v>39</v>
      </c>
      <c r="D362" t="s">
        <v>5</v>
      </c>
      <c r="E362" s="1">
        <v>43173.770127314812</v>
      </c>
    </row>
    <row r="363" spans="1:5">
      <c r="A363">
        <v>8857</v>
      </c>
      <c r="B363" t="s">
        <v>39</v>
      </c>
      <c r="C363" t="s">
        <v>39</v>
      </c>
      <c r="D363" t="s">
        <v>7</v>
      </c>
      <c r="E363" s="1">
        <v>43173.772361111114</v>
      </c>
    </row>
    <row r="364" spans="1:5">
      <c r="A364">
        <v>8862</v>
      </c>
      <c r="B364" t="s">
        <v>39</v>
      </c>
      <c r="C364" t="s">
        <v>39</v>
      </c>
      <c r="D364" t="s">
        <v>8</v>
      </c>
      <c r="E364" s="1">
        <v>43173.849074074074</v>
      </c>
    </row>
    <row r="365" spans="1:5">
      <c r="A365">
        <v>8875</v>
      </c>
      <c r="B365" t="s">
        <v>94</v>
      </c>
      <c r="C365" t="s">
        <v>39</v>
      </c>
      <c r="D365" t="s">
        <v>6</v>
      </c>
      <c r="E365" s="1">
        <v>43174.363333333335</v>
      </c>
    </row>
    <row r="366" spans="1:5">
      <c r="A366">
        <v>8883</v>
      </c>
      <c r="B366" t="s">
        <v>39</v>
      </c>
      <c r="C366" t="s">
        <v>39</v>
      </c>
      <c r="D366" t="s">
        <v>5</v>
      </c>
      <c r="E366" s="1">
        <v>43174.76489583333</v>
      </c>
    </row>
    <row r="367" spans="1:5">
      <c r="A367">
        <v>8893</v>
      </c>
      <c r="B367" t="s">
        <v>39</v>
      </c>
      <c r="C367" t="s">
        <v>39</v>
      </c>
      <c r="D367" t="s">
        <v>7</v>
      </c>
      <c r="E367" s="1">
        <v>43174.77238425926</v>
      </c>
    </row>
    <row r="368" spans="1:5">
      <c r="A368">
        <v>8901</v>
      </c>
      <c r="B368" t="s">
        <v>39</v>
      </c>
      <c r="C368" t="s">
        <v>39</v>
      </c>
      <c r="D368" t="s">
        <v>8</v>
      </c>
      <c r="E368" s="1">
        <v>43174.86209490741</v>
      </c>
    </row>
    <row r="369" spans="1:5">
      <c r="A369">
        <v>8907</v>
      </c>
      <c r="B369" t="s">
        <v>39</v>
      </c>
      <c r="C369" t="s">
        <v>39</v>
      </c>
      <c r="D369" t="s">
        <v>6</v>
      </c>
      <c r="E369" s="1">
        <v>43175.361458333333</v>
      </c>
    </row>
    <row r="370" spans="1:5">
      <c r="A370">
        <v>8927</v>
      </c>
      <c r="B370" t="s">
        <v>39</v>
      </c>
      <c r="C370" t="s">
        <v>39</v>
      </c>
      <c r="D370" t="s">
        <v>5</v>
      </c>
      <c r="E370" s="1">
        <v>43175.774444444447</v>
      </c>
    </row>
    <row r="371" spans="1:5">
      <c r="A371">
        <v>8928</v>
      </c>
      <c r="B371" t="s">
        <v>39</v>
      </c>
      <c r="C371" t="s">
        <v>39</v>
      </c>
      <c r="D371" t="s">
        <v>7</v>
      </c>
      <c r="E371" s="1">
        <v>43175.77447916667</v>
      </c>
    </row>
    <row r="372" spans="1:5">
      <c r="A372">
        <v>8933</v>
      </c>
      <c r="B372" t="s">
        <v>39</v>
      </c>
      <c r="C372" t="s">
        <v>39</v>
      </c>
      <c r="D372" t="s">
        <v>8</v>
      </c>
      <c r="E372" s="1">
        <v>43175.798368055555</v>
      </c>
    </row>
    <row r="373" spans="1:5">
      <c r="A373">
        <v>8946</v>
      </c>
      <c r="B373" t="s">
        <v>101</v>
      </c>
      <c r="C373" t="s">
        <v>39</v>
      </c>
      <c r="D373" t="s">
        <v>7</v>
      </c>
      <c r="E373" s="1">
        <v>43176.441747685189</v>
      </c>
    </row>
    <row r="374" spans="1:5">
      <c r="A374">
        <v>8953</v>
      </c>
      <c r="B374" t="s">
        <v>39</v>
      </c>
      <c r="C374" t="s">
        <v>39</v>
      </c>
      <c r="D374" t="s">
        <v>8</v>
      </c>
      <c r="E374" s="1">
        <v>43176.506793981483</v>
      </c>
    </row>
    <row r="375" spans="1:5">
      <c r="A375">
        <v>8954</v>
      </c>
      <c r="B375" t="s">
        <v>39</v>
      </c>
      <c r="C375" t="s">
        <v>39</v>
      </c>
      <c r="D375" t="s">
        <v>7</v>
      </c>
      <c r="E375" s="1">
        <v>43176.562071759261</v>
      </c>
    </row>
    <row r="376" spans="1:5">
      <c r="A376">
        <v>8966</v>
      </c>
      <c r="B376" t="s">
        <v>39</v>
      </c>
      <c r="C376" t="s">
        <v>39</v>
      </c>
      <c r="D376" t="s">
        <v>8</v>
      </c>
      <c r="E376" s="1">
        <v>43176.699236111112</v>
      </c>
    </row>
    <row r="377" spans="1:5">
      <c r="A377">
        <v>8976</v>
      </c>
      <c r="B377" t="s">
        <v>39</v>
      </c>
      <c r="C377" t="s">
        <v>39</v>
      </c>
      <c r="D377" t="s">
        <v>6</v>
      </c>
      <c r="E377" s="1">
        <v>43178.366608796299</v>
      </c>
    </row>
    <row r="378" spans="1:5">
      <c r="A378">
        <v>8984</v>
      </c>
      <c r="B378" t="s">
        <v>39</v>
      </c>
      <c r="C378" t="s">
        <v>39</v>
      </c>
      <c r="D378" t="s">
        <v>5</v>
      </c>
      <c r="E378" s="1">
        <v>43178.765694444446</v>
      </c>
    </row>
    <row r="379" spans="1:5">
      <c r="A379">
        <v>8996</v>
      </c>
      <c r="B379" t="s">
        <v>39</v>
      </c>
      <c r="C379" t="s">
        <v>39</v>
      </c>
      <c r="D379" t="s">
        <v>7</v>
      </c>
      <c r="E379" s="1">
        <v>43178.792685185188</v>
      </c>
    </row>
    <row r="380" spans="1:5">
      <c r="A380">
        <v>9000</v>
      </c>
      <c r="B380" t="s">
        <v>39</v>
      </c>
      <c r="C380" t="s">
        <v>39</v>
      </c>
      <c r="D380" t="s">
        <v>8</v>
      </c>
      <c r="E380" s="1">
        <v>43178.856608796297</v>
      </c>
    </row>
    <row r="381" spans="1:5">
      <c r="A381">
        <v>9011</v>
      </c>
      <c r="B381" t="s">
        <v>39</v>
      </c>
      <c r="C381" t="s">
        <v>39</v>
      </c>
      <c r="D381" t="s">
        <v>6</v>
      </c>
      <c r="E381" s="1">
        <v>43179.364502314813</v>
      </c>
    </row>
    <row r="382" spans="1:5">
      <c r="A382">
        <v>9024</v>
      </c>
      <c r="B382" t="s">
        <v>39</v>
      </c>
      <c r="C382" t="s">
        <v>39</v>
      </c>
      <c r="D382" t="s">
        <v>5</v>
      </c>
      <c r="E382" s="1">
        <v>43179.768495370372</v>
      </c>
    </row>
    <row r="383" spans="1:5">
      <c r="A383">
        <v>9050</v>
      </c>
      <c r="B383" t="s">
        <v>39</v>
      </c>
      <c r="C383" t="s">
        <v>39</v>
      </c>
      <c r="D383" t="s">
        <v>6</v>
      </c>
      <c r="E383" s="1">
        <v>43180.368634259263</v>
      </c>
    </row>
    <row r="384" spans="1:5">
      <c r="A384">
        <v>9058</v>
      </c>
      <c r="B384" t="s">
        <v>39</v>
      </c>
      <c r="C384" t="s">
        <v>39</v>
      </c>
      <c r="D384" t="s">
        <v>5</v>
      </c>
      <c r="E384" s="1">
        <v>43180.769606481481</v>
      </c>
    </row>
    <row r="385" spans="1:5">
      <c r="A385">
        <v>9060</v>
      </c>
      <c r="B385" t="s">
        <v>39</v>
      </c>
      <c r="C385" t="s">
        <v>39</v>
      </c>
      <c r="D385" t="s">
        <v>7</v>
      </c>
      <c r="E385" s="1">
        <v>43180.770833333336</v>
      </c>
    </row>
    <row r="386" spans="1:5">
      <c r="A386">
        <v>9070</v>
      </c>
      <c r="B386" t="s">
        <v>39</v>
      </c>
      <c r="C386" t="s">
        <v>39</v>
      </c>
      <c r="D386" t="s">
        <v>8</v>
      </c>
      <c r="E386" s="1">
        <v>43180.782523148147</v>
      </c>
    </row>
    <row r="387" spans="1:5">
      <c r="A387">
        <v>9086</v>
      </c>
      <c r="B387" t="s">
        <v>39</v>
      </c>
      <c r="C387" t="s">
        <v>39</v>
      </c>
      <c r="D387" t="s">
        <v>6</v>
      </c>
      <c r="E387" s="1">
        <v>43181.36613425926</v>
      </c>
    </row>
    <row r="388" spans="1:5">
      <c r="A388">
        <v>9093</v>
      </c>
      <c r="B388" t="s">
        <v>39</v>
      </c>
      <c r="C388" t="s">
        <v>39</v>
      </c>
      <c r="D388" t="s">
        <v>5</v>
      </c>
      <c r="E388" s="1">
        <v>43181.762696759259</v>
      </c>
    </row>
    <row r="389" spans="1:5">
      <c r="A389">
        <v>9106</v>
      </c>
      <c r="B389" t="s">
        <v>39</v>
      </c>
      <c r="C389" t="s">
        <v>39</v>
      </c>
      <c r="D389" t="s">
        <v>7</v>
      </c>
      <c r="E389" s="1">
        <v>43181.798495370371</v>
      </c>
    </row>
    <row r="390" spans="1:5">
      <c r="A390">
        <v>9110</v>
      </c>
      <c r="B390" t="s">
        <v>39</v>
      </c>
      <c r="C390" t="s">
        <v>39</v>
      </c>
      <c r="D390" t="s">
        <v>8</v>
      </c>
      <c r="E390" s="1">
        <v>43181.927824074075</v>
      </c>
    </row>
    <row r="391" spans="1:5" s="406" customFormat="1">
      <c r="A391" s="406">
        <v>9124</v>
      </c>
      <c r="B391" s="406" t="s">
        <v>39</v>
      </c>
      <c r="C391" s="406" t="s">
        <v>39</v>
      </c>
      <c r="D391" s="406" t="s">
        <v>109</v>
      </c>
      <c r="E391" s="390">
        <v>43182.354826388888</v>
      </c>
    </row>
    <row r="392" spans="1:5">
      <c r="A392">
        <v>9128</v>
      </c>
      <c r="B392" t="s">
        <v>39</v>
      </c>
      <c r="C392" t="s">
        <v>39</v>
      </c>
      <c r="D392" t="s">
        <v>5</v>
      </c>
      <c r="E392" s="1">
        <v>43182.763171296298</v>
      </c>
    </row>
    <row r="393" spans="1:5" s="2" customFormat="1">
      <c r="A393" s="2">
        <v>9192</v>
      </c>
      <c r="B393" s="2" t="s">
        <v>39</v>
      </c>
      <c r="C393" s="2" t="s">
        <v>39</v>
      </c>
      <c r="D393" s="2" t="s">
        <v>6</v>
      </c>
      <c r="E393" s="405">
        <v>43185.354756944442</v>
      </c>
    </row>
    <row r="394" spans="1:5" s="2" customFormat="1">
      <c r="A394" s="2">
        <v>9211</v>
      </c>
      <c r="B394" s="2" t="s">
        <v>39</v>
      </c>
      <c r="C394" s="2" t="s">
        <v>39</v>
      </c>
      <c r="D394" s="2" t="s">
        <v>5</v>
      </c>
      <c r="E394" s="405">
        <v>43185.75</v>
      </c>
    </row>
    <row r="395" spans="1:5" s="2" customFormat="1">
      <c r="A395" s="2">
        <v>9192</v>
      </c>
      <c r="B395" s="2" t="s">
        <v>39</v>
      </c>
      <c r="C395" s="2" t="s">
        <v>39</v>
      </c>
      <c r="D395" s="2" t="s">
        <v>6</v>
      </c>
      <c r="E395" s="405">
        <v>43186.354756944442</v>
      </c>
    </row>
    <row r="396" spans="1:5" s="2" customFormat="1">
      <c r="A396" s="2">
        <v>9211</v>
      </c>
      <c r="B396" s="2" t="s">
        <v>39</v>
      </c>
      <c r="C396" s="2" t="s">
        <v>39</v>
      </c>
      <c r="D396" s="2" t="s">
        <v>5</v>
      </c>
      <c r="E396" s="405">
        <v>43186.75</v>
      </c>
    </row>
    <row r="397" spans="1:5">
      <c r="A397">
        <v>9192</v>
      </c>
      <c r="B397" t="s">
        <v>39</v>
      </c>
      <c r="C397" t="s">
        <v>39</v>
      </c>
      <c r="D397" t="s">
        <v>6</v>
      </c>
      <c r="E397" s="1">
        <v>43187.359618055554</v>
      </c>
    </row>
    <row r="398" spans="1:5">
      <c r="A398">
        <v>9211</v>
      </c>
      <c r="B398" t="s">
        <v>39</v>
      </c>
      <c r="C398" t="s">
        <v>39</v>
      </c>
      <c r="D398" t="s">
        <v>5</v>
      </c>
      <c r="E398" s="1">
        <v>43187.771527777775</v>
      </c>
    </row>
    <row r="399" spans="1:5">
      <c r="A399">
        <v>9212</v>
      </c>
      <c r="B399" t="s">
        <v>39</v>
      </c>
      <c r="C399" t="s">
        <v>39</v>
      </c>
      <c r="D399" t="s">
        <v>7</v>
      </c>
      <c r="E399" s="1">
        <v>43187.771574074075</v>
      </c>
    </row>
    <row r="400" spans="1:5">
      <c r="A400">
        <v>9223</v>
      </c>
      <c r="B400" t="s">
        <v>39</v>
      </c>
      <c r="C400" t="s">
        <v>39</v>
      </c>
      <c r="D400" t="s">
        <v>8</v>
      </c>
      <c r="E400" s="1">
        <v>43187.896979166668</v>
      </c>
    </row>
    <row r="401" spans="1:5">
      <c r="A401">
        <v>9227</v>
      </c>
      <c r="B401" t="s">
        <v>39</v>
      </c>
      <c r="C401" t="s">
        <v>39</v>
      </c>
      <c r="D401" t="s">
        <v>6</v>
      </c>
      <c r="E401" s="1">
        <v>43188.357118055559</v>
      </c>
    </row>
    <row r="402" spans="1:5">
      <c r="A402">
        <v>9237</v>
      </c>
      <c r="B402" t="s">
        <v>39</v>
      </c>
      <c r="C402" t="s">
        <v>39</v>
      </c>
      <c r="D402" t="s">
        <v>5</v>
      </c>
      <c r="E402" s="1">
        <v>43188.763692129629</v>
      </c>
    </row>
    <row r="403" spans="1:5">
      <c r="A403">
        <v>9241</v>
      </c>
      <c r="B403" t="s">
        <v>39</v>
      </c>
      <c r="C403" t="s">
        <v>39</v>
      </c>
      <c r="D403" t="s">
        <v>7</v>
      </c>
      <c r="E403" s="1">
        <v>43188.771134259259</v>
      </c>
    </row>
    <row r="404" spans="1:5">
      <c r="A404">
        <v>9252</v>
      </c>
      <c r="B404" t="s">
        <v>39</v>
      </c>
      <c r="C404" t="s">
        <v>39</v>
      </c>
      <c r="D404" t="s">
        <v>8</v>
      </c>
      <c r="E404" s="1">
        <v>43188.811423611114</v>
      </c>
    </row>
    <row r="405" spans="1:5">
      <c r="A405">
        <v>9260</v>
      </c>
      <c r="B405" t="s">
        <v>39</v>
      </c>
      <c r="C405" t="s">
        <v>39</v>
      </c>
      <c r="D405" t="s">
        <v>6</v>
      </c>
      <c r="E405" s="1">
        <v>43189.360821759263</v>
      </c>
    </row>
    <row r="406" spans="1:5">
      <c r="A406">
        <v>9274</v>
      </c>
      <c r="B406" t="s">
        <v>39</v>
      </c>
      <c r="C406" t="s">
        <v>39</v>
      </c>
      <c r="D406" t="s">
        <v>5</v>
      </c>
      <c r="E406" s="1">
        <v>43189.773657407408</v>
      </c>
    </row>
    <row r="407" spans="1:5">
      <c r="A407">
        <v>9286</v>
      </c>
      <c r="B407" t="s">
        <v>94</v>
      </c>
      <c r="C407" t="s">
        <v>39</v>
      </c>
      <c r="D407" t="s">
        <v>6</v>
      </c>
      <c r="E407" s="1">
        <v>43190.361967592595</v>
      </c>
    </row>
    <row r="408" spans="1:5">
      <c r="A408">
        <v>9293</v>
      </c>
      <c r="B408" t="s">
        <v>39</v>
      </c>
      <c r="C408" t="s">
        <v>39</v>
      </c>
      <c r="D408" t="s">
        <v>5</v>
      </c>
      <c r="E408" s="1">
        <v>43190.764513888891</v>
      </c>
    </row>
    <row r="409" spans="1:5">
      <c r="A409">
        <v>8496</v>
      </c>
      <c r="B409" t="s">
        <v>63</v>
      </c>
      <c r="C409" t="s">
        <v>63</v>
      </c>
      <c r="D409" t="s">
        <v>6</v>
      </c>
      <c r="E409" s="1">
        <v>43160.373043981483</v>
      </c>
    </row>
    <row r="410" spans="1:5">
      <c r="A410">
        <v>8508</v>
      </c>
      <c r="B410" t="s">
        <v>63</v>
      </c>
      <c r="C410" t="s">
        <v>63</v>
      </c>
      <c r="D410" t="s">
        <v>5</v>
      </c>
      <c r="E410" s="1">
        <v>43160.785138888888</v>
      </c>
    </row>
    <row r="411" spans="1:5">
      <c r="A411">
        <v>8510</v>
      </c>
      <c r="B411" t="s">
        <v>63</v>
      </c>
      <c r="C411" t="s">
        <v>63</v>
      </c>
      <c r="D411" t="s">
        <v>7</v>
      </c>
      <c r="E411" s="1">
        <v>43160.785150462965</v>
      </c>
    </row>
    <row r="412" spans="1:5">
      <c r="A412">
        <v>8519</v>
      </c>
      <c r="B412" t="s">
        <v>63</v>
      </c>
      <c r="C412" t="s">
        <v>63</v>
      </c>
      <c r="D412" t="s">
        <v>8</v>
      </c>
      <c r="E412" s="1">
        <v>43160.891759259262</v>
      </c>
    </row>
    <row r="413" spans="1:5">
      <c r="A413">
        <v>8526</v>
      </c>
      <c r="B413" t="s">
        <v>63</v>
      </c>
      <c r="C413" t="s">
        <v>63</v>
      </c>
      <c r="D413" t="s">
        <v>6</v>
      </c>
      <c r="E413" s="1">
        <v>43161.368634259263</v>
      </c>
    </row>
    <row r="414" spans="1:5">
      <c r="A414">
        <v>8541</v>
      </c>
      <c r="B414" t="s">
        <v>79</v>
      </c>
      <c r="C414" t="s">
        <v>63</v>
      </c>
      <c r="D414" t="s">
        <v>5</v>
      </c>
      <c r="E414" s="1">
        <v>43161.799074074072</v>
      </c>
    </row>
    <row r="415" spans="1:5">
      <c r="A415">
        <v>8542</v>
      </c>
      <c r="B415" t="s">
        <v>79</v>
      </c>
      <c r="C415" t="s">
        <v>63</v>
      </c>
      <c r="D415" t="s">
        <v>108</v>
      </c>
      <c r="E415" s="1">
        <v>43161.799120370371</v>
      </c>
    </row>
    <row r="416" spans="1:5">
      <c r="A416">
        <v>8546</v>
      </c>
      <c r="B416" t="s">
        <v>63</v>
      </c>
      <c r="C416" t="s">
        <v>63</v>
      </c>
      <c r="D416" t="s">
        <v>8</v>
      </c>
      <c r="E416" s="1">
        <v>43161.885972222219</v>
      </c>
    </row>
    <row r="417" spans="1:5">
      <c r="A417">
        <v>8562</v>
      </c>
      <c r="B417" t="s">
        <v>63</v>
      </c>
      <c r="C417" t="s">
        <v>63</v>
      </c>
      <c r="D417" t="s">
        <v>6</v>
      </c>
      <c r="E417" s="1">
        <v>43164.3671875</v>
      </c>
    </row>
    <row r="418" spans="1:5">
      <c r="A418">
        <v>8577</v>
      </c>
      <c r="B418" t="s">
        <v>63</v>
      </c>
      <c r="C418" t="s">
        <v>63</v>
      </c>
      <c r="D418" t="s">
        <v>5</v>
      </c>
      <c r="E418" s="1">
        <v>43164.771631944444</v>
      </c>
    </row>
    <row r="419" spans="1:5">
      <c r="A419">
        <v>8578</v>
      </c>
      <c r="B419" t="s">
        <v>63</v>
      </c>
      <c r="C419" t="s">
        <v>63</v>
      </c>
      <c r="D419" t="s">
        <v>7</v>
      </c>
      <c r="E419" s="1">
        <v>43164.771643518521</v>
      </c>
    </row>
    <row r="420" spans="1:5">
      <c r="A420">
        <v>8591</v>
      </c>
      <c r="B420" t="s">
        <v>63</v>
      </c>
      <c r="C420" t="s">
        <v>63</v>
      </c>
      <c r="D420" t="s">
        <v>8</v>
      </c>
      <c r="E420" s="1">
        <v>43164.936956018515</v>
      </c>
    </row>
    <row r="421" spans="1:5">
      <c r="A421">
        <v>8602</v>
      </c>
      <c r="B421" t="s">
        <v>63</v>
      </c>
      <c r="C421" t="s">
        <v>63</v>
      </c>
      <c r="D421" t="s">
        <v>6</v>
      </c>
      <c r="E421" s="1">
        <v>43165.372662037036</v>
      </c>
    </row>
    <row r="422" spans="1:5">
      <c r="A422">
        <v>8612</v>
      </c>
      <c r="B422" t="s">
        <v>63</v>
      </c>
      <c r="C422" t="s">
        <v>63</v>
      </c>
      <c r="D422" t="s">
        <v>5</v>
      </c>
      <c r="E422" s="1">
        <v>43165.77616898148</v>
      </c>
    </row>
    <row r="423" spans="1:5">
      <c r="A423">
        <v>8613</v>
      </c>
      <c r="B423" t="s">
        <v>63</v>
      </c>
      <c r="C423" t="s">
        <v>63</v>
      </c>
      <c r="D423" t="s">
        <v>7</v>
      </c>
      <c r="E423" s="1">
        <v>43165.776180555556</v>
      </c>
    </row>
    <row r="424" spans="1:5">
      <c r="A424">
        <v>8625</v>
      </c>
      <c r="B424" t="s">
        <v>63</v>
      </c>
      <c r="C424" t="s">
        <v>63</v>
      </c>
      <c r="D424" t="s">
        <v>8</v>
      </c>
      <c r="E424" s="1">
        <v>43165.936967592592</v>
      </c>
    </row>
    <row r="425" spans="1:5">
      <c r="A425">
        <v>8630</v>
      </c>
      <c r="B425" t="s">
        <v>63</v>
      </c>
      <c r="C425" t="s">
        <v>63</v>
      </c>
      <c r="D425" t="s">
        <v>6</v>
      </c>
      <c r="E425" s="1">
        <v>43166.367060185185</v>
      </c>
    </row>
    <row r="426" spans="1:5">
      <c r="A426">
        <v>8651</v>
      </c>
      <c r="B426" t="s">
        <v>63</v>
      </c>
      <c r="C426" t="s">
        <v>63</v>
      </c>
      <c r="D426" t="s">
        <v>5</v>
      </c>
      <c r="E426" s="1">
        <v>43166.788541666669</v>
      </c>
    </row>
    <row r="427" spans="1:5">
      <c r="A427">
        <v>8652</v>
      </c>
      <c r="B427" t="s">
        <v>63</v>
      </c>
      <c r="C427" t="s">
        <v>63</v>
      </c>
      <c r="D427" t="s">
        <v>7</v>
      </c>
      <c r="E427" s="1">
        <v>43166.788564814815</v>
      </c>
    </row>
    <row r="428" spans="1:5">
      <c r="A428">
        <v>8661</v>
      </c>
      <c r="B428" t="s">
        <v>63</v>
      </c>
      <c r="C428" t="s">
        <v>63</v>
      </c>
      <c r="D428" t="s">
        <v>8</v>
      </c>
      <c r="E428" s="1">
        <v>43166.921157407407</v>
      </c>
    </row>
    <row r="429" spans="1:5">
      <c r="A429">
        <v>8672</v>
      </c>
      <c r="B429" t="s">
        <v>63</v>
      </c>
      <c r="C429" t="s">
        <v>63</v>
      </c>
      <c r="D429" t="s">
        <v>6</v>
      </c>
      <c r="E429" s="1">
        <v>43167.371944444443</v>
      </c>
    </row>
    <row r="430" spans="1:5">
      <c r="A430">
        <v>8679</v>
      </c>
      <c r="B430" t="s">
        <v>63</v>
      </c>
      <c r="C430" t="s">
        <v>63</v>
      </c>
      <c r="D430" t="s">
        <v>5</v>
      </c>
      <c r="E430" s="1">
        <v>43167.773773148147</v>
      </c>
    </row>
    <row r="431" spans="1:5">
      <c r="A431">
        <v>8680</v>
      </c>
      <c r="B431" t="s">
        <v>63</v>
      </c>
      <c r="C431" t="s">
        <v>63</v>
      </c>
      <c r="D431" t="s">
        <v>7</v>
      </c>
      <c r="E431" s="1">
        <v>43167.773796296293</v>
      </c>
    </row>
    <row r="432" spans="1:5">
      <c r="A432">
        <v>8691</v>
      </c>
      <c r="B432" t="s">
        <v>63</v>
      </c>
      <c r="C432" t="s">
        <v>63</v>
      </c>
      <c r="D432" t="s">
        <v>8</v>
      </c>
      <c r="E432" s="1">
        <v>43167.886759259258</v>
      </c>
    </row>
    <row r="433" spans="1:5">
      <c r="A433">
        <v>8701</v>
      </c>
      <c r="B433" t="s">
        <v>63</v>
      </c>
      <c r="C433" t="s">
        <v>63</v>
      </c>
      <c r="D433" t="s">
        <v>6</v>
      </c>
      <c r="E433" s="1">
        <v>43168.377453703702</v>
      </c>
    </row>
    <row r="434" spans="1:5">
      <c r="A434">
        <v>8711</v>
      </c>
      <c r="B434" t="s">
        <v>79</v>
      </c>
      <c r="C434" t="s">
        <v>63</v>
      </c>
      <c r="D434" t="s">
        <v>5</v>
      </c>
      <c r="E434" s="1">
        <v>43168.771481481483</v>
      </c>
    </row>
    <row r="435" spans="1:5">
      <c r="A435">
        <v>8712</v>
      </c>
      <c r="B435" t="s">
        <v>79</v>
      </c>
      <c r="C435" t="s">
        <v>63</v>
      </c>
      <c r="D435" t="s">
        <v>7</v>
      </c>
      <c r="E435" s="1">
        <v>43168.771562499998</v>
      </c>
    </row>
    <row r="436" spans="1:5">
      <c r="A436">
        <v>8717</v>
      </c>
      <c r="B436" t="s">
        <v>63</v>
      </c>
      <c r="C436" t="s">
        <v>63</v>
      </c>
      <c r="D436" t="s">
        <v>8</v>
      </c>
      <c r="E436" s="1">
        <v>43168.918483796297</v>
      </c>
    </row>
    <row r="437" spans="1:5">
      <c r="A437">
        <v>8722</v>
      </c>
      <c r="B437" t="s">
        <v>63</v>
      </c>
      <c r="C437" t="s">
        <v>63</v>
      </c>
      <c r="D437" t="s">
        <v>7</v>
      </c>
      <c r="E437" s="1">
        <v>43169.459178240744</v>
      </c>
    </row>
    <row r="438" spans="1:5">
      <c r="A438">
        <v>8725</v>
      </c>
      <c r="B438" t="s">
        <v>63</v>
      </c>
      <c r="C438" t="s">
        <v>63</v>
      </c>
      <c r="D438" t="s">
        <v>8</v>
      </c>
      <c r="E438" s="1">
        <v>43169.601655092592</v>
      </c>
    </row>
    <row r="439" spans="1:5">
      <c r="A439">
        <v>8726</v>
      </c>
      <c r="B439" t="s">
        <v>63</v>
      </c>
      <c r="C439" t="s">
        <v>63</v>
      </c>
      <c r="D439" t="s">
        <v>7</v>
      </c>
      <c r="E439" s="1">
        <v>43169.601712962962</v>
      </c>
    </row>
    <row r="440" spans="1:5">
      <c r="A440">
        <v>8727</v>
      </c>
      <c r="B440" t="s">
        <v>63</v>
      </c>
      <c r="C440" t="s">
        <v>63</v>
      </c>
      <c r="D440" t="s">
        <v>8</v>
      </c>
      <c r="E440" s="1">
        <v>43169.694780092592</v>
      </c>
    </row>
    <row r="441" spans="1:5">
      <c r="A441">
        <v>8733</v>
      </c>
      <c r="B441" t="s">
        <v>63</v>
      </c>
      <c r="C441" t="s">
        <v>63</v>
      </c>
      <c r="D441" t="s">
        <v>7</v>
      </c>
      <c r="E441" s="1">
        <v>43170.465104166666</v>
      </c>
    </row>
    <row r="442" spans="1:5">
      <c r="A442">
        <v>8737</v>
      </c>
      <c r="B442" t="s">
        <v>63</v>
      </c>
      <c r="C442" t="s">
        <v>63</v>
      </c>
      <c r="D442" t="s">
        <v>8</v>
      </c>
      <c r="E442" s="1">
        <v>43170.549849537034</v>
      </c>
    </row>
    <row r="443" spans="1:5">
      <c r="A443">
        <v>8742</v>
      </c>
      <c r="B443" t="s">
        <v>63</v>
      </c>
      <c r="C443" t="s">
        <v>63</v>
      </c>
      <c r="D443" t="s">
        <v>7</v>
      </c>
      <c r="E443" s="1">
        <v>43170.581793981481</v>
      </c>
    </row>
    <row r="444" spans="1:5">
      <c r="A444">
        <v>8753</v>
      </c>
      <c r="B444" t="s">
        <v>63</v>
      </c>
      <c r="C444" t="s">
        <v>63</v>
      </c>
      <c r="D444" t="s">
        <v>8</v>
      </c>
      <c r="E444" s="1">
        <v>43170.751388888886</v>
      </c>
    </row>
    <row r="445" spans="1:5">
      <c r="A445">
        <v>8755</v>
      </c>
      <c r="B445" t="s">
        <v>63</v>
      </c>
      <c r="C445" t="s">
        <v>63</v>
      </c>
      <c r="D445" t="s">
        <v>7</v>
      </c>
      <c r="E445" s="1">
        <v>43170.751435185186</v>
      </c>
    </row>
    <row r="446" spans="1:5">
      <c r="A446">
        <v>8757</v>
      </c>
      <c r="B446" t="s">
        <v>79</v>
      </c>
      <c r="C446" t="s">
        <v>63</v>
      </c>
      <c r="D446" t="s">
        <v>8</v>
      </c>
      <c r="E446" s="1">
        <v>43170.785185185188</v>
      </c>
    </row>
    <row r="447" spans="1:5">
      <c r="A447">
        <v>8770</v>
      </c>
      <c r="B447" t="s">
        <v>63</v>
      </c>
      <c r="C447" t="s">
        <v>63</v>
      </c>
      <c r="D447" t="s">
        <v>6</v>
      </c>
      <c r="E447" s="1">
        <v>43171.373472222222</v>
      </c>
    </row>
    <row r="448" spans="1:5">
      <c r="A448">
        <v>8784</v>
      </c>
      <c r="B448" t="s">
        <v>63</v>
      </c>
      <c r="C448" t="s">
        <v>63</v>
      </c>
      <c r="D448" t="s">
        <v>5</v>
      </c>
      <c r="E448" s="1">
        <v>43171.776643518519</v>
      </c>
    </row>
    <row r="449" spans="1:5">
      <c r="A449">
        <v>8785</v>
      </c>
      <c r="B449" t="s">
        <v>63</v>
      </c>
      <c r="C449" t="s">
        <v>63</v>
      </c>
      <c r="D449" t="s">
        <v>7</v>
      </c>
      <c r="E449" s="1">
        <v>43171.776655092595</v>
      </c>
    </row>
    <row r="450" spans="1:5">
      <c r="A450">
        <v>8788</v>
      </c>
      <c r="B450" t="s">
        <v>63</v>
      </c>
      <c r="C450" t="s">
        <v>63</v>
      </c>
      <c r="D450" t="s">
        <v>8</v>
      </c>
      <c r="E450" s="1">
        <v>43171.796215277776</v>
      </c>
    </row>
    <row r="451" spans="1:5">
      <c r="A451">
        <v>8792</v>
      </c>
      <c r="B451" t="s">
        <v>79</v>
      </c>
      <c r="C451" t="s">
        <v>63</v>
      </c>
      <c r="D451" t="s">
        <v>7</v>
      </c>
      <c r="E451" s="1">
        <v>43171.828460648147</v>
      </c>
    </row>
    <row r="452" spans="1:5">
      <c r="A452">
        <v>8799</v>
      </c>
      <c r="B452" t="s">
        <v>63</v>
      </c>
      <c r="C452" t="s">
        <v>63</v>
      </c>
      <c r="D452" t="s">
        <v>8</v>
      </c>
      <c r="E452" s="1">
        <v>43171.914884259262</v>
      </c>
    </row>
    <row r="453" spans="1:5">
      <c r="A453">
        <v>8803</v>
      </c>
      <c r="B453" t="s">
        <v>79</v>
      </c>
      <c r="C453" t="s">
        <v>63</v>
      </c>
      <c r="D453" t="s">
        <v>6</v>
      </c>
      <c r="E453" s="1">
        <v>43172.363738425927</v>
      </c>
    </row>
    <row r="454" spans="1:5">
      <c r="A454">
        <v>8825</v>
      </c>
      <c r="B454" t="s">
        <v>63</v>
      </c>
      <c r="C454" t="s">
        <v>63</v>
      </c>
      <c r="D454" t="s">
        <v>5</v>
      </c>
      <c r="E454" s="1">
        <v>43172.781076388892</v>
      </c>
    </row>
    <row r="455" spans="1:5">
      <c r="A455">
        <v>8826</v>
      </c>
      <c r="B455" t="s">
        <v>63</v>
      </c>
      <c r="C455" t="s">
        <v>63</v>
      </c>
      <c r="D455" t="s">
        <v>7</v>
      </c>
      <c r="E455" s="1">
        <v>43172.781099537038</v>
      </c>
    </row>
    <row r="456" spans="1:5">
      <c r="A456">
        <v>8834</v>
      </c>
      <c r="B456" t="s">
        <v>63</v>
      </c>
      <c r="C456" t="s">
        <v>63</v>
      </c>
      <c r="D456" t="s">
        <v>8</v>
      </c>
      <c r="E456" s="1">
        <v>43172.906770833331</v>
      </c>
    </row>
    <row r="457" spans="1:5">
      <c r="A457">
        <v>8840</v>
      </c>
      <c r="B457" t="s">
        <v>63</v>
      </c>
      <c r="C457" t="s">
        <v>63</v>
      </c>
      <c r="D457" t="s">
        <v>6</v>
      </c>
      <c r="E457" s="1">
        <v>43173.363900462966</v>
      </c>
    </row>
    <row r="458" spans="1:5">
      <c r="A458">
        <v>8858</v>
      </c>
      <c r="B458" t="s">
        <v>63</v>
      </c>
      <c r="C458" t="s">
        <v>63</v>
      </c>
      <c r="D458" t="s">
        <v>5</v>
      </c>
      <c r="E458" s="1">
        <v>43173.781793981485</v>
      </c>
    </row>
    <row r="459" spans="1:5">
      <c r="A459">
        <v>8859</v>
      </c>
      <c r="B459" t="s">
        <v>63</v>
      </c>
      <c r="C459" t="s">
        <v>63</v>
      </c>
      <c r="D459" t="s">
        <v>7</v>
      </c>
      <c r="E459" s="1">
        <v>43173.781805555554</v>
      </c>
    </row>
    <row r="460" spans="1:5">
      <c r="A460">
        <v>8871</v>
      </c>
      <c r="B460" t="s">
        <v>63</v>
      </c>
      <c r="C460" t="s">
        <v>63</v>
      </c>
      <c r="D460" t="s">
        <v>8</v>
      </c>
      <c r="E460" s="1">
        <v>43173.897604166668</v>
      </c>
    </row>
    <row r="461" spans="1:5">
      <c r="A461">
        <v>8880</v>
      </c>
      <c r="B461" t="s">
        <v>63</v>
      </c>
      <c r="C461" t="s">
        <v>63</v>
      </c>
      <c r="D461" t="s">
        <v>6</v>
      </c>
      <c r="E461" s="1">
        <v>43174.37332175926</v>
      </c>
    </row>
    <row r="462" spans="1:5">
      <c r="A462">
        <v>8891</v>
      </c>
      <c r="B462" t="s">
        <v>63</v>
      </c>
      <c r="C462" t="s">
        <v>63</v>
      </c>
      <c r="D462" t="s">
        <v>5</v>
      </c>
      <c r="E462" s="1">
        <v>43174.772233796299</v>
      </c>
    </row>
    <row r="463" spans="1:5">
      <c r="A463">
        <v>8892</v>
      </c>
      <c r="B463" t="s">
        <v>63</v>
      </c>
      <c r="C463" t="s">
        <v>63</v>
      </c>
      <c r="D463" t="s">
        <v>7</v>
      </c>
      <c r="E463" s="1">
        <v>43174.772280092591</v>
      </c>
    </row>
    <row r="464" spans="1:5">
      <c r="A464">
        <v>8905</v>
      </c>
      <c r="B464" t="s">
        <v>63</v>
      </c>
      <c r="C464" t="s">
        <v>63</v>
      </c>
      <c r="D464" t="s">
        <v>8</v>
      </c>
      <c r="E464" s="1">
        <v>43174.915555555555</v>
      </c>
    </row>
    <row r="465" spans="1:5">
      <c r="A465">
        <v>8915</v>
      </c>
      <c r="B465" t="s">
        <v>63</v>
      </c>
      <c r="C465" t="s">
        <v>63</v>
      </c>
      <c r="D465" t="s">
        <v>6</v>
      </c>
      <c r="E465" s="1">
        <v>43175.37158564815</v>
      </c>
    </row>
    <row r="466" spans="1:5">
      <c r="A466">
        <v>8925</v>
      </c>
      <c r="B466" t="s">
        <v>63</v>
      </c>
      <c r="C466" t="s">
        <v>63</v>
      </c>
      <c r="D466" t="s">
        <v>5</v>
      </c>
      <c r="E466" s="1">
        <v>43175.774097222224</v>
      </c>
    </row>
    <row r="467" spans="1:5">
      <c r="A467">
        <v>8926</v>
      </c>
      <c r="B467" t="s">
        <v>63</v>
      </c>
      <c r="C467" t="s">
        <v>63</v>
      </c>
      <c r="D467" t="s">
        <v>7</v>
      </c>
      <c r="E467" s="1">
        <v>43175.774108796293</v>
      </c>
    </row>
    <row r="468" spans="1:5">
      <c r="A468">
        <v>8931</v>
      </c>
      <c r="B468" t="s">
        <v>63</v>
      </c>
      <c r="C468" t="s">
        <v>63</v>
      </c>
      <c r="D468" t="s">
        <v>8</v>
      </c>
      <c r="E468" s="1">
        <v>43175.788819444446</v>
      </c>
    </row>
    <row r="469" spans="1:5">
      <c r="A469">
        <v>8937</v>
      </c>
      <c r="B469" t="s">
        <v>63</v>
      </c>
      <c r="C469" t="s">
        <v>63</v>
      </c>
      <c r="D469" t="s">
        <v>7</v>
      </c>
      <c r="E469" s="1">
        <v>43175.827546296299</v>
      </c>
    </row>
    <row r="470" spans="1:5">
      <c r="A470">
        <v>8940</v>
      </c>
      <c r="B470" t="s">
        <v>63</v>
      </c>
      <c r="C470" t="s">
        <v>63</v>
      </c>
      <c r="D470" t="s">
        <v>8</v>
      </c>
      <c r="E470" s="1">
        <v>43175.906192129631</v>
      </c>
    </row>
    <row r="471" spans="1:5">
      <c r="A471">
        <v>8951</v>
      </c>
      <c r="B471" t="s">
        <v>63</v>
      </c>
      <c r="C471" t="s">
        <v>63</v>
      </c>
      <c r="D471" t="s">
        <v>7</v>
      </c>
      <c r="E471" s="1">
        <v>43176.501944444448</v>
      </c>
    </row>
    <row r="472" spans="1:5">
      <c r="A472">
        <v>8955</v>
      </c>
      <c r="B472" t="s">
        <v>63</v>
      </c>
      <c r="C472" t="s">
        <v>63</v>
      </c>
      <c r="D472" t="s">
        <v>8</v>
      </c>
      <c r="E472" s="1">
        <v>43176.56695601852</v>
      </c>
    </row>
    <row r="473" spans="1:5">
      <c r="A473">
        <v>8959</v>
      </c>
      <c r="B473" t="s">
        <v>63</v>
      </c>
      <c r="C473" t="s">
        <v>63</v>
      </c>
      <c r="D473" t="s">
        <v>7</v>
      </c>
      <c r="E473" s="1">
        <v>43176.57576388889</v>
      </c>
    </row>
    <row r="474" spans="1:5">
      <c r="A474">
        <v>8967</v>
      </c>
      <c r="B474" t="s">
        <v>63</v>
      </c>
      <c r="C474" t="s">
        <v>63</v>
      </c>
      <c r="D474" t="s">
        <v>8</v>
      </c>
      <c r="E474" s="1">
        <v>43176.709537037037</v>
      </c>
    </row>
    <row r="475" spans="1:5">
      <c r="A475">
        <v>8968</v>
      </c>
      <c r="B475" t="s">
        <v>63</v>
      </c>
      <c r="C475" t="s">
        <v>63</v>
      </c>
      <c r="D475" t="s">
        <v>7</v>
      </c>
      <c r="E475" s="1">
        <v>43176.709548611114</v>
      </c>
    </row>
    <row r="476" spans="1:5">
      <c r="A476">
        <v>8973</v>
      </c>
      <c r="B476" t="s">
        <v>79</v>
      </c>
      <c r="C476" t="s">
        <v>63</v>
      </c>
      <c r="D476" t="s">
        <v>8</v>
      </c>
      <c r="E476" s="1">
        <v>43176.839062500003</v>
      </c>
    </row>
    <row r="477" spans="1:5">
      <c r="A477">
        <v>8980</v>
      </c>
      <c r="B477" t="s">
        <v>63</v>
      </c>
      <c r="C477" t="s">
        <v>63</v>
      </c>
      <c r="D477" t="s">
        <v>6</v>
      </c>
      <c r="E477" s="1">
        <v>43178.371666666666</v>
      </c>
    </row>
    <row r="478" spans="1:5">
      <c r="A478">
        <v>8987</v>
      </c>
      <c r="B478" t="s">
        <v>63</v>
      </c>
      <c r="C478" t="s">
        <v>63</v>
      </c>
      <c r="D478" t="s">
        <v>5</v>
      </c>
      <c r="E478" s="1">
        <v>43178.767800925925</v>
      </c>
    </row>
    <row r="479" spans="1:5">
      <c r="A479">
        <v>8998</v>
      </c>
      <c r="B479" t="s">
        <v>63</v>
      </c>
      <c r="C479" t="s">
        <v>63</v>
      </c>
      <c r="D479" t="s">
        <v>7</v>
      </c>
      <c r="E479" s="1">
        <v>43178.794733796298</v>
      </c>
    </row>
    <row r="480" spans="1:5">
      <c r="A480">
        <v>9006</v>
      </c>
      <c r="B480" t="s">
        <v>63</v>
      </c>
      <c r="C480" t="s">
        <v>63</v>
      </c>
      <c r="D480" t="s">
        <v>8</v>
      </c>
      <c r="E480" s="1">
        <v>43178.910752314812</v>
      </c>
    </row>
    <row r="481" spans="1:5">
      <c r="A481">
        <v>9014</v>
      </c>
      <c r="B481" t="s">
        <v>79</v>
      </c>
      <c r="C481" t="s">
        <v>63</v>
      </c>
      <c r="D481" t="s">
        <v>6</v>
      </c>
      <c r="E481" s="1">
        <v>43179.368750000001</v>
      </c>
    </row>
    <row r="482" spans="1:5">
      <c r="A482">
        <v>9029</v>
      </c>
      <c r="B482" t="s">
        <v>63</v>
      </c>
      <c r="C482" t="s">
        <v>63</v>
      </c>
      <c r="D482" t="s">
        <v>5</v>
      </c>
      <c r="E482" s="1">
        <v>43179.770729166667</v>
      </c>
    </row>
    <row r="483" spans="1:5">
      <c r="A483">
        <v>9035</v>
      </c>
      <c r="B483" t="s">
        <v>63</v>
      </c>
      <c r="C483" t="s">
        <v>63</v>
      </c>
      <c r="D483" t="s">
        <v>7</v>
      </c>
      <c r="E483" s="1">
        <v>43179.787592592591</v>
      </c>
    </row>
    <row r="484" spans="1:5">
      <c r="A484">
        <v>9045</v>
      </c>
      <c r="B484" t="s">
        <v>63</v>
      </c>
      <c r="C484" t="s">
        <v>63</v>
      </c>
      <c r="D484" t="s">
        <v>8</v>
      </c>
      <c r="E484" s="1">
        <v>43179.89508101852</v>
      </c>
    </row>
    <row r="485" spans="1:5">
      <c r="A485">
        <v>9051</v>
      </c>
      <c r="B485" t="s">
        <v>63</v>
      </c>
      <c r="C485" t="s">
        <v>63</v>
      </c>
      <c r="D485" t="s">
        <v>6</v>
      </c>
      <c r="E485" s="1">
        <v>43180.368668981479</v>
      </c>
    </row>
    <row r="486" spans="1:5">
      <c r="A486">
        <v>9061</v>
      </c>
      <c r="B486" t="s">
        <v>63</v>
      </c>
      <c r="C486" t="s">
        <v>63</v>
      </c>
      <c r="D486" t="s">
        <v>5</v>
      </c>
      <c r="E486" s="1">
        <v>43180.770833333336</v>
      </c>
    </row>
    <row r="487" spans="1:5">
      <c r="A487">
        <v>9063</v>
      </c>
      <c r="B487" t="s">
        <v>63</v>
      </c>
      <c r="C487" t="s">
        <v>63</v>
      </c>
      <c r="D487" t="s">
        <v>7</v>
      </c>
      <c r="E487" s="1">
        <v>43180.770914351851</v>
      </c>
    </row>
    <row r="488" spans="1:5">
      <c r="A488">
        <v>9072</v>
      </c>
      <c r="B488" t="s">
        <v>79</v>
      </c>
      <c r="C488" t="s">
        <v>63</v>
      </c>
      <c r="D488" t="s">
        <v>8</v>
      </c>
      <c r="E488" s="1">
        <v>43180.793495370373</v>
      </c>
    </row>
    <row r="489" spans="1:5">
      <c r="A489">
        <v>9074</v>
      </c>
      <c r="B489" t="s">
        <v>79</v>
      </c>
      <c r="C489" t="s">
        <v>63</v>
      </c>
      <c r="D489" t="s">
        <v>7</v>
      </c>
      <c r="E489" s="1">
        <v>43180.813136574077</v>
      </c>
    </row>
    <row r="490" spans="1:5">
      <c r="A490">
        <v>9081</v>
      </c>
      <c r="B490" t="s">
        <v>63</v>
      </c>
      <c r="C490" t="s">
        <v>63</v>
      </c>
      <c r="D490" t="s">
        <v>8</v>
      </c>
      <c r="E490" s="1">
        <v>43180.924537037034</v>
      </c>
    </row>
    <row r="491" spans="1:5">
      <c r="A491">
        <v>9090</v>
      </c>
      <c r="B491" t="s">
        <v>79</v>
      </c>
      <c r="C491" t="s">
        <v>63</v>
      </c>
      <c r="D491" t="s">
        <v>6</v>
      </c>
      <c r="E491" s="1">
        <v>43181.37327546296</v>
      </c>
    </row>
    <row r="492" spans="1:5">
      <c r="A492">
        <v>9100</v>
      </c>
      <c r="B492" t="s">
        <v>63</v>
      </c>
      <c r="C492" t="s">
        <v>63</v>
      </c>
      <c r="D492" t="s">
        <v>5</v>
      </c>
      <c r="E492" s="1">
        <v>43181.781655092593</v>
      </c>
    </row>
    <row r="493" spans="1:5">
      <c r="A493">
        <v>9107</v>
      </c>
      <c r="B493" t="s">
        <v>63</v>
      </c>
      <c r="C493" t="s">
        <v>63</v>
      </c>
      <c r="D493" t="s">
        <v>7</v>
      </c>
      <c r="E493" s="1">
        <v>43181.80777777778</v>
      </c>
    </row>
    <row r="494" spans="1:5">
      <c r="A494">
        <v>9116</v>
      </c>
      <c r="B494" t="s">
        <v>63</v>
      </c>
      <c r="C494" t="s">
        <v>63</v>
      </c>
      <c r="D494" t="s">
        <v>8</v>
      </c>
      <c r="E494" s="1">
        <v>43181.958391203705</v>
      </c>
    </row>
    <row r="495" spans="1:5">
      <c r="A495">
        <v>9126</v>
      </c>
      <c r="B495" t="s">
        <v>63</v>
      </c>
      <c r="C495" t="s">
        <v>63</v>
      </c>
      <c r="D495" t="s">
        <v>6</v>
      </c>
      <c r="E495" s="1">
        <v>43182.382407407407</v>
      </c>
    </row>
    <row r="496" spans="1:5">
      <c r="A496">
        <v>9135</v>
      </c>
      <c r="B496" t="s">
        <v>79</v>
      </c>
      <c r="C496" t="s">
        <v>63</v>
      </c>
      <c r="D496" t="s">
        <v>5</v>
      </c>
      <c r="E496" s="1">
        <v>43182.774178240739</v>
      </c>
    </row>
    <row r="497" spans="1:5">
      <c r="A497">
        <v>9144</v>
      </c>
      <c r="B497" t="s">
        <v>63</v>
      </c>
      <c r="C497" t="s">
        <v>63</v>
      </c>
      <c r="D497" t="s">
        <v>6</v>
      </c>
      <c r="E497" s="1">
        <v>43185.374988425923</v>
      </c>
    </row>
    <row r="498" spans="1:5">
      <c r="A498">
        <v>9152</v>
      </c>
      <c r="B498" t="s">
        <v>63</v>
      </c>
      <c r="C498" t="s">
        <v>63</v>
      </c>
      <c r="D498" t="s">
        <v>5</v>
      </c>
      <c r="E498" s="1">
        <v>43185.771192129629</v>
      </c>
    </row>
    <row r="499" spans="1:5">
      <c r="A499">
        <v>9153</v>
      </c>
      <c r="B499" t="s">
        <v>63</v>
      </c>
      <c r="C499" t="s">
        <v>63</v>
      </c>
      <c r="D499" t="s">
        <v>7</v>
      </c>
      <c r="E499" s="1">
        <v>43185.771215277775</v>
      </c>
    </row>
    <row r="500" spans="1:5" s="2" customFormat="1">
      <c r="A500" s="2">
        <v>9189</v>
      </c>
      <c r="B500" s="2" t="s">
        <v>63</v>
      </c>
      <c r="C500" s="2" t="s">
        <v>63</v>
      </c>
      <c r="D500" s="2" t="s">
        <v>8</v>
      </c>
      <c r="E500" s="405">
        <v>43185.899918981479</v>
      </c>
    </row>
    <row r="501" spans="1:5">
      <c r="A501">
        <v>9163</v>
      </c>
      <c r="B501" t="s">
        <v>79</v>
      </c>
      <c r="C501" t="s">
        <v>63</v>
      </c>
      <c r="D501" t="s">
        <v>6</v>
      </c>
      <c r="E501" s="1">
        <v>43186.3596412037</v>
      </c>
    </row>
    <row r="502" spans="1:5">
      <c r="A502">
        <v>9173</v>
      </c>
      <c r="B502" t="s">
        <v>63</v>
      </c>
      <c r="C502" t="s">
        <v>63</v>
      </c>
      <c r="D502" t="s">
        <v>5</v>
      </c>
      <c r="E502" s="1">
        <v>43186.770949074074</v>
      </c>
    </row>
    <row r="503" spans="1:5" s="2" customFormat="1">
      <c r="A503" s="2">
        <v>9208</v>
      </c>
      <c r="B503" s="2" t="s">
        <v>63</v>
      </c>
      <c r="C503" s="2" t="s">
        <v>63</v>
      </c>
      <c r="D503" s="2" t="s">
        <v>7</v>
      </c>
      <c r="E503" s="405">
        <v>43186.77144675926</v>
      </c>
    </row>
    <row r="504" spans="1:5">
      <c r="A504">
        <v>9189</v>
      </c>
      <c r="B504" t="s">
        <v>63</v>
      </c>
      <c r="C504" t="s">
        <v>63</v>
      </c>
      <c r="D504" t="s">
        <v>8</v>
      </c>
      <c r="E504" s="1">
        <v>43186.945752314816</v>
      </c>
    </row>
    <row r="505" spans="1:5">
      <c r="A505">
        <v>9197</v>
      </c>
      <c r="B505" t="s">
        <v>63</v>
      </c>
      <c r="C505" t="s">
        <v>63</v>
      </c>
      <c r="D505" t="s">
        <v>6</v>
      </c>
      <c r="E505" s="1">
        <v>43187.370706018519</v>
      </c>
    </row>
    <row r="506" spans="1:5">
      <c r="A506">
        <v>9207</v>
      </c>
      <c r="B506" t="s">
        <v>63</v>
      </c>
      <c r="C506" t="s">
        <v>63</v>
      </c>
      <c r="D506" t="s">
        <v>5</v>
      </c>
      <c r="E506" s="1">
        <v>43187.771412037036</v>
      </c>
    </row>
    <row r="507" spans="1:5">
      <c r="A507">
        <v>9208</v>
      </c>
      <c r="B507" t="s">
        <v>63</v>
      </c>
      <c r="C507" t="s">
        <v>63</v>
      </c>
      <c r="D507" t="s">
        <v>7</v>
      </c>
      <c r="E507" s="1">
        <v>43187.77144675926</v>
      </c>
    </row>
    <row r="508" spans="1:5">
      <c r="A508">
        <v>9226</v>
      </c>
      <c r="B508" t="s">
        <v>63</v>
      </c>
      <c r="C508" t="s">
        <v>63</v>
      </c>
      <c r="D508" t="s">
        <v>8</v>
      </c>
      <c r="E508" s="1">
        <v>43187.969224537039</v>
      </c>
    </row>
    <row r="509" spans="1:5">
      <c r="A509">
        <v>9235</v>
      </c>
      <c r="B509" t="s">
        <v>63</v>
      </c>
      <c r="C509" t="s">
        <v>63</v>
      </c>
      <c r="D509" t="s">
        <v>6</v>
      </c>
      <c r="E509" s="1">
        <v>43188.372858796298</v>
      </c>
    </row>
    <row r="510" spans="1:5">
      <c r="A510">
        <v>9247</v>
      </c>
      <c r="B510" t="s">
        <v>63</v>
      </c>
      <c r="C510" t="s">
        <v>63</v>
      </c>
      <c r="D510" t="s">
        <v>5</v>
      </c>
      <c r="E510" s="1">
        <v>43188.778402777774</v>
      </c>
    </row>
    <row r="511" spans="1:5">
      <c r="A511">
        <v>9248</v>
      </c>
      <c r="B511" t="s">
        <v>63</v>
      </c>
      <c r="C511" t="s">
        <v>63</v>
      </c>
      <c r="D511" t="s">
        <v>7</v>
      </c>
      <c r="E511" s="1">
        <v>43188.778414351851</v>
      </c>
    </row>
    <row r="512" spans="1:5">
      <c r="A512">
        <v>9255</v>
      </c>
      <c r="B512" t="s">
        <v>63</v>
      </c>
      <c r="C512" t="s">
        <v>63</v>
      </c>
      <c r="D512" t="s">
        <v>8</v>
      </c>
      <c r="E512" s="1">
        <v>43188.8362037037</v>
      </c>
    </row>
    <row r="513" spans="1:5">
      <c r="A513">
        <v>9266</v>
      </c>
      <c r="B513" t="s">
        <v>79</v>
      </c>
      <c r="C513" t="s">
        <v>63</v>
      </c>
      <c r="D513" t="s">
        <v>6</v>
      </c>
      <c r="E513" s="1">
        <v>43189.371331018519</v>
      </c>
    </row>
    <row r="514" spans="1:5">
      <c r="A514">
        <v>9277</v>
      </c>
      <c r="B514" t="s">
        <v>63</v>
      </c>
      <c r="C514" t="s">
        <v>63</v>
      </c>
      <c r="D514" t="s">
        <v>5</v>
      </c>
      <c r="E514" s="1">
        <v>43189.77584490741</v>
      </c>
    </row>
    <row r="515" spans="1:5">
      <c r="A515">
        <v>9278</v>
      </c>
      <c r="B515" t="s">
        <v>63</v>
      </c>
      <c r="C515" t="s">
        <v>63</v>
      </c>
      <c r="D515" t="s">
        <v>7</v>
      </c>
      <c r="E515" s="1">
        <v>43189.775902777779</v>
      </c>
    </row>
    <row r="516" spans="1:5">
      <c r="A516">
        <v>9282</v>
      </c>
      <c r="B516" t="s">
        <v>63</v>
      </c>
      <c r="C516" t="s">
        <v>63</v>
      </c>
      <c r="D516" t="s">
        <v>8</v>
      </c>
      <c r="E516" s="1">
        <v>43189.846886574072</v>
      </c>
    </row>
    <row r="517" spans="1:5">
      <c r="A517">
        <v>9287</v>
      </c>
      <c r="B517" t="s">
        <v>79</v>
      </c>
      <c r="C517" t="s">
        <v>63</v>
      </c>
      <c r="D517" t="s">
        <v>6</v>
      </c>
      <c r="E517" s="1">
        <v>43190.366932870369</v>
      </c>
    </row>
    <row r="518" spans="1:5">
      <c r="A518">
        <v>9305</v>
      </c>
      <c r="B518" t="s">
        <v>79</v>
      </c>
      <c r="C518" t="s">
        <v>63</v>
      </c>
      <c r="D518" t="s">
        <v>5</v>
      </c>
      <c r="E518" s="1">
        <v>43190.797442129631</v>
      </c>
    </row>
    <row r="519" spans="1:5">
      <c r="A519">
        <v>9306</v>
      </c>
      <c r="B519" t="s">
        <v>79</v>
      </c>
      <c r="C519" t="s">
        <v>63</v>
      </c>
      <c r="D519" t="s">
        <v>7</v>
      </c>
      <c r="E519" s="1">
        <v>43190.797465277778</v>
      </c>
    </row>
    <row r="520" spans="1:5">
      <c r="A520">
        <v>9309</v>
      </c>
      <c r="B520" t="s">
        <v>79</v>
      </c>
      <c r="C520" t="s">
        <v>63</v>
      </c>
      <c r="D520" t="s">
        <v>8</v>
      </c>
      <c r="E520" s="1">
        <v>43190.926006944443</v>
      </c>
    </row>
    <row r="521" spans="1:5">
      <c r="A521">
        <v>8491</v>
      </c>
      <c r="B521" t="s">
        <v>72</v>
      </c>
      <c r="C521" t="s">
        <v>72</v>
      </c>
      <c r="D521" t="s">
        <v>6</v>
      </c>
      <c r="E521" s="1">
        <v>43160.362291666665</v>
      </c>
    </row>
    <row r="522" spans="1:5">
      <c r="A522">
        <v>8509</v>
      </c>
      <c r="B522" t="s">
        <v>71</v>
      </c>
      <c r="C522" t="s">
        <v>72</v>
      </c>
      <c r="D522" t="s">
        <v>5</v>
      </c>
      <c r="E522" s="1">
        <v>43160.785150462965</v>
      </c>
    </row>
    <row r="523" spans="1:5">
      <c r="A523">
        <v>8511</v>
      </c>
      <c r="B523" t="s">
        <v>71</v>
      </c>
      <c r="C523" t="s">
        <v>72</v>
      </c>
      <c r="D523" t="s">
        <v>7</v>
      </c>
      <c r="E523" s="1">
        <v>43160.785185185188</v>
      </c>
    </row>
    <row r="524" spans="1:5">
      <c r="A524">
        <v>8517</v>
      </c>
      <c r="B524" t="s">
        <v>71</v>
      </c>
      <c r="C524" t="s">
        <v>72</v>
      </c>
      <c r="D524" t="s">
        <v>8</v>
      </c>
      <c r="E524" s="1">
        <v>43160.837962962964</v>
      </c>
    </row>
    <row r="525" spans="1:5">
      <c r="A525">
        <v>8525</v>
      </c>
      <c r="B525" t="s">
        <v>71</v>
      </c>
      <c r="C525" t="s">
        <v>72</v>
      </c>
      <c r="D525" t="s">
        <v>6</v>
      </c>
      <c r="E525" s="1">
        <v>43161.365624999999</v>
      </c>
    </row>
    <row r="526" spans="1:5">
      <c r="A526">
        <v>8540</v>
      </c>
      <c r="B526" t="s">
        <v>71</v>
      </c>
      <c r="C526" t="s">
        <v>72</v>
      </c>
      <c r="D526" t="s">
        <v>5</v>
      </c>
      <c r="E526" s="1">
        <v>43161.780821759261</v>
      </c>
    </row>
    <row r="527" spans="1:5">
      <c r="A527">
        <v>8560</v>
      </c>
      <c r="B527" t="s">
        <v>72</v>
      </c>
      <c r="C527" t="s">
        <v>72</v>
      </c>
      <c r="D527" t="s">
        <v>6</v>
      </c>
      <c r="E527" s="1">
        <v>43164.364525462966</v>
      </c>
    </row>
    <row r="528" spans="1:5">
      <c r="A528">
        <v>8582</v>
      </c>
      <c r="B528" t="s">
        <v>71</v>
      </c>
      <c r="C528" t="s">
        <v>72</v>
      </c>
      <c r="D528" t="s">
        <v>5</v>
      </c>
      <c r="E528" s="1">
        <v>43164.783391203702</v>
      </c>
    </row>
    <row r="529" spans="1:5">
      <c r="A529">
        <v>8583</v>
      </c>
      <c r="B529" t="s">
        <v>71</v>
      </c>
      <c r="C529" t="s">
        <v>72</v>
      </c>
      <c r="D529" t="s">
        <v>7</v>
      </c>
      <c r="E529" s="1">
        <v>43164.783425925925</v>
      </c>
    </row>
    <row r="530" spans="1:5">
      <c r="A530">
        <v>8588</v>
      </c>
      <c r="B530" t="s">
        <v>71</v>
      </c>
      <c r="C530" t="s">
        <v>72</v>
      </c>
      <c r="D530" t="s">
        <v>8</v>
      </c>
      <c r="E530" s="1">
        <v>43164.855034722219</v>
      </c>
    </row>
    <row r="531" spans="1:5">
      <c r="A531">
        <v>8596</v>
      </c>
      <c r="B531" t="s">
        <v>72</v>
      </c>
      <c r="C531" t="s">
        <v>72</v>
      </c>
      <c r="D531" t="s">
        <v>6</v>
      </c>
      <c r="E531" s="1">
        <v>43165.363182870373</v>
      </c>
    </row>
    <row r="532" spans="1:5">
      <c r="A532">
        <v>8614</v>
      </c>
      <c r="B532" t="s">
        <v>72</v>
      </c>
      <c r="C532" t="s">
        <v>72</v>
      </c>
      <c r="D532" t="s">
        <v>5</v>
      </c>
      <c r="E532" s="1">
        <v>43165.776226851849</v>
      </c>
    </row>
    <row r="533" spans="1:5">
      <c r="A533">
        <v>8615</v>
      </c>
      <c r="B533" t="s">
        <v>72</v>
      </c>
      <c r="C533" t="s">
        <v>72</v>
      </c>
      <c r="D533" t="s">
        <v>7</v>
      </c>
      <c r="E533" s="1">
        <v>43165.776261574072</v>
      </c>
    </row>
    <row r="534" spans="1:5">
      <c r="A534">
        <v>8623</v>
      </c>
      <c r="B534" t="s">
        <v>72</v>
      </c>
      <c r="C534" t="s">
        <v>72</v>
      </c>
      <c r="D534" t="s">
        <v>8</v>
      </c>
      <c r="E534" s="1">
        <v>43165.902118055557</v>
      </c>
    </row>
    <row r="535" spans="1:5">
      <c r="A535">
        <v>8628</v>
      </c>
      <c r="B535" t="s">
        <v>72</v>
      </c>
      <c r="C535" t="s">
        <v>72</v>
      </c>
      <c r="D535" t="s">
        <v>6</v>
      </c>
      <c r="E535" s="1">
        <v>43166.364398148151</v>
      </c>
    </row>
    <row r="536" spans="1:5">
      <c r="A536">
        <v>8647</v>
      </c>
      <c r="B536" t="s">
        <v>71</v>
      </c>
      <c r="C536" t="s">
        <v>72</v>
      </c>
      <c r="D536" t="s">
        <v>5</v>
      </c>
      <c r="E536" s="1">
        <v>43166.776412037034</v>
      </c>
    </row>
    <row r="537" spans="1:5">
      <c r="A537">
        <v>8648</v>
      </c>
      <c r="B537" t="s">
        <v>71</v>
      </c>
      <c r="C537" t="s">
        <v>72</v>
      </c>
      <c r="D537" t="s">
        <v>7</v>
      </c>
      <c r="E537" s="1">
        <v>43166.77648148148</v>
      </c>
    </row>
    <row r="538" spans="1:5">
      <c r="A538">
        <v>8655</v>
      </c>
      <c r="B538" t="s">
        <v>72</v>
      </c>
      <c r="C538" t="s">
        <v>72</v>
      </c>
      <c r="D538" t="s">
        <v>8</v>
      </c>
      <c r="E538" s="1">
        <v>43166.848969907405</v>
      </c>
    </row>
    <row r="539" spans="1:5">
      <c r="A539">
        <v>8670</v>
      </c>
      <c r="B539" t="s">
        <v>71</v>
      </c>
      <c r="C539" t="s">
        <v>72</v>
      </c>
      <c r="D539" t="s">
        <v>6</v>
      </c>
      <c r="E539" s="1">
        <v>43167.371180555558</v>
      </c>
    </row>
    <row r="540" spans="1:5">
      <c r="A540">
        <v>8681</v>
      </c>
      <c r="B540" t="s">
        <v>71</v>
      </c>
      <c r="C540" t="s">
        <v>72</v>
      </c>
      <c r="D540" t="s">
        <v>5</v>
      </c>
      <c r="E540" s="1">
        <v>43167.773796296293</v>
      </c>
    </row>
    <row r="541" spans="1:5">
      <c r="A541">
        <v>8682</v>
      </c>
      <c r="B541" t="s">
        <v>71</v>
      </c>
      <c r="C541" t="s">
        <v>72</v>
      </c>
      <c r="D541" t="s">
        <v>7</v>
      </c>
      <c r="E541" s="1">
        <v>43167.773854166669</v>
      </c>
    </row>
    <row r="542" spans="1:5">
      <c r="A542">
        <v>8690</v>
      </c>
      <c r="B542" t="s">
        <v>72</v>
      </c>
      <c r="C542" t="s">
        <v>72</v>
      </c>
      <c r="D542" t="s">
        <v>8</v>
      </c>
      <c r="E542" s="1">
        <v>43167.839675925927</v>
      </c>
    </row>
    <row r="543" spans="1:5">
      <c r="A543">
        <v>8692</v>
      </c>
      <c r="B543" t="s">
        <v>71</v>
      </c>
      <c r="C543" t="s">
        <v>72</v>
      </c>
      <c r="D543" t="s">
        <v>6</v>
      </c>
      <c r="E543" s="1">
        <v>43168.362662037034</v>
      </c>
    </row>
    <row r="544" spans="1:5">
      <c r="A544">
        <v>8705</v>
      </c>
      <c r="B544" t="s">
        <v>72</v>
      </c>
      <c r="C544" t="s">
        <v>72</v>
      </c>
      <c r="D544" t="s">
        <v>5</v>
      </c>
      <c r="E544" s="1">
        <v>43168.767766203702</v>
      </c>
    </row>
    <row r="545" spans="1:5">
      <c r="A545">
        <v>8729</v>
      </c>
      <c r="B545" t="s">
        <v>71</v>
      </c>
      <c r="C545" t="s">
        <v>72</v>
      </c>
      <c r="D545" t="s">
        <v>7</v>
      </c>
      <c r="E545" s="1">
        <v>43170.422361111108</v>
      </c>
    </row>
    <row r="546" spans="1:5">
      <c r="A546">
        <v>8735</v>
      </c>
      <c r="B546" t="s">
        <v>71</v>
      </c>
      <c r="C546" t="s">
        <v>72</v>
      </c>
      <c r="D546" t="s">
        <v>8</v>
      </c>
      <c r="E546" s="1">
        <v>43170.549699074072</v>
      </c>
    </row>
    <row r="547" spans="1:5">
      <c r="A547">
        <v>8741</v>
      </c>
      <c r="B547" t="s">
        <v>72</v>
      </c>
      <c r="C547" t="s">
        <v>72</v>
      </c>
      <c r="D547" t="s">
        <v>7</v>
      </c>
      <c r="E547" s="1">
        <v>43170.572708333333</v>
      </c>
    </row>
    <row r="548" spans="1:5">
      <c r="A548">
        <v>8746</v>
      </c>
      <c r="B548" t="s">
        <v>72</v>
      </c>
      <c r="C548" t="s">
        <v>72</v>
      </c>
      <c r="D548" t="s">
        <v>8</v>
      </c>
      <c r="E548" s="1">
        <v>43170.742708333331</v>
      </c>
    </row>
    <row r="549" spans="1:5">
      <c r="A549">
        <v>8764</v>
      </c>
      <c r="B549" t="s">
        <v>71</v>
      </c>
      <c r="C549" t="s">
        <v>72</v>
      </c>
      <c r="D549" t="s">
        <v>6</v>
      </c>
      <c r="E549" s="1">
        <v>43171.366435185184</v>
      </c>
    </row>
    <row r="550" spans="1:5">
      <c r="A550">
        <v>8777</v>
      </c>
      <c r="B550" t="s">
        <v>72</v>
      </c>
      <c r="C550" t="s">
        <v>72</v>
      </c>
      <c r="D550" t="s">
        <v>5</v>
      </c>
      <c r="E550" s="1">
        <v>43171.769074074073</v>
      </c>
    </row>
    <row r="551" spans="1:5">
      <c r="A551">
        <v>8778</v>
      </c>
      <c r="B551" t="s">
        <v>72</v>
      </c>
      <c r="C551" t="s">
        <v>72</v>
      </c>
      <c r="D551" t="s">
        <v>7</v>
      </c>
      <c r="E551" s="1">
        <v>43171.769131944442</v>
      </c>
    </row>
    <row r="552" spans="1:5">
      <c r="A552">
        <v>8796</v>
      </c>
      <c r="B552" t="s">
        <v>72</v>
      </c>
      <c r="C552" t="s">
        <v>72</v>
      </c>
      <c r="D552" t="s">
        <v>8</v>
      </c>
      <c r="E552" s="1">
        <v>43171.909016203703</v>
      </c>
    </row>
    <row r="553" spans="1:5">
      <c r="A553">
        <v>8804</v>
      </c>
      <c r="B553" t="s">
        <v>71</v>
      </c>
      <c r="C553" t="s">
        <v>72</v>
      </c>
      <c r="D553" t="s">
        <v>6</v>
      </c>
      <c r="E553" s="1">
        <v>43172.366342592592</v>
      </c>
    </row>
    <row r="554" spans="1:5">
      <c r="A554">
        <v>8821</v>
      </c>
      <c r="B554" t="s">
        <v>72</v>
      </c>
      <c r="C554" t="s">
        <v>72</v>
      </c>
      <c r="D554" t="s">
        <v>5</v>
      </c>
      <c r="E554" s="1">
        <v>43172.773298611108</v>
      </c>
    </row>
    <row r="555" spans="1:5">
      <c r="A555">
        <v>8822</v>
      </c>
      <c r="B555" t="s">
        <v>72</v>
      </c>
      <c r="C555" t="s">
        <v>72</v>
      </c>
      <c r="D555" t="s">
        <v>7</v>
      </c>
      <c r="E555" s="1">
        <v>43172.773344907408</v>
      </c>
    </row>
    <row r="556" spans="1:5">
      <c r="A556">
        <v>8832</v>
      </c>
      <c r="B556" t="s">
        <v>71</v>
      </c>
      <c r="C556" t="s">
        <v>72</v>
      </c>
      <c r="D556" t="s">
        <v>8</v>
      </c>
      <c r="E556" s="1">
        <v>43172.872094907405</v>
      </c>
    </row>
    <row r="557" spans="1:5">
      <c r="A557">
        <v>8838</v>
      </c>
      <c r="B557" t="s">
        <v>72</v>
      </c>
      <c r="C557" t="s">
        <v>72</v>
      </c>
      <c r="D557" t="s">
        <v>6</v>
      </c>
      <c r="E557" s="1">
        <v>43173.363634259258</v>
      </c>
    </row>
    <row r="558" spans="1:5" s="2" customFormat="1">
      <c r="A558" s="2">
        <v>8821</v>
      </c>
      <c r="B558" s="2" t="s">
        <v>72</v>
      </c>
      <c r="C558" s="2" t="s">
        <v>72</v>
      </c>
      <c r="D558" s="2" t="s">
        <v>5</v>
      </c>
      <c r="E558" s="405">
        <v>43173.771215277775</v>
      </c>
    </row>
    <row r="559" spans="1:5" s="2" customFormat="1">
      <c r="A559" s="2">
        <v>8822</v>
      </c>
      <c r="B559" s="2" t="s">
        <v>72</v>
      </c>
      <c r="C559" s="2" t="s">
        <v>72</v>
      </c>
      <c r="D559" s="2" t="s">
        <v>7</v>
      </c>
      <c r="E559" s="405">
        <v>43173.771261574075</v>
      </c>
    </row>
    <row r="560" spans="1:5">
      <c r="A560">
        <v>8867</v>
      </c>
      <c r="B560" t="s">
        <v>71</v>
      </c>
      <c r="C560" t="s">
        <v>72</v>
      </c>
      <c r="D560" t="s">
        <v>8</v>
      </c>
      <c r="E560" s="1">
        <v>43173.862118055556</v>
      </c>
    </row>
    <row r="561" spans="1:5">
      <c r="A561">
        <v>8872</v>
      </c>
      <c r="B561" t="s">
        <v>71</v>
      </c>
      <c r="C561" t="s">
        <v>72</v>
      </c>
      <c r="D561" t="s">
        <v>6</v>
      </c>
      <c r="E561" s="1">
        <v>43174.363125000003</v>
      </c>
    </row>
    <row r="562" spans="1:5">
      <c r="A562">
        <v>8889</v>
      </c>
      <c r="B562" t="s">
        <v>72</v>
      </c>
      <c r="C562" t="s">
        <v>72</v>
      </c>
      <c r="D562" t="s">
        <v>5</v>
      </c>
      <c r="E562" s="1">
        <v>43174.771412037036</v>
      </c>
    </row>
    <row r="563" spans="1:5">
      <c r="A563">
        <v>8890</v>
      </c>
      <c r="B563" t="s">
        <v>72</v>
      </c>
      <c r="C563" t="s">
        <v>72</v>
      </c>
      <c r="D563" t="s">
        <v>7</v>
      </c>
      <c r="E563" s="1">
        <v>43174.771469907406</v>
      </c>
    </row>
    <row r="564" spans="1:5">
      <c r="A564">
        <v>8903</v>
      </c>
      <c r="B564" t="s">
        <v>71</v>
      </c>
      <c r="C564" t="s">
        <v>72</v>
      </c>
      <c r="D564" t="s">
        <v>8</v>
      </c>
      <c r="E564" s="1">
        <v>43174.864120370374</v>
      </c>
    </row>
    <row r="565" spans="1:5">
      <c r="A565">
        <v>8910</v>
      </c>
      <c r="B565" t="s">
        <v>72</v>
      </c>
      <c r="C565" t="s">
        <v>72</v>
      </c>
      <c r="D565" t="s">
        <v>6</v>
      </c>
      <c r="E565" s="1">
        <v>43175.363020833334</v>
      </c>
    </row>
    <row r="566" spans="1:5">
      <c r="A566">
        <v>8920</v>
      </c>
      <c r="B566" t="s">
        <v>72</v>
      </c>
      <c r="C566" t="s">
        <v>72</v>
      </c>
      <c r="D566" t="s">
        <v>5</v>
      </c>
      <c r="E566" s="1">
        <v>43175.768587962964</v>
      </c>
    </row>
    <row r="567" spans="1:5">
      <c r="A567">
        <v>8921</v>
      </c>
      <c r="B567" t="s">
        <v>72</v>
      </c>
      <c r="C567" t="s">
        <v>72</v>
      </c>
      <c r="D567" t="s">
        <v>7</v>
      </c>
      <c r="E567" s="1">
        <v>43175.768645833334</v>
      </c>
    </row>
    <row r="568" spans="1:5">
      <c r="A568">
        <v>8938</v>
      </c>
      <c r="B568" t="s">
        <v>71</v>
      </c>
      <c r="C568" t="s">
        <v>72</v>
      </c>
      <c r="D568" t="s">
        <v>8</v>
      </c>
      <c r="E568" s="1">
        <v>43175.905868055554</v>
      </c>
    </row>
    <row r="569" spans="1:5">
      <c r="A569">
        <v>8942</v>
      </c>
      <c r="B569" t="s">
        <v>71</v>
      </c>
      <c r="C569" t="s">
        <v>72</v>
      </c>
      <c r="D569" t="s">
        <v>7</v>
      </c>
      <c r="E569" s="1">
        <v>43176.417395833334</v>
      </c>
    </row>
    <row r="570" spans="1:5">
      <c r="A570">
        <v>8956</v>
      </c>
      <c r="B570" t="s">
        <v>71</v>
      </c>
      <c r="C570" t="s">
        <v>72</v>
      </c>
      <c r="D570" t="s">
        <v>8</v>
      </c>
      <c r="E570" s="1">
        <v>43176.567013888889</v>
      </c>
    </row>
    <row r="571" spans="1:5">
      <c r="A571">
        <v>8958</v>
      </c>
      <c r="B571" t="s">
        <v>71</v>
      </c>
      <c r="C571" t="s">
        <v>72</v>
      </c>
      <c r="D571" t="s">
        <v>7</v>
      </c>
      <c r="E571" s="1">
        <v>43176.573819444442</v>
      </c>
    </row>
    <row r="572" spans="1:5">
      <c r="A572">
        <v>8965</v>
      </c>
      <c r="B572" t="s">
        <v>72</v>
      </c>
      <c r="C572" t="s">
        <v>72</v>
      </c>
      <c r="D572" t="s">
        <v>8</v>
      </c>
      <c r="E572" s="1">
        <v>43176.693854166668</v>
      </c>
    </row>
    <row r="573" spans="1:5">
      <c r="A573">
        <v>8975</v>
      </c>
      <c r="B573" t="s">
        <v>72</v>
      </c>
      <c r="C573" t="s">
        <v>72</v>
      </c>
      <c r="D573" t="s">
        <v>6</v>
      </c>
      <c r="E573" s="1">
        <v>43178.364583333336</v>
      </c>
    </row>
    <row r="574" spans="1:5">
      <c r="A574">
        <v>8989</v>
      </c>
      <c r="B574" t="s">
        <v>72</v>
      </c>
      <c r="C574" t="s">
        <v>72</v>
      </c>
      <c r="D574" t="s">
        <v>5</v>
      </c>
      <c r="E574" s="1">
        <v>43178.768275462964</v>
      </c>
    </row>
    <row r="575" spans="1:5">
      <c r="A575">
        <v>8990</v>
      </c>
      <c r="B575" t="s">
        <v>72</v>
      </c>
      <c r="C575" t="s">
        <v>72</v>
      </c>
      <c r="D575" t="s">
        <v>7</v>
      </c>
      <c r="E575" s="1">
        <v>43178.768321759257</v>
      </c>
    </row>
    <row r="576" spans="1:5">
      <c r="A576">
        <v>9003</v>
      </c>
      <c r="B576" t="s">
        <v>71</v>
      </c>
      <c r="C576" t="s">
        <v>72</v>
      </c>
      <c r="D576" t="s">
        <v>8</v>
      </c>
      <c r="E576" s="1">
        <v>43178.8672337963</v>
      </c>
    </row>
    <row r="577" spans="1:5">
      <c r="A577">
        <v>9012</v>
      </c>
      <c r="B577" t="s">
        <v>72</v>
      </c>
      <c r="C577" t="s">
        <v>72</v>
      </c>
      <c r="D577" t="s">
        <v>6</v>
      </c>
      <c r="E577" s="1">
        <v>43179.366030092591</v>
      </c>
    </row>
    <row r="578" spans="1:5">
      <c r="A578">
        <v>9025</v>
      </c>
      <c r="B578" t="s">
        <v>72</v>
      </c>
      <c r="C578" t="s">
        <v>72</v>
      </c>
      <c r="D578" t="s">
        <v>5</v>
      </c>
      <c r="E578" s="1">
        <v>43179.76971064815</v>
      </c>
    </row>
    <row r="579" spans="1:5">
      <c r="A579">
        <v>9026</v>
      </c>
      <c r="B579" t="s">
        <v>72</v>
      </c>
      <c r="C579" t="s">
        <v>72</v>
      </c>
      <c r="D579" t="s">
        <v>7</v>
      </c>
      <c r="E579" s="1">
        <v>43179.769756944443</v>
      </c>
    </row>
    <row r="580" spans="1:5">
      <c r="A580">
        <v>9030</v>
      </c>
      <c r="B580" t="s">
        <v>72</v>
      </c>
      <c r="C580" t="s">
        <v>72</v>
      </c>
      <c r="D580" t="s">
        <v>8</v>
      </c>
      <c r="E580" s="1">
        <v>43179.771481481483</v>
      </c>
    </row>
    <row r="581" spans="1:5">
      <c r="A581">
        <v>9037</v>
      </c>
      <c r="B581" t="s">
        <v>71</v>
      </c>
      <c r="C581" t="s">
        <v>72</v>
      </c>
      <c r="D581" t="s">
        <v>7</v>
      </c>
      <c r="E581" s="1">
        <v>43179.791238425925</v>
      </c>
    </row>
    <row r="582" spans="1:5">
      <c r="A582">
        <v>9043</v>
      </c>
      <c r="B582" t="s">
        <v>71</v>
      </c>
      <c r="C582" t="s">
        <v>72</v>
      </c>
      <c r="D582" t="s">
        <v>8</v>
      </c>
      <c r="E582" s="1">
        <v>43179.883935185186</v>
      </c>
    </row>
    <row r="583" spans="1:5">
      <c r="A583">
        <v>9047</v>
      </c>
      <c r="B583" t="s">
        <v>72</v>
      </c>
      <c r="C583" t="s">
        <v>72</v>
      </c>
      <c r="D583" t="s">
        <v>6</v>
      </c>
      <c r="E583" s="1">
        <v>43180.364814814813</v>
      </c>
    </row>
    <row r="584" spans="1:5">
      <c r="A584">
        <v>9064</v>
      </c>
      <c r="B584" t="s">
        <v>72</v>
      </c>
      <c r="C584" t="s">
        <v>72</v>
      </c>
      <c r="D584" t="s">
        <v>5</v>
      </c>
      <c r="E584" s="1">
        <v>43180.770972222221</v>
      </c>
    </row>
    <row r="585" spans="1:5">
      <c r="A585">
        <v>9065</v>
      </c>
      <c r="B585" t="s">
        <v>72</v>
      </c>
      <c r="C585" t="s">
        <v>72</v>
      </c>
      <c r="D585" t="s">
        <v>7</v>
      </c>
      <c r="E585" s="1">
        <v>43180.771018518521</v>
      </c>
    </row>
    <row r="586" spans="1:5">
      <c r="A586">
        <v>9078</v>
      </c>
      <c r="B586" t="s">
        <v>71</v>
      </c>
      <c r="C586" t="s">
        <v>72</v>
      </c>
      <c r="D586" t="s">
        <v>8</v>
      </c>
      <c r="E586" s="1">
        <v>43180.860636574071</v>
      </c>
    </row>
    <row r="587" spans="1:5">
      <c r="A587">
        <v>9084</v>
      </c>
      <c r="B587" t="s">
        <v>72</v>
      </c>
      <c r="C587" t="s">
        <v>72</v>
      </c>
      <c r="D587" t="s">
        <v>6</v>
      </c>
      <c r="E587" s="1">
        <v>43181.36414351852</v>
      </c>
    </row>
    <row r="588" spans="1:5">
      <c r="A588">
        <v>9096</v>
      </c>
      <c r="B588" t="s">
        <v>72</v>
      </c>
      <c r="C588" t="s">
        <v>72</v>
      </c>
      <c r="D588" t="s">
        <v>5</v>
      </c>
      <c r="E588" s="1">
        <v>43181.764143518521</v>
      </c>
    </row>
    <row r="589" spans="1:5">
      <c r="A589">
        <v>9097</v>
      </c>
      <c r="B589" t="s">
        <v>72</v>
      </c>
      <c r="C589" t="s">
        <v>72</v>
      </c>
      <c r="D589" t="s">
        <v>7</v>
      </c>
      <c r="E589" s="1">
        <v>43181.764189814814</v>
      </c>
    </row>
    <row r="590" spans="1:5">
      <c r="A590">
        <v>9104</v>
      </c>
      <c r="B590" t="s">
        <v>71</v>
      </c>
      <c r="C590" t="s">
        <v>72</v>
      </c>
      <c r="D590" t="s">
        <v>8</v>
      </c>
      <c r="E590" s="1">
        <v>43181.796226851853</v>
      </c>
    </row>
    <row r="591" spans="1:5" s="2" customFormat="1">
      <c r="A591" s="2">
        <v>9097</v>
      </c>
      <c r="B591" s="2" t="s">
        <v>72</v>
      </c>
      <c r="C591" s="2" t="s">
        <v>72</v>
      </c>
      <c r="D591" s="2" t="s">
        <v>7</v>
      </c>
      <c r="E591" s="405">
        <v>43181.805856481478</v>
      </c>
    </row>
    <row r="592" spans="1:5">
      <c r="A592">
        <v>9113</v>
      </c>
      <c r="B592" t="s">
        <v>71</v>
      </c>
      <c r="C592" t="s">
        <v>72</v>
      </c>
      <c r="D592" t="s">
        <v>8</v>
      </c>
      <c r="E592" s="1">
        <v>43181.934814814813</v>
      </c>
    </row>
    <row r="593" spans="1:5">
      <c r="A593">
        <v>9121</v>
      </c>
      <c r="B593" t="s">
        <v>72</v>
      </c>
      <c r="C593" t="s">
        <v>72</v>
      </c>
      <c r="D593" t="s">
        <v>6</v>
      </c>
      <c r="E593" s="1">
        <v>43182.365787037037</v>
      </c>
    </row>
    <row r="594" spans="1:5">
      <c r="A594">
        <v>9130</v>
      </c>
      <c r="B594" t="s">
        <v>72</v>
      </c>
      <c r="C594" t="s">
        <v>72</v>
      </c>
      <c r="D594" t="s">
        <v>5</v>
      </c>
      <c r="E594" s="1">
        <v>43182.768171296295</v>
      </c>
    </row>
    <row r="595" spans="1:5">
      <c r="A595">
        <v>9140</v>
      </c>
      <c r="B595" t="s">
        <v>72</v>
      </c>
      <c r="C595" t="s">
        <v>72</v>
      </c>
      <c r="D595" t="s">
        <v>6</v>
      </c>
      <c r="E595" s="1">
        <v>43185.364085648151</v>
      </c>
    </row>
    <row r="596" spans="1:5">
      <c r="A596">
        <v>9147</v>
      </c>
      <c r="B596" t="s">
        <v>72</v>
      </c>
      <c r="C596" t="s">
        <v>72</v>
      </c>
      <c r="D596" t="s">
        <v>5</v>
      </c>
      <c r="E596" s="1">
        <v>43185.767766203702</v>
      </c>
    </row>
    <row r="597" spans="1:5">
      <c r="A597">
        <v>9148</v>
      </c>
      <c r="B597" t="s">
        <v>72</v>
      </c>
      <c r="C597" t="s">
        <v>72</v>
      </c>
      <c r="D597" t="s">
        <v>7</v>
      </c>
      <c r="E597" s="1">
        <v>43185.767824074072</v>
      </c>
    </row>
    <row r="598" spans="1:5">
      <c r="A598">
        <v>9158</v>
      </c>
      <c r="B598" t="s">
        <v>72</v>
      </c>
      <c r="C598" t="s">
        <v>72</v>
      </c>
      <c r="D598" t="s">
        <v>8</v>
      </c>
      <c r="E598" s="1">
        <v>43185.831458333334</v>
      </c>
    </row>
    <row r="599" spans="1:5">
      <c r="A599">
        <v>9166</v>
      </c>
      <c r="B599" t="s">
        <v>72</v>
      </c>
      <c r="C599" t="s">
        <v>72</v>
      </c>
      <c r="D599" t="s">
        <v>6</v>
      </c>
      <c r="E599" s="1">
        <v>43186.364432870374</v>
      </c>
    </row>
    <row r="600" spans="1:5">
      <c r="A600">
        <v>9176</v>
      </c>
      <c r="B600" t="s">
        <v>71</v>
      </c>
      <c r="C600" t="s">
        <v>72</v>
      </c>
      <c r="D600" t="s">
        <v>5</v>
      </c>
      <c r="E600" s="1">
        <v>43186.773310185185</v>
      </c>
    </row>
    <row r="601" spans="1:5">
      <c r="A601">
        <v>9177</v>
      </c>
      <c r="B601" t="s">
        <v>71</v>
      </c>
      <c r="C601" t="s">
        <v>72</v>
      </c>
      <c r="D601" t="s">
        <v>7</v>
      </c>
      <c r="E601" s="1">
        <v>43186.773344907408</v>
      </c>
    </row>
    <row r="602" spans="1:5">
      <c r="A602">
        <v>9185</v>
      </c>
      <c r="B602" t="s">
        <v>71</v>
      </c>
      <c r="C602" t="s">
        <v>72</v>
      </c>
      <c r="D602" t="s">
        <v>8</v>
      </c>
      <c r="E602" s="1">
        <v>43186.833564814813</v>
      </c>
    </row>
    <row r="603" spans="1:5">
      <c r="A603">
        <v>9195</v>
      </c>
      <c r="B603" t="s">
        <v>72</v>
      </c>
      <c r="C603" t="s">
        <v>72</v>
      </c>
      <c r="D603" t="s">
        <v>6</v>
      </c>
      <c r="E603" s="1">
        <v>43187.364629629628</v>
      </c>
    </row>
    <row r="604" spans="1:5">
      <c r="A604">
        <v>9205</v>
      </c>
      <c r="B604" t="s">
        <v>72</v>
      </c>
      <c r="C604" t="s">
        <v>72</v>
      </c>
      <c r="D604" t="s">
        <v>5</v>
      </c>
      <c r="E604" s="1">
        <v>43187.771296296298</v>
      </c>
    </row>
    <row r="605" spans="1:5">
      <c r="A605">
        <v>9206</v>
      </c>
      <c r="B605" t="s">
        <v>72</v>
      </c>
      <c r="C605" t="s">
        <v>72</v>
      </c>
      <c r="D605" t="s">
        <v>7</v>
      </c>
      <c r="E605" s="1">
        <v>43187.771377314813</v>
      </c>
    </row>
    <row r="606" spans="1:5">
      <c r="A606">
        <v>9222</v>
      </c>
      <c r="B606" t="s">
        <v>97</v>
      </c>
      <c r="C606" t="s">
        <v>72</v>
      </c>
      <c r="D606" t="s">
        <v>8</v>
      </c>
      <c r="E606" s="1">
        <v>43187.866747685184</v>
      </c>
    </row>
    <row r="607" spans="1:5">
      <c r="A607">
        <v>9229</v>
      </c>
      <c r="B607" t="s">
        <v>72</v>
      </c>
      <c r="C607" t="s">
        <v>72</v>
      </c>
      <c r="D607" t="s">
        <v>6</v>
      </c>
      <c r="E607" s="1">
        <v>43188.364247685182</v>
      </c>
    </row>
    <row r="608" spans="1:5">
      <c r="A608">
        <v>9243</v>
      </c>
      <c r="B608" t="s">
        <v>71</v>
      </c>
      <c r="C608" t="s">
        <v>72</v>
      </c>
      <c r="D608" t="s">
        <v>5</v>
      </c>
      <c r="E608" s="1">
        <v>43188.772650462961</v>
      </c>
    </row>
    <row r="609" spans="1:5">
      <c r="A609">
        <v>9244</v>
      </c>
      <c r="B609" t="s">
        <v>71</v>
      </c>
      <c r="C609" t="s">
        <v>72</v>
      </c>
      <c r="D609" t="s">
        <v>7</v>
      </c>
      <c r="E609" s="1">
        <v>43188.772685185184</v>
      </c>
    </row>
    <row r="610" spans="1:5">
      <c r="A610">
        <v>9256</v>
      </c>
      <c r="B610" t="s">
        <v>71</v>
      </c>
      <c r="C610" t="s">
        <v>72</v>
      </c>
      <c r="D610" t="s">
        <v>8</v>
      </c>
      <c r="E610" s="1">
        <v>43188.848252314812</v>
      </c>
    </row>
    <row r="611" spans="1:5">
      <c r="A611">
        <v>9261</v>
      </c>
      <c r="B611" t="s">
        <v>71</v>
      </c>
      <c r="C611" t="s">
        <v>72</v>
      </c>
      <c r="D611" t="s">
        <v>6</v>
      </c>
      <c r="E611" s="1">
        <v>43189.364664351851</v>
      </c>
    </row>
    <row r="612" spans="1:5">
      <c r="A612">
        <v>9276</v>
      </c>
      <c r="B612" t="s">
        <v>72</v>
      </c>
      <c r="C612" t="s">
        <v>72</v>
      </c>
      <c r="D612" t="s">
        <v>5</v>
      </c>
      <c r="E612" s="1">
        <v>43189.775706018518</v>
      </c>
    </row>
    <row r="613" spans="1:5">
      <c r="A613">
        <v>9283</v>
      </c>
      <c r="B613" t="s">
        <v>71</v>
      </c>
      <c r="C613" t="s">
        <v>72</v>
      </c>
      <c r="D613" t="s">
        <v>6</v>
      </c>
      <c r="E613" s="1">
        <v>43190.361689814818</v>
      </c>
    </row>
    <row r="614" spans="1:5">
      <c r="A614">
        <v>9294</v>
      </c>
      <c r="B614" t="s">
        <v>71</v>
      </c>
      <c r="C614" t="s">
        <v>72</v>
      </c>
      <c r="D614" t="s">
        <v>5</v>
      </c>
      <c r="E614" s="1">
        <v>43190.766122685185</v>
      </c>
    </row>
    <row r="615" spans="1:5">
      <c r="A615">
        <v>8494</v>
      </c>
      <c r="B615" t="s">
        <v>88</v>
      </c>
      <c r="C615" t="s">
        <v>88</v>
      </c>
      <c r="D615" t="s">
        <v>6</v>
      </c>
      <c r="E615" s="1">
        <v>43160.368009259262</v>
      </c>
    </row>
    <row r="616" spans="1:5">
      <c r="A616">
        <v>8505</v>
      </c>
      <c r="B616" t="s">
        <v>88</v>
      </c>
      <c r="C616" t="s">
        <v>88</v>
      </c>
      <c r="D616" t="s">
        <v>5</v>
      </c>
      <c r="E616" s="1">
        <v>43160.771053240744</v>
      </c>
    </row>
    <row r="617" spans="1:5">
      <c r="A617">
        <v>8527</v>
      </c>
      <c r="B617" t="s">
        <v>88</v>
      </c>
      <c r="C617" t="s">
        <v>88</v>
      </c>
      <c r="D617" t="s">
        <v>6</v>
      </c>
      <c r="E617" s="1">
        <v>43161.369259259256</v>
      </c>
    </row>
    <row r="618" spans="1:5">
      <c r="A618">
        <v>8535</v>
      </c>
      <c r="B618" t="s">
        <v>88</v>
      </c>
      <c r="C618" t="s">
        <v>88</v>
      </c>
      <c r="D618" t="s">
        <v>5</v>
      </c>
      <c r="E618" s="1">
        <v>43161.767060185186</v>
      </c>
    </row>
    <row r="619" spans="1:5">
      <c r="A619">
        <v>8568</v>
      </c>
      <c r="B619" t="s">
        <v>88</v>
      </c>
      <c r="C619" t="s">
        <v>88</v>
      </c>
      <c r="D619" t="s">
        <v>6</v>
      </c>
      <c r="E619" s="1">
        <v>43164.550879629627</v>
      </c>
    </row>
    <row r="620" spans="1:5">
      <c r="A620">
        <v>8575</v>
      </c>
      <c r="B620" t="s">
        <v>89</v>
      </c>
      <c r="C620" t="s">
        <v>88</v>
      </c>
      <c r="D620" t="s">
        <v>5</v>
      </c>
      <c r="E620" s="1">
        <v>43164.765069444446</v>
      </c>
    </row>
    <row r="621" spans="1:5">
      <c r="A621">
        <v>8601</v>
      </c>
      <c r="B621" t="s">
        <v>88</v>
      </c>
      <c r="C621" t="s">
        <v>88</v>
      </c>
      <c r="D621" t="s">
        <v>6</v>
      </c>
      <c r="E621" s="1">
        <v>43165.369756944441</v>
      </c>
    </row>
    <row r="622" spans="1:5">
      <c r="A622">
        <v>8610</v>
      </c>
      <c r="B622" t="s">
        <v>89</v>
      </c>
      <c r="C622" t="s">
        <v>88</v>
      </c>
      <c r="D622" t="s">
        <v>5</v>
      </c>
      <c r="E622" s="1">
        <v>43165.773113425923</v>
      </c>
    </row>
    <row r="623" spans="1:5">
      <c r="A623">
        <v>8611</v>
      </c>
      <c r="B623" t="s">
        <v>89</v>
      </c>
      <c r="C623" t="s">
        <v>88</v>
      </c>
      <c r="D623" t="s">
        <v>7</v>
      </c>
      <c r="E623" s="1">
        <v>43165.773194444446</v>
      </c>
    </row>
    <row r="624" spans="1:5">
      <c r="A624">
        <v>8616</v>
      </c>
      <c r="B624" t="s">
        <v>89</v>
      </c>
      <c r="C624" t="s">
        <v>88</v>
      </c>
      <c r="D624" t="s">
        <v>8</v>
      </c>
      <c r="E624" s="1">
        <v>43165.78229166667</v>
      </c>
    </row>
    <row r="625" spans="1:5">
      <c r="A625">
        <v>8631</v>
      </c>
      <c r="B625" t="s">
        <v>88</v>
      </c>
      <c r="C625" t="s">
        <v>88</v>
      </c>
      <c r="D625" t="s">
        <v>6</v>
      </c>
      <c r="E625" s="1">
        <v>43166.367650462962</v>
      </c>
    </row>
    <row r="626" spans="1:5">
      <c r="A626">
        <v>8641</v>
      </c>
      <c r="B626" t="s">
        <v>89</v>
      </c>
      <c r="C626" t="s">
        <v>88</v>
      </c>
      <c r="D626" t="s">
        <v>5</v>
      </c>
      <c r="E626" s="1">
        <v>43166.770243055558</v>
      </c>
    </row>
    <row r="627" spans="1:5">
      <c r="A627">
        <v>8645</v>
      </c>
      <c r="B627" t="s">
        <v>89</v>
      </c>
      <c r="C627" t="s">
        <v>88</v>
      </c>
      <c r="D627" t="s">
        <v>7</v>
      </c>
      <c r="E627" s="1">
        <v>43166.770949074074</v>
      </c>
    </row>
    <row r="628" spans="1:5">
      <c r="A628">
        <v>8653</v>
      </c>
      <c r="B628" t="s">
        <v>89</v>
      </c>
      <c r="C628" t="s">
        <v>88</v>
      </c>
      <c r="D628" t="s">
        <v>8</v>
      </c>
      <c r="E628" s="1">
        <v>43166.798622685186</v>
      </c>
    </row>
    <row r="629" spans="1:5">
      <c r="A629">
        <v>8669</v>
      </c>
      <c r="B629" t="s">
        <v>88</v>
      </c>
      <c r="C629" t="s">
        <v>88</v>
      </c>
      <c r="D629" t="s">
        <v>6</v>
      </c>
      <c r="E629" s="1">
        <v>43167.369953703703</v>
      </c>
    </row>
    <row r="630" spans="1:5">
      <c r="A630">
        <v>8674</v>
      </c>
      <c r="B630" t="s">
        <v>89</v>
      </c>
      <c r="C630" t="s">
        <v>88</v>
      </c>
      <c r="D630" t="s">
        <v>5</v>
      </c>
      <c r="E630" s="1">
        <v>43167.76667824074</v>
      </c>
    </row>
    <row r="631" spans="1:5">
      <c r="A631">
        <v>8697</v>
      </c>
      <c r="B631" t="s">
        <v>88</v>
      </c>
      <c r="C631" t="s">
        <v>88</v>
      </c>
      <c r="D631" t="s">
        <v>6</v>
      </c>
      <c r="E631" s="1">
        <v>43168.36922453704</v>
      </c>
    </row>
    <row r="632" spans="1:5">
      <c r="A632">
        <v>8713</v>
      </c>
      <c r="B632" t="s">
        <v>88</v>
      </c>
      <c r="C632" t="s">
        <v>88</v>
      </c>
      <c r="D632" t="s">
        <v>5</v>
      </c>
      <c r="E632" s="1">
        <v>43168.777488425927</v>
      </c>
    </row>
    <row r="633" spans="1:5">
      <c r="A633">
        <v>8745</v>
      </c>
      <c r="B633" t="s">
        <v>88</v>
      </c>
      <c r="C633" t="s">
        <v>88</v>
      </c>
      <c r="D633" t="s">
        <v>7</v>
      </c>
      <c r="E633" s="1">
        <v>43170.653912037036</v>
      </c>
    </row>
    <row r="634" spans="1:5">
      <c r="A634">
        <v>8758</v>
      </c>
      <c r="B634" t="s">
        <v>88</v>
      </c>
      <c r="C634" t="s">
        <v>88</v>
      </c>
      <c r="D634" t="s">
        <v>8</v>
      </c>
      <c r="E634" s="1">
        <v>43170.787361111114</v>
      </c>
    </row>
    <row r="635" spans="1:5">
      <c r="A635">
        <v>8768</v>
      </c>
      <c r="B635" t="s">
        <v>88</v>
      </c>
      <c r="C635" t="s">
        <v>88</v>
      </c>
      <c r="D635" t="s">
        <v>6</v>
      </c>
      <c r="E635" s="1">
        <v>43171.371006944442</v>
      </c>
    </row>
    <row r="636" spans="1:5">
      <c r="A636">
        <v>8781</v>
      </c>
      <c r="B636" t="s">
        <v>89</v>
      </c>
      <c r="C636" t="s">
        <v>88</v>
      </c>
      <c r="D636" t="s">
        <v>5</v>
      </c>
      <c r="E636" s="1">
        <v>43171.771099537036</v>
      </c>
    </row>
    <row r="637" spans="1:5">
      <c r="A637">
        <v>8782</v>
      </c>
      <c r="B637" t="s">
        <v>89</v>
      </c>
      <c r="C637" t="s">
        <v>88</v>
      </c>
      <c r="D637" t="s">
        <v>7</v>
      </c>
      <c r="E637" s="1">
        <v>43171.771180555559</v>
      </c>
    </row>
    <row r="638" spans="1:5">
      <c r="A638">
        <v>8791</v>
      </c>
      <c r="B638" t="s">
        <v>89</v>
      </c>
      <c r="C638" t="s">
        <v>88</v>
      </c>
      <c r="D638" t="s">
        <v>8</v>
      </c>
      <c r="E638" s="1">
        <v>43171.804340277777</v>
      </c>
    </row>
    <row r="639" spans="1:5">
      <c r="A639">
        <v>8809</v>
      </c>
      <c r="B639" t="s">
        <v>88</v>
      </c>
      <c r="C639" t="s">
        <v>88</v>
      </c>
      <c r="D639" t="s">
        <v>6</v>
      </c>
      <c r="E639" s="1">
        <v>43172.36991898148</v>
      </c>
    </row>
    <row r="640" spans="1:5">
      <c r="A640">
        <v>8814</v>
      </c>
      <c r="B640" t="s">
        <v>89</v>
      </c>
      <c r="C640" t="s">
        <v>88</v>
      </c>
      <c r="D640" t="s">
        <v>5</v>
      </c>
      <c r="E640" s="1">
        <v>43172.771678240744</v>
      </c>
    </row>
    <row r="641" spans="1:5">
      <c r="A641">
        <v>8815</v>
      </c>
      <c r="B641" t="s">
        <v>89</v>
      </c>
      <c r="C641" t="s">
        <v>88</v>
      </c>
      <c r="D641" t="s">
        <v>7</v>
      </c>
      <c r="E641" s="1">
        <v>43172.771886574075</v>
      </c>
    </row>
    <row r="642" spans="1:5">
      <c r="A642">
        <v>8828</v>
      </c>
      <c r="B642" t="s">
        <v>89</v>
      </c>
      <c r="C642" t="s">
        <v>88</v>
      </c>
      <c r="D642" t="s">
        <v>8</v>
      </c>
      <c r="E642" s="1">
        <v>43172.836226851854</v>
      </c>
    </row>
    <row r="643" spans="1:5">
      <c r="A643">
        <v>8843</v>
      </c>
      <c r="B643" t="s">
        <v>88</v>
      </c>
      <c r="C643" t="s">
        <v>88</v>
      </c>
      <c r="D643" t="s">
        <v>6</v>
      </c>
      <c r="E643" s="1">
        <v>43173.371018518519</v>
      </c>
    </row>
    <row r="644" spans="1:5">
      <c r="A644">
        <v>8852</v>
      </c>
      <c r="B644" t="s">
        <v>89</v>
      </c>
      <c r="C644" t="s">
        <v>88</v>
      </c>
      <c r="D644" t="s">
        <v>5</v>
      </c>
      <c r="E644" s="1">
        <v>43173.77175925926</v>
      </c>
    </row>
    <row r="645" spans="1:5">
      <c r="A645">
        <v>8855</v>
      </c>
      <c r="B645" t="s">
        <v>89</v>
      </c>
      <c r="C645" t="s">
        <v>88</v>
      </c>
      <c r="D645" t="s">
        <v>7</v>
      </c>
      <c r="E645" s="1">
        <v>43173.771898148145</v>
      </c>
    </row>
    <row r="646" spans="1:5">
      <c r="A646">
        <v>8866</v>
      </c>
      <c r="B646" t="s">
        <v>89</v>
      </c>
      <c r="C646" t="s">
        <v>88</v>
      </c>
      <c r="D646" t="s">
        <v>8</v>
      </c>
      <c r="E646" s="1">
        <v>43173.861967592595</v>
      </c>
    </row>
    <row r="647" spans="1:5">
      <c r="A647">
        <v>8879</v>
      </c>
      <c r="B647" t="s">
        <v>88</v>
      </c>
      <c r="C647" t="s">
        <v>88</v>
      </c>
      <c r="D647" t="s">
        <v>6</v>
      </c>
      <c r="E647" s="1">
        <v>43174.371828703705</v>
      </c>
    </row>
    <row r="648" spans="1:5">
      <c r="A648">
        <v>8897</v>
      </c>
      <c r="B648" t="s">
        <v>89</v>
      </c>
      <c r="C648" t="s">
        <v>88</v>
      </c>
      <c r="D648" t="s">
        <v>5</v>
      </c>
      <c r="E648" s="1">
        <v>43174.777789351851</v>
      </c>
    </row>
    <row r="649" spans="1:5">
      <c r="A649">
        <v>8913</v>
      </c>
      <c r="B649" t="s">
        <v>88</v>
      </c>
      <c r="C649" t="s">
        <v>88</v>
      </c>
      <c r="D649" t="s">
        <v>6</v>
      </c>
      <c r="E649" s="1">
        <v>43175.367476851854</v>
      </c>
    </row>
    <row r="650" spans="1:5">
      <c r="A650">
        <v>8932</v>
      </c>
      <c r="B650" t="s">
        <v>89</v>
      </c>
      <c r="C650" t="s">
        <v>88</v>
      </c>
      <c r="D650" t="s">
        <v>5</v>
      </c>
      <c r="E650" s="1">
        <v>43175.791076388887</v>
      </c>
    </row>
    <row r="651" spans="1:5">
      <c r="A651">
        <v>8978</v>
      </c>
      <c r="B651" t="s">
        <v>88</v>
      </c>
      <c r="C651" t="s">
        <v>88</v>
      </c>
      <c r="D651" t="s">
        <v>6</v>
      </c>
      <c r="E651" s="1">
        <v>43178.369305555556</v>
      </c>
    </row>
    <row r="652" spans="1:5">
      <c r="A652">
        <v>8985</v>
      </c>
      <c r="B652" t="s">
        <v>88</v>
      </c>
      <c r="C652" t="s">
        <v>88</v>
      </c>
      <c r="D652" t="s">
        <v>5</v>
      </c>
      <c r="E652" s="1">
        <v>43178.766215277778</v>
      </c>
    </row>
    <row r="653" spans="1:5">
      <c r="A653">
        <v>8994</v>
      </c>
      <c r="B653" t="s">
        <v>88</v>
      </c>
      <c r="C653" t="s">
        <v>88</v>
      </c>
      <c r="D653" t="s">
        <v>7</v>
      </c>
      <c r="E653" s="1">
        <v>43178.780497685184</v>
      </c>
    </row>
    <row r="654" spans="1:5">
      <c r="A654">
        <v>8999</v>
      </c>
      <c r="B654" t="s">
        <v>89</v>
      </c>
      <c r="C654" t="s">
        <v>88</v>
      </c>
      <c r="D654" t="s">
        <v>8</v>
      </c>
      <c r="E654" s="1">
        <v>43178.851469907408</v>
      </c>
    </row>
    <row r="655" spans="1:5">
      <c r="A655">
        <v>9016</v>
      </c>
      <c r="B655" t="s">
        <v>88</v>
      </c>
      <c r="C655" t="s">
        <v>88</v>
      </c>
      <c r="D655" t="s">
        <v>6</v>
      </c>
      <c r="E655" s="1">
        <v>43179.37054398148</v>
      </c>
    </row>
    <row r="656" spans="1:5">
      <c r="A656">
        <v>9031</v>
      </c>
      <c r="B656" t="s">
        <v>89</v>
      </c>
      <c r="C656" t="s">
        <v>88</v>
      </c>
      <c r="D656" t="s">
        <v>5</v>
      </c>
      <c r="E656" s="1">
        <v>43179.771666666667</v>
      </c>
    </row>
    <row r="657" spans="1:5">
      <c r="A657">
        <v>9032</v>
      </c>
      <c r="B657" t="s">
        <v>89</v>
      </c>
      <c r="C657" t="s">
        <v>88</v>
      </c>
      <c r="D657" t="s">
        <v>7</v>
      </c>
      <c r="E657" s="1">
        <v>43179.771701388891</v>
      </c>
    </row>
    <row r="658" spans="1:5">
      <c r="A658">
        <v>9036</v>
      </c>
      <c r="B658" t="s">
        <v>89</v>
      </c>
      <c r="C658" t="s">
        <v>88</v>
      </c>
      <c r="D658" t="s">
        <v>8</v>
      </c>
      <c r="E658" s="1">
        <v>43179.788703703707</v>
      </c>
    </row>
    <row r="659" spans="1:5">
      <c r="A659">
        <v>9053</v>
      </c>
      <c r="B659" t="s">
        <v>88</v>
      </c>
      <c r="C659" t="s">
        <v>88</v>
      </c>
      <c r="D659" t="s">
        <v>6</v>
      </c>
      <c r="E659" s="1">
        <v>43180.370289351849</v>
      </c>
    </row>
    <row r="660" spans="1:5">
      <c r="A660">
        <v>9069</v>
      </c>
      <c r="B660" t="s">
        <v>88</v>
      </c>
      <c r="C660" t="s">
        <v>88</v>
      </c>
      <c r="D660" t="s">
        <v>5</v>
      </c>
      <c r="E660" s="1">
        <v>43180.781828703701</v>
      </c>
    </row>
    <row r="661" spans="1:5">
      <c r="A661">
        <v>9088</v>
      </c>
      <c r="B661" t="s">
        <v>88</v>
      </c>
      <c r="C661" t="s">
        <v>88</v>
      </c>
      <c r="D661" t="s">
        <v>6</v>
      </c>
      <c r="E661" s="1">
        <v>43181.370983796296</v>
      </c>
    </row>
    <row r="662" spans="1:5">
      <c r="A662">
        <v>9099</v>
      </c>
      <c r="B662" t="s">
        <v>89</v>
      </c>
      <c r="C662" t="s">
        <v>88</v>
      </c>
      <c r="D662" t="s">
        <v>5</v>
      </c>
      <c r="E662" s="1">
        <v>43181.770856481482</v>
      </c>
    </row>
    <row r="663" spans="1:5">
      <c r="A663">
        <v>9102</v>
      </c>
      <c r="B663" t="s">
        <v>89</v>
      </c>
      <c r="C663" t="s">
        <v>88</v>
      </c>
      <c r="D663" t="s">
        <v>7</v>
      </c>
      <c r="E663" s="1">
        <v>43181.791145833333</v>
      </c>
    </row>
    <row r="664" spans="1:5">
      <c r="A664">
        <v>9111</v>
      </c>
      <c r="B664" t="s">
        <v>88</v>
      </c>
      <c r="C664" t="s">
        <v>88</v>
      </c>
      <c r="D664" t="s">
        <v>8</v>
      </c>
      <c r="E664" s="1">
        <v>43181.928819444445</v>
      </c>
    </row>
    <row r="665" spans="1:5">
      <c r="A665">
        <v>9123</v>
      </c>
      <c r="B665" t="s">
        <v>88</v>
      </c>
      <c r="C665" t="s">
        <v>88</v>
      </c>
      <c r="D665" t="s">
        <v>6</v>
      </c>
      <c r="E665" s="1">
        <v>43182.372719907406</v>
      </c>
    </row>
    <row r="666" spans="1:5">
      <c r="A666">
        <v>9132</v>
      </c>
      <c r="B666" t="s">
        <v>88</v>
      </c>
      <c r="C666" t="s">
        <v>88</v>
      </c>
      <c r="D666" t="s">
        <v>5</v>
      </c>
      <c r="E666" s="1">
        <v>43182.769293981481</v>
      </c>
    </row>
    <row r="667" spans="1:5">
      <c r="A667">
        <v>9141</v>
      </c>
      <c r="B667" t="s">
        <v>88</v>
      </c>
      <c r="C667" t="s">
        <v>88</v>
      </c>
      <c r="D667" t="s">
        <v>6</v>
      </c>
      <c r="E667" s="1">
        <v>43185.368750000001</v>
      </c>
    </row>
    <row r="668" spans="1:5">
      <c r="A668">
        <v>9154</v>
      </c>
      <c r="B668" t="s">
        <v>89</v>
      </c>
      <c r="C668" t="s">
        <v>88</v>
      </c>
      <c r="D668" t="s">
        <v>5</v>
      </c>
      <c r="E668" s="1">
        <v>43185.778981481482</v>
      </c>
    </row>
    <row r="669" spans="1:5">
      <c r="A669">
        <v>9168</v>
      </c>
      <c r="B669" t="s">
        <v>88</v>
      </c>
      <c r="C669" t="s">
        <v>88</v>
      </c>
      <c r="D669" t="s">
        <v>6</v>
      </c>
      <c r="E669" s="1">
        <v>43186.369687500002</v>
      </c>
    </row>
    <row r="670" spans="1:5">
      <c r="A670">
        <v>9182</v>
      </c>
      <c r="B670" t="s">
        <v>88</v>
      </c>
      <c r="C670" t="s">
        <v>88</v>
      </c>
      <c r="D670" t="s">
        <v>5</v>
      </c>
      <c r="E670" s="1">
        <v>43186.785162037035</v>
      </c>
    </row>
    <row r="671" spans="1:5">
      <c r="A671">
        <v>9196</v>
      </c>
      <c r="B671" t="s">
        <v>88</v>
      </c>
      <c r="C671" t="s">
        <v>88</v>
      </c>
      <c r="D671" t="s">
        <v>6</v>
      </c>
      <c r="E671" s="1">
        <v>43187.365277777775</v>
      </c>
    </row>
    <row r="672" spans="1:5">
      <c r="A672">
        <v>9202</v>
      </c>
      <c r="B672" t="s">
        <v>89</v>
      </c>
      <c r="C672" t="s">
        <v>88</v>
      </c>
      <c r="D672" t="s">
        <v>5</v>
      </c>
      <c r="E672" s="1">
        <v>43187.768645833334</v>
      </c>
    </row>
    <row r="673" spans="1:5">
      <c r="A673">
        <v>9232</v>
      </c>
      <c r="B673" t="s">
        <v>88</v>
      </c>
      <c r="C673" t="s">
        <v>88</v>
      </c>
      <c r="D673" t="s">
        <v>6</v>
      </c>
      <c r="E673" s="1">
        <v>43188.369687500002</v>
      </c>
    </row>
    <row r="674" spans="1:5">
      <c r="A674">
        <v>9249</v>
      </c>
      <c r="B674" t="s">
        <v>88</v>
      </c>
      <c r="C674" t="s">
        <v>88</v>
      </c>
      <c r="D674" t="s">
        <v>5</v>
      </c>
      <c r="E674" s="1">
        <v>43188.781307870369</v>
      </c>
    </row>
    <row r="675" spans="1:5">
      <c r="A675">
        <v>9264</v>
      </c>
      <c r="B675" t="s">
        <v>88</v>
      </c>
      <c r="C675" t="s">
        <v>88</v>
      </c>
      <c r="D675" t="s">
        <v>6</v>
      </c>
      <c r="E675" s="1">
        <v>43189.369467592594</v>
      </c>
    </row>
    <row r="676" spans="1:5">
      <c r="A676">
        <v>9275</v>
      </c>
      <c r="B676" t="s">
        <v>88</v>
      </c>
      <c r="C676" t="s">
        <v>88</v>
      </c>
      <c r="D676" t="s">
        <v>5</v>
      </c>
      <c r="E676" s="1">
        <v>43189.775196759256</v>
      </c>
    </row>
    <row r="677" spans="1:5">
      <c r="A677">
        <v>9289</v>
      </c>
      <c r="B677" t="s">
        <v>88</v>
      </c>
      <c r="C677" t="s">
        <v>88</v>
      </c>
      <c r="D677" t="s">
        <v>6</v>
      </c>
      <c r="E677" s="1">
        <v>43190.368402777778</v>
      </c>
    </row>
    <row r="678" spans="1:5">
      <c r="A678">
        <v>9301</v>
      </c>
      <c r="B678" t="s">
        <v>88</v>
      </c>
      <c r="C678" t="s">
        <v>88</v>
      </c>
      <c r="D678" t="s">
        <v>5</v>
      </c>
      <c r="E678" s="1">
        <v>43190.774594907409</v>
      </c>
    </row>
    <row r="679" spans="1:5">
      <c r="A679">
        <v>8566</v>
      </c>
      <c r="B679" t="s">
        <v>12</v>
      </c>
      <c r="C679" t="s">
        <v>12</v>
      </c>
      <c r="D679" t="s">
        <v>6</v>
      </c>
      <c r="E679" s="1">
        <v>43164.380509259259</v>
      </c>
    </row>
    <row r="680" spans="1:5">
      <c r="A680">
        <v>8569</v>
      </c>
      <c r="B680" t="s">
        <v>12</v>
      </c>
      <c r="C680" t="s">
        <v>12</v>
      </c>
      <c r="D680" t="s">
        <v>5</v>
      </c>
      <c r="E680" s="1">
        <v>43164.567743055559</v>
      </c>
    </row>
    <row r="681" spans="1:5">
      <c r="A681">
        <v>8667</v>
      </c>
      <c r="B681" t="s">
        <v>12</v>
      </c>
      <c r="C681" t="s">
        <v>12</v>
      </c>
      <c r="D681" t="s">
        <v>6</v>
      </c>
      <c r="E681" s="1">
        <v>43167.368321759262</v>
      </c>
    </row>
    <row r="682" spans="1:5" s="2" customFormat="1">
      <c r="A682" s="2">
        <v>8569</v>
      </c>
      <c r="B682" s="2" t="s">
        <v>12</v>
      </c>
      <c r="C682" s="2" t="s">
        <v>12</v>
      </c>
      <c r="D682" s="2" t="s">
        <v>5</v>
      </c>
      <c r="E682" s="405">
        <v>43167.500381944446</v>
      </c>
    </row>
    <row r="683" spans="1:5">
      <c r="A683">
        <v>8766</v>
      </c>
      <c r="B683" t="s">
        <v>12</v>
      </c>
      <c r="C683" t="s">
        <v>12</v>
      </c>
      <c r="D683" t="s">
        <v>6</v>
      </c>
      <c r="E683" s="1">
        <v>43171.370115740741</v>
      </c>
    </row>
    <row r="684" spans="1:5" s="2" customFormat="1">
      <c r="A684" s="2">
        <v>8569</v>
      </c>
      <c r="B684" s="2" t="s">
        <v>12</v>
      </c>
      <c r="C684" s="2" t="s">
        <v>12</v>
      </c>
      <c r="D684" s="2" t="s">
        <v>5</v>
      </c>
      <c r="E684" s="405">
        <v>43171.500381944446</v>
      </c>
    </row>
    <row r="685" spans="1:5">
      <c r="A685">
        <v>9318</v>
      </c>
      <c r="B685" t="s">
        <v>12</v>
      </c>
      <c r="C685" t="s">
        <v>12</v>
      </c>
      <c r="D685" t="s">
        <v>6</v>
      </c>
      <c r="E685" s="1">
        <v>43192.367175925923</v>
      </c>
    </row>
    <row r="686" spans="1:5">
      <c r="A686">
        <v>9324</v>
      </c>
      <c r="B686" t="s">
        <v>12</v>
      </c>
      <c r="C686" t="s">
        <v>12</v>
      </c>
      <c r="D686" t="s">
        <v>5</v>
      </c>
      <c r="E686" s="1">
        <v>43192.752314814818</v>
      </c>
    </row>
    <row r="687" spans="1:5">
      <c r="A687">
        <v>8492</v>
      </c>
      <c r="B687" t="s">
        <v>15</v>
      </c>
      <c r="C687" t="s">
        <v>15</v>
      </c>
      <c r="D687" t="s">
        <v>6</v>
      </c>
      <c r="E687" s="1">
        <v>43160.364583333336</v>
      </c>
    </row>
    <row r="688" spans="1:5">
      <c r="A688">
        <v>8506</v>
      </c>
      <c r="B688" t="s">
        <v>15</v>
      </c>
      <c r="C688" t="s">
        <v>15</v>
      </c>
      <c r="D688" t="s">
        <v>5</v>
      </c>
      <c r="E688" s="1">
        <v>43160.78497685185</v>
      </c>
    </row>
    <row r="689" spans="1:5">
      <c r="A689">
        <v>8507</v>
      </c>
      <c r="B689" t="s">
        <v>15</v>
      </c>
      <c r="C689" t="s">
        <v>15</v>
      </c>
      <c r="D689" t="s">
        <v>7</v>
      </c>
      <c r="E689" s="1">
        <v>43160.78502314815</v>
      </c>
    </row>
    <row r="690" spans="1:5">
      <c r="A690">
        <v>8516</v>
      </c>
      <c r="B690" t="s">
        <v>15</v>
      </c>
      <c r="C690" t="s">
        <v>15</v>
      </c>
      <c r="D690" t="s">
        <v>8</v>
      </c>
      <c r="E690" s="1">
        <v>43160.822743055556</v>
      </c>
    </row>
    <row r="691" spans="1:5">
      <c r="A691">
        <v>8524</v>
      </c>
      <c r="B691" t="s">
        <v>15</v>
      </c>
      <c r="C691" t="s">
        <v>15</v>
      </c>
      <c r="D691" t="s">
        <v>6</v>
      </c>
      <c r="E691" s="1">
        <v>43161.365011574075</v>
      </c>
    </row>
    <row r="692" spans="1:5">
      <c r="A692">
        <v>8538</v>
      </c>
      <c r="B692" t="s">
        <v>15</v>
      </c>
      <c r="C692" t="s">
        <v>15</v>
      </c>
      <c r="D692" t="s">
        <v>5</v>
      </c>
      <c r="E692" s="1">
        <v>43161.773622685185</v>
      </c>
    </row>
    <row r="693" spans="1:5">
      <c r="A693">
        <v>8539</v>
      </c>
      <c r="B693" t="s">
        <v>15</v>
      </c>
      <c r="C693" t="s">
        <v>15</v>
      </c>
      <c r="D693" t="s">
        <v>7</v>
      </c>
      <c r="E693" s="1">
        <v>43161.773668981485</v>
      </c>
    </row>
    <row r="694" spans="1:5">
      <c r="A694">
        <v>8544</v>
      </c>
      <c r="B694" t="s">
        <v>15</v>
      </c>
      <c r="C694" t="s">
        <v>15</v>
      </c>
      <c r="D694" t="s">
        <v>8</v>
      </c>
      <c r="E694" s="1">
        <v>43161.824756944443</v>
      </c>
    </row>
    <row r="695" spans="1:5">
      <c r="A695">
        <v>8561</v>
      </c>
      <c r="B695" t="s">
        <v>15</v>
      </c>
      <c r="C695" t="s">
        <v>15</v>
      </c>
      <c r="D695" t="s">
        <v>6</v>
      </c>
      <c r="E695" s="1">
        <v>43164.36478009259</v>
      </c>
    </row>
    <row r="696" spans="1:5">
      <c r="A696">
        <v>8574</v>
      </c>
      <c r="B696" t="s">
        <v>15</v>
      </c>
      <c r="C696" t="s">
        <v>15</v>
      </c>
      <c r="D696" t="s">
        <v>5</v>
      </c>
      <c r="E696" s="1">
        <v>43164.762280092589</v>
      </c>
    </row>
    <row r="697" spans="1:5">
      <c r="A697">
        <v>8584</v>
      </c>
      <c r="B697" t="s">
        <v>15</v>
      </c>
      <c r="C697" t="s">
        <v>15</v>
      </c>
      <c r="D697" t="s">
        <v>7</v>
      </c>
      <c r="E697" s="1">
        <v>43164.801041666666</v>
      </c>
    </row>
    <row r="698" spans="1:5">
      <c r="A698">
        <v>8590</v>
      </c>
      <c r="B698" t="s">
        <v>15</v>
      </c>
      <c r="C698" t="s">
        <v>15</v>
      </c>
      <c r="D698" t="s">
        <v>8</v>
      </c>
      <c r="E698" s="1">
        <v>43164.930856481478</v>
      </c>
    </row>
    <row r="699" spans="1:5">
      <c r="A699">
        <v>8599</v>
      </c>
      <c r="B699" t="s">
        <v>15</v>
      </c>
      <c r="C699" t="s">
        <v>15</v>
      </c>
      <c r="D699" t="s">
        <v>6</v>
      </c>
      <c r="E699" s="1">
        <v>43165.369502314818</v>
      </c>
    </row>
    <row r="700" spans="1:5">
      <c r="A700">
        <v>8606</v>
      </c>
      <c r="B700" t="s">
        <v>15</v>
      </c>
      <c r="C700" t="s">
        <v>15</v>
      </c>
      <c r="D700" t="s">
        <v>5</v>
      </c>
      <c r="E700" s="1">
        <v>43165.764062499999</v>
      </c>
    </row>
    <row r="701" spans="1:5">
      <c r="A701">
        <v>8619</v>
      </c>
      <c r="B701" t="s">
        <v>15</v>
      </c>
      <c r="C701" t="s">
        <v>15</v>
      </c>
      <c r="D701" t="s">
        <v>7</v>
      </c>
      <c r="E701" s="1">
        <v>43165.788055555553</v>
      </c>
    </row>
    <row r="702" spans="1:5">
      <c r="A702">
        <v>8622</v>
      </c>
      <c r="B702" t="s">
        <v>15</v>
      </c>
      <c r="C702" t="s">
        <v>15</v>
      </c>
      <c r="D702" t="s">
        <v>8</v>
      </c>
      <c r="E702" s="1">
        <v>43165.899189814816</v>
      </c>
    </row>
    <row r="703" spans="1:5">
      <c r="A703">
        <v>8634</v>
      </c>
      <c r="B703" t="s">
        <v>15</v>
      </c>
      <c r="C703" t="s">
        <v>15</v>
      </c>
      <c r="D703" t="s">
        <v>6</v>
      </c>
      <c r="E703" s="1">
        <v>43166.371666666666</v>
      </c>
    </row>
    <row r="704" spans="1:5">
      <c r="A704">
        <v>8644</v>
      </c>
      <c r="B704" t="s">
        <v>15</v>
      </c>
      <c r="C704" t="s">
        <v>15</v>
      </c>
      <c r="D704" t="s">
        <v>5</v>
      </c>
      <c r="E704" s="1">
        <v>43166.770613425928</v>
      </c>
    </row>
    <row r="705" spans="1:5">
      <c r="A705">
        <v>8665</v>
      </c>
      <c r="B705" t="s">
        <v>15</v>
      </c>
      <c r="C705" t="s">
        <v>15</v>
      </c>
      <c r="D705" t="s">
        <v>6</v>
      </c>
      <c r="E705" s="1">
        <v>43167.364722222221</v>
      </c>
    </row>
    <row r="706" spans="1:5">
      <c r="A706">
        <v>8675</v>
      </c>
      <c r="B706" t="s">
        <v>15</v>
      </c>
      <c r="C706" t="s">
        <v>15</v>
      </c>
      <c r="D706" t="s">
        <v>5</v>
      </c>
      <c r="E706" s="1">
        <v>43167.766863425924</v>
      </c>
    </row>
    <row r="707" spans="1:5">
      <c r="A707">
        <v>8696</v>
      </c>
      <c r="B707" t="s">
        <v>15</v>
      </c>
      <c r="C707" t="s">
        <v>15</v>
      </c>
      <c r="D707" t="s">
        <v>6</v>
      </c>
      <c r="E707" s="1">
        <v>43168.367430555554</v>
      </c>
    </row>
    <row r="708" spans="1:5">
      <c r="A708">
        <v>8707</v>
      </c>
      <c r="B708" t="s">
        <v>95</v>
      </c>
      <c r="C708" t="s">
        <v>15</v>
      </c>
      <c r="D708" t="s">
        <v>5</v>
      </c>
      <c r="E708" s="1">
        <v>43168.771111111113</v>
      </c>
    </row>
    <row r="709" spans="1:5">
      <c r="A709">
        <v>8708</v>
      </c>
      <c r="B709" t="s">
        <v>95</v>
      </c>
      <c r="C709" t="s">
        <v>15</v>
      </c>
      <c r="D709" t="s">
        <v>7</v>
      </c>
      <c r="E709" s="1">
        <v>43168.771145833336</v>
      </c>
    </row>
    <row r="710" spans="1:5">
      <c r="A710">
        <v>8714</v>
      </c>
      <c r="B710" t="s">
        <v>15</v>
      </c>
      <c r="C710" t="s">
        <v>15</v>
      </c>
      <c r="D710" t="s">
        <v>8</v>
      </c>
      <c r="E710" s="1">
        <v>43168.785324074073</v>
      </c>
    </row>
    <row r="711" spans="1:5">
      <c r="A711">
        <v>8732</v>
      </c>
      <c r="B711" t="s">
        <v>95</v>
      </c>
      <c r="C711" t="s">
        <v>15</v>
      </c>
      <c r="D711" t="s">
        <v>7</v>
      </c>
      <c r="E711" s="1">
        <v>43170.436840277776</v>
      </c>
    </row>
    <row r="712" spans="1:5">
      <c r="A712">
        <v>8736</v>
      </c>
      <c r="B712" t="s">
        <v>15</v>
      </c>
      <c r="C712" t="s">
        <v>15</v>
      </c>
      <c r="D712" t="s">
        <v>8</v>
      </c>
      <c r="E712" s="1">
        <v>43170.549791666665</v>
      </c>
    </row>
    <row r="713" spans="1:5">
      <c r="A713">
        <v>8743</v>
      </c>
      <c r="B713" t="s">
        <v>15</v>
      </c>
      <c r="C713" t="s">
        <v>15</v>
      </c>
      <c r="D713" t="s">
        <v>7</v>
      </c>
      <c r="E713" s="1">
        <v>43170.584976851853</v>
      </c>
    </row>
    <row r="714" spans="1:5">
      <c r="A714">
        <v>8750</v>
      </c>
      <c r="B714" t="s">
        <v>15</v>
      </c>
      <c r="C714" t="s">
        <v>15</v>
      </c>
      <c r="D714" t="s">
        <v>8</v>
      </c>
      <c r="E714" s="1">
        <v>43170.751134259262</v>
      </c>
    </row>
    <row r="715" spans="1:5">
      <c r="A715">
        <v>8751</v>
      </c>
      <c r="B715" t="s">
        <v>15</v>
      </c>
      <c r="C715" t="s">
        <v>15</v>
      </c>
      <c r="D715" t="s">
        <v>7</v>
      </c>
      <c r="E715" s="1">
        <v>43170.751192129632</v>
      </c>
    </row>
    <row r="716" spans="1:5">
      <c r="A716">
        <v>8759</v>
      </c>
      <c r="B716" t="s">
        <v>15</v>
      </c>
      <c r="C716" t="s">
        <v>15</v>
      </c>
      <c r="D716" t="s">
        <v>8</v>
      </c>
      <c r="E716" s="1">
        <v>43170.792662037034</v>
      </c>
    </row>
    <row r="717" spans="1:5">
      <c r="A717">
        <v>8765</v>
      </c>
      <c r="B717" t="s">
        <v>15</v>
      </c>
      <c r="C717" t="s">
        <v>15</v>
      </c>
      <c r="D717" t="s">
        <v>6</v>
      </c>
      <c r="E717" s="1">
        <v>43171.369097222225</v>
      </c>
    </row>
    <row r="718" spans="1:5">
      <c r="A718">
        <v>8779</v>
      </c>
      <c r="B718" t="s">
        <v>15</v>
      </c>
      <c r="C718" t="s">
        <v>15</v>
      </c>
      <c r="D718" t="s">
        <v>5</v>
      </c>
      <c r="E718" s="1">
        <v>43171.770277777781</v>
      </c>
    </row>
    <row r="719" spans="1:5">
      <c r="A719">
        <v>8807</v>
      </c>
      <c r="B719" t="s">
        <v>95</v>
      </c>
      <c r="C719" t="s">
        <v>15</v>
      </c>
      <c r="D719" t="s">
        <v>6</v>
      </c>
      <c r="E719" s="1">
        <v>43172.369039351855</v>
      </c>
    </row>
    <row r="720" spans="1:5">
      <c r="A720">
        <v>8812</v>
      </c>
      <c r="B720" t="s">
        <v>15</v>
      </c>
      <c r="C720" t="s">
        <v>15</v>
      </c>
      <c r="D720" t="s">
        <v>5</v>
      </c>
      <c r="E720" s="1">
        <v>43172.76935185185</v>
      </c>
    </row>
    <row r="721" spans="1:5">
      <c r="A721">
        <v>8813</v>
      </c>
      <c r="B721" t="s">
        <v>15</v>
      </c>
      <c r="C721" t="s">
        <v>15</v>
      </c>
      <c r="D721" t="s">
        <v>7</v>
      </c>
      <c r="E721" s="1">
        <v>43172.770925925928</v>
      </c>
    </row>
    <row r="722" spans="1:5">
      <c r="A722">
        <v>8830</v>
      </c>
      <c r="B722" t="s">
        <v>15</v>
      </c>
      <c r="C722" t="s">
        <v>15</v>
      </c>
      <c r="D722" t="s">
        <v>8</v>
      </c>
      <c r="E722" s="1">
        <v>43172.863553240742</v>
      </c>
    </row>
    <row r="723" spans="1:5">
      <c r="A723">
        <v>8842</v>
      </c>
      <c r="B723" t="s">
        <v>15</v>
      </c>
      <c r="C723" t="s">
        <v>15</v>
      </c>
      <c r="D723" t="s">
        <v>6</v>
      </c>
      <c r="E723" s="1">
        <v>43173.369479166664</v>
      </c>
    </row>
    <row r="724" spans="1:5">
      <c r="A724">
        <v>8849</v>
      </c>
      <c r="B724" t="s">
        <v>15</v>
      </c>
      <c r="C724" t="s">
        <v>15</v>
      </c>
      <c r="D724" t="s">
        <v>5</v>
      </c>
      <c r="E724" s="1">
        <v>43173.76798611111</v>
      </c>
    </row>
    <row r="725" spans="1:5">
      <c r="A725">
        <v>8856</v>
      </c>
      <c r="B725" t="s">
        <v>15</v>
      </c>
      <c r="C725" t="s">
        <v>15</v>
      </c>
      <c r="D725" t="s">
        <v>7</v>
      </c>
      <c r="E725" s="1">
        <v>43173.772187499999</v>
      </c>
    </row>
    <row r="726" spans="1:5">
      <c r="A726">
        <v>8860</v>
      </c>
      <c r="B726" t="s">
        <v>15</v>
      </c>
      <c r="C726" t="s">
        <v>15</v>
      </c>
      <c r="D726" t="s">
        <v>8</v>
      </c>
      <c r="E726" s="1">
        <v>43173.832083333335</v>
      </c>
    </row>
    <row r="727" spans="1:5">
      <c r="A727">
        <v>8861</v>
      </c>
      <c r="B727" t="s">
        <v>15</v>
      </c>
      <c r="C727" t="s">
        <v>15</v>
      </c>
      <c r="D727" t="s">
        <v>7</v>
      </c>
      <c r="E727" s="1">
        <v>43173.838993055557</v>
      </c>
    </row>
    <row r="728" spans="1:5">
      <c r="A728">
        <v>8870</v>
      </c>
      <c r="B728" t="s">
        <v>15</v>
      </c>
      <c r="C728" t="s">
        <v>15</v>
      </c>
      <c r="D728" t="s">
        <v>8</v>
      </c>
      <c r="E728" s="1">
        <v>43173.882060185184</v>
      </c>
    </row>
    <row r="729" spans="1:5">
      <c r="A729">
        <v>8877</v>
      </c>
      <c r="B729" t="s">
        <v>95</v>
      </c>
      <c r="C729" t="s">
        <v>15</v>
      </c>
      <c r="D729" t="s">
        <v>6</v>
      </c>
      <c r="E729" s="1">
        <v>43174.369270833333</v>
      </c>
    </row>
    <row r="730" spans="1:5">
      <c r="A730">
        <v>8887</v>
      </c>
      <c r="B730" t="s">
        <v>15</v>
      </c>
      <c r="C730" t="s">
        <v>15</v>
      </c>
      <c r="D730" t="s">
        <v>5</v>
      </c>
      <c r="E730" s="1">
        <v>43174.771319444444</v>
      </c>
    </row>
    <row r="731" spans="1:5">
      <c r="A731">
        <v>8888</v>
      </c>
      <c r="B731" t="s">
        <v>15</v>
      </c>
      <c r="C731" t="s">
        <v>15</v>
      </c>
      <c r="D731" t="s">
        <v>7</v>
      </c>
      <c r="E731" s="1">
        <v>43174.771354166667</v>
      </c>
    </row>
    <row r="732" spans="1:5">
      <c r="A732">
        <v>8902</v>
      </c>
      <c r="B732" t="s">
        <v>15</v>
      </c>
      <c r="C732" t="s">
        <v>15</v>
      </c>
      <c r="D732" t="s">
        <v>8</v>
      </c>
      <c r="E732" s="1">
        <v>43174.863692129627</v>
      </c>
    </row>
    <row r="733" spans="1:5">
      <c r="A733">
        <v>8906</v>
      </c>
      <c r="B733" t="s">
        <v>15</v>
      </c>
      <c r="C733" t="s">
        <v>15</v>
      </c>
      <c r="D733" t="s">
        <v>6</v>
      </c>
      <c r="E733" s="1">
        <v>43175.331493055557</v>
      </c>
    </row>
    <row r="734" spans="1:5">
      <c r="A734">
        <v>8918</v>
      </c>
      <c r="B734" t="s">
        <v>95</v>
      </c>
      <c r="C734" t="s">
        <v>15</v>
      </c>
      <c r="D734" t="s">
        <v>5</v>
      </c>
      <c r="E734" s="1">
        <v>43175.764872685184</v>
      </c>
    </row>
    <row r="735" spans="1:5">
      <c r="A735">
        <v>8960</v>
      </c>
      <c r="B735" t="s">
        <v>15</v>
      </c>
      <c r="C735" t="s">
        <v>15</v>
      </c>
      <c r="D735" t="s">
        <v>7</v>
      </c>
      <c r="E735" s="1">
        <v>43176.582395833335</v>
      </c>
    </row>
    <row r="736" spans="1:5">
      <c r="A736">
        <v>8969</v>
      </c>
      <c r="B736" t="s">
        <v>15</v>
      </c>
      <c r="C736" t="s">
        <v>15</v>
      </c>
      <c r="D736" t="s">
        <v>8</v>
      </c>
      <c r="E736" s="1">
        <v>43176.743437500001</v>
      </c>
    </row>
    <row r="737" spans="1:5">
      <c r="A737">
        <v>8970</v>
      </c>
      <c r="B737" t="s">
        <v>15</v>
      </c>
      <c r="C737" t="s">
        <v>15</v>
      </c>
      <c r="D737" t="s">
        <v>7</v>
      </c>
      <c r="E737" s="1">
        <v>43176.743495370371</v>
      </c>
    </row>
    <row r="738" spans="1:5">
      <c r="A738">
        <v>8971</v>
      </c>
      <c r="B738" t="s">
        <v>15</v>
      </c>
      <c r="C738" t="s">
        <v>15</v>
      </c>
      <c r="D738" t="s">
        <v>8</v>
      </c>
      <c r="E738" s="1">
        <v>43176.832384259258</v>
      </c>
    </row>
    <row r="739" spans="1:5">
      <c r="A739">
        <v>8982</v>
      </c>
      <c r="B739" t="s">
        <v>95</v>
      </c>
      <c r="C739" t="s">
        <v>15</v>
      </c>
      <c r="D739" t="s">
        <v>6</v>
      </c>
      <c r="E739" s="1">
        <v>43178.430451388886</v>
      </c>
    </row>
    <row r="740" spans="1:5">
      <c r="A740">
        <v>8983</v>
      </c>
      <c r="B740" t="s">
        <v>15</v>
      </c>
      <c r="C740" t="s">
        <v>15</v>
      </c>
      <c r="D740" t="s">
        <v>5</v>
      </c>
      <c r="E740" s="1">
        <v>43178.762141203704</v>
      </c>
    </row>
    <row r="741" spans="1:5">
      <c r="A741">
        <v>8995</v>
      </c>
      <c r="B741" t="s">
        <v>15</v>
      </c>
      <c r="C741" t="s">
        <v>15</v>
      </c>
      <c r="D741" t="s">
        <v>7</v>
      </c>
      <c r="E741" s="1">
        <v>43178.792187500003</v>
      </c>
    </row>
    <row r="742" spans="1:5">
      <c r="A742">
        <v>9002</v>
      </c>
      <c r="B742" t="s">
        <v>15</v>
      </c>
      <c r="C742" t="s">
        <v>15</v>
      </c>
      <c r="D742" t="s">
        <v>8</v>
      </c>
      <c r="E742" s="1">
        <v>43178.864652777775</v>
      </c>
    </row>
    <row r="743" spans="1:5">
      <c r="A743">
        <v>9013</v>
      </c>
      <c r="B743" t="s">
        <v>15</v>
      </c>
      <c r="C743" t="s">
        <v>15</v>
      </c>
      <c r="D743" t="s">
        <v>6</v>
      </c>
      <c r="E743" s="1">
        <v>43179.367002314815</v>
      </c>
    </row>
    <row r="744" spans="1:5">
      <c r="A744">
        <v>9023</v>
      </c>
      <c r="B744" t="s">
        <v>15</v>
      </c>
      <c r="C744" t="s">
        <v>15</v>
      </c>
      <c r="D744" t="s">
        <v>5</v>
      </c>
      <c r="E744" s="1">
        <v>43179.767951388887</v>
      </c>
    </row>
    <row r="745" spans="1:5">
      <c r="A745">
        <v>9048</v>
      </c>
      <c r="B745" t="s">
        <v>15</v>
      </c>
      <c r="C745" t="s">
        <v>15</v>
      </c>
      <c r="D745" t="s">
        <v>6</v>
      </c>
      <c r="E745" s="1">
        <v>43180.367048611108</v>
      </c>
    </row>
    <row r="746" spans="1:5">
      <c r="A746">
        <v>9059</v>
      </c>
      <c r="B746" t="s">
        <v>15</v>
      </c>
      <c r="C746" t="s">
        <v>15</v>
      </c>
      <c r="D746" t="s">
        <v>5</v>
      </c>
      <c r="E746" s="1">
        <v>43180.770208333335</v>
      </c>
    </row>
    <row r="747" spans="1:5">
      <c r="A747">
        <v>9062</v>
      </c>
      <c r="B747" t="s">
        <v>15</v>
      </c>
      <c r="C747" t="s">
        <v>15</v>
      </c>
      <c r="D747" t="s">
        <v>7</v>
      </c>
      <c r="E747" s="1">
        <v>43180.770879629628</v>
      </c>
    </row>
    <row r="748" spans="1:5">
      <c r="A748">
        <v>9076</v>
      </c>
      <c r="B748" t="s">
        <v>15</v>
      </c>
      <c r="C748" t="s">
        <v>15</v>
      </c>
      <c r="D748" t="s">
        <v>8</v>
      </c>
      <c r="E748" s="1">
        <v>43180.819282407407</v>
      </c>
    </row>
    <row r="749" spans="1:5">
      <c r="A749">
        <v>9083</v>
      </c>
      <c r="B749" t="s">
        <v>15</v>
      </c>
      <c r="C749" t="s">
        <v>15</v>
      </c>
      <c r="D749" t="s">
        <v>6</v>
      </c>
      <c r="E749" s="1">
        <v>43181.36409722222</v>
      </c>
    </row>
    <row r="750" spans="1:5">
      <c r="A750">
        <v>9092</v>
      </c>
      <c r="B750" t="s">
        <v>15</v>
      </c>
      <c r="C750" t="s">
        <v>15</v>
      </c>
      <c r="D750" t="s">
        <v>5</v>
      </c>
      <c r="E750" s="1">
        <v>43181.761145833334</v>
      </c>
    </row>
    <row r="751" spans="1:5">
      <c r="A751">
        <v>9105</v>
      </c>
      <c r="B751" t="s">
        <v>15</v>
      </c>
      <c r="C751" t="s">
        <v>15</v>
      </c>
      <c r="D751" t="s">
        <v>7</v>
      </c>
      <c r="E751" s="1">
        <v>43181.797777777778</v>
      </c>
    </row>
    <row r="752" spans="1:5">
      <c r="A752">
        <v>9115</v>
      </c>
      <c r="B752" t="s">
        <v>15</v>
      </c>
      <c r="C752" t="s">
        <v>15</v>
      </c>
      <c r="D752" t="s">
        <v>8</v>
      </c>
      <c r="E752" s="1">
        <v>43181.95579861111</v>
      </c>
    </row>
    <row r="753" spans="1:5">
      <c r="A753">
        <v>9119</v>
      </c>
      <c r="B753" t="s">
        <v>15</v>
      </c>
      <c r="C753" t="s">
        <v>15</v>
      </c>
      <c r="D753" t="s">
        <v>6</v>
      </c>
      <c r="E753" s="1">
        <v>43182.364560185182</v>
      </c>
    </row>
    <row r="754" spans="1:5">
      <c r="A754">
        <v>9136</v>
      </c>
      <c r="B754" t="s">
        <v>15</v>
      </c>
      <c r="C754" t="s">
        <v>15</v>
      </c>
      <c r="D754" t="s">
        <v>5</v>
      </c>
      <c r="E754" s="1">
        <v>43182.782997685186</v>
      </c>
    </row>
    <row r="755" spans="1:5">
      <c r="A755">
        <v>9143</v>
      </c>
      <c r="B755" t="s">
        <v>15</v>
      </c>
      <c r="C755" t="s">
        <v>15</v>
      </c>
      <c r="D755" t="s">
        <v>6</v>
      </c>
      <c r="E755" s="1">
        <v>43185.371342592596</v>
      </c>
    </row>
    <row r="756" spans="1:5">
      <c r="A756">
        <v>9151</v>
      </c>
      <c r="B756" t="s">
        <v>15</v>
      </c>
      <c r="C756" t="s">
        <v>15</v>
      </c>
      <c r="D756" t="s">
        <v>5</v>
      </c>
      <c r="E756" s="1">
        <v>43185.771157407406</v>
      </c>
    </row>
    <row r="757" spans="1:5">
      <c r="A757">
        <v>9167</v>
      </c>
      <c r="B757" t="s">
        <v>15</v>
      </c>
      <c r="C757" t="s">
        <v>15</v>
      </c>
      <c r="D757" t="s">
        <v>6</v>
      </c>
      <c r="E757" s="1">
        <v>43186.367314814815</v>
      </c>
    </row>
    <row r="758" spans="1:5">
      <c r="A758">
        <v>9171</v>
      </c>
      <c r="B758" t="s">
        <v>15</v>
      </c>
      <c r="C758" t="s">
        <v>15</v>
      </c>
      <c r="D758" t="s">
        <v>5</v>
      </c>
      <c r="E758" s="1">
        <v>43186.767210648148</v>
      </c>
    </row>
    <row r="759" spans="1:5">
      <c r="A759">
        <v>9172</v>
      </c>
      <c r="B759" t="s">
        <v>15</v>
      </c>
      <c r="C759" t="s">
        <v>15</v>
      </c>
      <c r="D759" t="s">
        <v>7</v>
      </c>
      <c r="E759" s="1">
        <v>43186.770891203705</v>
      </c>
    </row>
    <row r="760" spans="1:5">
      <c r="A760">
        <v>9178</v>
      </c>
      <c r="B760" t="s">
        <v>15</v>
      </c>
      <c r="C760" t="s">
        <v>15</v>
      </c>
      <c r="D760" t="s">
        <v>8</v>
      </c>
      <c r="E760" s="1">
        <v>43186.773726851854</v>
      </c>
    </row>
    <row r="761" spans="1:5">
      <c r="A761">
        <v>9186</v>
      </c>
      <c r="B761" t="s">
        <v>15</v>
      </c>
      <c r="C761" t="s">
        <v>15</v>
      </c>
      <c r="D761" t="s">
        <v>7</v>
      </c>
      <c r="E761" s="1">
        <v>43186.834930555553</v>
      </c>
    </row>
    <row r="762" spans="1:5">
      <c r="A762">
        <v>9188</v>
      </c>
      <c r="B762" t="s">
        <v>15</v>
      </c>
      <c r="C762" t="s">
        <v>15</v>
      </c>
      <c r="D762" t="s">
        <v>8</v>
      </c>
      <c r="E762" s="1">
        <v>43186.896597222221</v>
      </c>
    </row>
    <row r="763" spans="1:5">
      <c r="A763">
        <v>9194</v>
      </c>
      <c r="B763" t="s">
        <v>15</v>
      </c>
      <c r="C763" t="s">
        <v>15</v>
      </c>
      <c r="D763" t="s">
        <v>6</v>
      </c>
      <c r="E763" s="1">
        <v>43187.364560185182</v>
      </c>
    </row>
    <row r="764" spans="1:5">
      <c r="A764">
        <v>9203</v>
      </c>
      <c r="B764" t="s">
        <v>15</v>
      </c>
      <c r="C764" t="s">
        <v>15</v>
      </c>
      <c r="D764" t="s">
        <v>5</v>
      </c>
      <c r="E764" s="1">
        <v>43187.769456018519</v>
      </c>
    </row>
    <row r="765" spans="1:5">
      <c r="A765">
        <v>9204</v>
      </c>
      <c r="B765" t="s">
        <v>15</v>
      </c>
      <c r="C765" t="s">
        <v>15</v>
      </c>
      <c r="D765" t="s">
        <v>7</v>
      </c>
      <c r="E765" s="1">
        <v>43187.770844907405</v>
      </c>
    </row>
    <row r="766" spans="1:5">
      <c r="A766">
        <v>9217</v>
      </c>
      <c r="B766" t="s">
        <v>15</v>
      </c>
      <c r="C766" t="s">
        <v>15</v>
      </c>
      <c r="D766" t="s">
        <v>8</v>
      </c>
      <c r="E766" s="1">
        <v>43187.787708333337</v>
      </c>
    </row>
    <row r="767" spans="1:5">
      <c r="A767">
        <v>9231</v>
      </c>
      <c r="B767" t="s">
        <v>15</v>
      </c>
      <c r="C767" t="s">
        <v>15</v>
      </c>
      <c r="D767" t="s">
        <v>6</v>
      </c>
      <c r="E767" s="1">
        <v>43188.369293981479</v>
      </c>
    </row>
    <row r="768" spans="1:5">
      <c r="A768">
        <v>9238</v>
      </c>
      <c r="B768" t="s">
        <v>15</v>
      </c>
      <c r="C768" t="s">
        <v>15</v>
      </c>
      <c r="D768" t="s">
        <v>5</v>
      </c>
      <c r="E768" s="1">
        <v>43188.766377314816</v>
      </c>
    </row>
    <row r="769" spans="1:5">
      <c r="A769">
        <v>9250</v>
      </c>
      <c r="B769" t="s">
        <v>15</v>
      </c>
      <c r="C769" t="s">
        <v>15</v>
      </c>
      <c r="D769" t="s">
        <v>7</v>
      </c>
      <c r="E769" s="1">
        <v>43188.792314814818</v>
      </c>
    </row>
    <row r="770" spans="1:5">
      <c r="A770">
        <v>9257</v>
      </c>
      <c r="B770" t="s">
        <v>15</v>
      </c>
      <c r="C770" t="s">
        <v>15</v>
      </c>
      <c r="D770" t="s">
        <v>8</v>
      </c>
      <c r="E770" s="1">
        <v>43188.84951388889</v>
      </c>
    </row>
    <row r="771" spans="1:5" s="2" customFormat="1">
      <c r="A771" s="2">
        <v>9288</v>
      </c>
      <c r="B771" s="2" t="s">
        <v>15</v>
      </c>
      <c r="C771" s="2" t="s">
        <v>15</v>
      </c>
      <c r="D771" s="2" t="s">
        <v>6</v>
      </c>
      <c r="E771" s="405">
        <v>43189.354444444441</v>
      </c>
    </row>
    <row r="772" spans="1:5" s="2" customFormat="1">
      <c r="A772" s="2">
        <v>9296</v>
      </c>
      <c r="B772" s="2" t="s">
        <v>15</v>
      </c>
      <c r="C772" s="2" t="s">
        <v>15</v>
      </c>
      <c r="D772" s="2" t="s">
        <v>5</v>
      </c>
      <c r="E772" s="405">
        <v>43189.771064814813</v>
      </c>
    </row>
    <row r="773" spans="1:5">
      <c r="A773">
        <v>9288</v>
      </c>
      <c r="B773" t="s">
        <v>15</v>
      </c>
      <c r="C773" t="s">
        <v>15</v>
      </c>
      <c r="D773" t="s">
        <v>6</v>
      </c>
      <c r="E773" s="1">
        <v>43190.366944444446</v>
      </c>
    </row>
    <row r="774" spans="1:5">
      <c r="A774">
        <v>9296</v>
      </c>
      <c r="B774" t="s">
        <v>15</v>
      </c>
      <c r="C774" t="s">
        <v>15</v>
      </c>
      <c r="D774" t="s">
        <v>5</v>
      </c>
      <c r="E774" s="1">
        <v>43190.770370370374</v>
      </c>
    </row>
    <row r="775" spans="1:5">
      <c r="A775">
        <v>9299</v>
      </c>
      <c r="B775" t="s">
        <v>15</v>
      </c>
      <c r="C775" t="s">
        <v>15</v>
      </c>
      <c r="D775" t="s">
        <v>7</v>
      </c>
      <c r="E775" s="1">
        <v>43190.770833333336</v>
      </c>
    </row>
    <row r="776" spans="1:5">
      <c r="A776">
        <v>9303</v>
      </c>
      <c r="B776" t="s">
        <v>15</v>
      </c>
      <c r="C776" t="s">
        <v>15</v>
      </c>
      <c r="D776" t="s">
        <v>8</v>
      </c>
      <c r="E776" s="1">
        <v>43190.788101851853</v>
      </c>
    </row>
    <row r="777" spans="1:5">
      <c r="A777">
        <v>8529</v>
      </c>
      <c r="B777" t="s">
        <v>90</v>
      </c>
      <c r="C777" t="s">
        <v>90</v>
      </c>
      <c r="D777" t="s">
        <v>6</v>
      </c>
      <c r="E777" s="1">
        <v>43161.372106481482</v>
      </c>
    </row>
    <row r="778" spans="1:5">
      <c r="A778">
        <v>8531</v>
      </c>
      <c r="B778" t="s">
        <v>90</v>
      </c>
      <c r="C778" t="s">
        <v>90</v>
      </c>
      <c r="D778" t="s">
        <v>5</v>
      </c>
      <c r="E778" s="1">
        <v>43161.505891203706</v>
      </c>
    </row>
    <row r="779" spans="1:5">
      <c r="A779">
        <v>8558</v>
      </c>
      <c r="B779" t="s">
        <v>90</v>
      </c>
      <c r="C779" t="s">
        <v>90</v>
      </c>
      <c r="D779" t="s">
        <v>6</v>
      </c>
      <c r="E779" s="1">
        <v>43164.362858796296</v>
      </c>
    </row>
    <row r="780" spans="1:5">
      <c r="A780">
        <v>8587</v>
      </c>
      <c r="B780" t="s">
        <v>90</v>
      </c>
      <c r="C780" t="s">
        <v>90</v>
      </c>
      <c r="D780" t="s">
        <v>5</v>
      </c>
      <c r="E780" s="1">
        <v>43164.83898148148</v>
      </c>
    </row>
    <row r="781" spans="1:5">
      <c r="A781">
        <v>8638</v>
      </c>
      <c r="B781" t="s">
        <v>90</v>
      </c>
      <c r="C781" t="s">
        <v>90</v>
      </c>
      <c r="D781" t="s">
        <v>6</v>
      </c>
      <c r="E781" s="1">
        <v>43166.650659722225</v>
      </c>
    </row>
    <row r="782" spans="1:5">
      <c r="A782">
        <v>8658</v>
      </c>
      <c r="B782" t="s">
        <v>90</v>
      </c>
      <c r="C782" t="s">
        <v>90</v>
      </c>
      <c r="D782" t="s">
        <v>5</v>
      </c>
      <c r="E782" s="1">
        <v>43166.864432870374</v>
      </c>
    </row>
    <row r="783" spans="1:5">
      <c r="A783">
        <v>8698</v>
      </c>
      <c r="B783" t="s">
        <v>90</v>
      </c>
      <c r="C783" t="s">
        <v>90</v>
      </c>
      <c r="D783" t="s">
        <v>6</v>
      </c>
      <c r="E783" s="1">
        <v>43168.369363425925</v>
      </c>
    </row>
    <row r="784" spans="1:5">
      <c r="A784">
        <v>8703</v>
      </c>
      <c r="B784" t="s">
        <v>90</v>
      </c>
      <c r="C784" t="s">
        <v>90</v>
      </c>
      <c r="D784" t="s">
        <v>5</v>
      </c>
      <c r="E784" s="1">
        <v>43168.507569444446</v>
      </c>
    </row>
    <row r="785" spans="1:5">
      <c r="A785">
        <v>8719</v>
      </c>
      <c r="B785" t="s">
        <v>90</v>
      </c>
      <c r="C785" t="s">
        <v>90</v>
      </c>
      <c r="D785" t="s">
        <v>7</v>
      </c>
      <c r="E785" s="1">
        <v>43169.41810185185</v>
      </c>
    </row>
    <row r="786" spans="1:5">
      <c r="A786">
        <v>8723</v>
      </c>
      <c r="B786" t="s">
        <v>90</v>
      </c>
      <c r="C786" t="s">
        <v>90</v>
      </c>
      <c r="D786" t="s">
        <v>8</v>
      </c>
      <c r="E786" s="1">
        <v>43169.51972222222</v>
      </c>
    </row>
    <row r="787" spans="1:5">
      <c r="A787">
        <v>8771</v>
      </c>
      <c r="B787" t="s">
        <v>90</v>
      </c>
      <c r="C787" t="s">
        <v>90</v>
      </c>
      <c r="D787" t="s">
        <v>6</v>
      </c>
      <c r="E787" s="1">
        <v>43171.375775462962</v>
      </c>
    </row>
    <row r="788" spans="1:5">
      <c r="A788">
        <v>8787</v>
      </c>
      <c r="B788" t="s">
        <v>90</v>
      </c>
      <c r="C788" t="s">
        <v>90</v>
      </c>
      <c r="D788" t="s">
        <v>5</v>
      </c>
      <c r="E788" s="1">
        <v>43171.786782407406</v>
      </c>
    </row>
    <row r="789" spans="1:5">
      <c r="A789">
        <v>8848</v>
      </c>
      <c r="B789" t="s">
        <v>103</v>
      </c>
      <c r="C789" t="s">
        <v>90</v>
      </c>
      <c r="D789" t="s">
        <v>6</v>
      </c>
      <c r="E789" s="1">
        <v>43173.715868055559</v>
      </c>
    </row>
    <row r="790" spans="1:5">
      <c r="A790">
        <v>8865</v>
      </c>
      <c r="B790" t="s">
        <v>90</v>
      </c>
      <c r="C790" t="s">
        <v>90</v>
      </c>
      <c r="D790" t="s">
        <v>5</v>
      </c>
      <c r="E790" s="1">
        <v>43173.858969907407</v>
      </c>
    </row>
    <row r="791" spans="1:5">
      <c r="A791">
        <v>8911</v>
      </c>
      <c r="B791" t="s">
        <v>90</v>
      </c>
      <c r="C791" t="s">
        <v>90</v>
      </c>
      <c r="D791" t="s">
        <v>6</v>
      </c>
      <c r="E791" s="1">
        <v>43175.36445601852</v>
      </c>
    </row>
    <row r="792" spans="1:5">
      <c r="A792">
        <v>8917</v>
      </c>
      <c r="B792" t="s">
        <v>90</v>
      </c>
      <c r="C792" t="s">
        <v>90</v>
      </c>
      <c r="D792" t="s">
        <v>5</v>
      </c>
      <c r="E792" s="1">
        <v>43175.499918981484</v>
      </c>
    </row>
    <row r="793" spans="1:5">
      <c r="A793">
        <v>8945</v>
      </c>
      <c r="B793" t="s">
        <v>90</v>
      </c>
      <c r="C793" t="s">
        <v>90</v>
      </c>
      <c r="D793" t="s">
        <v>6</v>
      </c>
      <c r="E793" s="1">
        <v>43176.426099537035</v>
      </c>
    </row>
    <row r="794" spans="1:5">
      <c r="A794">
        <v>8963</v>
      </c>
      <c r="B794" t="s">
        <v>90</v>
      </c>
      <c r="C794" t="s">
        <v>90</v>
      </c>
      <c r="D794" t="s">
        <v>5</v>
      </c>
      <c r="E794" s="1">
        <v>43176.643912037034</v>
      </c>
    </row>
    <row r="795" spans="1:5">
      <c r="A795">
        <v>8981</v>
      </c>
      <c r="B795" t="s">
        <v>90</v>
      </c>
      <c r="C795" t="s">
        <v>90</v>
      </c>
      <c r="D795" t="s">
        <v>6</v>
      </c>
      <c r="E795" s="1">
        <v>43178.383750000001</v>
      </c>
    </row>
    <row r="796" spans="1:5">
      <c r="A796">
        <v>9005</v>
      </c>
      <c r="B796" t="s">
        <v>90</v>
      </c>
      <c r="C796" t="s">
        <v>90</v>
      </c>
      <c r="D796" t="s">
        <v>5</v>
      </c>
      <c r="E796" s="1">
        <v>43178.875960648147</v>
      </c>
    </row>
    <row r="797" spans="1:5">
      <c r="A797">
        <v>9020</v>
      </c>
      <c r="B797" t="s">
        <v>104</v>
      </c>
      <c r="C797" t="s">
        <v>90</v>
      </c>
      <c r="D797" t="s">
        <v>6</v>
      </c>
      <c r="E797" s="1">
        <v>43179.71974537037</v>
      </c>
    </row>
    <row r="798" spans="1:5">
      <c r="A798">
        <v>9041</v>
      </c>
      <c r="B798" t="s">
        <v>90</v>
      </c>
      <c r="C798" t="s">
        <v>90</v>
      </c>
      <c r="D798" t="s">
        <v>5</v>
      </c>
      <c r="E798" s="1">
        <v>43179.830590277779</v>
      </c>
    </row>
    <row r="799" spans="1:5">
      <c r="A799">
        <v>9125</v>
      </c>
      <c r="B799" t="s">
        <v>90</v>
      </c>
      <c r="C799" t="s">
        <v>90</v>
      </c>
      <c r="D799" t="s">
        <v>6</v>
      </c>
      <c r="E799" s="1">
        <v>43182.377662037034</v>
      </c>
    </row>
    <row r="800" spans="1:5">
      <c r="A800">
        <v>9127</v>
      </c>
      <c r="B800" t="s">
        <v>90</v>
      </c>
      <c r="C800" t="s">
        <v>90</v>
      </c>
      <c r="D800" t="s">
        <v>5</v>
      </c>
      <c r="E800" s="1">
        <v>43182.504259259258</v>
      </c>
    </row>
    <row r="801" spans="1:5">
      <c r="A801">
        <v>9145</v>
      </c>
      <c r="B801" t="s">
        <v>90</v>
      </c>
      <c r="C801" t="s">
        <v>90</v>
      </c>
      <c r="D801" t="s">
        <v>6</v>
      </c>
      <c r="E801" s="1">
        <v>43185.413958333331</v>
      </c>
    </row>
    <row r="802" spans="1:5">
      <c r="A802">
        <v>9162</v>
      </c>
      <c r="B802" t="s">
        <v>90</v>
      </c>
      <c r="C802" t="s">
        <v>90</v>
      </c>
      <c r="D802" t="s">
        <v>5</v>
      </c>
      <c r="E802" s="1">
        <v>43185.863530092596</v>
      </c>
    </row>
    <row r="803" spans="1:5">
      <c r="A803">
        <v>9200</v>
      </c>
      <c r="B803" t="s">
        <v>104</v>
      </c>
      <c r="C803" t="s">
        <v>90</v>
      </c>
      <c r="D803" t="s">
        <v>6</v>
      </c>
      <c r="E803" s="1">
        <v>43187.714548611111</v>
      </c>
    </row>
    <row r="804" spans="1:5">
      <c r="A804">
        <v>9221</v>
      </c>
      <c r="B804" t="s">
        <v>90</v>
      </c>
      <c r="C804" t="s">
        <v>90</v>
      </c>
      <c r="D804" t="s">
        <v>5</v>
      </c>
      <c r="E804" s="1">
        <v>43187.866053240738</v>
      </c>
    </row>
    <row r="805" spans="1:5">
      <c r="A805">
        <v>9265</v>
      </c>
      <c r="B805" t="s">
        <v>90</v>
      </c>
      <c r="C805" t="s">
        <v>90</v>
      </c>
      <c r="D805" t="s">
        <v>6</v>
      </c>
      <c r="E805" s="1">
        <v>43189.371296296296</v>
      </c>
    </row>
    <row r="806" spans="1:5">
      <c r="A806">
        <v>9268</v>
      </c>
      <c r="B806" t="s">
        <v>90</v>
      </c>
      <c r="C806" t="s">
        <v>90</v>
      </c>
      <c r="D806" t="s">
        <v>5</v>
      </c>
      <c r="E806" s="1">
        <v>43189.503159722219</v>
      </c>
    </row>
    <row r="807" spans="1:5" s="406" customFormat="1">
      <c r="A807" s="406">
        <v>9265</v>
      </c>
      <c r="B807" s="406" t="s">
        <v>90</v>
      </c>
      <c r="C807" s="406" t="s">
        <v>90</v>
      </c>
      <c r="D807" s="406" t="s">
        <v>6</v>
      </c>
      <c r="E807" s="390">
        <v>43190.396296296298</v>
      </c>
    </row>
    <row r="808" spans="1:5" s="406" customFormat="1">
      <c r="A808" s="406">
        <v>9268</v>
      </c>
      <c r="B808" s="406" t="s">
        <v>90</v>
      </c>
      <c r="C808" s="406" t="s">
        <v>90</v>
      </c>
      <c r="D808" s="406" t="s">
        <v>5</v>
      </c>
      <c r="E808" s="390">
        <v>43190.54482638889</v>
      </c>
    </row>
    <row r="809" spans="1:5">
      <c r="A809">
        <v>8497</v>
      </c>
      <c r="B809" t="s">
        <v>92</v>
      </c>
      <c r="C809" t="s">
        <v>91</v>
      </c>
      <c r="D809" t="s">
        <v>6</v>
      </c>
      <c r="E809" s="1">
        <v>43160.376539351855</v>
      </c>
    </row>
    <row r="810" spans="1:5">
      <c r="A810">
        <v>8500</v>
      </c>
      <c r="B810" t="s">
        <v>91</v>
      </c>
      <c r="C810" t="s">
        <v>91</v>
      </c>
      <c r="D810" t="s">
        <v>5</v>
      </c>
      <c r="E810" s="1">
        <v>43160.761712962965</v>
      </c>
    </row>
    <row r="811" spans="1:5">
      <c r="A811">
        <v>8530</v>
      </c>
      <c r="B811" t="s">
        <v>91</v>
      </c>
      <c r="C811" t="s">
        <v>91</v>
      </c>
      <c r="D811" t="s">
        <v>6</v>
      </c>
      <c r="E811" s="1">
        <v>43161.382303240738</v>
      </c>
    </row>
    <row r="812" spans="1:5">
      <c r="A812">
        <v>8500</v>
      </c>
      <c r="B812" t="s">
        <v>91</v>
      </c>
      <c r="C812" t="s">
        <v>91</v>
      </c>
      <c r="D812" t="s">
        <v>5</v>
      </c>
      <c r="E812" s="1">
        <v>43161.889490740738</v>
      </c>
    </row>
    <row r="813" spans="1:5">
      <c r="A813">
        <v>8549</v>
      </c>
      <c r="B813" t="s">
        <v>92</v>
      </c>
      <c r="C813" t="s">
        <v>91</v>
      </c>
      <c r="D813" t="s">
        <v>6</v>
      </c>
      <c r="E813" s="1">
        <v>43162.486400462964</v>
      </c>
    </row>
    <row r="814" spans="1:5">
      <c r="A814">
        <v>8552</v>
      </c>
      <c r="B814" t="s">
        <v>91</v>
      </c>
      <c r="C814" t="s">
        <v>91</v>
      </c>
      <c r="D814" t="s">
        <v>5</v>
      </c>
      <c r="E814" s="1">
        <v>43162.661828703705</v>
      </c>
    </row>
    <row r="815" spans="1:5">
      <c r="A815">
        <v>8553</v>
      </c>
      <c r="B815" t="s">
        <v>91</v>
      </c>
      <c r="C815" t="s">
        <v>91</v>
      </c>
      <c r="D815" t="s">
        <v>6</v>
      </c>
      <c r="E815" s="1">
        <v>43162.683321759258</v>
      </c>
    </row>
    <row r="816" spans="1:5">
      <c r="A816">
        <v>8555</v>
      </c>
      <c r="B816" t="s">
        <v>92</v>
      </c>
      <c r="C816" t="s">
        <v>91</v>
      </c>
      <c r="D816" t="s">
        <v>5</v>
      </c>
      <c r="E816" s="1">
        <v>43162.897245370368</v>
      </c>
    </row>
    <row r="817" spans="1:5">
      <c r="A817">
        <v>8563</v>
      </c>
      <c r="B817" t="s">
        <v>91</v>
      </c>
      <c r="C817" t="s">
        <v>91</v>
      </c>
      <c r="D817" t="s">
        <v>6</v>
      </c>
      <c r="E817" s="1">
        <v>43164.369537037041</v>
      </c>
    </row>
    <row r="818" spans="1:5">
      <c r="A818">
        <v>8593</v>
      </c>
      <c r="B818" t="s">
        <v>92</v>
      </c>
      <c r="C818" t="s">
        <v>91</v>
      </c>
      <c r="D818" t="s">
        <v>5</v>
      </c>
      <c r="E818" s="1">
        <v>43164.941701388889</v>
      </c>
    </row>
    <row r="819" spans="1:5">
      <c r="A819">
        <v>8603</v>
      </c>
      <c r="B819" t="s">
        <v>92</v>
      </c>
      <c r="C819" t="s">
        <v>91</v>
      </c>
      <c r="D819" t="s">
        <v>6</v>
      </c>
      <c r="E819" s="1">
        <v>43165.383159722223</v>
      </c>
    </row>
    <row r="820" spans="1:5">
      <c r="A820">
        <v>8605</v>
      </c>
      <c r="B820" t="s">
        <v>96</v>
      </c>
      <c r="C820" t="s">
        <v>91</v>
      </c>
      <c r="D820" t="s">
        <v>5</v>
      </c>
      <c r="E820" s="1">
        <v>43165.761284722219</v>
      </c>
    </row>
    <row r="821" spans="1:5">
      <c r="A821">
        <v>8635</v>
      </c>
      <c r="B821" t="s">
        <v>96</v>
      </c>
      <c r="C821" t="s">
        <v>91</v>
      </c>
      <c r="D821" t="s">
        <v>6</v>
      </c>
      <c r="E821" s="1">
        <v>43166.399178240739</v>
      </c>
    </row>
    <row r="822" spans="1:5">
      <c r="A822">
        <v>8660</v>
      </c>
      <c r="B822" t="s">
        <v>92</v>
      </c>
      <c r="C822" t="s">
        <v>91</v>
      </c>
      <c r="D822" t="s">
        <v>5</v>
      </c>
      <c r="E822" s="1">
        <v>43166.918379629627</v>
      </c>
    </row>
    <row r="823" spans="1:5">
      <c r="A823">
        <v>8662</v>
      </c>
      <c r="B823" t="s">
        <v>91</v>
      </c>
      <c r="C823" t="s">
        <v>91</v>
      </c>
      <c r="D823" t="s">
        <v>6</v>
      </c>
      <c r="E823" s="1">
        <v>43167.357511574075</v>
      </c>
    </row>
    <row r="824" spans="1:5">
      <c r="A824">
        <v>8676</v>
      </c>
      <c r="B824" t="s">
        <v>91</v>
      </c>
      <c r="C824" t="s">
        <v>91</v>
      </c>
      <c r="D824" t="s">
        <v>5</v>
      </c>
      <c r="E824" s="1">
        <v>43167.767939814818</v>
      </c>
    </row>
    <row r="825" spans="1:5">
      <c r="A825">
        <v>8702</v>
      </c>
      <c r="B825" t="s">
        <v>92</v>
      </c>
      <c r="C825" t="s">
        <v>91</v>
      </c>
      <c r="D825" t="s">
        <v>6</v>
      </c>
      <c r="E825" s="1">
        <v>43168.381712962961</v>
      </c>
    </row>
    <row r="826" spans="1:5">
      <c r="A826">
        <v>8716</v>
      </c>
      <c r="B826" t="s">
        <v>92</v>
      </c>
      <c r="C826" t="s">
        <v>91</v>
      </c>
      <c r="D826" t="s">
        <v>5</v>
      </c>
      <c r="E826" s="1">
        <v>43168.887557870374</v>
      </c>
    </row>
    <row r="827" spans="1:5">
      <c r="A827">
        <v>8731</v>
      </c>
      <c r="B827" t="s">
        <v>96</v>
      </c>
      <c r="C827" t="s">
        <v>91</v>
      </c>
      <c r="D827" t="s">
        <v>6</v>
      </c>
      <c r="E827" s="1">
        <v>43170.428483796299</v>
      </c>
    </row>
    <row r="828" spans="1:5">
      <c r="A828">
        <v>8739</v>
      </c>
      <c r="B828" t="s">
        <v>91</v>
      </c>
      <c r="C828" t="s">
        <v>91</v>
      </c>
      <c r="D828" t="s">
        <v>5</v>
      </c>
      <c r="E828" s="1">
        <v>43170.561145833337</v>
      </c>
    </row>
    <row r="829" spans="1:5">
      <c r="A829">
        <v>8744</v>
      </c>
      <c r="B829" t="s">
        <v>92</v>
      </c>
      <c r="C829" t="s">
        <v>91</v>
      </c>
      <c r="D829" t="s">
        <v>6</v>
      </c>
      <c r="E829" s="1">
        <v>43170.604456018518</v>
      </c>
    </row>
    <row r="830" spans="1:5">
      <c r="A830">
        <v>8747</v>
      </c>
      <c r="B830" t="s">
        <v>92</v>
      </c>
      <c r="C830" t="s">
        <v>91</v>
      </c>
      <c r="D830" t="s">
        <v>5</v>
      </c>
      <c r="E830" s="1">
        <v>43170.747303240743</v>
      </c>
    </row>
    <row r="831" spans="1:5">
      <c r="A831">
        <v>8748</v>
      </c>
      <c r="B831" t="s">
        <v>92</v>
      </c>
      <c r="C831" t="s">
        <v>91</v>
      </c>
      <c r="D831" t="s">
        <v>6</v>
      </c>
      <c r="E831" s="1">
        <v>43170.748113425929</v>
      </c>
    </row>
    <row r="832" spans="1:5">
      <c r="A832">
        <v>8760</v>
      </c>
      <c r="B832" t="s">
        <v>92</v>
      </c>
      <c r="C832" t="s">
        <v>91</v>
      </c>
      <c r="D832" t="s">
        <v>5</v>
      </c>
      <c r="E832" s="1">
        <v>43170.797407407408</v>
      </c>
    </row>
    <row r="833" spans="1:5">
      <c r="A833">
        <v>8772</v>
      </c>
      <c r="B833" t="s">
        <v>91</v>
      </c>
      <c r="C833" t="s">
        <v>91</v>
      </c>
      <c r="D833" t="s">
        <v>6</v>
      </c>
      <c r="E833" s="1">
        <v>43171.382048611114</v>
      </c>
    </row>
    <row r="834" spans="1:5">
      <c r="A834">
        <v>8798</v>
      </c>
      <c r="B834" t="s">
        <v>92</v>
      </c>
      <c r="C834" t="s">
        <v>91</v>
      </c>
      <c r="D834" t="s">
        <v>5</v>
      </c>
      <c r="E834" s="1">
        <v>43171.914039351854</v>
      </c>
    </row>
    <row r="835" spans="1:5">
      <c r="A835">
        <v>8806</v>
      </c>
      <c r="B835" t="s">
        <v>96</v>
      </c>
      <c r="C835" t="s">
        <v>91</v>
      </c>
      <c r="D835" t="s">
        <v>6</v>
      </c>
      <c r="E835" s="1">
        <v>43172.368321759262</v>
      </c>
    </row>
    <row r="836" spans="1:5">
      <c r="A836">
        <v>8823</v>
      </c>
      <c r="B836" t="s">
        <v>91</v>
      </c>
      <c r="C836" t="s">
        <v>91</v>
      </c>
      <c r="D836" t="s">
        <v>5</v>
      </c>
      <c r="E836" s="1">
        <v>43172.773449074077</v>
      </c>
    </row>
    <row r="837" spans="1:5">
      <c r="A837">
        <v>8845</v>
      </c>
      <c r="B837" t="s">
        <v>91</v>
      </c>
      <c r="C837" t="s">
        <v>91</v>
      </c>
      <c r="D837" t="s">
        <v>6</v>
      </c>
      <c r="E837" s="1">
        <v>43173.372731481482</v>
      </c>
    </row>
    <row r="838" spans="1:5">
      <c r="A838">
        <v>8869</v>
      </c>
      <c r="B838" t="s">
        <v>91</v>
      </c>
      <c r="C838" t="s">
        <v>91</v>
      </c>
      <c r="D838" t="s">
        <v>5</v>
      </c>
      <c r="E838" s="1">
        <v>43173.876458333332</v>
      </c>
    </row>
    <row r="839" spans="1:5">
      <c r="A839">
        <v>8881</v>
      </c>
      <c r="B839" t="s">
        <v>96</v>
      </c>
      <c r="C839" t="s">
        <v>91</v>
      </c>
      <c r="D839" t="s">
        <v>6</v>
      </c>
      <c r="E839" s="1">
        <v>43174.379340277781</v>
      </c>
    </row>
    <row r="840" spans="1:5">
      <c r="A840">
        <v>8895</v>
      </c>
      <c r="B840" t="s">
        <v>91</v>
      </c>
      <c r="C840" t="s">
        <v>91</v>
      </c>
      <c r="D840" t="s">
        <v>5</v>
      </c>
      <c r="E840" s="1">
        <v>43174.775312500002</v>
      </c>
    </row>
    <row r="841" spans="1:5">
      <c r="A841">
        <v>8916</v>
      </c>
      <c r="B841" t="s">
        <v>91</v>
      </c>
      <c r="C841" t="s">
        <v>91</v>
      </c>
      <c r="D841" t="s">
        <v>6</v>
      </c>
      <c r="E841" s="1">
        <v>43175.389456018522</v>
      </c>
    </row>
    <row r="842" spans="1:5">
      <c r="A842">
        <v>8941</v>
      </c>
      <c r="B842" t="s">
        <v>96</v>
      </c>
      <c r="C842" t="s">
        <v>91</v>
      </c>
      <c r="D842" t="s">
        <v>5</v>
      </c>
      <c r="E842" s="1">
        <v>43175.910613425927</v>
      </c>
    </row>
    <row r="843" spans="1:5">
      <c r="A843">
        <v>8950</v>
      </c>
      <c r="B843" t="s">
        <v>96</v>
      </c>
      <c r="C843" t="s">
        <v>91</v>
      </c>
      <c r="D843" t="s">
        <v>6</v>
      </c>
      <c r="E843" s="1">
        <v>43176.471851851849</v>
      </c>
    </row>
    <row r="844" spans="1:5">
      <c r="A844">
        <v>8972</v>
      </c>
      <c r="B844" t="s">
        <v>96</v>
      </c>
      <c r="C844" t="s">
        <v>91</v>
      </c>
      <c r="D844" t="s">
        <v>5</v>
      </c>
      <c r="E844" s="1">
        <v>43176.836921296293</v>
      </c>
    </row>
    <row r="845" spans="1:5">
      <c r="A845">
        <v>8977</v>
      </c>
      <c r="B845" t="s">
        <v>91</v>
      </c>
      <c r="C845" t="s">
        <v>91</v>
      </c>
      <c r="D845" t="s">
        <v>6</v>
      </c>
      <c r="E845" s="1">
        <v>43178.368078703701</v>
      </c>
    </row>
    <row r="846" spans="1:5">
      <c r="A846">
        <v>8992</v>
      </c>
      <c r="B846" t="s">
        <v>92</v>
      </c>
      <c r="C846" t="s">
        <v>91</v>
      </c>
      <c r="D846" t="s">
        <v>5</v>
      </c>
      <c r="E846" s="1">
        <v>43178.770011574074</v>
      </c>
    </row>
    <row r="847" spans="1:5">
      <c r="A847">
        <v>8993</v>
      </c>
      <c r="B847" t="s">
        <v>92</v>
      </c>
      <c r="C847" t="s">
        <v>91</v>
      </c>
      <c r="D847" t="s">
        <v>7</v>
      </c>
      <c r="E847" s="1">
        <v>43178.770069444443</v>
      </c>
    </row>
    <row r="848" spans="1:5">
      <c r="A848">
        <v>9004</v>
      </c>
      <c r="B848" t="s">
        <v>91</v>
      </c>
      <c r="C848" t="s">
        <v>91</v>
      </c>
      <c r="D848" t="s">
        <v>8</v>
      </c>
      <c r="E848" s="1">
        <v>43178.868437500001</v>
      </c>
    </row>
    <row r="849" spans="1:5">
      <c r="A849">
        <v>9017</v>
      </c>
      <c r="B849" t="s">
        <v>91</v>
      </c>
      <c r="C849" t="s">
        <v>91</v>
      </c>
      <c r="D849" t="s">
        <v>6</v>
      </c>
      <c r="E849" s="1">
        <v>43179.37332175926</v>
      </c>
    </row>
    <row r="850" spans="1:5">
      <c r="A850">
        <v>9021</v>
      </c>
      <c r="B850" t="s">
        <v>96</v>
      </c>
      <c r="C850" t="s">
        <v>91</v>
      </c>
      <c r="D850" t="s">
        <v>5</v>
      </c>
      <c r="E850" s="1">
        <v>43179.76152777778</v>
      </c>
    </row>
    <row r="851" spans="1:5">
      <c r="A851">
        <v>9054</v>
      </c>
      <c r="B851" t="s">
        <v>96</v>
      </c>
      <c r="C851" t="s">
        <v>91</v>
      </c>
      <c r="D851" t="s">
        <v>6</v>
      </c>
      <c r="E851" s="1">
        <v>43180.375254629631</v>
      </c>
    </row>
    <row r="852" spans="1:5">
      <c r="A852">
        <v>9071</v>
      </c>
      <c r="B852" t="s">
        <v>91</v>
      </c>
      <c r="C852" t="s">
        <v>91</v>
      </c>
      <c r="D852" t="s">
        <v>5</v>
      </c>
      <c r="E852" s="1">
        <v>43180.79347222222</v>
      </c>
    </row>
    <row r="853" spans="1:5">
      <c r="A853">
        <v>9075</v>
      </c>
      <c r="B853" t="s">
        <v>92</v>
      </c>
      <c r="C853" t="s">
        <v>91</v>
      </c>
      <c r="D853" t="s">
        <v>7</v>
      </c>
      <c r="E853" s="1">
        <v>43180.817465277774</v>
      </c>
    </row>
    <row r="854" spans="1:5">
      <c r="A854">
        <v>9080</v>
      </c>
      <c r="B854" t="s">
        <v>92</v>
      </c>
      <c r="C854" t="s">
        <v>91</v>
      </c>
      <c r="D854" t="s">
        <v>8</v>
      </c>
      <c r="E854" s="1">
        <v>43180.893796296295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pageSetUpPr fitToPage="1"/>
  </sheetPr>
  <dimension ref="A1:U129"/>
  <sheetViews>
    <sheetView view="pageBreakPreview" topLeftCell="D1" zoomScaleNormal="100" zoomScaleSheetLayoutView="100" workbookViewId="0">
      <selection activeCell="L22" sqref="L22"/>
    </sheetView>
  </sheetViews>
  <sheetFormatPr baseColWidth="10" defaultColWidth="9" defaultRowHeight="15" outlineLevelCol="1"/>
  <cols>
    <col min="1" max="1" width="5.6640625" style="335" customWidth="1" outlineLevel="1"/>
    <col min="2" max="2" width="6.83203125" style="335" customWidth="1" outlineLevel="1"/>
    <col min="3" max="3" width="6.5" style="336" customWidth="1" outlineLevel="1"/>
    <col min="4" max="4" width="10.1640625" style="336" customWidth="1"/>
    <col min="5" max="5" width="15.1640625" style="336" customWidth="1"/>
    <col min="6" max="6" width="6.1640625" style="378" customWidth="1"/>
    <col min="7" max="7" width="8.6640625" style="381" customWidth="1" outlineLevel="1"/>
    <col min="8" max="8" width="11.1640625" style="382" customWidth="1" outlineLevel="1"/>
    <col min="9" max="9" width="10.1640625" style="383" customWidth="1"/>
    <col min="10" max="10" width="9" style="383" customWidth="1"/>
    <col min="11" max="11" width="8.33203125" style="384" customWidth="1" outlineLevel="1"/>
    <col min="12" max="12" width="8" style="384" customWidth="1"/>
    <col min="13" max="13" width="10.5" style="384" customWidth="1"/>
    <col min="14" max="14" width="10.1640625" style="384" customWidth="1"/>
    <col min="15" max="15" width="14.33203125" style="385" customWidth="1"/>
    <col min="16" max="17" width="9" style="346"/>
    <col min="18" max="18" width="2.5" style="346" customWidth="1"/>
    <col min="19" max="19" width="9" style="346"/>
    <col min="20" max="20" width="3" style="335" customWidth="1"/>
    <col min="21" max="21" width="7.5" style="335" customWidth="1"/>
    <col min="22" max="16384" width="9" style="335"/>
  </cols>
  <sheetData>
    <row r="1" spans="1:21" s="324" customFormat="1" ht="28" thickBot="1">
      <c r="C1" s="325"/>
      <c r="D1" s="326"/>
      <c r="E1" s="326"/>
      <c r="F1" s="327"/>
      <c r="G1" s="328"/>
      <c r="H1" s="329"/>
      <c r="I1" s="330" t="str">
        <f>B59</f>
        <v>my</v>
      </c>
      <c r="J1" s="331" t="s">
        <v>30</v>
      </c>
      <c r="K1" s="332"/>
      <c r="L1" s="332"/>
      <c r="M1" s="332"/>
      <c r="N1" s="332"/>
      <c r="O1" s="333"/>
      <c r="P1" s="334"/>
      <c r="Q1" s="334"/>
      <c r="R1" s="334"/>
      <c r="S1" s="334"/>
    </row>
    <row r="2" spans="1:21">
      <c r="D2" s="337" t="s">
        <v>75</v>
      </c>
      <c r="E2" s="338">
        <v>23</v>
      </c>
      <c r="F2" s="339" t="s">
        <v>76</v>
      </c>
      <c r="G2" s="340"/>
      <c r="H2" s="340"/>
      <c r="I2" s="341"/>
      <c r="J2" s="341" t="s">
        <v>35</v>
      </c>
      <c r="K2" s="342"/>
      <c r="L2" s="343" t="s">
        <v>21</v>
      </c>
      <c r="M2" s="344" t="s">
        <v>18</v>
      </c>
      <c r="N2" s="344" t="s">
        <v>19</v>
      </c>
      <c r="O2" s="345" t="s">
        <v>28</v>
      </c>
    </row>
    <row r="3" spans="1:21" ht="16" thickBot="1">
      <c r="D3" s="347" t="s">
        <v>77</v>
      </c>
      <c r="E3" s="348">
        <v>800</v>
      </c>
      <c r="F3" s="349"/>
      <c r="G3" s="350"/>
      <c r="H3" s="350"/>
      <c r="I3" s="351"/>
      <c r="J3" s="352">
        <f>D5+E5</f>
        <v>0</v>
      </c>
      <c r="K3" s="353">
        <f>SUM(K7:K150)</f>
        <v>86.733333333333334</v>
      </c>
      <c r="L3" s="53">
        <f>J3</f>
        <v>0</v>
      </c>
      <c r="M3" s="53">
        <f>M6-J3</f>
        <v>49.333333333333329</v>
      </c>
      <c r="N3" s="53">
        <f>N6</f>
        <v>37.31666666666667</v>
      </c>
      <c r="O3" s="354"/>
    </row>
    <row r="4" spans="1:21">
      <c r="D4" s="355" t="s">
        <v>44</v>
      </c>
      <c r="E4" s="356" t="s">
        <v>45</v>
      </c>
      <c r="F4" s="356" t="s">
        <v>47</v>
      </c>
      <c r="G4" s="357"/>
      <c r="H4" s="357"/>
      <c r="I4" s="358" t="s">
        <v>34</v>
      </c>
      <c r="J4" s="358" t="s">
        <v>26</v>
      </c>
      <c r="K4" s="358"/>
      <c r="L4" s="358" t="s">
        <v>13</v>
      </c>
      <c r="M4" s="358" t="s">
        <v>13</v>
      </c>
      <c r="N4" s="358" t="s">
        <v>13</v>
      </c>
      <c r="O4" s="359"/>
      <c r="Q4" s="360" t="s">
        <v>24</v>
      </c>
      <c r="R4" s="346" t="s">
        <v>31</v>
      </c>
      <c r="S4" s="360" t="s">
        <v>26</v>
      </c>
      <c r="T4" s="361" t="s">
        <v>32</v>
      </c>
      <c r="U4" s="362">
        <f>I6+J6</f>
        <v>184</v>
      </c>
    </row>
    <row r="5" spans="1:21">
      <c r="D5" s="401">
        <v>0</v>
      </c>
      <c r="E5" s="363">
        <v>0</v>
      </c>
      <c r="F5" s="363">
        <v>1</v>
      </c>
      <c r="G5" s="364"/>
      <c r="H5" s="364"/>
      <c r="I5" s="365" t="s">
        <v>48</v>
      </c>
      <c r="J5" s="365" t="s">
        <v>48</v>
      </c>
      <c r="K5" s="365" t="s">
        <v>17</v>
      </c>
      <c r="L5" s="365" t="s">
        <v>21</v>
      </c>
      <c r="M5" s="365" t="s">
        <v>18</v>
      </c>
      <c r="N5" s="365" t="s">
        <v>19</v>
      </c>
      <c r="O5" s="366"/>
      <c r="Q5" s="346" t="s">
        <v>41</v>
      </c>
      <c r="S5" s="367">
        <f>(L6+M6+N6)/160</f>
        <v>0.54156250000000006</v>
      </c>
    </row>
    <row r="6" spans="1:21" ht="16" thickBot="1">
      <c r="A6" s="335" t="s">
        <v>0</v>
      </c>
      <c r="B6" s="335" t="s">
        <v>1</v>
      </c>
      <c r="C6" s="336" t="s">
        <v>2</v>
      </c>
      <c r="D6" s="368" t="s">
        <v>3</v>
      </c>
      <c r="E6" s="369" t="s">
        <v>4</v>
      </c>
      <c r="F6" s="370"/>
      <c r="G6" s="371"/>
      <c r="H6" s="369" t="s">
        <v>23</v>
      </c>
      <c r="I6" s="372">
        <f>SUM(I7:I1500)</f>
        <v>183</v>
      </c>
      <c r="J6" s="372">
        <f t="shared" ref="J6:N6" si="0">SUM(J7:J1500)</f>
        <v>1</v>
      </c>
      <c r="K6" s="372">
        <f t="shared" si="0"/>
        <v>86.733333333333334</v>
      </c>
      <c r="L6" s="372">
        <f t="shared" si="0"/>
        <v>0</v>
      </c>
      <c r="M6" s="372">
        <f t="shared" si="0"/>
        <v>49.333333333333329</v>
      </c>
      <c r="N6" s="372">
        <f t="shared" si="0"/>
        <v>37.31666666666667</v>
      </c>
      <c r="O6" s="373"/>
      <c r="Q6" s="374"/>
    </row>
    <row r="7" spans="1:21" s="130" customFormat="1">
      <c r="A7" s="140">
        <v>8496</v>
      </c>
      <c r="B7" s="140" t="s">
        <v>63</v>
      </c>
      <c r="C7" s="140" t="s">
        <v>63</v>
      </c>
      <c r="D7" s="143" t="s">
        <v>6</v>
      </c>
      <c r="E7" s="144">
        <v>43160.373043981483</v>
      </c>
      <c r="F7" s="89">
        <f t="shared" ref="F7" si="1">E7</f>
        <v>43160.373043981483</v>
      </c>
      <c r="G7" s="90" t="str">
        <f>HOUR(E7)&amp;":"&amp;MINUTE(E7)</f>
        <v>8:57</v>
      </c>
      <c r="H7" s="91">
        <f>IF(D7="上班",(G8-G7)*24,"-")</f>
        <v>9.8833333333333346</v>
      </c>
      <c r="I7" s="92">
        <f>IF(D7="上班",IF(H7-1.5&gt;8,8,H7-1.5),"-")</f>
        <v>8</v>
      </c>
      <c r="J7" s="92" t="str">
        <f>IF(I7&lt;8,8-I7,"-")</f>
        <v>-</v>
      </c>
      <c r="K7" s="93">
        <f>IF(D7="加班",(G8-G7)*24,0)</f>
        <v>0</v>
      </c>
      <c r="L7" s="93"/>
      <c r="M7" s="94">
        <f>IF(K7&gt;2,2,K7)</f>
        <v>0</v>
      </c>
      <c r="N7" s="94">
        <f t="shared" ref="N7" si="2">IF(K7&gt;2,K7-2,0)</f>
        <v>0</v>
      </c>
      <c r="O7" s="95"/>
      <c r="P7" s="346"/>
      <c r="Q7" s="374"/>
      <c r="R7" s="149"/>
      <c r="S7" s="149"/>
    </row>
    <row r="8" spans="1:21" s="130" customFormat="1">
      <c r="A8" s="140">
        <v>8508</v>
      </c>
      <c r="B8" s="140" t="s">
        <v>63</v>
      </c>
      <c r="C8" s="140" t="s">
        <v>63</v>
      </c>
      <c r="D8" s="143" t="s">
        <v>5</v>
      </c>
      <c r="E8" s="144">
        <v>43160.785138888888</v>
      </c>
      <c r="F8" s="89">
        <f t="shared" ref="F8:F71" si="3">E8</f>
        <v>43160.785138888888</v>
      </c>
      <c r="G8" s="90" t="str">
        <f t="shared" ref="G8:G71" si="4">HOUR(E8)&amp;":"&amp;MINUTE(E8)</f>
        <v>18:50</v>
      </c>
      <c r="H8" s="91" t="str">
        <f t="shared" ref="H8:H71" si="5">IF(D8="上班",(G9-G8)*24,"-")</f>
        <v>-</v>
      </c>
      <c r="I8" s="92" t="str">
        <f t="shared" ref="I8:I71" si="6">IF(D8="上班",IF(H8-1.5&gt;8,8,H8-1.5),"-")</f>
        <v>-</v>
      </c>
      <c r="J8" s="92" t="str">
        <f>IF(I8&lt;8,8-I8,"-")</f>
        <v>-</v>
      </c>
      <c r="K8" s="93">
        <f t="shared" ref="K8:K71" si="7">IF(D8="加班",(G9-G8)*24,0)</f>
        <v>0</v>
      </c>
      <c r="L8" s="93"/>
      <c r="M8" s="94">
        <f t="shared" ref="M8:M71" si="8">IF(K8&gt;2,2,K8)</f>
        <v>0</v>
      </c>
      <c r="N8" s="94">
        <f t="shared" ref="N8:N71" si="9">IF(K8&gt;2,K8-2,0)</f>
        <v>0</v>
      </c>
      <c r="O8" s="95"/>
      <c r="P8" s="346"/>
      <c r="Q8" s="374"/>
      <c r="R8" s="149"/>
      <c r="S8" s="149"/>
    </row>
    <row r="9" spans="1:21" s="378" customFormat="1">
      <c r="A9" s="140">
        <v>8510</v>
      </c>
      <c r="B9" s="140" t="s">
        <v>63</v>
      </c>
      <c r="C9" s="140" t="s">
        <v>63</v>
      </c>
      <c r="D9" s="143" t="s">
        <v>7</v>
      </c>
      <c r="E9" s="144">
        <v>43160.785150462965</v>
      </c>
      <c r="F9" s="89">
        <f t="shared" si="3"/>
        <v>43160.785150462965</v>
      </c>
      <c r="G9" s="90" t="str">
        <f t="shared" si="4"/>
        <v>18:50</v>
      </c>
      <c r="H9" s="91" t="str">
        <f t="shared" si="5"/>
        <v>-</v>
      </c>
      <c r="I9" s="92" t="str">
        <f t="shared" si="6"/>
        <v>-</v>
      </c>
      <c r="J9" s="92" t="str">
        <f t="shared" ref="J9:J71" si="10">IF(I9&lt;8,8-I9,"-")</f>
        <v>-</v>
      </c>
      <c r="K9" s="93">
        <f t="shared" si="7"/>
        <v>2.5666666666666655</v>
      </c>
      <c r="L9" s="93"/>
      <c r="M9" s="94">
        <f t="shared" si="8"/>
        <v>2</v>
      </c>
      <c r="N9" s="94">
        <f t="shared" si="9"/>
        <v>0.56666666666666554</v>
      </c>
      <c r="O9" s="95"/>
      <c r="P9" s="346"/>
      <c r="Q9" s="374"/>
      <c r="R9" s="377"/>
      <c r="S9" s="377"/>
    </row>
    <row r="10" spans="1:21" s="63" customFormat="1">
      <c r="A10" s="140">
        <v>8519</v>
      </c>
      <c r="B10" s="140" t="s">
        <v>63</v>
      </c>
      <c r="C10" s="140" t="s">
        <v>63</v>
      </c>
      <c r="D10" s="143" t="s">
        <v>8</v>
      </c>
      <c r="E10" s="144">
        <v>43160.891759259262</v>
      </c>
      <c r="F10" s="89">
        <f t="shared" si="3"/>
        <v>43160.891759259262</v>
      </c>
      <c r="G10" s="90" t="str">
        <f t="shared" si="4"/>
        <v>21:24</v>
      </c>
      <c r="H10" s="91" t="str">
        <f t="shared" si="5"/>
        <v>-</v>
      </c>
      <c r="I10" s="92" t="str">
        <f t="shared" si="6"/>
        <v>-</v>
      </c>
      <c r="J10" s="92" t="str">
        <f t="shared" si="10"/>
        <v>-</v>
      </c>
      <c r="K10" s="93">
        <f t="shared" si="7"/>
        <v>0</v>
      </c>
      <c r="L10" s="93"/>
      <c r="M10" s="94">
        <f t="shared" si="8"/>
        <v>0</v>
      </c>
      <c r="N10" s="94">
        <f t="shared" si="9"/>
        <v>0</v>
      </c>
      <c r="O10" s="95"/>
      <c r="P10" s="346"/>
      <c r="Q10" s="374"/>
      <c r="R10" s="18"/>
      <c r="S10" s="18"/>
    </row>
    <row r="11" spans="1:21" s="63" customFormat="1">
      <c r="A11" s="140">
        <v>8526</v>
      </c>
      <c r="B11" s="140" t="s">
        <v>63</v>
      </c>
      <c r="C11" s="140" t="s">
        <v>63</v>
      </c>
      <c r="D11" s="143" t="s">
        <v>6</v>
      </c>
      <c r="E11" s="144">
        <v>43161.368634259263</v>
      </c>
      <c r="F11" s="89">
        <f t="shared" si="3"/>
        <v>43161.368634259263</v>
      </c>
      <c r="G11" s="90" t="str">
        <f t="shared" si="4"/>
        <v>8:50</v>
      </c>
      <c r="H11" s="91">
        <f t="shared" si="5"/>
        <v>10.333333333333334</v>
      </c>
      <c r="I11" s="92">
        <f t="shared" si="6"/>
        <v>8</v>
      </c>
      <c r="J11" s="92" t="str">
        <f t="shared" si="10"/>
        <v>-</v>
      </c>
      <c r="K11" s="93">
        <f t="shared" si="7"/>
        <v>0</v>
      </c>
      <c r="L11" s="93"/>
      <c r="M11" s="94">
        <f t="shared" si="8"/>
        <v>0</v>
      </c>
      <c r="N11" s="94">
        <f t="shared" si="9"/>
        <v>0</v>
      </c>
      <c r="O11" s="95"/>
      <c r="P11" s="346"/>
      <c r="Q11" s="374"/>
      <c r="R11" s="18"/>
      <c r="S11" s="18"/>
    </row>
    <row r="12" spans="1:21" s="378" customFormat="1">
      <c r="A12" s="140">
        <v>8541</v>
      </c>
      <c r="B12" s="140" t="s">
        <v>79</v>
      </c>
      <c r="C12" s="140" t="s">
        <v>63</v>
      </c>
      <c r="D12" s="143" t="s">
        <v>5</v>
      </c>
      <c r="E12" s="144">
        <v>43161.799074074072</v>
      </c>
      <c r="F12" s="89">
        <f t="shared" si="3"/>
        <v>43161.799074074072</v>
      </c>
      <c r="G12" s="90" t="str">
        <f t="shared" si="4"/>
        <v>19:10</v>
      </c>
      <c r="H12" s="91" t="str">
        <f t="shared" si="5"/>
        <v>-</v>
      </c>
      <c r="I12" s="92" t="str">
        <f t="shared" si="6"/>
        <v>-</v>
      </c>
      <c r="J12" s="92" t="str">
        <f t="shared" si="10"/>
        <v>-</v>
      </c>
      <c r="K12" s="93">
        <f t="shared" si="7"/>
        <v>0</v>
      </c>
      <c r="L12" s="93"/>
      <c r="M12" s="94">
        <f t="shared" si="8"/>
        <v>0</v>
      </c>
      <c r="N12" s="94">
        <f t="shared" si="9"/>
        <v>0</v>
      </c>
      <c r="O12" s="95"/>
      <c r="P12" s="346"/>
      <c r="Q12" s="374"/>
      <c r="R12" s="377"/>
      <c r="S12" s="377"/>
    </row>
    <row r="13" spans="1:21" s="16" customFormat="1">
      <c r="A13" s="140">
        <v>8542</v>
      </c>
      <c r="B13" s="140" t="s">
        <v>79</v>
      </c>
      <c r="C13" s="140" t="s">
        <v>63</v>
      </c>
      <c r="D13" s="143" t="s">
        <v>108</v>
      </c>
      <c r="E13" s="144">
        <v>43161.799120370371</v>
      </c>
      <c r="F13" s="89">
        <f t="shared" si="3"/>
        <v>43161.799120370371</v>
      </c>
      <c r="G13" s="90" t="str">
        <f t="shared" si="4"/>
        <v>19:10</v>
      </c>
      <c r="H13" s="91" t="str">
        <f t="shared" si="5"/>
        <v>-</v>
      </c>
      <c r="I13" s="92" t="str">
        <f t="shared" si="6"/>
        <v>-</v>
      </c>
      <c r="J13" s="92" t="str">
        <f t="shared" si="10"/>
        <v>-</v>
      </c>
      <c r="K13" s="93">
        <f t="shared" si="7"/>
        <v>2.0833333333333313</v>
      </c>
      <c r="L13" s="93"/>
      <c r="M13" s="94">
        <f t="shared" si="8"/>
        <v>2</v>
      </c>
      <c r="N13" s="94">
        <f t="shared" si="9"/>
        <v>8.3333333333331261E-2</v>
      </c>
      <c r="O13" s="95"/>
      <c r="P13" s="137"/>
      <c r="Q13" s="404"/>
      <c r="R13" s="137"/>
      <c r="S13" s="137"/>
    </row>
    <row r="14" spans="1:21" s="16" customFormat="1">
      <c r="A14" s="140">
        <v>8546</v>
      </c>
      <c r="B14" s="140" t="s">
        <v>63</v>
      </c>
      <c r="C14" s="140" t="s">
        <v>63</v>
      </c>
      <c r="D14" s="143" t="s">
        <v>8</v>
      </c>
      <c r="E14" s="144">
        <v>43161.885972222219</v>
      </c>
      <c r="F14" s="89">
        <f t="shared" si="3"/>
        <v>43161.885972222219</v>
      </c>
      <c r="G14" s="90" t="str">
        <f t="shared" si="4"/>
        <v>21:15</v>
      </c>
      <c r="H14" s="91" t="str">
        <f t="shared" si="5"/>
        <v>-</v>
      </c>
      <c r="I14" s="92" t="str">
        <f t="shared" si="6"/>
        <v>-</v>
      </c>
      <c r="J14" s="92" t="str">
        <f t="shared" si="10"/>
        <v>-</v>
      </c>
      <c r="K14" s="93">
        <f t="shared" si="7"/>
        <v>0</v>
      </c>
      <c r="L14" s="93"/>
      <c r="M14" s="94">
        <f t="shared" si="8"/>
        <v>0</v>
      </c>
      <c r="N14" s="94">
        <f t="shared" si="9"/>
        <v>0</v>
      </c>
      <c r="O14" s="95"/>
      <c r="P14" s="137"/>
      <c r="Q14" s="404"/>
      <c r="R14" s="137"/>
      <c r="S14" s="137"/>
    </row>
    <row r="15" spans="1:21" s="16" customFormat="1">
      <c r="A15" s="140">
        <v>8562</v>
      </c>
      <c r="B15" s="140" t="s">
        <v>63</v>
      </c>
      <c r="C15" s="140" t="s">
        <v>63</v>
      </c>
      <c r="D15" s="143" t="s">
        <v>6</v>
      </c>
      <c r="E15" s="144">
        <v>43164.3671875</v>
      </c>
      <c r="F15" s="89">
        <f t="shared" si="3"/>
        <v>43164.3671875</v>
      </c>
      <c r="G15" s="90" t="str">
        <f t="shared" si="4"/>
        <v>8:48</v>
      </c>
      <c r="H15" s="91">
        <f t="shared" si="5"/>
        <v>9.716666666666665</v>
      </c>
      <c r="I15" s="92">
        <f t="shared" si="6"/>
        <v>8</v>
      </c>
      <c r="J15" s="92" t="str">
        <f t="shared" si="10"/>
        <v>-</v>
      </c>
      <c r="K15" s="93">
        <f t="shared" si="7"/>
        <v>0</v>
      </c>
      <c r="L15" s="93"/>
      <c r="M15" s="94">
        <f t="shared" si="8"/>
        <v>0</v>
      </c>
      <c r="N15" s="94">
        <f t="shared" si="9"/>
        <v>0</v>
      </c>
      <c r="O15" s="95"/>
      <c r="P15" s="137"/>
      <c r="Q15" s="404"/>
      <c r="R15" s="137"/>
      <c r="S15" s="137"/>
    </row>
    <row r="16" spans="1:21" s="16" customFormat="1">
      <c r="A16" s="140">
        <v>8577</v>
      </c>
      <c r="B16" s="140" t="s">
        <v>63</v>
      </c>
      <c r="C16" s="140" t="s">
        <v>63</v>
      </c>
      <c r="D16" s="143" t="s">
        <v>5</v>
      </c>
      <c r="E16" s="144">
        <v>43164.771631944444</v>
      </c>
      <c r="F16" s="89">
        <f t="shared" si="3"/>
        <v>43164.771631944444</v>
      </c>
      <c r="G16" s="90" t="str">
        <f t="shared" si="4"/>
        <v>18:31</v>
      </c>
      <c r="H16" s="91" t="str">
        <f t="shared" si="5"/>
        <v>-</v>
      </c>
      <c r="I16" s="92" t="str">
        <f t="shared" si="6"/>
        <v>-</v>
      </c>
      <c r="J16" s="92" t="str">
        <f t="shared" si="10"/>
        <v>-</v>
      </c>
      <c r="K16" s="93">
        <f t="shared" si="7"/>
        <v>0</v>
      </c>
      <c r="L16" s="93"/>
      <c r="M16" s="94">
        <f t="shared" si="8"/>
        <v>0</v>
      </c>
      <c r="N16" s="94">
        <f t="shared" si="9"/>
        <v>0</v>
      </c>
      <c r="O16" s="95"/>
      <c r="P16" s="137"/>
      <c r="Q16" s="404"/>
      <c r="R16" s="137"/>
      <c r="S16" s="137"/>
    </row>
    <row r="17" spans="1:19" s="378" customFormat="1">
      <c r="A17" s="140">
        <v>8578</v>
      </c>
      <c r="B17" s="140" t="s">
        <v>63</v>
      </c>
      <c r="C17" s="140" t="s">
        <v>63</v>
      </c>
      <c r="D17" s="143" t="s">
        <v>7</v>
      </c>
      <c r="E17" s="144">
        <v>43164.771643518521</v>
      </c>
      <c r="F17" s="89">
        <f t="shared" si="3"/>
        <v>43164.771643518521</v>
      </c>
      <c r="G17" s="90" t="str">
        <f t="shared" si="4"/>
        <v>18:31</v>
      </c>
      <c r="H17" s="91" t="str">
        <f t="shared" si="5"/>
        <v>-</v>
      </c>
      <c r="I17" s="92" t="str">
        <f t="shared" si="6"/>
        <v>-</v>
      </c>
      <c r="J17" s="92" t="str">
        <f t="shared" si="10"/>
        <v>-</v>
      </c>
      <c r="K17" s="93">
        <f t="shared" si="7"/>
        <v>3.9666666666666686</v>
      </c>
      <c r="L17" s="93"/>
      <c r="M17" s="94">
        <f t="shared" si="8"/>
        <v>2</v>
      </c>
      <c r="N17" s="94">
        <f t="shared" si="9"/>
        <v>1.9666666666666686</v>
      </c>
      <c r="O17" s="95"/>
      <c r="P17" s="346"/>
      <c r="Q17" s="374"/>
      <c r="R17" s="377"/>
      <c r="S17" s="377"/>
    </row>
    <row r="18" spans="1:19" s="378" customFormat="1">
      <c r="A18" s="140">
        <v>8591</v>
      </c>
      <c r="B18" s="140" t="s">
        <v>63</v>
      </c>
      <c r="C18" s="140" t="s">
        <v>63</v>
      </c>
      <c r="D18" s="143" t="s">
        <v>8</v>
      </c>
      <c r="E18" s="144">
        <v>43164.936956018515</v>
      </c>
      <c r="F18" s="89">
        <f t="shared" si="3"/>
        <v>43164.936956018515</v>
      </c>
      <c r="G18" s="90" t="str">
        <f t="shared" si="4"/>
        <v>22:29</v>
      </c>
      <c r="H18" s="91" t="str">
        <f t="shared" si="5"/>
        <v>-</v>
      </c>
      <c r="I18" s="92" t="str">
        <f t="shared" si="6"/>
        <v>-</v>
      </c>
      <c r="J18" s="92" t="str">
        <f t="shared" si="10"/>
        <v>-</v>
      </c>
      <c r="K18" s="93">
        <f t="shared" si="7"/>
        <v>0</v>
      </c>
      <c r="L18" s="93"/>
      <c r="M18" s="94">
        <f t="shared" si="8"/>
        <v>0</v>
      </c>
      <c r="N18" s="94">
        <f t="shared" si="9"/>
        <v>0</v>
      </c>
      <c r="O18" s="95"/>
      <c r="P18" s="346"/>
      <c r="Q18" s="374"/>
      <c r="R18" s="377"/>
      <c r="S18" s="377"/>
    </row>
    <row r="19" spans="1:19" s="378" customFormat="1">
      <c r="A19" s="140">
        <v>8602</v>
      </c>
      <c r="B19" s="140" t="s">
        <v>63</v>
      </c>
      <c r="C19" s="140" t="s">
        <v>63</v>
      </c>
      <c r="D19" s="143" t="s">
        <v>6</v>
      </c>
      <c r="E19" s="144">
        <v>43165.372662037036</v>
      </c>
      <c r="F19" s="89">
        <f t="shared" si="3"/>
        <v>43165.372662037036</v>
      </c>
      <c r="G19" s="90" t="str">
        <f t="shared" si="4"/>
        <v>8:56</v>
      </c>
      <c r="H19" s="91">
        <f t="shared" si="5"/>
        <v>9.6833333333333336</v>
      </c>
      <c r="I19" s="92">
        <f t="shared" si="6"/>
        <v>8</v>
      </c>
      <c r="J19" s="92" t="str">
        <f t="shared" si="10"/>
        <v>-</v>
      </c>
      <c r="K19" s="93">
        <f t="shared" si="7"/>
        <v>0</v>
      </c>
      <c r="L19" s="93"/>
      <c r="M19" s="94">
        <f t="shared" si="8"/>
        <v>0</v>
      </c>
      <c r="N19" s="94">
        <f t="shared" si="9"/>
        <v>0</v>
      </c>
      <c r="O19" s="95"/>
      <c r="P19" s="346"/>
      <c r="Q19" s="374"/>
      <c r="R19" s="377"/>
      <c r="S19" s="377"/>
    </row>
    <row r="20" spans="1:19" s="378" customFormat="1">
      <c r="A20" s="140">
        <v>8612</v>
      </c>
      <c r="B20" s="140" t="s">
        <v>63</v>
      </c>
      <c r="C20" s="140" t="s">
        <v>63</v>
      </c>
      <c r="D20" s="143" t="s">
        <v>5</v>
      </c>
      <c r="E20" s="144">
        <v>43165.77616898148</v>
      </c>
      <c r="F20" s="89">
        <f t="shared" si="3"/>
        <v>43165.77616898148</v>
      </c>
      <c r="G20" s="90" t="str">
        <f t="shared" si="4"/>
        <v>18:37</v>
      </c>
      <c r="H20" s="91" t="str">
        <f t="shared" si="5"/>
        <v>-</v>
      </c>
      <c r="I20" s="92" t="str">
        <f t="shared" si="6"/>
        <v>-</v>
      </c>
      <c r="J20" s="92" t="str">
        <f t="shared" si="10"/>
        <v>-</v>
      </c>
      <c r="K20" s="93">
        <f t="shared" si="7"/>
        <v>0</v>
      </c>
      <c r="L20" s="93"/>
      <c r="M20" s="94">
        <f t="shared" si="8"/>
        <v>0</v>
      </c>
      <c r="N20" s="94">
        <f t="shared" si="9"/>
        <v>0</v>
      </c>
      <c r="O20" s="95"/>
      <c r="P20" s="346"/>
      <c r="Q20" s="374"/>
      <c r="R20" s="377"/>
      <c r="S20" s="377"/>
    </row>
    <row r="21" spans="1:19" s="378" customFormat="1">
      <c r="A21" s="140">
        <v>8613</v>
      </c>
      <c r="B21" s="140" t="s">
        <v>63</v>
      </c>
      <c r="C21" s="140" t="s">
        <v>63</v>
      </c>
      <c r="D21" s="143" t="s">
        <v>7</v>
      </c>
      <c r="E21" s="144">
        <v>43165.776180555556</v>
      </c>
      <c r="F21" s="89">
        <f t="shared" si="3"/>
        <v>43165.776180555556</v>
      </c>
      <c r="G21" s="90" t="str">
        <f t="shared" si="4"/>
        <v>18:37</v>
      </c>
      <c r="H21" s="91" t="str">
        <f t="shared" si="5"/>
        <v>-</v>
      </c>
      <c r="I21" s="92" t="str">
        <f t="shared" si="6"/>
        <v>-</v>
      </c>
      <c r="J21" s="92" t="str">
        <f t="shared" si="10"/>
        <v>-</v>
      </c>
      <c r="K21" s="93">
        <f t="shared" si="7"/>
        <v>3.8666666666666663</v>
      </c>
      <c r="L21" s="93"/>
      <c r="M21" s="94">
        <f t="shared" si="8"/>
        <v>2</v>
      </c>
      <c r="N21" s="94">
        <f t="shared" si="9"/>
        <v>1.8666666666666663</v>
      </c>
      <c r="O21" s="95"/>
      <c r="P21" s="346"/>
      <c r="Q21" s="374"/>
      <c r="R21" s="377"/>
      <c r="S21" s="377"/>
    </row>
    <row r="22" spans="1:19" s="378" customFormat="1">
      <c r="A22" s="140">
        <v>8625</v>
      </c>
      <c r="B22" s="140" t="s">
        <v>63</v>
      </c>
      <c r="C22" s="140" t="s">
        <v>63</v>
      </c>
      <c r="D22" s="143" t="s">
        <v>8</v>
      </c>
      <c r="E22" s="144">
        <v>43165.936967592592</v>
      </c>
      <c r="F22" s="89">
        <f t="shared" si="3"/>
        <v>43165.936967592592</v>
      </c>
      <c r="G22" s="90" t="str">
        <f t="shared" si="4"/>
        <v>22:29</v>
      </c>
      <c r="H22" s="91" t="str">
        <f t="shared" si="5"/>
        <v>-</v>
      </c>
      <c r="I22" s="92" t="str">
        <f t="shared" si="6"/>
        <v>-</v>
      </c>
      <c r="J22" s="92" t="str">
        <f t="shared" si="10"/>
        <v>-</v>
      </c>
      <c r="K22" s="93">
        <f t="shared" si="7"/>
        <v>0</v>
      </c>
      <c r="L22" s="93"/>
      <c r="M22" s="94">
        <f t="shared" si="8"/>
        <v>0</v>
      </c>
      <c r="N22" s="94">
        <f t="shared" si="9"/>
        <v>0</v>
      </c>
      <c r="O22" s="95"/>
      <c r="P22" s="346"/>
      <c r="Q22" s="374"/>
      <c r="R22" s="377"/>
      <c r="S22" s="377"/>
    </row>
    <row r="23" spans="1:19" s="378" customFormat="1">
      <c r="A23" s="140">
        <v>8630</v>
      </c>
      <c r="B23" s="140" t="s">
        <v>63</v>
      </c>
      <c r="C23" s="140" t="s">
        <v>63</v>
      </c>
      <c r="D23" s="143" t="s">
        <v>6</v>
      </c>
      <c r="E23" s="144">
        <v>43166.367060185185</v>
      </c>
      <c r="F23" s="89">
        <f t="shared" si="3"/>
        <v>43166.367060185185</v>
      </c>
      <c r="G23" s="90" t="str">
        <f t="shared" si="4"/>
        <v>8:48</v>
      </c>
      <c r="H23" s="91">
        <f t="shared" si="5"/>
        <v>10.116666666666667</v>
      </c>
      <c r="I23" s="92">
        <f t="shared" si="6"/>
        <v>8</v>
      </c>
      <c r="J23" s="92" t="str">
        <f t="shared" si="10"/>
        <v>-</v>
      </c>
      <c r="K23" s="93">
        <f t="shared" si="7"/>
        <v>0</v>
      </c>
      <c r="L23" s="93"/>
      <c r="M23" s="94">
        <f t="shared" si="8"/>
        <v>0</v>
      </c>
      <c r="N23" s="94">
        <f t="shared" si="9"/>
        <v>0</v>
      </c>
      <c r="O23" s="95"/>
      <c r="P23" s="346"/>
      <c r="Q23" s="374"/>
      <c r="R23" s="377"/>
      <c r="S23" s="377"/>
    </row>
    <row r="24" spans="1:19" s="378" customFormat="1">
      <c r="A24" s="140">
        <v>8651</v>
      </c>
      <c r="B24" s="140" t="s">
        <v>63</v>
      </c>
      <c r="C24" s="140" t="s">
        <v>63</v>
      </c>
      <c r="D24" s="143" t="s">
        <v>5</v>
      </c>
      <c r="E24" s="144">
        <v>43166.788541666669</v>
      </c>
      <c r="F24" s="89">
        <f t="shared" si="3"/>
        <v>43166.788541666669</v>
      </c>
      <c r="G24" s="90" t="str">
        <f t="shared" si="4"/>
        <v>18:55</v>
      </c>
      <c r="H24" s="91" t="str">
        <f t="shared" si="5"/>
        <v>-</v>
      </c>
      <c r="I24" s="92" t="str">
        <f t="shared" si="6"/>
        <v>-</v>
      </c>
      <c r="J24" s="92" t="str">
        <f t="shared" si="10"/>
        <v>-</v>
      </c>
      <c r="K24" s="93">
        <f t="shared" si="7"/>
        <v>0</v>
      </c>
      <c r="L24" s="93"/>
      <c r="M24" s="94">
        <f t="shared" si="8"/>
        <v>0</v>
      </c>
      <c r="N24" s="94">
        <f t="shared" si="9"/>
        <v>0</v>
      </c>
      <c r="O24" s="95"/>
      <c r="P24" s="346"/>
      <c r="Q24" s="374"/>
      <c r="R24" s="377"/>
      <c r="S24" s="377"/>
    </row>
    <row r="25" spans="1:19" s="378" customFormat="1">
      <c r="A25" s="140">
        <v>8652</v>
      </c>
      <c r="B25" s="140" t="s">
        <v>63</v>
      </c>
      <c r="C25" s="140" t="s">
        <v>63</v>
      </c>
      <c r="D25" s="143" t="s">
        <v>7</v>
      </c>
      <c r="E25" s="144">
        <v>43166.788564814815</v>
      </c>
      <c r="F25" s="89">
        <f t="shared" si="3"/>
        <v>43166.788564814815</v>
      </c>
      <c r="G25" s="90" t="str">
        <f t="shared" si="4"/>
        <v>18:55</v>
      </c>
      <c r="H25" s="91" t="str">
        <f t="shared" si="5"/>
        <v>-</v>
      </c>
      <c r="I25" s="92" t="str">
        <f t="shared" si="6"/>
        <v>-</v>
      </c>
      <c r="J25" s="92" t="str">
        <f t="shared" si="10"/>
        <v>-</v>
      </c>
      <c r="K25" s="93">
        <f t="shared" si="7"/>
        <v>3.1833333333333327</v>
      </c>
      <c r="L25" s="93"/>
      <c r="M25" s="94">
        <f t="shared" si="8"/>
        <v>2</v>
      </c>
      <c r="N25" s="94">
        <f t="shared" si="9"/>
        <v>1.1833333333333327</v>
      </c>
      <c r="O25" s="95"/>
      <c r="P25" s="346"/>
      <c r="Q25" s="374"/>
      <c r="R25" s="377"/>
      <c r="S25" s="377"/>
    </row>
    <row r="26" spans="1:19" s="378" customFormat="1">
      <c r="A26" s="140">
        <v>8661</v>
      </c>
      <c r="B26" s="140" t="s">
        <v>63</v>
      </c>
      <c r="C26" s="140" t="s">
        <v>63</v>
      </c>
      <c r="D26" s="143" t="s">
        <v>8</v>
      </c>
      <c r="E26" s="144">
        <v>43166.921157407407</v>
      </c>
      <c r="F26" s="89">
        <f t="shared" si="3"/>
        <v>43166.921157407407</v>
      </c>
      <c r="G26" s="90" t="str">
        <f t="shared" si="4"/>
        <v>22:6</v>
      </c>
      <c r="H26" s="91" t="str">
        <f t="shared" si="5"/>
        <v>-</v>
      </c>
      <c r="I26" s="92" t="str">
        <f t="shared" si="6"/>
        <v>-</v>
      </c>
      <c r="J26" s="92" t="str">
        <f t="shared" si="10"/>
        <v>-</v>
      </c>
      <c r="K26" s="93">
        <f t="shared" si="7"/>
        <v>0</v>
      </c>
      <c r="L26" s="93"/>
      <c r="M26" s="94">
        <f t="shared" si="8"/>
        <v>0</v>
      </c>
      <c r="N26" s="94">
        <f t="shared" si="9"/>
        <v>0</v>
      </c>
      <c r="O26" s="95"/>
      <c r="P26" s="346"/>
      <c r="Q26" s="374"/>
      <c r="R26" s="377"/>
      <c r="S26" s="377"/>
    </row>
    <row r="27" spans="1:19" s="378" customFormat="1">
      <c r="A27" s="140">
        <v>8672</v>
      </c>
      <c r="B27" s="140" t="s">
        <v>63</v>
      </c>
      <c r="C27" s="140" t="s">
        <v>63</v>
      </c>
      <c r="D27" s="143" t="s">
        <v>6</v>
      </c>
      <c r="E27" s="144">
        <v>43167.371944444443</v>
      </c>
      <c r="F27" s="89">
        <f t="shared" si="3"/>
        <v>43167.371944444443</v>
      </c>
      <c r="G27" s="90" t="str">
        <f t="shared" si="4"/>
        <v>8:55</v>
      </c>
      <c r="H27" s="91">
        <f t="shared" si="5"/>
        <v>9.6500000000000021</v>
      </c>
      <c r="I27" s="92">
        <f t="shared" si="6"/>
        <v>8</v>
      </c>
      <c r="J27" s="92" t="str">
        <f t="shared" si="10"/>
        <v>-</v>
      </c>
      <c r="K27" s="93">
        <f t="shared" si="7"/>
        <v>0</v>
      </c>
      <c r="L27" s="93"/>
      <c r="M27" s="94">
        <f t="shared" si="8"/>
        <v>0</v>
      </c>
      <c r="N27" s="94">
        <f t="shared" si="9"/>
        <v>0</v>
      </c>
      <c r="O27" s="95"/>
      <c r="P27" s="346"/>
      <c r="Q27" s="374"/>
      <c r="R27" s="377"/>
      <c r="S27" s="377"/>
    </row>
    <row r="28" spans="1:19" s="378" customFormat="1">
      <c r="A28" s="140">
        <v>8679</v>
      </c>
      <c r="B28" s="140" t="s">
        <v>63</v>
      </c>
      <c r="C28" s="140" t="s">
        <v>63</v>
      </c>
      <c r="D28" s="143" t="s">
        <v>5</v>
      </c>
      <c r="E28" s="144">
        <v>43167.773773148147</v>
      </c>
      <c r="F28" s="89">
        <f t="shared" si="3"/>
        <v>43167.773773148147</v>
      </c>
      <c r="G28" s="90" t="str">
        <f t="shared" si="4"/>
        <v>18:34</v>
      </c>
      <c r="H28" s="91" t="str">
        <f t="shared" si="5"/>
        <v>-</v>
      </c>
      <c r="I28" s="92" t="str">
        <f t="shared" si="6"/>
        <v>-</v>
      </c>
      <c r="J28" s="92" t="str">
        <f t="shared" si="10"/>
        <v>-</v>
      </c>
      <c r="K28" s="93">
        <f t="shared" si="7"/>
        <v>0</v>
      </c>
      <c r="L28" s="93"/>
      <c r="M28" s="94">
        <f t="shared" si="8"/>
        <v>0</v>
      </c>
      <c r="N28" s="94">
        <f t="shared" si="9"/>
        <v>0</v>
      </c>
      <c r="O28" s="95"/>
      <c r="P28" s="346"/>
      <c r="Q28" s="374"/>
      <c r="R28" s="377"/>
      <c r="S28" s="377"/>
    </row>
    <row r="29" spans="1:19" s="378" customFormat="1">
      <c r="A29" s="140">
        <v>8680</v>
      </c>
      <c r="B29" s="140" t="s">
        <v>63</v>
      </c>
      <c r="C29" s="140" t="s">
        <v>63</v>
      </c>
      <c r="D29" s="143" t="s">
        <v>7</v>
      </c>
      <c r="E29" s="144">
        <v>43167.773796296293</v>
      </c>
      <c r="F29" s="89">
        <f t="shared" si="3"/>
        <v>43167.773796296293</v>
      </c>
      <c r="G29" s="90" t="str">
        <f t="shared" si="4"/>
        <v>18:34</v>
      </c>
      <c r="H29" s="91" t="str">
        <f t="shared" si="5"/>
        <v>-</v>
      </c>
      <c r="I29" s="92" t="str">
        <f t="shared" si="6"/>
        <v>-</v>
      </c>
      <c r="J29" s="92" t="str">
        <f t="shared" si="10"/>
        <v>-</v>
      </c>
      <c r="K29" s="93">
        <f t="shared" si="7"/>
        <v>2.6999999999999984</v>
      </c>
      <c r="L29" s="93"/>
      <c r="M29" s="94">
        <f t="shared" si="8"/>
        <v>2</v>
      </c>
      <c r="N29" s="94">
        <f t="shared" si="9"/>
        <v>0.6999999999999984</v>
      </c>
      <c r="O29" s="95"/>
      <c r="P29" s="346"/>
      <c r="Q29" s="374"/>
      <c r="R29" s="377"/>
      <c r="S29" s="377"/>
    </row>
    <row r="30" spans="1:19" s="378" customFormat="1">
      <c r="A30" s="140">
        <v>8691</v>
      </c>
      <c r="B30" s="140" t="s">
        <v>63</v>
      </c>
      <c r="C30" s="140" t="s">
        <v>63</v>
      </c>
      <c r="D30" s="143" t="s">
        <v>8</v>
      </c>
      <c r="E30" s="144">
        <v>43167.886759259258</v>
      </c>
      <c r="F30" s="89">
        <f t="shared" si="3"/>
        <v>43167.886759259258</v>
      </c>
      <c r="G30" s="90" t="str">
        <f t="shared" si="4"/>
        <v>21:16</v>
      </c>
      <c r="H30" s="91" t="str">
        <f t="shared" si="5"/>
        <v>-</v>
      </c>
      <c r="I30" s="92" t="str">
        <f t="shared" si="6"/>
        <v>-</v>
      </c>
      <c r="J30" s="92" t="str">
        <f t="shared" si="10"/>
        <v>-</v>
      </c>
      <c r="K30" s="93">
        <f t="shared" si="7"/>
        <v>0</v>
      </c>
      <c r="L30" s="93"/>
      <c r="M30" s="94">
        <f t="shared" si="8"/>
        <v>0</v>
      </c>
      <c r="N30" s="94">
        <f t="shared" si="9"/>
        <v>0</v>
      </c>
      <c r="O30" s="95"/>
      <c r="P30" s="346"/>
      <c r="Q30" s="374"/>
      <c r="R30" s="377"/>
      <c r="S30" s="377"/>
    </row>
    <row r="31" spans="1:19" s="420" customFormat="1">
      <c r="A31" s="408">
        <v>8701</v>
      </c>
      <c r="B31" s="408" t="s">
        <v>63</v>
      </c>
      <c r="C31" s="408" t="s">
        <v>63</v>
      </c>
      <c r="D31" s="409" t="s">
        <v>6</v>
      </c>
      <c r="E31" s="410">
        <v>43168.377453703702</v>
      </c>
      <c r="F31" s="411">
        <f t="shared" si="3"/>
        <v>43168.377453703702</v>
      </c>
      <c r="G31" s="412" t="str">
        <f t="shared" si="4"/>
        <v>9:3</v>
      </c>
      <c r="H31" s="413">
        <f t="shared" si="5"/>
        <v>9.4499999999999993</v>
      </c>
      <c r="I31" s="414">
        <f>8-J31</f>
        <v>7.5</v>
      </c>
      <c r="J31" s="414">
        <v>0.5</v>
      </c>
      <c r="K31" s="415">
        <f t="shared" si="7"/>
        <v>0</v>
      </c>
      <c r="L31" s="415"/>
      <c r="M31" s="416">
        <f t="shared" si="8"/>
        <v>0</v>
      </c>
      <c r="N31" s="416">
        <f t="shared" si="9"/>
        <v>0</v>
      </c>
      <c r="O31" s="417" t="s">
        <v>116</v>
      </c>
      <c r="P31" s="418"/>
      <c r="Q31" s="419"/>
    </row>
    <row r="32" spans="1:19" s="378" customFormat="1">
      <c r="A32" s="140">
        <v>8711</v>
      </c>
      <c r="B32" s="140" t="s">
        <v>79</v>
      </c>
      <c r="C32" s="140" t="s">
        <v>63</v>
      </c>
      <c r="D32" s="143" t="s">
        <v>5</v>
      </c>
      <c r="E32" s="144">
        <v>43168.771481481483</v>
      </c>
      <c r="F32" s="89">
        <f t="shared" si="3"/>
        <v>43168.771481481483</v>
      </c>
      <c r="G32" s="90" t="str">
        <f t="shared" si="4"/>
        <v>18:30</v>
      </c>
      <c r="H32" s="91" t="str">
        <f t="shared" si="5"/>
        <v>-</v>
      </c>
      <c r="I32" s="92" t="str">
        <f t="shared" si="6"/>
        <v>-</v>
      </c>
      <c r="J32" s="92" t="str">
        <f t="shared" si="10"/>
        <v>-</v>
      </c>
      <c r="K32" s="93">
        <f t="shared" si="7"/>
        <v>0</v>
      </c>
      <c r="L32" s="93"/>
      <c r="M32" s="94">
        <f t="shared" si="8"/>
        <v>0</v>
      </c>
      <c r="N32" s="94">
        <f t="shared" si="9"/>
        <v>0</v>
      </c>
      <c r="O32" s="95"/>
      <c r="P32" s="346"/>
      <c r="Q32" s="374"/>
      <c r="R32" s="377"/>
      <c r="S32" s="377"/>
    </row>
    <row r="33" spans="1:19" s="378" customFormat="1">
      <c r="A33" s="140">
        <v>8712</v>
      </c>
      <c r="B33" s="140" t="s">
        <v>79</v>
      </c>
      <c r="C33" s="140" t="s">
        <v>63</v>
      </c>
      <c r="D33" s="143" t="s">
        <v>7</v>
      </c>
      <c r="E33" s="144">
        <v>43168.771562499998</v>
      </c>
      <c r="F33" s="89">
        <f t="shared" si="3"/>
        <v>43168.771562499998</v>
      </c>
      <c r="G33" s="90" t="str">
        <f t="shared" si="4"/>
        <v>18:31</v>
      </c>
      <c r="H33" s="91" t="str">
        <f t="shared" si="5"/>
        <v>-</v>
      </c>
      <c r="I33" s="92" t="str">
        <f t="shared" si="6"/>
        <v>-</v>
      </c>
      <c r="J33" s="92" t="str">
        <f t="shared" si="10"/>
        <v>-</v>
      </c>
      <c r="K33" s="93">
        <f t="shared" si="7"/>
        <v>3.5166666666666702</v>
      </c>
      <c r="L33" s="93"/>
      <c r="M33" s="94">
        <f t="shared" si="8"/>
        <v>2</v>
      </c>
      <c r="N33" s="94">
        <f t="shared" si="9"/>
        <v>1.5166666666666702</v>
      </c>
      <c r="O33" s="95"/>
      <c r="P33" s="346"/>
      <c r="Q33" s="374"/>
      <c r="R33" s="377"/>
      <c r="S33" s="377"/>
    </row>
    <row r="34" spans="1:19" s="378" customFormat="1">
      <c r="A34" s="140">
        <v>8717</v>
      </c>
      <c r="B34" s="140" t="s">
        <v>63</v>
      </c>
      <c r="C34" s="140" t="s">
        <v>63</v>
      </c>
      <c r="D34" s="143" t="s">
        <v>8</v>
      </c>
      <c r="E34" s="144">
        <v>43168.918483796297</v>
      </c>
      <c r="F34" s="89">
        <f t="shared" si="3"/>
        <v>43168.918483796297</v>
      </c>
      <c r="G34" s="90" t="str">
        <f t="shared" si="4"/>
        <v>22:2</v>
      </c>
      <c r="H34" s="91" t="str">
        <f t="shared" si="5"/>
        <v>-</v>
      </c>
      <c r="I34" s="92" t="str">
        <f t="shared" si="6"/>
        <v>-</v>
      </c>
      <c r="J34" s="92" t="str">
        <f t="shared" si="10"/>
        <v>-</v>
      </c>
      <c r="K34" s="93">
        <f t="shared" si="7"/>
        <v>0</v>
      </c>
      <c r="L34" s="93"/>
      <c r="M34" s="94">
        <f t="shared" si="8"/>
        <v>0</v>
      </c>
      <c r="N34" s="94">
        <f t="shared" si="9"/>
        <v>0</v>
      </c>
      <c r="O34" s="95"/>
      <c r="P34" s="346"/>
      <c r="Q34" s="374"/>
      <c r="R34" s="377"/>
      <c r="S34" s="377"/>
    </row>
    <row r="35" spans="1:19" s="380" customFormat="1">
      <c r="A35" s="140">
        <v>8722</v>
      </c>
      <c r="B35" s="140" t="s">
        <v>63</v>
      </c>
      <c r="C35" s="140" t="s">
        <v>63</v>
      </c>
      <c r="D35" s="143" t="s">
        <v>7</v>
      </c>
      <c r="E35" s="144">
        <v>43169.459178240744</v>
      </c>
      <c r="F35" s="89">
        <f t="shared" si="3"/>
        <v>43169.459178240744</v>
      </c>
      <c r="G35" s="90" t="str">
        <f t="shared" si="4"/>
        <v>11:1</v>
      </c>
      <c r="H35" s="91" t="str">
        <f t="shared" si="5"/>
        <v>-</v>
      </c>
      <c r="I35" s="92" t="str">
        <f t="shared" si="6"/>
        <v>-</v>
      </c>
      <c r="J35" s="92" t="str">
        <f t="shared" si="10"/>
        <v>-</v>
      </c>
      <c r="K35" s="93">
        <f t="shared" si="7"/>
        <v>3.4166666666666652</v>
      </c>
      <c r="L35" s="93"/>
      <c r="M35" s="94">
        <f t="shared" si="8"/>
        <v>2</v>
      </c>
      <c r="N35" s="94">
        <f t="shared" si="9"/>
        <v>1.4166666666666652</v>
      </c>
      <c r="O35" s="95"/>
      <c r="P35" s="346"/>
      <c r="Q35" s="374"/>
      <c r="R35" s="379"/>
      <c r="S35" s="379"/>
    </row>
    <row r="36" spans="1:19">
      <c r="A36" s="140">
        <v>8725</v>
      </c>
      <c r="B36" s="140" t="s">
        <v>63</v>
      </c>
      <c r="C36" s="140" t="s">
        <v>63</v>
      </c>
      <c r="D36" s="143" t="s">
        <v>8</v>
      </c>
      <c r="E36" s="144">
        <v>43169.601655092592</v>
      </c>
      <c r="F36" s="89">
        <f t="shared" si="3"/>
        <v>43169.601655092592</v>
      </c>
      <c r="G36" s="90" t="str">
        <f t="shared" si="4"/>
        <v>14:26</v>
      </c>
      <c r="H36" s="91" t="str">
        <f t="shared" si="5"/>
        <v>-</v>
      </c>
      <c r="I36" s="92" t="str">
        <f t="shared" si="6"/>
        <v>-</v>
      </c>
      <c r="J36" s="92" t="str">
        <f t="shared" si="10"/>
        <v>-</v>
      </c>
      <c r="K36" s="93">
        <f t="shared" si="7"/>
        <v>0</v>
      </c>
      <c r="L36" s="93"/>
      <c r="M36" s="94">
        <f t="shared" si="8"/>
        <v>0</v>
      </c>
      <c r="N36" s="94">
        <f t="shared" si="9"/>
        <v>0</v>
      </c>
      <c r="O36" s="95"/>
      <c r="Q36" s="374"/>
    </row>
    <row r="37" spans="1:19" s="378" customFormat="1">
      <c r="A37" s="140">
        <v>8726</v>
      </c>
      <c r="B37" s="140" t="s">
        <v>63</v>
      </c>
      <c r="C37" s="140" t="s">
        <v>63</v>
      </c>
      <c r="D37" s="143" t="s">
        <v>7</v>
      </c>
      <c r="E37" s="144">
        <v>43169.601712962962</v>
      </c>
      <c r="F37" s="89">
        <f t="shared" si="3"/>
        <v>43169.601712962962</v>
      </c>
      <c r="G37" s="90" t="str">
        <f t="shared" si="4"/>
        <v>14:26</v>
      </c>
      <c r="H37" s="91" t="str">
        <f t="shared" si="5"/>
        <v>-</v>
      </c>
      <c r="I37" s="92" t="str">
        <f t="shared" si="6"/>
        <v>-</v>
      </c>
      <c r="J37" s="92" t="str">
        <f t="shared" si="10"/>
        <v>-</v>
      </c>
      <c r="K37" s="93">
        <f t="shared" si="7"/>
        <v>2.2333333333333361</v>
      </c>
      <c r="L37" s="93"/>
      <c r="M37" s="94">
        <v>0</v>
      </c>
      <c r="N37" s="94">
        <f>K37</f>
        <v>2.2333333333333361</v>
      </c>
      <c r="O37" s="95"/>
      <c r="P37" s="346"/>
      <c r="Q37" s="374"/>
      <c r="R37" s="377"/>
      <c r="S37" s="377"/>
    </row>
    <row r="38" spans="1:19" s="63" customFormat="1">
      <c r="A38" s="140">
        <v>8727</v>
      </c>
      <c r="B38" s="140" t="s">
        <v>63</v>
      </c>
      <c r="C38" s="140" t="s">
        <v>63</v>
      </c>
      <c r="D38" s="143" t="s">
        <v>8</v>
      </c>
      <c r="E38" s="144">
        <v>43169.694780092592</v>
      </c>
      <c r="F38" s="89">
        <f t="shared" si="3"/>
        <v>43169.694780092592</v>
      </c>
      <c r="G38" s="90" t="str">
        <f t="shared" si="4"/>
        <v>16:40</v>
      </c>
      <c r="H38" s="91" t="str">
        <f t="shared" si="5"/>
        <v>-</v>
      </c>
      <c r="I38" s="92" t="str">
        <f t="shared" si="6"/>
        <v>-</v>
      </c>
      <c r="J38" s="92" t="str">
        <f t="shared" si="10"/>
        <v>-</v>
      </c>
      <c r="K38" s="93">
        <f t="shared" si="7"/>
        <v>0</v>
      </c>
      <c r="L38" s="93"/>
      <c r="M38" s="94">
        <f t="shared" si="8"/>
        <v>0</v>
      </c>
      <c r="N38" s="94">
        <f t="shared" si="9"/>
        <v>0</v>
      </c>
      <c r="O38" s="95"/>
      <c r="P38" s="346"/>
      <c r="Q38" s="374"/>
      <c r="R38" s="18"/>
      <c r="S38" s="18"/>
    </row>
    <row r="39" spans="1:19" s="16" customFormat="1">
      <c r="A39" s="140">
        <v>8733</v>
      </c>
      <c r="B39" s="140" t="s">
        <v>63</v>
      </c>
      <c r="C39" s="140" t="s">
        <v>63</v>
      </c>
      <c r="D39" s="143" t="s">
        <v>7</v>
      </c>
      <c r="E39" s="144">
        <v>43170.465104166666</v>
      </c>
      <c r="F39" s="89">
        <f t="shared" si="3"/>
        <v>43170.465104166666</v>
      </c>
      <c r="G39" s="90" t="str">
        <f t="shared" si="4"/>
        <v>11:9</v>
      </c>
      <c r="H39" s="91" t="str">
        <f t="shared" si="5"/>
        <v>-</v>
      </c>
      <c r="I39" s="92" t="str">
        <f t="shared" si="6"/>
        <v>-</v>
      </c>
      <c r="J39" s="92" t="str">
        <f t="shared" si="10"/>
        <v>-</v>
      </c>
      <c r="K39" s="93">
        <f t="shared" si="7"/>
        <v>2.0333333333333341</v>
      </c>
      <c r="L39" s="93"/>
      <c r="M39" s="94">
        <f t="shared" si="8"/>
        <v>2</v>
      </c>
      <c r="N39" s="94">
        <f t="shared" si="9"/>
        <v>3.3333333333334103E-2</v>
      </c>
      <c r="O39" s="95"/>
      <c r="P39" s="137"/>
      <c r="Q39" s="404"/>
    </row>
    <row r="40" spans="1:19" s="16" customFormat="1">
      <c r="A40" s="140">
        <v>8737</v>
      </c>
      <c r="B40" s="140" t="s">
        <v>63</v>
      </c>
      <c r="C40" s="140" t="s">
        <v>63</v>
      </c>
      <c r="D40" s="143" t="s">
        <v>8</v>
      </c>
      <c r="E40" s="144">
        <v>43170.549849537034</v>
      </c>
      <c r="F40" s="89">
        <f t="shared" si="3"/>
        <v>43170.549849537034</v>
      </c>
      <c r="G40" s="90" t="str">
        <f t="shared" si="4"/>
        <v>13:11</v>
      </c>
      <c r="H40" s="91" t="str">
        <f t="shared" si="5"/>
        <v>-</v>
      </c>
      <c r="I40" s="92" t="str">
        <f t="shared" si="6"/>
        <v>-</v>
      </c>
      <c r="J40" s="92" t="str">
        <f t="shared" si="10"/>
        <v>-</v>
      </c>
      <c r="K40" s="93">
        <f t="shared" si="7"/>
        <v>0</v>
      </c>
      <c r="L40" s="93"/>
      <c r="M40" s="94">
        <f t="shared" si="8"/>
        <v>0</v>
      </c>
      <c r="N40" s="94">
        <f t="shared" si="9"/>
        <v>0</v>
      </c>
      <c r="O40" s="95"/>
      <c r="P40" s="137"/>
      <c r="Q40" s="404"/>
    </row>
    <row r="41" spans="1:19" s="376" customFormat="1">
      <c r="A41" s="140">
        <v>8742</v>
      </c>
      <c r="B41" s="140" t="s">
        <v>63</v>
      </c>
      <c r="C41" s="140" t="s">
        <v>63</v>
      </c>
      <c r="D41" s="143" t="s">
        <v>7</v>
      </c>
      <c r="E41" s="144">
        <v>43170.581793981481</v>
      </c>
      <c r="F41" s="89">
        <f t="shared" si="3"/>
        <v>43170.581793981481</v>
      </c>
      <c r="G41" s="90" t="str">
        <f t="shared" si="4"/>
        <v>13:57</v>
      </c>
      <c r="H41" s="91" t="str">
        <f t="shared" si="5"/>
        <v>-</v>
      </c>
      <c r="I41" s="92" t="str">
        <f t="shared" si="6"/>
        <v>-</v>
      </c>
      <c r="J41" s="92" t="str">
        <f t="shared" si="10"/>
        <v>-</v>
      </c>
      <c r="K41" s="93">
        <f t="shared" si="7"/>
        <v>4.0833333333333375</v>
      </c>
      <c r="L41" s="93"/>
      <c r="M41" s="94">
        <v>0</v>
      </c>
      <c r="N41" s="94">
        <v>4</v>
      </c>
      <c r="O41" s="95"/>
      <c r="P41" s="346"/>
      <c r="Q41" s="374"/>
      <c r="R41" s="375"/>
      <c r="S41" s="375"/>
    </row>
    <row r="42" spans="1:19" s="63" customFormat="1">
      <c r="A42" s="140">
        <v>8753</v>
      </c>
      <c r="B42" s="140" t="s">
        <v>63</v>
      </c>
      <c r="C42" s="140" t="s">
        <v>63</v>
      </c>
      <c r="D42" s="143" t="s">
        <v>8</v>
      </c>
      <c r="E42" s="144">
        <v>43170.751388888886</v>
      </c>
      <c r="F42" s="89">
        <f t="shared" si="3"/>
        <v>43170.751388888886</v>
      </c>
      <c r="G42" s="90" t="str">
        <f t="shared" si="4"/>
        <v>18:2</v>
      </c>
      <c r="H42" s="91" t="str">
        <f t="shared" si="5"/>
        <v>-</v>
      </c>
      <c r="I42" s="92" t="str">
        <f t="shared" si="6"/>
        <v>-</v>
      </c>
      <c r="J42" s="92" t="str">
        <f t="shared" si="10"/>
        <v>-</v>
      </c>
      <c r="K42" s="93">
        <f t="shared" si="7"/>
        <v>0</v>
      </c>
      <c r="L42" s="93"/>
      <c r="M42" s="94">
        <f t="shared" si="8"/>
        <v>0</v>
      </c>
      <c r="N42" s="94">
        <f t="shared" si="9"/>
        <v>0</v>
      </c>
      <c r="O42" s="95"/>
      <c r="P42" s="346"/>
      <c r="Q42" s="374"/>
      <c r="R42" s="18"/>
      <c r="S42" s="18"/>
    </row>
    <row r="43" spans="1:19" s="63" customFormat="1">
      <c r="A43" s="140">
        <v>8755</v>
      </c>
      <c r="B43" s="140" t="s">
        <v>63</v>
      </c>
      <c r="C43" s="140" t="s">
        <v>63</v>
      </c>
      <c r="D43" s="143" t="s">
        <v>7</v>
      </c>
      <c r="E43" s="144">
        <v>43170.751435185186</v>
      </c>
      <c r="F43" s="89">
        <f t="shared" si="3"/>
        <v>43170.751435185186</v>
      </c>
      <c r="G43" s="90" t="str">
        <f t="shared" si="4"/>
        <v>18:2</v>
      </c>
      <c r="H43" s="91" t="str">
        <f t="shared" si="5"/>
        <v>-</v>
      </c>
      <c r="I43" s="92" t="str">
        <f t="shared" si="6"/>
        <v>-</v>
      </c>
      <c r="J43" s="92" t="str">
        <f t="shared" si="10"/>
        <v>-</v>
      </c>
      <c r="K43" s="93">
        <f t="shared" si="7"/>
        <v>0.79999999999999716</v>
      </c>
      <c r="L43" s="93"/>
      <c r="M43" s="94">
        <v>0</v>
      </c>
      <c r="N43" s="94">
        <f>K43</f>
        <v>0.79999999999999716</v>
      </c>
      <c r="O43" s="95"/>
      <c r="P43" s="346"/>
      <c r="Q43" s="374"/>
      <c r="R43" s="18"/>
      <c r="S43" s="18"/>
    </row>
    <row r="44" spans="1:19" s="376" customFormat="1">
      <c r="A44" s="140">
        <v>8757</v>
      </c>
      <c r="B44" s="140" t="s">
        <v>79</v>
      </c>
      <c r="C44" s="140" t="s">
        <v>63</v>
      </c>
      <c r="D44" s="143" t="s">
        <v>8</v>
      </c>
      <c r="E44" s="144">
        <v>43170.785185185188</v>
      </c>
      <c r="F44" s="89">
        <f t="shared" si="3"/>
        <v>43170.785185185188</v>
      </c>
      <c r="G44" s="90" t="str">
        <f t="shared" si="4"/>
        <v>18:50</v>
      </c>
      <c r="H44" s="91" t="str">
        <f t="shared" si="5"/>
        <v>-</v>
      </c>
      <c r="I44" s="92" t="str">
        <f t="shared" si="6"/>
        <v>-</v>
      </c>
      <c r="J44" s="92" t="str">
        <f t="shared" si="10"/>
        <v>-</v>
      </c>
      <c r="K44" s="93">
        <f t="shared" si="7"/>
        <v>0</v>
      </c>
      <c r="L44" s="93"/>
      <c r="M44" s="94">
        <f t="shared" si="8"/>
        <v>0</v>
      </c>
      <c r="N44" s="94">
        <f t="shared" si="9"/>
        <v>0</v>
      </c>
      <c r="O44" s="95"/>
      <c r="P44" s="346"/>
      <c r="Q44" s="374"/>
      <c r="R44" s="375"/>
      <c r="S44" s="375"/>
    </row>
    <row r="45" spans="1:19" s="380" customFormat="1">
      <c r="A45" s="140">
        <v>8770</v>
      </c>
      <c r="B45" s="140" t="s">
        <v>63</v>
      </c>
      <c r="C45" s="140" t="s">
        <v>63</v>
      </c>
      <c r="D45" s="143" t="s">
        <v>6</v>
      </c>
      <c r="E45" s="144">
        <v>43171.373472222222</v>
      </c>
      <c r="F45" s="89">
        <f t="shared" si="3"/>
        <v>43171.373472222222</v>
      </c>
      <c r="G45" s="90" t="str">
        <f t="shared" si="4"/>
        <v>8:57</v>
      </c>
      <c r="H45" s="91">
        <f t="shared" si="5"/>
        <v>9.6833333333333353</v>
      </c>
      <c r="I45" s="92">
        <f t="shared" si="6"/>
        <v>8</v>
      </c>
      <c r="J45" s="92" t="str">
        <f t="shared" si="10"/>
        <v>-</v>
      </c>
      <c r="K45" s="93">
        <f t="shared" si="7"/>
        <v>0</v>
      </c>
      <c r="L45" s="93"/>
      <c r="M45" s="94">
        <f t="shared" si="8"/>
        <v>0</v>
      </c>
      <c r="N45" s="94">
        <f t="shared" si="9"/>
        <v>0</v>
      </c>
      <c r="O45" s="95"/>
      <c r="P45" s="346"/>
      <c r="Q45" s="374"/>
      <c r="R45" s="379"/>
      <c r="S45" s="379"/>
    </row>
    <row r="46" spans="1:19">
      <c r="A46" s="140">
        <v>8784</v>
      </c>
      <c r="B46" s="140" t="s">
        <v>63</v>
      </c>
      <c r="C46" s="140" t="s">
        <v>63</v>
      </c>
      <c r="D46" s="143" t="s">
        <v>5</v>
      </c>
      <c r="E46" s="144">
        <v>43171.776643518519</v>
      </c>
      <c r="F46" s="89">
        <f t="shared" si="3"/>
        <v>43171.776643518519</v>
      </c>
      <c r="G46" s="90" t="str">
        <f t="shared" si="4"/>
        <v>18:38</v>
      </c>
      <c r="H46" s="91" t="str">
        <f t="shared" si="5"/>
        <v>-</v>
      </c>
      <c r="I46" s="92" t="str">
        <f t="shared" si="6"/>
        <v>-</v>
      </c>
      <c r="J46" s="92" t="str">
        <f t="shared" si="10"/>
        <v>-</v>
      </c>
      <c r="K46" s="93">
        <f t="shared" si="7"/>
        <v>0</v>
      </c>
      <c r="L46" s="93"/>
      <c r="M46" s="94">
        <f t="shared" si="8"/>
        <v>0</v>
      </c>
      <c r="N46" s="94">
        <f t="shared" si="9"/>
        <v>0</v>
      </c>
      <c r="O46" s="95"/>
      <c r="Q46" s="374"/>
    </row>
    <row r="47" spans="1:19" s="376" customFormat="1">
      <c r="A47" s="140">
        <v>8785</v>
      </c>
      <c r="B47" s="140" t="s">
        <v>63</v>
      </c>
      <c r="C47" s="140" t="s">
        <v>63</v>
      </c>
      <c r="D47" s="143" t="s">
        <v>7</v>
      </c>
      <c r="E47" s="144">
        <v>43171.776655092595</v>
      </c>
      <c r="F47" s="89">
        <f t="shared" si="3"/>
        <v>43171.776655092595</v>
      </c>
      <c r="G47" s="90" t="str">
        <f t="shared" si="4"/>
        <v>18:38</v>
      </c>
      <c r="H47" s="91" t="str">
        <f t="shared" si="5"/>
        <v>-</v>
      </c>
      <c r="I47" s="92" t="str">
        <f t="shared" si="6"/>
        <v>-</v>
      </c>
      <c r="J47" s="92" t="str">
        <f t="shared" si="10"/>
        <v>-</v>
      </c>
      <c r="K47" s="93">
        <f t="shared" si="7"/>
        <v>0.46666666666666767</v>
      </c>
      <c r="L47" s="93"/>
      <c r="M47" s="94">
        <v>0</v>
      </c>
      <c r="N47" s="94">
        <f>K47</f>
        <v>0.46666666666666767</v>
      </c>
      <c r="O47" s="95"/>
      <c r="P47" s="346"/>
      <c r="Q47" s="374"/>
      <c r="R47" s="375"/>
      <c r="S47" s="375"/>
    </row>
    <row r="48" spans="1:19" s="376" customFormat="1">
      <c r="A48" s="140">
        <v>8788</v>
      </c>
      <c r="B48" s="140" t="s">
        <v>63</v>
      </c>
      <c r="C48" s="140" t="s">
        <v>63</v>
      </c>
      <c r="D48" s="143" t="s">
        <v>8</v>
      </c>
      <c r="E48" s="144">
        <v>43171.796215277776</v>
      </c>
      <c r="F48" s="89">
        <f t="shared" si="3"/>
        <v>43171.796215277776</v>
      </c>
      <c r="G48" s="90" t="str">
        <f t="shared" si="4"/>
        <v>19:6</v>
      </c>
      <c r="H48" s="91" t="str">
        <f t="shared" si="5"/>
        <v>-</v>
      </c>
      <c r="I48" s="92" t="str">
        <f t="shared" si="6"/>
        <v>-</v>
      </c>
      <c r="J48" s="92" t="str">
        <f t="shared" si="10"/>
        <v>-</v>
      </c>
      <c r="K48" s="93">
        <f t="shared" si="7"/>
        <v>0</v>
      </c>
      <c r="L48" s="93"/>
      <c r="M48" s="94">
        <f t="shared" si="8"/>
        <v>0</v>
      </c>
      <c r="N48" s="94">
        <f t="shared" si="9"/>
        <v>0</v>
      </c>
      <c r="O48" s="95"/>
      <c r="P48" s="346"/>
      <c r="Q48" s="374"/>
      <c r="R48" s="375"/>
      <c r="S48" s="375"/>
    </row>
    <row r="49" spans="1:19" s="376" customFormat="1">
      <c r="A49" s="140">
        <v>8792</v>
      </c>
      <c r="B49" s="140" t="s">
        <v>79</v>
      </c>
      <c r="C49" s="140" t="s">
        <v>63</v>
      </c>
      <c r="D49" s="143" t="s">
        <v>7</v>
      </c>
      <c r="E49" s="144">
        <v>43171.828460648147</v>
      </c>
      <c r="F49" s="89">
        <f t="shared" si="3"/>
        <v>43171.828460648147</v>
      </c>
      <c r="G49" s="90" t="str">
        <f t="shared" si="4"/>
        <v>19:52</v>
      </c>
      <c r="H49" s="91" t="str">
        <f t="shared" si="5"/>
        <v>-</v>
      </c>
      <c r="I49" s="92" t="str">
        <f t="shared" si="6"/>
        <v>-</v>
      </c>
      <c r="J49" s="92" t="str">
        <f t="shared" si="10"/>
        <v>-</v>
      </c>
      <c r="K49" s="93">
        <f t="shared" si="7"/>
        <v>2.0833333333333313</v>
      </c>
      <c r="L49" s="93"/>
      <c r="M49" s="94">
        <f t="shared" si="8"/>
        <v>2</v>
      </c>
      <c r="N49" s="94">
        <f t="shared" si="9"/>
        <v>8.3333333333331261E-2</v>
      </c>
      <c r="O49" s="95"/>
      <c r="P49" s="346"/>
      <c r="Q49" s="374"/>
      <c r="R49" s="375"/>
      <c r="S49" s="375"/>
    </row>
    <row r="50" spans="1:19" s="63" customFormat="1">
      <c r="A50" s="140">
        <v>8799</v>
      </c>
      <c r="B50" s="140" t="s">
        <v>63</v>
      </c>
      <c r="C50" s="140" t="s">
        <v>63</v>
      </c>
      <c r="D50" s="143" t="s">
        <v>8</v>
      </c>
      <c r="E50" s="144">
        <v>43171.914884259262</v>
      </c>
      <c r="F50" s="89">
        <f t="shared" si="3"/>
        <v>43171.914884259262</v>
      </c>
      <c r="G50" s="90" t="str">
        <f t="shared" si="4"/>
        <v>21:57</v>
      </c>
      <c r="H50" s="91" t="str">
        <f t="shared" si="5"/>
        <v>-</v>
      </c>
      <c r="I50" s="92" t="str">
        <f t="shared" si="6"/>
        <v>-</v>
      </c>
      <c r="J50" s="92" t="str">
        <f t="shared" si="10"/>
        <v>-</v>
      </c>
      <c r="K50" s="93">
        <f t="shared" si="7"/>
        <v>0</v>
      </c>
      <c r="L50" s="93"/>
      <c r="M50" s="94">
        <f t="shared" si="8"/>
        <v>0</v>
      </c>
      <c r="N50" s="94">
        <f t="shared" si="9"/>
        <v>0</v>
      </c>
      <c r="O50" s="95"/>
      <c r="P50" s="18"/>
      <c r="Q50" s="395"/>
      <c r="R50" s="18"/>
      <c r="S50" s="18"/>
    </row>
    <row r="51" spans="1:19" s="137" customFormat="1">
      <c r="A51" s="140">
        <v>8803</v>
      </c>
      <c r="B51" s="140" t="s">
        <v>79</v>
      </c>
      <c r="C51" s="140" t="s">
        <v>63</v>
      </c>
      <c r="D51" s="143" t="s">
        <v>6</v>
      </c>
      <c r="E51" s="144">
        <v>43172.363738425927</v>
      </c>
      <c r="F51" s="89">
        <f t="shared" si="3"/>
        <v>43172.363738425927</v>
      </c>
      <c r="G51" s="90" t="str">
        <f t="shared" si="4"/>
        <v>8:43</v>
      </c>
      <c r="H51" s="91">
        <f t="shared" si="5"/>
        <v>10.016666666666667</v>
      </c>
      <c r="I51" s="92">
        <f t="shared" si="6"/>
        <v>8</v>
      </c>
      <c r="J51" s="92" t="str">
        <f t="shared" si="10"/>
        <v>-</v>
      </c>
      <c r="K51" s="93">
        <f t="shared" si="7"/>
        <v>0</v>
      </c>
      <c r="L51" s="93"/>
      <c r="M51" s="94">
        <f t="shared" si="8"/>
        <v>0</v>
      </c>
      <c r="N51" s="94">
        <f t="shared" si="9"/>
        <v>0</v>
      </c>
      <c r="O51" s="95"/>
      <c r="Q51" s="404"/>
    </row>
    <row r="52" spans="1:19" s="137" customFormat="1">
      <c r="A52" s="140">
        <v>8825</v>
      </c>
      <c r="B52" s="140" t="s">
        <v>63</v>
      </c>
      <c r="C52" s="140" t="s">
        <v>63</v>
      </c>
      <c r="D52" s="143" t="s">
        <v>5</v>
      </c>
      <c r="E52" s="144">
        <v>43172.781076388892</v>
      </c>
      <c r="F52" s="89">
        <f t="shared" si="3"/>
        <v>43172.781076388892</v>
      </c>
      <c r="G52" s="90" t="str">
        <f t="shared" si="4"/>
        <v>18:44</v>
      </c>
      <c r="H52" s="91" t="str">
        <f t="shared" si="5"/>
        <v>-</v>
      </c>
      <c r="I52" s="92" t="str">
        <f t="shared" si="6"/>
        <v>-</v>
      </c>
      <c r="J52" s="92" t="str">
        <f t="shared" si="10"/>
        <v>-</v>
      </c>
      <c r="K52" s="93">
        <f t="shared" si="7"/>
        <v>0</v>
      </c>
      <c r="L52" s="93"/>
      <c r="M52" s="94">
        <f t="shared" si="8"/>
        <v>0</v>
      </c>
      <c r="N52" s="94">
        <f t="shared" si="9"/>
        <v>0</v>
      </c>
      <c r="O52" s="95"/>
      <c r="Q52" s="404"/>
    </row>
    <row r="53" spans="1:19" s="137" customFormat="1">
      <c r="A53" s="140">
        <v>8826</v>
      </c>
      <c r="B53" s="140" t="s">
        <v>63</v>
      </c>
      <c r="C53" s="140" t="s">
        <v>63</v>
      </c>
      <c r="D53" s="143" t="s">
        <v>7</v>
      </c>
      <c r="E53" s="144">
        <v>43172.781099537038</v>
      </c>
      <c r="F53" s="89">
        <f t="shared" si="3"/>
        <v>43172.781099537038</v>
      </c>
      <c r="G53" s="90" t="str">
        <f t="shared" si="4"/>
        <v>18:44</v>
      </c>
      <c r="H53" s="91" t="str">
        <f t="shared" si="5"/>
        <v>-</v>
      </c>
      <c r="I53" s="92" t="str">
        <f t="shared" si="6"/>
        <v>-</v>
      </c>
      <c r="J53" s="92" t="str">
        <f t="shared" si="10"/>
        <v>-</v>
      </c>
      <c r="K53" s="93">
        <f t="shared" si="7"/>
        <v>3.0166666666666666</v>
      </c>
      <c r="L53" s="93"/>
      <c r="M53" s="94">
        <f t="shared" si="8"/>
        <v>2</v>
      </c>
      <c r="N53" s="94">
        <f t="shared" si="9"/>
        <v>1.0166666666666666</v>
      </c>
      <c r="O53" s="95"/>
      <c r="Q53" s="404"/>
    </row>
    <row r="54" spans="1:19" s="137" customFormat="1">
      <c r="A54" s="140">
        <v>8834</v>
      </c>
      <c r="B54" s="140" t="s">
        <v>63</v>
      </c>
      <c r="C54" s="140" t="s">
        <v>63</v>
      </c>
      <c r="D54" s="143" t="s">
        <v>8</v>
      </c>
      <c r="E54" s="144">
        <v>43172.906770833331</v>
      </c>
      <c r="F54" s="89">
        <f t="shared" si="3"/>
        <v>43172.906770833331</v>
      </c>
      <c r="G54" s="90" t="str">
        <f t="shared" si="4"/>
        <v>21:45</v>
      </c>
      <c r="H54" s="91" t="str">
        <f t="shared" si="5"/>
        <v>-</v>
      </c>
      <c r="I54" s="92" t="str">
        <f t="shared" si="6"/>
        <v>-</v>
      </c>
      <c r="J54" s="92" t="str">
        <f t="shared" si="10"/>
        <v>-</v>
      </c>
      <c r="K54" s="93">
        <f t="shared" si="7"/>
        <v>0</v>
      </c>
      <c r="L54" s="93"/>
      <c r="M54" s="94">
        <f t="shared" si="8"/>
        <v>0</v>
      </c>
      <c r="N54" s="94">
        <f t="shared" si="9"/>
        <v>0</v>
      </c>
      <c r="O54" s="95"/>
      <c r="Q54" s="404"/>
    </row>
    <row r="55" spans="1:19" s="137" customFormat="1">
      <c r="A55" s="140">
        <v>8840</v>
      </c>
      <c r="B55" s="140" t="s">
        <v>63</v>
      </c>
      <c r="C55" s="140" t="s">
        <v>63</v>
      </c>
      <c r="D55" s="143" t="s">
        <v>6</v>
      </c>
      <c r="E55" s="144">
        <v>43173.363900462966</v>
      </c>
      <c r="F55" s="89">
        <f t="shared" si="3"/>
        <v>43173.363900462966</v>
      </c>
      <c r="G55" s="90" t="str">
        <f t="shared" si="4"/>
        <v>8:44</v>
      </c>
      <c r="H55" s="91">
        <f t="shared" si="5"/>
        <v>10.016666666666667</v>
      </c>
      <c r="I55" s="92">
        <f t="shared" si="6"/>
        <v>8</v>
      </c>
      <c r="J55" s="92" t="str">
        <f t="shared" si="10"/>
        <v>-</v>
      </c>
      <c r="K55" s="93">
        <f t="shared" si="7"/>
        <v>0</v>
      </c>
      <c r="L55" s="93"/>
      <c r="M55" s="94">
        <f t="shared" si="8"/>
        <v>0</v>
      </c>
      <c r="N55" s="94">
        <f t="shared" si="9"/>
        <v>0</v>
      </c>
      <c r="O55" s="95"/>
      <c r="Q55" s="404"/>
    </row>
    <row r="56" spans="1:19" s="137" customFormat="1">
      <c r="A56" s="140">
        <v>8858</v>
      </c>
      <c r="B56" s="140" t="s">
        <v>63</v>
      </c>
      <c r="C56" s="140" t="s">
        <v>63</v>
      </c>
      <c r="D56" s="143" t="s">
        <v>5</v>
      </c>
      <c r="E56" s="144">
        <v>43173.781793981485</v>
      </c>
      <c r="F56" s="89">
        <f t="shared" si="3"/>
        <v>43173.781793981485</v>
      </c>
      <c r="G56" s="90" t="str">
        <f t="shared" si="4"/>
        <v>18:45</v>
      </c>
      <c r="H56" s="91" t="str">
        <f t="shared" si="5"/>
        <v>-</v>
      </c>
      <c r="I56" s="92" t="str">
        <f t="shared" si="6"/>
        <v>-</v>
      </c>
      <c r="J56" s="92" t="str">
        <f t="shared" si="10"/>
        <v>-</v>
      </c>
      <c r="K56" s="93">
        <f t="shared" si="7"/>
        <v>0</v>
      </c>
      <c r="L56" s="93"/>
      <c r="M56" s="94">
        <f t="shared" si="8"/>
        <v>0</v>
      </c>
      <c r="N56" s="94">
        <f t="shared" si="9"/>
        <v>0</v>
      </c>
      <c r="O56" s="95"/>
      <c r="Q56" s="404"/>
    </row>
    <row r="57" spans="1:19" s="63" customFormat="1">
      <c r="A57" s="140">
        <v>8859</v>
      </c>
      <c r="B57" s="140" t="s">
        <v>63</v>
      </c>
      <c r="C57" s="140" t="s">
        <v>63</v>
      </c>
      <c r="D57" s="143" t="s">
        <v>7</v>
      </c>
      <c r="E57" s="144">
        <v>43173.781805555554</v>
      </c>
      <c r="F57" s="89">
        <f t="shared" si="3"/>
        <v>43173.781805555554</v>
      </c>
      <c r="G57" s="90" t="str">
        <f t="shared" si="4"/>
        <v>18:45</v>
      </c>
      <c r="H57" s="91" t="str">
        <f t="shared" si="5"/>
        <v>-</v>
      </c>
      <c r="I57" s="92" t="str">
        <f t="shared" si="6"/>
        <v>-</v>
      </c>
      <c r="J57" s="92" t="str">
        <f t="shared" si="10"/>
        <v>-</v>
      </c>
      <c r="K57" s="93">
        <f t="shared" si="7"/>
        <v>2.7833333333333341</v>
      </c>
      <c r="L57" s="93"/>
      <c r="M57" s="94">
        <f t="shared" si="8"/>
        <v>2</v>
      </c>
      <c r="N57" s="94">
        <f t="shared" si="9"/>
        <v>0.7833333333333341</v>
      </c>
      <c r="O57" s="95"/>
      <c r="P57" s="18"/>
      <c r="Q57" s="395"/>
      <c r="R57" s="18"/>
      <c r="S57" s="18"/>
    </row>
    <row r="58" spans="1:19">
      <c r="A58" s="140">
        <v>8871</v>
      </c>
      <c r="B58" s="140" t="s">
        <v>63</v>
      </c>
      <c r="C58" s="140" t="s">
        <v>63</v>
      </c>
      <c r="D58" s="143" t="s">
        <v>8</v>
      </c>
      <c r="E58" s="144">
        <v>43173.897604166668</v>
      </c>
      <c r="F58" s="89">
        <f t="shared" si="3"/>
        <v>43173.897604166668</v>
      </c>
      <c r="G58" s="90" t="str">
        <f t="shared" si="4"/>
        <v>21:32</v>
      </c>
      <c r="H58" s="91" t="str">
        <f t="shared" si="5"/>
        <v>-</v>
      </c>
      <c r="I58" s="92" t="str">
        <f t="shared" si="6"/>
        <v>-</v>
      </c>
      <c r="J58" s="92" t="str">
        <f t="shared" si="10"/>
        <v>-</v>
      </c>
      <c r="K58" s="93">
        <f t="shared" si="7"/>
        <v>0</v>
      </c>
      <c r="L58" s="93"/>
      <c r="M58" s="94">
        <f t="shared" si="8"/>
        <v>0</v>
      </c>
      <c r="N58" s="94">
        <f t="shared" si="9"/>
        <v>0</v>
      </c>
      <c r="O58" s="95"/>
      <c r="Q58" s="374"/>
    </row>
    <row r="59" spans="1:19" s="380" customFormat="1">
      <c r="A59" s="140">
        <v>8880</v>
      </c>
      <c r="B59" s="140" t="s">
        <v>63</v>
      </c>
      <c r="C59" s="140" t="s">
        <v>63</v>
      </c>
      <c r="D59" s="143" t="s">
        <v>6</v>
      </c>
      <c r="E59" s="144">
        <v>43174.37332175926</v>
      </c>
      <c r="F59" s="89">
        <f t="shared" si="3"/>
        <v>43174.37332175926</v>
      </c>
      <c r="G59" s="90" t="str">
        <f t="shared" si="4"/>
        <v>8:57</v>
      </c>
      <c r="H59" s="91">
        <f t="shared" si="5"/>
        <v>9.5833333333333357</v>
      </c>
      <c r="I59" s="92">
        <f t="shared" si="6"/>
        <v>8</v>
      </c>
      <c r="J59" s="92" t="str">
        <f t="shared" si="10"/>
        <v>-</v>
      </c>
      <c r="K59" s="93">
        <f t="shared" si="7"/>
        <v>0</v>
      </c>
      <c r="L59" s="93"/>
      <c r="M59" s="94">
        <f t="shared" si="8"/>
        <v>0</v>
      </c>
      <c r="N59" s="94">
        <f t="shared" si="9"/>
        <v>0</v>
      </c>
      <c r="O59" s="95"/>
      <c r="P59" s="346"/>
      <c r="Q59" s="374"/>
      <c r="R59" s="379"/>
      <c r="S59" s="379"/>
    </row>
    <row r="60" spans="1:19">
      <c r="A60" s="140">
        <v>8891</v>
      </c>
      <c r="B60" s="140" t="s">
        <v>63</v>
      </c>
      <c r="C60" s="140" t="s">
        <v>63</v>
      </c>
      <c r="D60" s="143" t="s">
        <v>5</v>
      </c>
      <c r="E60" s="144">
        <v>43174.772233796299</v>
      </c>
      <c r="F60" s="89">
        <f t="shared" si="3"/>
        <v>43174.772233796299</v>
      </c>
      <c r="G60" s="90" t="str">
        <f t="shared" si="4"/>
        <v>18:32</v>
      </c>
      <c r="H60" s="91" t="str">
        <f t="shared" si="5"/>
        <v>-</v>
      </c>
      <c r="I60" s="92" t="str">
        <f t="shared" si="6"/>
        <v>-</v>
      </c>
      <c r="J60" s="92" t="str">
        <f t="shared" si="10"/>
        <v>-</v>
      </c>
      <c r="K60" s="93">
        <f t="shared" si="7"/>
        <v>0</v>
      </c>
      <c r="L60" s="93"/>
      <c r="M60" s="94">
        <f t="shared" si="8"/>
        <v>0</v>
      </c>
      <c r="N60" s="94">
        <f t="shared" si="9"/>
        <v>0</v>
      </c>
      <c r="O60" s="95"/>
      <c r="Q60" s="374"/>
    </row>
    <row r="61" spans="1:19" s="376" customFormat="1">
      <c r="A61" s="140">
        <v>8892</v>
      </c>
      <c r="B61" s="140" t="s">
        <v>63</v>
      </c>
      <c r="C61" s="140" t="s">
        <v>63</v>
      </c>
      <c r="D61" s="143" t="s">
        <v>7</v>
      </c>
      <c r="E61" s="144">
        <v>43174.772280092591</v>
      </c>
      <c r="F61" s="89">
        <f t="shared" si="3"/>
        <v>43174.772280092591</v>
      </c>
      <c r="G61" s="90" t="str">
        <f t="shared" si="4"/>
        <v>18:32</v>
      </c>
      <c r="H61" s="91" t="str">
        <f t="shared" si="5"/>
        <v>-</v>
      </c>
      <c r="I61" s="92" t="str">
        <f t="shared" si="6"/>
        <v>-</v>
      </c>
      <c r="J61" s="92" t="str">
        <f t="shared" si="10"/>
        <v>-</v>
      </c>
      <c r="K61" s="93">
        <f t="shared" si="7"/>
        <v>3.4333333333333318</v>
      </c>
      <c r="L61" s="93"/>
      <c r="M61" s="94">
        <f t="shared" si="8"/>
        <v>2</v>
      </c>
      <c r="N61" s="94">
        <f t="shared" si="9"/>
        <v>1.4333333333333318</v>
      </c>
      <c r="O61" s="95"/>
      <c r="P61" s="346"/>
      <c r="Q61" s="374"/>
      <c r="R61" s="375"/>
      <c r="S61" s="375"/>
    </row>
    <row r="62" spans="1:19">
      <c r="A62" s="140">
        <v>8905</v>
      </c>
      <c r="B62" s="140" t="s">
        <v>63</v>
      </c>
      <c r="C62" s="140" t="s">
        <v>63</v>
      </c>
      <c r="D62" s="143" t="s">
        <v>8</v>
      </c>
      <c r="E62" s="144">
        <v>43174.915555555555</v>
      </c>
      <c r="F62" s="89">
        <f t="shared" si="3"/>
        <v>43174.915555555555</v>
      </c>
      <c r="G62" s="90" t="str">
        <f t="shared" si="4"/>
        <v>21:58</v>
      </c>
      <c r="H62" s="91" t="str">
        <f t="shared" si="5"/>
        <v>-</v>
      </c>
      <c r="I62" s="92" t="str">
        <f t="shared" si="6"/>
        <v>-</v>
      </c>
      <c r="J62" s="92" t="str">
        <f t="shared" si="10"/>
        <v>-</v>
      </c>
      <c r="K62" s="93">
        <f t="shared" si="7"/>
        <v>0</v>
      </c>
      <c r="L62" s="93"/>
      <c r="M62" s="94">
        <f t="shared" si="8"/>
        <v>0</v>
      </c>
      <c r="N62" s="94">
        <f t="shared" si="9"/>
        <v>0</v>
      </c>
      <c r="O62" s="95"/>
      <c r="Q62" s="374"/>
    </row>
    <row r="63" spans="1:19" s="16" customFormat="1">
      <c r="A63" s="140">
        <v>8915</v>
      </c>
      <c r="B63" s="140" t="s">
        <v>63</v>
      </c>
      <c r="C63" s="140" t="s">
        <v>63</v>
      </c>
      <c r="D63" s="143" t="s">
        <v>6</v>
      </c>
      <c r="E63" s="144">
        <v>43175.37158564815</v>
      </c>
      <c r="F63" s="89">
        <f t="shared" si="3"/>
        <v>43175.37158564815</v>
      </c>
      <c r="G63" s="90" t="str">
        <f t="shared" si="4"/>
        <v>8:55</v>
      </c>
      <c r="H63" s="91">
        <f t="shared" si="5"/>
        <v>9.6500000000000021</v>
      </c>
      <c r="I63" s="92">
        <f t="shared" si="6"/>
        <v>8</v>
      </c>
      <c r="J63" s="92" t="str">
        <f t="shared" si="10"/>
        <v>-</v>
      </c>
      <c r="K63" s="93">
        <f t="shared" si="7"/>
        <v>0</v>
      </c>
      <c r="L63" s="93"/>
      <c r="M63" s="94">
        <f t="shared" si="8"/>
        <v>0</v>
      </c>
      <c r="N63" s="94">
        <f t="shared" si="9"/>
        <v>0</v>
      </c>
      <c r="O63" s="95"/>
      <c r="P63" s="346"/>
      <c r="Q63" s="374"/>
      <c r="R63" s="137"/>
      <c r="S63" s="137"/>
    </row>
    <row r="64" spans="1:19">
      <c r="A64" s="140">
        <v>8925</v>
      </c>
      <c r="B64" s="140" t="s">
        <v>63</v>
      </c>
      <c r="C64" s="140" t="s">
        <v>63</v>
      </c>
      <c r="D64" s="143" t="s">
        <v>5</v>
      </c>
      <c r="E64" s="144">
        <v>43175.774097222224</v>
      </c>
      <c r="F64" s="89">
        <f t="shared" si="3"/>
        <v>43175.774097222224</v>
      </c>
      <c r="G64" s="90" t="str">
        <f t="shared" si="4"/>
        <v>18:34</v>
      </c>
      <c r="H64" s="91" t="str">
        <f t="shared" si="5"/>
        <v>-</v>
      </c>
      <c r="I64" s="92" t="str">
        <f t="shared" si="6"/>
        <v>-</v>
      </c>
      <c r="J64" s="92" t="str">
        <f t="shared" si="10"/>
        <v>-</v>
      </c>
      <c r="K64" s="93">
        <f t="shared" si="7"/>
        <v>0</v>
      </c>
      <c r="L64" s="93"/>
      <c r="M64" s="94">
        <f t="shared" si="8"/>
        <v>0</v>
      </c>
      <c r="N64" s="94">
        <f t="shared" si="9"/>
        <v>0</v>
      </c>
      <c r="O64" s="95"/>
      <c r="Q64" s="374"/>
    </row>
    <row r="65" spans="1:19" s="380" customFormat="1">
      <c r="A65" s="140">
        <v>8926</v>
      </c>
      <c r="B65" s="140" t="s">
        <v>63</v>
      </c>
      <c r="C65" s="140" t="s">
        <v>63</v>
      </c>
      <c r="D65" s="143" t="s">
        <v>7</v>
      </c>
      <c r="E65" s="144">
        <v>43175.774108796293</v>
      </c>
      <c r="F65" s="89">
        <f t="shared" si="3"/>
        <v>43175.774108796293</v>
      </c>
      <c r="G65" s="90" t="str">
        <f t="shared" si="4"/>
        <v>18:34</v>
      </c>
      <c r="H65" s="91" t="str">
        <f t="shared" si="5"/>
        <v>-</v>
      </c>
      <c r="I65" s="92" t="str">
        <f t="shared" si="6"/>
        <v>-</v>
      </c>
      <c r="J65" s="92" t="str">
        <f t="shared" si="10"/>
        <v>-</v>
      </c>
      <c r="K65" s="93">
        <f t="shared" si="7"/>
        <v>0.35000000000000142</v>
      </c>
      <c r="L65" s="93"/>
      <c r="M65" s="94">
        <f t="shared" si="8"/>
        <v>0.35000000000000142</v>
      </c>
      <c r="N65" s="94">
        <f t="shared" si="9"/>
        <v>0</v>
      </c>
      <c r="O65" s="95"/>
      <c r="P65" s="346"/>
      <c r="Q65" s="374"/>
      <c r="R65" s="379"/>
      <c r="S65" s="379"/>
    </row>
    <row r="66" spans="1:19">
      <c r="A66" s="140">
        <v>8931</v>
      </c>
      <c r="B66" s="140" t="s">
        <v>63</v>
      </c>
      <c r="C66" s="140" t="s">
        <v>63</v>
      </c>
      <c r="D66" s="143" t="s">
        <v>8</v>
      </c>
      <c r="E66" s="144">
        <v>43175.788819444446</v>
      </c>
      <c r="F66" s="89">
        <f t="shared" si="3"/>
        <v>43175.788819444446</v>
      </c>
      <c r="G66" s="90" t="str">
        <f t="shared" si="4"/>
        <v>18:55</v>
      </c>
      <c r="H66" s="91" t="str">
        <f t="shared" si="5"/>
        <v>-</v>
      </c>
      <c r="I66" s="92" t="str">
        <f t="shared" si="6"/>
        <v>-</v>
      </c>
      <c r="J66" s="92" t="str">
        <f t="shared" si="10"/>
        <v>-</v>
      </c>
      <c r="K66" s="93">
        <f t="shared" si="7"/>
        <v>0</v>
      </c>
      <c r="L66" s="93"/>
      <c r="M66" s="94">
        <f t="shared" si="8"/>
        <v>0</v>
      </c>
      <c r="N66" s="94">
        <f t="shared" si="9"/>
        <v>0</v>
      </c>
      <c r="O66" s="95"/>
      <c r="Q66" s="374"/>
    </row>
    <row r="67" spans="1:19" s="380" customFormat="1">
      <c r="A67" s="140">
        <v>8937</v>
      </c>
      <c r="B67" s="140" t="s">
        <v>63</v>
      </c>
      <c r="C67" s="140" t="s">
        <v>63</v>
      </c>
      <c r="D67" s="143" t="s">
        <v>7</v>
      </c>
      <c r="E67" s="144">
        <v>43175.827546296299</v>
      </c>
      <c r="F67" s="89">
        <f t="shared" si="3"/>
        <v>43175.827546296299</v>
      </c>
      <c r="G67" s="90" t="str">
        <f t="shared" si="4"/>
        <v>19:51</v>
      </c>
      <c r="H67" s="91" t="str">
        <f t="shared" si="5"/>
        <v>-</v>
      </c>
      <c r="I67" s="92" t="str">
        <f t="shared" si="6"/>
        <v>-</v>
      </c>
      <c r="J67" s="92" t="str">
        <f t="shared" si="10"/>
        <v>-</v>
      </c>
      <c r="K67" s="93">
        <f t="shared" si="7"/>
        <v>1.883333333333332</v>
      </c>
      <c r="L67" s="93"/>
      <c r="M67" s="94">
        <f t="shared" si="8"/>
        <v>1.883333333333332</v>
      </c>
      <c r="N67" s="94">
        <f t="shared" si="9"/>
        <v>0</v>
      </c>
      <c r="O67" s="95"/>
      <c r="P67" s="346"/>
      <c r="Q67" s="374"/>
      <c r="R67" s="379"/>
      <c r="S67" s="379"/>
    </row>
    <row r="68" spans="1:19" s="63" customFormat="1">
      <c r="A68" s="140">
        <v>8940</v>
      </c>
      <c r="B68" s="140" t="s">
        <v>63</v>
      </c>
      <c r="C68" s="140" t="s">
        <v>63</v>
      </c>
      <c r="D68" s="143" t="s">
        <v>8</v>
      </c>
      <c r="E68" s="144">
        <v>43175.906192129631</v>
      </c>
      <c r="F68" s="89">
        <f t="shared" si="3"/>
        <v>43175.906192129631</v>
      </c>
      <c r="G68" s="90" t="str">
        <f t="shared" si="4"/>
        <v>21:44</v>
      </c>
      <c r="H68" s="91" t="str">
        <f t="shared" si="5"/>
        <v>-</v>
      </c>
      <c r="I68" s="92" t="str">
        <f t="shared" si="6"/>
        <v>-</v>
      </c>
      <c r="J68" s="92" t="str">
        <f t="shared" si="10"/>
        <v>-</v>
      </c>
      <c r="K68" s="93">
        <f t="shared" si="7"/>
        <v>0</v>
      </c>
      <c r="L68" s="93"/>
      <c r="M68" s="94">
        <f t="shared" si="8"/>
        <v>0</v>
      </c>
      <c r="N68" s="94">
        <f t="shared" si="9"/>
        <v>0</v>
      </c>
      <c r="O68" s="95"/>
      <c r="P68" s="346"/>
      <c r="Q68" s="374"/>
      <c r="R68" s="18"/>
      <c r="S68" s="18"/>
    </row>
    <row r="69" spans="1:19" s="16" customFormat="1">
      <c r="A69" s="140">
        <v>8951</v>
      </c>
      <c r="B69" s="140" t="s">
        <v>63</v>
      </c>
      <c r="C69" s="140" t="s">
        <v>63</v>
      </c>
      <c r="D69" s="143" t="s">
        <v>7</v>
      </c>
      <c r="E69" s="144">
        <v>43176.501944444448</v>
      </c>
      <c r="F69" s="89">
        <f t="shared" si="3"/>
        <v>43176.501944444448</v>
      </c>
      <c r="G69" s="90" t="str">
        <f t="shared" si="4"/>
        <v>12:2</v>
      </c>
      <c r="H69" s="91" t="str">
        <f t="shared" si="5"/>
        <v>-</v>
      </c>
      <c r="I69" s="92" t="str">
        <f t="shared" si="6"/>
        <v>-</v>
      </c>
      <c r="J69" s="92" t="str">
        <f t="shared" si="10"/>
        <v>-</v>
      </c>
      <c r="K69" s="93">
        <f t="shared" si="7"/>
        <v>1.5666666666666664</v>
      </c>
      <c r="L69" s="93"/>
      <c r="M69" s="94">
        <v>0</v>
      </c>
      <c r="N69" s="94">
        <f>K69</f>
        <v>1.5666666666666664</v>
      </c>
      <c r="O69" s="95"/>
      <c r="P69" s="137"/>
      <c r="Q69" s="404"/>
      <c r="R69" s="137"/>
      <c r="S69" s="137"/>
    </row>
    <row r="70" spans="1:19" s="16" customFormat="1">
      <c r="A70" s="140">
        <v>8955</v>
      </c>
      <c r="B70" s="140" t="s">
        <v>63</v>
      </c>
      <c r="C70" s="140" t="s">
        <v>63</v>
      </c>
      <c r="D70" s="143" t="s">
        <v>8</v>
      </c>
      <c r="E70" s="144">
        <v>43176.56695601852</v>
      </c>
      <c r="F70" s="89">
        <f t="shared" si="3"/>
        <v>43176.56695601852</v>
      </c>
      <c r="G70" s="90" t="str">
        <f t="shared" si="4"/>
        <v>13:36</v>
      </c>
      <c r="H70" s="91" t="str">
        <f t="shared" si="5"/>
        <v>-</v>
      </c>
      <c r="I70" s="92" t="str">
        <f t="shared" si="6"/>
        <v>-</v>
      </c>
      <c r="J70" s="92" t="str">
        <f t="shared" si="10"/>
        <v>-</v>
      </c>
      <c r="K70" s="93">
        <f t="shared" si="7"/>
        <v>0</v>
      </c>
      <c r="L70" s="93"/>
      <c r="M70" s="94">
        <f t="shared" si="8"/>
        <v>0</v>
      </c>
      <c r="N70" s="94">
        <f t="shared" si="9"/>
        <v>0</v>
      </c>
      <c r="O70" s="95"/>
      <c r="P70" s="137"/>
      <c r="Q70" s="404"/>
      <c r="R70" s="137"/>
      <c r="S70" s="137"/>
    </row>
    <row r="71" spans="1:19" s="16" customFormat="1">
      <c r="A71" s="140">
        <v>8959</v>
      </c>
      <c r="B71" s="140" t="s">
        <v>63</v>
      </c>
      <c r="C71" s="140" t="s">
        <v>63</v>
      </c>
      <c r="D71" s="143" t="s">
        <v>7</v>
      </c>
      <c r="E71" s="144">
        <v>43176.57576388889</v>
      </c>
      <c r="F71" s="89">
        <f t="shared" si="3"/>
        <v>43176.57576388889</v>
      </c>
      <c r="G71" s="90" t="str">
        <f t="shared" si="4"/>
        <v>13:49</v>
      </c>
      <c r="H71" s="91" t="str">
        <f t="shared" si="5"/>
        <v>-</v>
      </c>
      <c r="I71" s="92" t="str">
        <f t="shared" si="6"/>
        <v>-</v>
      </c>
      <c r="J71" s="92" t="str">
        <f t="shared" si="10"/>
        <v>-</v>
      </c>
      <c r="K71" s="93">
        <f t="shared" si="7"/>
        <v>3.1999999999999993</v>
      </c>
      <c r="L71" s="93"/>
      <c r="M71" s="94">
        <f t="shared" si="8"/>
        <v>2</v>
      </c>
      <c r="N71" s="94">
        <f t="shared" si="9"/>
        <v>1.1999999999999993</v>
      </c>
      <c r="O71" s="95"/>
      <c r="P71" s="137"/>
      <c r="Q71" s="404"/>
      <c r="R71" s="137"/>
      <c r="S71" s="137"/>
    </row>
    <row r="72" spans="1:19" s="16" customFormat="1">
      <c r="A72" s="140">
        <v>8967</v>
      </c>
      <c r="B72" s="140" t="s">
        <v>63</v>
      </c>
      <c r="C72" s="140" t="s">
        <v>63</v>
      </c>
      <c r="D72" s="143" t="s">
        <v>8</v>
      </c>
      <c r="E72" s="144">
        <v>43176.709537037037</v>
      </c>
      <c r="F72" s="89">
        <f t="shared" ref="F72:F118" si="11">E72</f>
        <v>43176.709537037037</v>
      </c>
      <c r="G72" s="90" t="str">
        <f t="shared" ref="G72:G118" si="12">HOUR(E72)&amp;":"&amp;MINUTE(E72)</f>
        <v>17:1</v>
      </c>
      <c r="H72" s="91" t="str">
        <f t="shared" ref="H72:H118" si="13">IF(D72="上班",(G73-G72)*24,"-")</f>
        <v>-</v>
      </c>
      <c r="I72" s="92" t="str">
        <f t="shared" ref="I72:I118" si="14">IF(D72="上班",IF(H72-1.5&gt;8,8,H72-1.5),"-")</f>
        <v>-</v>
      </c>
      <c r="J72" s="92" t="str">
        <f t="shared" ref="J72:J118" si="15">IF(I72&lt;8,8-I72,"-")</f>
        <v>-</v>
      </c>
      <c r="K72" s="93">
        <f t="shared" ref="K72:K118" si="16">IF(D72="加班",(G73-G72)*24,0)</f>
        <v>0</v>
      </c>
      <c r="L72" s="93"/>
      <c r="M72" s="94">
        <f t="shared" ref="M72:M118" si="17">IF(K72&gt;2,2,K72)</f>
        <v>0</v>
      </c>
      <c r="N72" s="94">
        <f t="shared" ref="N72:N118" si="18">IF(K72&gt;2,K72-2,0)</f>
        <v>0</v>
      </c>
      <c r="O72" s="95"/>
      <c r="P72" s="137"/>
      <c r="Q72" s="404"/>
      <c r="R72" s="137"/>
      <c r="S72" s="137"/>
    </row>
    <row r="73" spans="1:19" s="16" customFormat="1">
      <c r="A73" s="140">
        <v>8968</v>
      </c>
      <c r="B73" s="140" t="s">
        <v>63</v>
      </c>
      <c r="C73" s="140" t="s">
        <v>63</v>
      </c>
      <c r="D73" s="143" t="s">
        <v>7</v>
      </c>
      <c r="E73" s="144">
        <v>43176.709548611114</v>
      </c>
      <c r="F73" s="89">
        <f t="shared" si="11"/>
        <v>43176.709548611114</v>
      </c>
      <c r="G73" s="90" t="str">
        <f t="shared" si="12"/>
        <v>17:1</v>
      </c>
      <c r="H73" s="91" t="str">
        <f t="shared" si="13"/>
        <v>-</v>
      </c>
      <c r="I73" s="92" t="str">
        <f t="shared" si="14"/>
        <v>-</v>
      </c>
      <c r="J73" s="92" t="str">
        <f t="shared" si="15"/>
        <v>-</v>
      </c>
      <c r="K73" s="93">
        <f t="shared" si="16"/>
        <v>3.1166666666666689</v>
      </c>
      <c r="L73" s="93"/>
      <c r="M73" s="94">
        <v>0</v>
      </c>
      <c r="N73" s="94">
        <f>K73</f>
        <v>3.1166666666666689</v>
      </c>
      <c r="O73" s="95"/>
      <c r="P73" s="137"/>
      <c r="Q73" s="404"/>
      <c r="R73" s="137"/>
      <c r="S73" s="137"/>
    </row>
    <row r="74" spans="1:19" s="16" customFormat="1">
      <c r="A74" s="140">
        <v>8973</v>
      </c>
      <c r="B74" s="140" t="s">
        <v>79</v>
      </c>
      <c r="C74" s="140" t="s">
        <v>63</v>
      </c>
      <c r="D74" s="143" t="s">
        <v>8</v>
      </c>
      <c r="E74" s="144">
        <v>43176.839062500003</v>
      </c>
      <c r="F74" s="89">
        <f t="shared" si="11"/>
        <v>43176.839062500003</v>
      </c>
      <c r="G74" s="90" t="str">
        <f t="shared" si="12"/>
        <v>20:8</v>
      </c>
      <c r="H74" s="91" t="str">
        <f t="shared" si="13"/>
        <v>-</v>
      </c>
      <c r="I74" s="92" t="str">
        <f t="shared" si="14"/>
        <v>-</v>
      </c>
      <c r="J74" s="92" t="str">
        <f t="shared" si="15"/>
        <v>-</v>
      </c>
      <c r="K74" s="93">
        <f t="shared" si="16"/>
        <v>0</v>
      </c>
      <c r="L74" s="93"/>
      <c r="M74" s="94">
        <f t="shared" si="17"/>
        <v>0</v>
      </c>
      <c r="N74" s="94">
        <f t="shared" si="18"/>
        <v>0</v>
      </c>
      <c r="O74" s="95"/>
      <c r="P74" s="137"/>
      <c r="Q74" s="404"/>
      <c r="R74" s="137"/>
      <c r="S74" s="137"/>
    </row>
    <row r="75" spans="1:19">
      <c r="A75" s="140">
        <v>8980</v>
      </c>
      <c r="B75" s="140" t="s">
        <v>63</v>
      </c>
      <c r="C75" s="140" t="s">
        <v>63</v>
      </c>
      <c r="D75" s="143" t="s">
        <v>6</v>
      </c>
      <c r="E75" s="144">
        <v>43178.371666666666</v>
      </c>
      <c r="F75" s="89">
        <f t="shared" si="11"/>
        <v>43178.371666666666</v>
      </c>
      <c r="G75" s="90" t="str">
        <f t="shared" si="12"/>
        <v>8:55</v>
      </c>
      <c r="H75" s="91">
        <f t="shared" si="13"/>
        <v>9.5000000000000018</v>
      </c>
      <c r="I75" s="92">
        <f t="shared" si="14"/>
        <v>8.0000000000000018</v>
      </c>
      <c r="J75" s="92" t="str">
        <f t="shared" si="15"/>
        <v>-</v>
      </c>
      <c r="K75" s="93">
        <f t="shared" si="16"/>
        <v>0</v>
      </c>
      <c r="L75" s="93"/>
      <c r="M75" s="94">
        <f t="shared" si="17"/>
        <v>0</v>
      </c>
      <c r="N75" s="94">
        <f t="shared" si="18"/>
        <v>0</v>
      </c>
      <c r="O75" s="95"/>
      <c r="Q75" s="374"/>
    </row>
    <row r="76" spans="1:19">
      <c r="A76" s="140">
        <v>8987</v>
      </c>
      <c r="B76" s="140" t="s">
        <v>63</v>
      </c>
      <c r="C76" s="140" t="s">
        <v>63</v>
      </c>
      <c r="D76" s="143" t="s">
        <v>5</v>
      </c>
      <c r="E76" s="144">
        <v>43178.767800925925</v>
      </c>
      <c r="F76" s="89">
        <f t="shared" si="11"/>
        <v>43178.767800925925</v>
      </c>
      <c r="G76" s="90" t="str">
        <f t="shared" si="12"/>
        <v>18:25</v>
      </c>
      <c r="H76" s="91" t="str">
        <f t="shared" si="13"/>
        <v>-</v>
      </c>
      <c r="I76" s="92" t="str">
        <f t="shared" si="14"/>
        <v>-</v>
      </c>
      <c r="J76" s="92" t="str">
        <f t="shared" si="15"/>
        <v>-</v>
      </c>
      <c r="K76" s="93">
        <f t="shared" si="16"/>
        <v>0</v>
      </c>
      <c r="L76" s="93"/>
      <c r="M76" s="94">
        <f t="shared" si="17"/>
        <v>0</v>
      </c>
      <c r="N76" s="94">
        <f t="shared" si="18"/>
        <v>0</v>
      </c>
      <c r="O76" s="95"/>
      <c r="Q76" s="374"/>
    </row>
    <row r="77" spans="1:19">
      <c r="A77" s="140">
        <v>8998</v>
      </c>
      <c r="B77" s="140" t="s">
        <v>63</v>
      </c>
      <c r="C77" s="140" t="s">
        <v>63</v>
      </c>
      <c r="D77" s="143" t="s">
        <v>7</v>
      </c>
      <c r="E77" s="144">
        <v>43178.794733796298</v>
      </c>
      <c r="F77" s="89">
        <f t="shared" si="11"/>
        <v>43178.794733796298</v>
      </c>
      <c r="G77" s="90" t="str">
        <f t="shared" si="12"/>
        <v>19:4</v>
      </c>
      <c r="H77" s="91" t="str">
        <f t="shared" si="13"/>
        <v>-</v>
      </c>
      <c r="I77" s="92" t="str">
        <f t="shared" si="14"/>
        <v>-</v>
      </c>
      <c r="J77" s="92" t="str">
        <f t="shared" si="15"/>
        <v>-</v>
      </c>
      <c r="K77" s="93">
        <f t="shared" si="16"/>
        <v>2.7833333333333368</v>
      </c>
      <c r="L77" s="93"/>
      <c r="M77" s="94">
        <f t="shared" si="17"/>
        <v>2</v>
      </c>
      <c r="N77" s="94">
        <f t="shared" si="18"/>
        <v>0.78333333333333677</v>
      </c>
      <c r="O77" s="95"/>
      <c r="Q77" s="374"/>
    </row>
    <row r="78" spans="1:19">
      <c r="A78" s="140">
        <v>9006</v>
      </c>
      <c r="B78" s="140" t="s">
        <v>63</v>
      </c>
      <c r="C78" s="140" t="s">
        <v>63</v>
      </c>
      <c r="D78" s="143" t="s">
        <v>8</v>
      </c>
      <c r="E78" s="144">
        <v>43178.910752314812</v>
      </c>
      <c r="F78" s="89">
        <f t="shared" si="11"/>
        <v>43178.910752314812</v>
      </c>
      <c r="G78" s="90" t="str">
        <f t="shared" si="12"/>
        <v>21:51</v>
      </c>
      <c r="H78" s="91" t="str">
        <f t="shared" si="13"/>
        <v>-</v>
      </c>
      <c r="I78" s="92" t="str">
        <f t="shared" si="14"/>
        <v>-</v>
      </c>
      <c r="J78" s="92" t="str">
        <f t="shared" si="15"/>
        <v>-</v>
      </c>
      <c r="K78" s="93">
        <f t="shared" si="16"/>
        <v>0</v>
      </c>
      <c r="L78" s="93"/>
      <c r="M78" s="94">
        <f t="shared" si="17"/>
        <v>0</v>
      </c>
      <c r="N78" s="94">
        <f t="shared" si="18"/>
        <v>0</v>
      </c>
      <c r="O78" s="95"/>
      <c r="Q78" s="374"/>
    </row>
    <row r="79" spans="1:19">
      <c r="A79" s="140">
        <v>9014</v>
      </c>
      <c r="B79" s="140" t="s">
        <v>79</v>
      </c>
      <c r="C79" s="140" t="s">
        <v>63</v>
      </c>
      <c r="D79" s="143" t="s">
        <v>6</v>
      </c>
      <c r="E79" s="144">
        <v>43179.368750000001</v>
      </c>
      <c r="F79" s="89">
        <f t="shared" si="11"/>
        <v>43179.368750000001</v>
      </c>
      <c r="G79" s="90" t="str">
        <f t="shared" si="12"/>
        <v>8:51</v>
      </c>
      <c r="H79" s="91">
        <f t="shared" si="13"/>
        <v>9.6333333333333346</v>
      </c>
      <c r="I79" s="92">
        <f t="shared" si="14"/>
        <v>8</v>
      </c>
      <c r="J79" s="92" t="str">
        <f t="shared" si="15"/>
        <v>-</v>
      </c>
      <c r="K79" s="93">
        <f t="shared" si="16"/>
        <v>0</v>
      </c>
      <c r="L79" s="93"/>
      <c r="M79" s="94">
        <f t="shared" si="17"/>
        <v>0</v>
      </c>
      <c r="N79" s="94">
        <f t="shared" si="18"/>
        <v>0</v>
      </c>
      <c r="O79" s="95"/>
      <c r="Q79" s="374"/>
    </row>
    <row r="80" spans="1:19">
      <c r="A80" s="140">
        <v>9029</v>
      </c>
      <c r="B80" s="140" t="s">
        <v>63</v>
      </c>
      <c r="C80" s="140" t="s">
        <v>63</v>
      </c>
      <c r="D80" s="143" t="s">
        <v>5</v>
      </c>
      <c r="E80" s="144">
        <v>43179.770729166667</v>
      </c>
      <c r="F80" s="89">
        <f t="shared" si="11"/>
        <v>43179.770729166667</v>
      </c>
      <c r="G80" s="90" t="str">
        <f t="shared" si="12"/>
        <v>18:29</v>
      </c>
      <c r="H80" s="91" t="str">
        <f t="shared" si="13"/>
        <v>-</v>
      </c>
      <c r="I80" s="92" t="str">
        <f t="shared" si="14"/>
        <v>-</v>
      </c>
      <c r="J80" s="92" t="str">
        <f t="shared" si="15"/>
        <v>-</v>
      </c>
      <c r="K80" s="93">
        <f t="shared" si="16"/>
        <v>0</v>
      </c>
      <c r="L80" s="93"/>
      <c r="M80" s="94">
        <f t="shared" si="17"/>
        <v>0</v>
      </c>
      <c r="N80" s="94">
        <f t="shared" si="18"/>
        <v>0</v>
      </c>
      <c r="O80" s="95"/>
    </row>
    <row r="81" spans="1:19">
      <c r="A81" s="140">
        <v>9035</v>
      </c>
      <c r="B81" s="140" t="s">
        <v>63</v>
      </c>
      <c r="C81" s="140" t="s">
        <v>63</v>
      </c>
      <c r="D81" s="143" t="s">
        <v>7</v>
      </c>
      <c r="E81" s="144">
        <v>43179.787592592591</v>
      </c>
      <c r="F81" s="89">
        <f t="shared" si="11"/>
        <v>43179.787592592591</v>
      </c>
      <c r="G81" s="90" t="str">
        <f t="shared" si="12"/>
        <v>18:54</v>
      </c>
      <c r="H81" s="91" t="str">
        <f t="shared" si="13"/>
        <v>-</v>
      </c>
      <c r="I81" s="92" t="str">
        <f t="shared" si="14"/>
        <v>-</v>
      </c>
      <c r="J81" s="92" t="str">
        <f t="shared" si="15"/>
        <v>-</v>
      </c>
      <c r="K81" s="93">
        <f t="shared" si="16"/>
        <v>2.5666666666666655</v>
      </c>
      <c r="L81" s="93"/>
      <c r="M81" s="94">
        <f t="shared" si="17"/>
        <v>2</v>
      </c>
      <c r="N81" s="94">
        <f t="shared" si="18"/>
        <v>0.56666666666666554</v>
      </c>
      <c r="O81" s="95"/>
    </row>
    <row r="82" spans="1:19">
      <c r="A82" s="140">
        <v>9045</v>
      </c>
      <c r="B82" s="140" t="s">
        <v>63</v>
      </c>
      <c r="C82" s="140" t="s">
        <v>63</v>
      </c>
      <c r="D82" s="143" t="s">
        <v>8</v>
      </c>
      <c r="E82" s="144">
        <v>43179.89508101852</v>
      </c>
      <c r="F82" s="89">
        <f t="shared" si="11"/>
        <v>43179.89508101852</v>
      </c>
      <c r="G82" s="90" t="str">
        <f t="shared" si="12"/>
        <v>21:28</v>
      </c>
      <c r="H82" s="91" t="str">
        <f t="shared" si="13"/>
        <v>-</v>
      </c>
      <c r="I82" s="92" t="str">
        <f t="shared" si="14"/>
        <v>-</v>
      </c>
      <c r="J82" s="92" t="str">
        <f t="shared" si="15"/>
        <v>-</v>
      </c>
      <c r="K82" s="93">
        <f t="shared" si="16"/>
        <v>0</v>
      </c>
      <c r="L82" s="93"/>
      <c r="M82" s="94">
        <f t="shared" si="17"/>
        <v>0</v>
      </c>
      <c r="N82" s="94">
        <f t="shared" si="18"/>
        <v>0</v>
      </c>
      <c r="O82" s="95"/>
    </row>
    <row r="83" spans="1:19" s="16" customFormat="1">
      <c r="A83" s="140">
        <v>9051</v>
      </c>
      <c r="B83" s="140" t="s">
        <v>63</v>
      </c>
      <c r="C83" s="140" t="s">
        <v>63</v>
      </c>
      <c r="D83" s="143" t="s">
        <v>6</v>
      </c>
      <c r="E83" s="144">
        <v>43180.368668981479</v>
      </c>
      <c r="F83" s="89">
        <f t="shared" si="11"/>
        <v>43180.368668981479</v>
      </c>
      <c r="G83" s="90" t="str">
        <f t="shared" si="12"/>
        <v>8:50</v>
      </c>
      <c r="H83" s="91">
        <f t="shared" si="13"/>
        <v>9.6666666666666679</v>
      </c>
      <c r="I83" s="92">
        <f t="shared" si="14"/>
        <v>8</v>
      </c>
      <c r="J83" s="92" t="str">
        <f t="shared" si="15"/>
        <v>-</v>
      </c>
      <c r="K83" s="93">
        <f t="shared" si="16"/>
        <v>0</v>
      </c>
      <c r="L83" s="93"/>
      <c r="M83" s="94">
        <f t="shared" si="17"/>
        <v>0</v>
      </c>
      <c r="N83" s="94">
        <f t="shared" si="18"/>
        <v>0</v>
      </c>
      <c r="O83" s="95"/>
      <c r="P83" s="137"/>
      <c r="Q83" s="137"/>
      <c r="R83" s="137"/>
      <c r="S83" s="137"/>
    </row>
    <row r="84" spans="1:19" s="16" customFormat="1">
      <c r="A84" s="140">
        <v>9061</v>
      </c>
      <c r="B84" s="140" t="s">
        <v>63</v>
      </c>
      <c r="C84" s="140" t="s">
        <v>63</v>
      </c>
      <c r="D84" s="143" t="s">
        <v>5</v>
      </c>
      <c r="E84" s="144">
        <v>43180.770833333336</v>
      </c>
      <c r="F84" s="89">
        <f t="shared" si="11"/>
        <v>43180.770833333336</v>
      </c>
      <c r="G84" s="90" t="str">
        <f t="shared" si="12"/>
        <v>18:30</v>
      </c>
      <c r="H84" s="91" t="str">
        <f t="shared" si="13"/>
        <v>-</v>
      </c>
      <c r="I84" s="92" t="str">
        <f t="shared" si="14"/>
        <v>-</v>
      </c>
      <c r="J84" s="92" t="str">
        <f t="shared" si="15"/>
        <v>-</v>
      </c>
      <c r="K84" s="93">
        <f t="shared" si="16"/>
        <v>0</v>
      </c>
      <c r="L84" s="93"/>
      <c r="M84" s="94">
        <f t="shared" si="17"/>
        <v>0</v>
      </c>
      <c r="N84" s="94">
        <f t="shared" si="18"/>
        <v>0</v>
      </c>
      <c r="O84" s="95"/>
      <c r="P84" s="137"/>
      <c r="Q84" s="137"/>
      <c r="R84" s="137"/>
      <c r="S84" s="137"/>
    </row>
    <row r="85" spans="1:19" s="16" customFormat="1">
      <c r="A85" s="140">
        <v>9063</v>
      </c>
      <c r="B85" s="140" t="s">
        <v>63</v>
      </c>
      <c r="C85" s="140" t="s">
        <v>63</v>
      </c>
      <c r="D85" s="143" t="s">
        <v>7</v>
      </c>
      <c r="E85" s="144">
        <v>43180.770914351851</v>
      </c>
      <c r="F85" s="89">
        <f t="shared" si="11"/>
        <v>43180.770914351851</v>
      </c>
      <c r="G85" s="90" t="str">
        <f t="shared" si="12"/>
        <v>18:30</v>
      </c>
      <c r="H85" s="91" t="str">
        <f t="shared" si="13"/>
        <v>-</v>
      </c>
      <c r="I85" s="92" t="str">
        <f t="shared" si="14"/>
        <v>-</v>
      </c>
      <c r="J85" s="92" t="str">
        <f t="shared" si="15"/>
        <v>-</v>
      </c>
      <c r="K85" s="93">
        <f t="shared" si="16"/>
        <v>0.5333333333333341</v>
      </c>
      <c r="L85" s="93"/>
      <c r="M85" s="94">
        <v>0</v>
      </c>
      <c r="N85" s="94">
        <f>K85</f>
        <v>0.5333333333333341</v>
      </c>
      <c r="O85" s="95"/>
      <c r="P85" s="137"/>
      <c r="Q85" s="137"/>
      <c r="R85" s="137"/>
      <c r="S85" s="137"/>
    </row>
    <row r="86" spans="1:19" s="16" customFormat="1">
      <c r="A86" s="140">
        <v>9072</v>
      </c>
      <c r="B86" s="140" t="s">
        <v>79</v>
      </c>
      <c r="C86" s="140" t="s">
        <v>63</v>
      </c>
      <c r="D86" s="143" t="s">
        <v>8</v>
      </c>
      <c r="E86" s="144">
        <v>43180.793495370373</v>
      </c>
      <c r="F86" s="89">
        <f t="shared" si="11"/>
        <v>43180.793495370373</v>
      </c>
      <c r="G86" s="90" t="str">
        <f t="shared" si="12"/>
        <v>19:2</v>
      </c>
      <c r="H86" s="91" t="str">
        <f t="shared" si="13"/>
        <v>-</v>
      </c>
      <c r="I86" s="92" t="str">
        <f t="shared" si="14"/>
        <v>-</v>
      </c>
      <c r="J86" s="92" t="str">
        <f t="shared" si="15"/>
        <v>-</v>
      </c>
      <c r="K86" s="93">
        <f t="shared" si="16"/>
        <v>0</v>
      </c>
      <c r="L86" s="93"/>
      <c r="M86" s="94">
        <f t="shared" si="17"/>
        <v>0</v>
      </c>
      <c r="N86" s="94">
        <f t="shared" si="18"/>
        <v>0</v>
      </c>
      <c r="O86" s="95"/>
      <c r="P86" s="137"/>
      <c r="Q86" s="137"/>
      <c r="R86" s="137"/>
      <c r="S86" s="137"/>
    </row>
    <row r="87" spans="1:19">
      <c r="A87">
        <v>9074</v>
      </c>
      <c r="B87" t="s">
        <v>79</v>
      </c>
      <c r="C87" t="s">
        <v>63</v>
      </c>
      <c r="D87" s="143" t="s">
        <v>7</v>
      </c>
      <c r="E87" s="144">
        <v>43180.813136574077</v>
      </c>
      <c r="F87" s="89">
        <f t="shared" si="11"/>
        <v>43180.813136574077</v>
      </c>
      <c r="G87" s="90" t="str">
        <f t="shared" si="12"/>
        <v>19:30</v>
      </c>
      <c r="H87" s="91" t="str">
        <f t="shared" si="13"/>
        <v>-</v>
      </c>
      <c r="I87" s="92" t="str">
        <f t="shared" si="14"/>
        <v>-</v>
      </c>
      <c r="J87" s="92" t="str">
        <f t="shared" si="15"/>
        <v>-</v>
      </c>
      <c r="K87" s="93">
        <f t="shared" si="16"/>
        <v>2.6833333333333345</v>
      </c>
      <c r="L87" s="93"/>
      <c r="M87" s="94">
        <f t="shared" si="17"/>
        <v>2</v>
      </c>
      <c r="N87" s="94">
        <f t="shared" si="18"/>
        <v>0.68333333333333446</v>
      </c>
      <c r="O87" s="95"/>
    </row>
    <row r="88" spans="1:19">
      <c r="A88">
        <v>9081</v>
      </c>
      <c r="B88" t="s">
        <v>63</v>
      </c>
      <c r="C88" t="s">
        <v>63</v>
      </c>
      <c r="D88" s="143" t="s">
        <v>8</v>
      </c>
      <c r="E88" s="144">
        <v>43180.924537037034</v>
      </c>
      <c r="F88" s="89">
        <f t="shared" si="11"/>
        <v>43180.924537037034</v>
      </c>
      <c r="G88" s="90" t="str">
        <f t="shared" si="12"/>
        <v>22:11</v>
      </c>
      <c r="H88" s="91" t="str">
        <f t="shared" si="13"/>
        <v>-</v>
      </c>
      <c r="I88" s="92" t="str">
        <f t="shared" si="14"/>
        <v>-</v>
      </c>
      <c r="J88" s="92" t="str">
        <f t="shared" si="15"/>
        <v>-</v>
      </c>
      <c r="K88" s="93">
        <f t="shared" si="16"/>
        <v>0</v>
      </c>
      <c r="L88" s="93"/>
      <c r="M88" s="94">
        <f t="shared" si="17"/>
        <v>0</v>
      </c>
      <c r="N88" s="94">
        <f t="shared" si="18"/>
        <v>0</v>
      </c>
      <c r="O88" s="95"/>
    </row>
    <row r="89" spans="1:19">
      <c r="A89">
        <v>9090</v>
      </c>
      <c r="B89" t="s">
        <v>79</v>
      </c>
      <c r="C89" t="s">
        <v>63</v>
      </c>
      <c r="D89" s="143" t="s">
        <v>6</v>
      </c>
      <c r="E89" s="144">
        <v>43181.37327546296</v>
      </c>
      <c r="F89" s="89">
        <f t="shared" si="11"/>
        <v>43181.37327546296</v>
      </c>
      <c r="G89" s="90" t="str">
        <f t="shared" si="12"/>
        <v>8:57</v>
      </c>
      <c r="H89" s="91">
        <f t="shared" si="13"/>
        <v>9.8000000000000007</v>
      </c>
      <c r="I89" s="92">
        <f t="shared" si="14"/>
        <v>8</v>
      </c>
      <c r="J89" s="92" t="str">
        <f t="shared" si="15"/>
        <v>-</v>
      </c>
      <c r="K89" s="93">
        <f t="shared" si="16"/>
        <v>0</v>
      </c>
      <c r="L89" s="93"/>
      <c r="M89" s="94">
        <f t="shared" si="17"/>
        <v>0</v>
      </c>
      <c r="N89" s="94">
        <f t="shared" si="18"/>
        <v>0</v>
      </c>
      <c r="O89" s="95"/>
    </row>
    <row r="90" spans="1:19">
      <c r="A90">
        <v>9100</v>
      </c>
      <c r="B90" t="s">
        <v>63</v>
      </c>
      <c r="C90" t="s">
        <v>63</v>
      </c>
      <c r="D90" s="143" t="s">
        <v>5</v>
      </c>
      <c r="E90" s="144">
        <v>43181.781655092593</v>
      </c>
      <c r="F90" s="89">
        <f t="shared" si="11"/>
        <v>43181.781655092593</v>
      </c>
      <c r="G90" s="90" t="str">
        <f t="shared" si="12"/>
        <v>18:45</v>
      </c>
      <c r="H90" s="91" t="str">
        <f t="shared" si="13"/>
        <v>-</v>
      </c>
      <c r="I90" s="92" t="str">
        <f t="shared" si="14"/>
        <v>-</v>
      </c>
      <c r="J90" s="92" t="str">
        <f t="shared" si="15"/>
        <v>-</v>
      </c>
      <c r="K90" s="93">
        <f t="shared" si="16"/>
        <v>0</v>
      </c>
      <c r="L90" s="93"/>
      <c r="M90" s="94">
        <f t="shared" si="17"/>
        <v>0</v>
      </c>
      <c r="N90" s="94">
        <f t="shared" si="18"/>
        <v>0</v>
      </c>
      <c r="O90" s="95"/>
    </row>
    <row r="91" spans="1:19">
      <c r="A91">
        <v>9107</v>
      </c>
      <c r="B91" t="s">
        <v>63</v>
      </c>
      <c r="C91" t="s">
        <v>63</v>
      </c>
      <c r="D91" s="143" t="s">
        <v>7</v>
      </c>
      <c r="E91" s="144">
        <v>43181.80777777778</v>
      </c>
      <c r="F91" s="89">
        <f t="shared" si="11"/>
        <v>43181.80777777778</v>
      </c>
      <c r="G91" s="90" t="str">
        <f t="shared" si="12"/>
        <v>19:23</v>
      </c>
      <c r="H91" s="91" t="str">
        <f t="shared" si="13"/>
        <v>-</v>
      </c>
      <c r="I91" s="92" t="str">
        <f t="shared" si="14"/>
        <v>-</v>
      </c>
      <c r="J91" s="92" t="str">
        <f t="shared" si="15"/>
        <v>-</v>
      </c>
      <c r="K91" s="93">
        <f t="shared" si="16"/>
        <v>3.6166666666666671</v>
      </c>
      <c r="L91" s="93"/>
      <c r="M91" s="94">
        <f t="shared" si="17"/>
        <v>2</v>
      </c>
      <c r="N91" s="94">
        <f t="shared" si="18"/>
        <v>1.6166666666666671</v>
      </c>
      <c r="O91" s="95"/>
    </row>
    <row r="92" spans="1:19">
      <c r="A92">
        <v>9116</v>
      </c>
      <c r="B92" t="s">
        <v>63</v>
      </c>
      <c r="C92" t="s">
        <v>63</v>
      </c>
      <c r="D92" s="143" t="s">
        <v>8</v>
      </c>
      <c r="E92" s="144">
        <v>43181.958391203705</v>
      </c>
      <c r="F92" s="89">
        <f t="shared" si="11"/>
        <v>43181.958391203705</v>
      </c>
      <c r="G92" s="90" t="str">
        <f t="shared" si="12"/>
        <v>23:0</v>
      </c>
      <c r="H92" s="91" t="str">
        <f t="shared" si="13"/>
        <v>-</v>
      </c>
      <c r="I92" s="92" t="str">
        <f t="shared" si="14"/>
        <v>-</v>
      </c>
      <c r="J92" s="92" t="str">
        <f t="shared" si="15"/>
        <v>-</v>
      </c>
      <c r="K92" s="93">
        <f t="shared" si="16"/>
        <v>0</v>
      </c>
      <c r="L92" s="93"/>
      <c r="M92" s="94">
        <f t="shared" si="17"/>
        <v>0</v>
      </c>
      <c r="N92" s="94">
        <f t="shared" si="18"/>
        <v>0</v>
      </c>
      <c r="O92" s="95"/>
    </row>
    <row r="93" spans="1:19" s="418" customFormat="1">
      <c r="A93" s="421">
        <v>9126</v>
      </c>
      <c r="B93" s="421" t="s">
        <v>63</v>
      </c>
      <c r="C93" s="421" t="s">
        <v>63</v>
      </c>
      <c r="D93" s="409" t="s">
        <v>6</v>
      </c>
      <c r="E93" s="410">
        <v>43182.382407407407</v>
      </c>
      <c r="F93" s="411">
        <f t="shared" si="11"/>
        <v>43182.382407407407</v>
      </c>
      <c r="G93" s="412" t="str">
        <f t="shared" si="12"/>
        <v>9:10</v>
      </c>
      <c r="H93" s="413">
        <f t="shared" si="13"/>
        <v>9.4000000000000021</v>
      </c>
      <c r="I93" s="414">
        <f>8-J93</f>
        <v>7.5</v>
      </c>
      <c r="J93" s="414">
        <v>0.5</v>
      </c>
      <c r="K93" s="415">
        <f t="shared" si="16"/>
        <v>0</v>
      </c>
      <c r="L93" s="415"/>
      <c r="M93" s="416">
        <f t="shared" si="17"/>
        <v>0</v>
      </c>
      <c r="N93" s="416">
        <f t="shared" si="18"/>
        <v>0</v>
      </c>
      <c r="O93" s="417" t="s">
        <v>116</v>
      </c>
    </row>
    <row r="94" spans="1:19">
      <c r="A94">
        <v>9135</v>
      </c>
      <c r="B94" t="s">
        <v>79</v>
      </c>
      <c r="C94" t="s">
        <v>63</v>
      </c>
      <c r="D94" s="143" t="s">
        <v>5</v>
      </c>
      <c r="E94" s="144">
        <v>43182.774178240739</v>
      </c>
      <c r="F94" s="89">
        <f t="shared" si="11"/>
        <v>43182.774178240739</v>
      </c>
      <c r="G94" s="90" t="str">
        <f t="shared" si="12"/>
        <v>18:34</v>
      </c>
      <c r="H94" s="91" t="str">
        <f t="shared" si="13"/>
        <v>-</v>
      </c>
      <c r="I94" s="92" t="str">
        <f t="shared" si="14"/>
        <v>-</v>
      </c>
      <c r="J94" s="92" t="str">
        <f t="shared" si="15"/>
        <v>-</v>
      </c>
      <c r="K94" s="93">
        <f t="shared" si="16"/>
        <v>0</v>
      </c>
      <c r="L94" s="93"/>
      <c r="M94" s="94">
        <f t="shared" si="17"/>
        <v>0</v>
      </c>
      <c r="N94" s="94">
        <f t="shared" si="18"/>
        <v>0</v>
      </c>
      <c r="O94" s="95"/>
    </row>
    <row r="95" spans="1:19">
      <c r="A95">
        <v>9144</v>
      </c>
      <c r="B95" t="s">
        <v>63</v>
      </c>
      <c r="C95" t="s">
        <v>63</v>
      </c>
      <c r="D95" s="143" t="s">
        <v>6</v>
      </c>
      <c r="E95" s="144">
        <v>43185.374988425923</v>
      </c>
      <c r="F95" s="89">
        <f t="shared" si="11"/>
        <v>43185.374988425923</v>
      </c>
      <c r="G95" s="90" t="str">
        <f t="shared" si="12"/>
        <v>8:59</v>
      </c>
      <c r="H95" s="91">
        <f t="shared" si="13"/>
        <v>9.5166666666666693</v>
      </c>
      <c r="I95" s="92">
        <f t="shared" si="14"/>
        <v>8</v>
      </c>
      <c r="J95" s="92" t="str">
        <f t="shared" si="15"/>
        <v>-</v>
      </c>
      <c r="K95" s="93">
        <f t="shared" si="16"/>
        <v>0</v>
      </c>
      <c r="L95" s="93"/>
      <c r="M95" s="94">
        <f t="shared" si="17"/>
        <v>0</v>
      </c>
      <c r="N95" s="94">
        <f t="shared" si="18"/>
        <v>0</v>
      </c>
      <c r="O95" s="95"/>
    </row>
    <row r="96" spans="1:19">
      <c r="A96">
        <v>9152</v>
      </c>
      <c r="B96" t="s">
        <v>63</v>
      </c>
      <c r="C96" t="s">
        <v>63</v>
      </c>
      <c r="D96" s="143" t="s">
        <v>5</v>
      </c>
      <c r="E96" s="144">
        <v>43185.771192129629</v>
      </c>
      <c r="F96" s="89">
        <f t="shared" si="11"/>
        <v>43185.771192129629</v>
      </c>
      <c r="G96" s="90" t="str">
        <f t="shared" si="12"/>
        <v>18:30</v>
      </c>
      <c r="H96" s="91" t="str">
        <f t="shared" si="13"/>
        <v>-</v>
      </c>
      <c r="I96" s="92" t="str">
        <f t="shared" si="14"/>
        <v>-</v>
      </c>
      <c r="J96" s="92" t="str">
        <f t="shared" si="15"/>
        <v>-</v>
      </c>
      <c r="K96" s="93">
        <f t="shared" si="16"/>
        <v>0</v>
      </c>
      <c r="L96" s="93"/>
      <c r="M96" s="94">
        <f t="shared" si="17"/>
        <v>0</v>
      </c>
      <c r="N96" s="94">
        <f t="shared" si="18"/>
        <v>0</v>
      </c>
      <c r="O96" s="95"/>
    </row>
    <row r="97" spans="1:19">
      <c r="A97">
        <v>9153</v>
      </c>
      <c r="B97" t="s">
        <v>63</v>
      </c>
      <c r="C97" t="s">
        <v>63</v>
      </c>
      <c r="D97" s="143" t="s">
        <v>7</v>
      </c>
      <c r="E97" s="144">
        <v>43185.771215277775</v>
      </c>
      <c r="F97" s="89">
        <f t="shared" si="11"/>
        <v>43185.771215277775</v>
      </c>
      <c r="G97" s="90" t="str">
        <f t="shared" si="12"/>
        <v>18:30</v>
      </c>
      <c r="H97" s="91" t="str">
        <f t="shared" si="13"/>
        <v>-</v>
      </c>
      <c r="I97" s="92" t="str">
        <f t="shared" si="14"/>
        <v>-</v>
      </c>
      <c r="J97" s="92" t="str">
        <f t="shared" si="15"/>
        <v>-</v>
      </c>
      <c r="K97" s="93">
        <f t="shared" si="16"/>
        <v>3.0833333333333304</v>
      </c>
      <c r="L97" s="93"/>
      <c r="M97" s="94">
        <f t="shared" si="17"/>
        <v>2</v>
      </c>
      <c r="N97" s="94">
        <f t="shared" si="18"/>
        <v>1.0833333333333304</v>
      </c>
      <c r="O97" s="95"/>
    </row>
    <row r="98" spans="1:19" s="63" customFormat="1">
      <c r="A98" s="63">
        <v>9189</v>
      </c>
      <c r="B98" s="63" t="s">
        <v>63</v>
      </c>
      <c r="C98" s="63" t="s">
        <v>63</v>
      </c>
      <c r="D98" s="181" t="s">
        <v>8</v>
      </c>
      <c r="E98" s="180">
        <v>43185.899918981479</v>
      </c>
      <c r="F98" s="135">
        <f t="shared" si="11"/>
        <v>43185.899918981479</v>
      </c>
      <c r="G98" s="67" t="str">
        <f t="shared" si="12"/>
        <v>21:35</v>
      </c>
      <c r="H98" s="64" t="str">
        <f t="shared" si="13"/>
        <v>-</v>
      </c>
      <c r="I98" s="66" t="str">
        <f t="shared" si="14"/>
        <v>-</v>
      </c>
      <c r="J98" s="66" t="str">
        <f t="shared" si="15"/>
        <v>-</v>
      </c>
      <c r="K98" s="68">
        <f t="shared" si="16"/>
        <v>0</v>
      </c>
      <c r="L98" s="68"/>
      <c r="M98" s="65">
        <f t="shared" si="17"/>
        <v>0</v>
      </c>
      <c r="N98" s="65">
        <f t="shared" si="18"/>
        <v>0</v>
      </c>
      <c r="O98" s="147" t="s">
        <v>115</v>
      </c>
      <c r="P98" s="18"/>
      <c r="Q98" s="18"/>
      <c r="R98" s="18"/>
      <c r="S98" s="18"/>
    </row>
    <row r="99" spans="1:19">
      <c r="A99">
        <v>9163</v>
      </c>
      <c r="B99" t="s">
        <v>79</v>
      </c>
      <c r="C99" t="s">
        <v>63</v>
      </c>
      <c r="D99" s="143" t="s">
        <v>6</v>
      </c>
      <c r="E99" s="144">
        <v>43186.3596412037</v>
      </c>
      <c r="F99" s="89">
        <f t="shared" si="11"/>
        <v>43186.3596412037</v>
      </c>
      <c r="G99" s="90" t="str">
        <f t="shared" si="12"/>
        <v>8:37</v>
      </c>
      <c r="H99" s="91">
        <f t="shared" si="13"/>
        <v>9.8833333333333346</v>
      </c>
      <c r="I99" s="92">
        <f t="shared" si="14"/>
        <v>8</v>
      </c>
      <c r="J99" s="92" t="str">
        <f t="shared" si="15"/>
        <v>-</v>
      </c>
      <c r="K99" s="93">
        <f t="shared" si="16"/>
        <v>0</v>
      </c>
      <c r="L99" s="93"/>
      <c r="M99" s="94">
        <f t="shared" si="17"/>
        <v>0</v>
      </c>
      <c r="N99" s="94">
        <f t="shared" si="18"/>
        <v>0</v>
      </c>
      <c r="O99" s="95"/>
    </row>
    <row r="100" spans="1:19">
      <c r="A100">
        <v>9173</v>
      </c>
      <c r="B100" t="s">
        <v>63</v>
      </c>
      <c r="C100" t="s">
        <v>63</v>
      </c>
      <c r="D100" s="143" t="s">
        <v>5</v>
      </c>
      <c r="E100" s="144">
        <v>43186.770949074074</v>
      </c>
      <c r="F100" s="89">
        <f t="shared" si="11"/>
        <v>43186.770949074074</v>
      </c>
      <c r="G100" s="90" t="str">
        <f t="shared" si="12"/>
        <v>18:30</v>
      </c>
      <c r="H100" s="91" t="str">
        <f t="shared" si="13"/>
        <v>-</v>
      </c>
      <c r="I100" s="92" t="str">
        <f t="shared" si="14"/>
        <v>-</v>
      </c>
      <c r="J100" s="92" t="str">
        <f t="shared" si="15"/>
        <v>-</v>
      </c>
      <c r="K100" s="93">
        <f t="shared" si="16"/>
        <v>0</v>
      </c>
      <c r="L100" s="93"/>
      <c r="M100" s="94">
        <f t="shared" si="17"/>
        <v>0</v>
      </c>
      <c r="N100" s="94">
        <f t="shared" si="18"/>
        <v>0</v>
      </c>
      <c r="O100" s="95"/>
    </row>
    <row r="101" spans="1:19" s="63" customFormat="1">
      <c r="A101" s="63">
        <v>9208</v>
      </c>
      <c r="B101" s="63" t="s">
        <v>63</v>
      </c>
      <c r="C101" s="63" t="s">
        <v>63</v>
      </c>
      <c r="D101" s="181" t="s">
        <v>7</v>
      </c>
      <c r="E101" s="180">
        <v>43186.77144675926</v>
      </c>
      <c r="F101" s="135">
        <f t="shared" si="11"/>
        <v>43186.77144675926</v>
      </c>
      <c r="G101" s="67" t="str">
        <f t="shared" si="12"/>
        <v>18:30</v>
      </c>
      <c r="H101" s="64" t="str">
        <f t="shared" si="13"/>
        <v>-</v>
      </c>
      <c r="I101" s="66" t="str">
        <f t="shared" si="14"/>
        <v>-</v>
      </c>
      <c r="J101" s="66" t="str">
        <f t="shared" si="15"/>
        <v>-</v>
      </c>
      <c r="K101" s="68">
        <f t="shared" si="16"/>
        <v>4.1833333333333318</v>
      </c>
      <c r="L101" s="68"/>
      <c r="M101" s="65">
        <f t="shared" si="17"/>
        <v>2</v>
      </c>
      <c r="N101" s="65">
        <f t="shared" si="18"/>
        <v>2.1833333333333318</v>
      </c>
      <c r="O101" s="147" t="s">
        <v>115</v>
      </c>
      <c r="P101" s="18"/>
      <c r="Q101" s="18"/>
      <c r="R101" s="18"/>
      <c r="S101" s="18"/>
    </row>
    <row r="102" spans="1:19">
      <c r="A102">
        <v>9189</v>
      </c>
      <c r="B102" t="s">
        <v>63</v>
      </c>
      <c r="C102" t="s">
        <v>63</v>
      </c>
      <c r="D102" s="143" t="s">
        <v>8</v>
      </c>
      <c r="E102" s="144">
        <v>43186.945752314816</v>
      </c>
      <c r="F102" s="89">
        <f t="shared" si="11"/>
        <v>43186.945752314816</v>
      </c>
      <c r="G102" s="90" t="str">
        <f t="shared" si="12"/>
        <v>22:41</v>
      </c>
      <c r="H102" s="91" t="str">
        <f t="shared" si="13"/>
        <v>-</v>
      </c>
      <c r="I102" s="92" t="str">
        <f t="shared" si="14"/>
        <v>-</v>
      </c>
      <c r="J102" s="92" t="str">
        <f t="shared" si="15"/>
        <v>-</v>
      </c>
      <c r="K102" s="93">
        <f t="shared" si="16"/>
        <v>0</v>
      </c>
      <c r="L102" s="93"/>
      <c r="M102" s="94">
        <f t="shared" si="17"/>
        <v>0</v>
      </c>
      <c r="N102" s="94">
        <f t="shared" si="18"/>
        <v>0</v>
      </c>
      <c r="O102" s="95"/>
    </row>
    <row r="103" spans="1:19">
      <c r="A103">
        <v>9197</v>
      </c>
      <c r="B103" t="s">
        <v>63</v>
      </c>
      <c r="C103" t="s">
        <v>63</v>
      </c>
      <c r="D103" s="143" t="s">
        <v>6</v>
      </c>
      <c r="E103" s="144">
        <v>43187.370706018519</v>
      </c>
      <c r="F103" s="89">
        <f t="shared" si="11"/>
        <v>43187.370706018519</v>
      </c>
      <c r="G103" s="90" t="str">
        <f t="shared" si="12"/>
        <v>8:53</v>
      </c>
      <c r="H103" s="91">
        <f t="shared" si="13"/>
        <v>9.6166666666666689</v>
      </c>
      <c r="I103" s="92">
        <f t="shared" si="14"/>
        <v>8</v>
      </c>
      <c r="J103" s="92" t="str">
        <f t="shared" si="15"/>
        <v>-</v>
      </c>
      <c r="K103" s="93">
        <f t="shared" si="16"/>
        <v>0</v>
      </c>
      <c r="L103" s="93"/>
      <c r="M103" s="94">
        <f t="shared" si="17"/>
        <v>0</v>
      </c>
      <c r="N103" s="94">
        <f t="shared" si="18"/>
        <v>0</v>
      </c>
      <c r="O103" s="95"/>
    </row>
    <row r="104" spans="1:19">
      <c r="A104">
        <v>9207</v>
      </c>
      <c r="B104" t="s">
        <v>63</v>
      </c>
      <c r="C104" t="s">
        <v>63</v>
      </c>
      <c r="D104" s="143" t="s">
        <v>5</v>
      </c>
      <c r="E104" s="144">
        <v>43187.771412037036</v>
      </c>
      <c r="F104" s="89">
        <f t="shared" si="11"/>
        <v>43187.771412037036</v>
      </c>
      <c r="G104" s="90" t="str">
        <f t="shared" si="12"/>
        <v>18:30</v>
      </c>
      <c r="H104" s="91" t="str">
        <f t="shared" si="13"/>
        <v>-</v>
      </c>
      <c r="I104" s="92" t="str">
        <f t="shared" si="14"/>
        <v>-</v>
      </c>
      <c r="J104" s="92" t="str">
        <f t="shared" si="15"/>
        <v>-</v>
      </c>
      <c r="K104" s="93">
        <f t="shared" si="16"/>
        <v>0</v>
      </c>
      <c r="L104" s="93"/>
      <c r="M104" s="94">
        <f t="shared" si="17"/>
        <v>0</v>
      </c>
      <c r="N104" s="94">
        <f t="shared" si="18"/>
        <v>0</v>
      </c>
      <c r="O104" s="95"/>
    </row>
    <row r="105" spans="1:19">
      <c r="A105">
        <v>9208</v>
      </c>
      <c r="B105" t="s">
        <v>63</v>
      </c>
      <c r="C105" t="s">
        <v>63</v>
      </c>
      <c r="D105" s="143" t="s">
        <v>7</v>
      </c>
      <c r="E105" s="144">
        <v>43187.77144675926</v>
      </c>
      <c r="F105" s="89">
        <f t="shared" si="11"/>
        <v>43187.77144675926</v>
      </c>
      <c r="G105" s="90" t="str">
        <f t="shared" si="12"/>
        <v>18:30</v>
      </c>
      <c r="H105" s="91" t="str">
        <f t="shared" si="13"/>
        <v>-</v>
      </c>
      <c r="I105" s="92" t="str">
        <f t="shared" si="14"/>
        <v>-</v>
      </c>
      <c r="J105" s="92" t="str">
        <f t="shared" si="15"/>
        <v>-</v>
      </c>
      <c r="K105" s="93">
        <f t="shared" si="16"/>
        <v>4.7499999999999991</v>
      </c>
      <c r="L105" s="93"/>
      <c r="M105" s="94">
        <f t="shared" si="17"/>
        <v>2</v>
      </c>
      <c r="N105" s="94">
        <f t="shared" si="18"/>
        <v>2.7499999999999991</v>
      </c>
      <c r="O105" s="95"/>
    </row>
    <row r="106" spans="1:19">
      <c r="A106">
        <v>9226</v>
      </c>
      <c r="B106" t="s">
        <v>63</v>
      </c>
      <c r="C106" t="s">
        <v>63</v>
      </c>
      <c r="D106" s="143" t="s">
        <v>8</v>
      </c>
      <c r="E106" s="144">
        <v>43187.969224537039</v>
      </c>
      <c r="F106" s="89">
        <f t="shared" si="11"/>
        <v>43187.969224537039</v>
      </c>
      <c r="G106" s="90" t="str">
        <f t="shared" si="12"/>
        <v>23:15</v>
      </c>
      <c r="H106" s="91" t="str">
        <f t="shared" si="13"/>
        <v>-</v>
      </c>
      <c r="I106" s="92" t="str">
        <f t="shared" si="14"/>
        <v>-</v>
      </c>
      <c r="J106" s="92" t="str">
        <f t="shared" si="15"/>
        <v>-</v>
      </c>
      <c r="K106" s="93">
        <f t="shared" si="16"/>
        <v>0</v>
      </c>
      <c r="L106" s="93"/>
      <c r="M106" s="94">
        <f t="shared" si="17"/>
        <v>0</v>
      </c>
      <c r="N106" s="94">
        <f t="shared" si="18"/>
        <v>0</v>
      </c>
      <c r="O106" s="95"/>
    </row>
    <row r="107" spans="1:19">
      <c r="A107">
        <v>9235</v>
      </c>
      <c r="B107" t="s">
        <v>63</v>
      </c>
      <c r="C107" t="s">
        <v>63</v>
      </c>
      <c r="D107" s="143" t="s">
        <v>6</v>
      </c>
      <c r="E107" s="144">
        <v>43188.372858796298</v>
      </c>
      <c r="F107" s="89">
        <f t="shared" si="11"/>
        <v>43188.372858796298</v>
      </c>
      <c r="G107" s="90" t="str">
        <f t="shared" si="12"/>
        <v>8:56</v>
      </c>
      <c r="H107" s="91">
        <f t="shared" si="13"/>
        <v>9.7333333333333343</v>
      </c>
      <c r="I107" s="92">
        <f t="shared" si="14"/>
        <v>8</v>
      </c>
      <c r="J107" s="92" t="str">
        <f t="shared" si="15"/>
        <v>-</v>
      </c>
      <c r="K107" s="93">
        <f t="shared" si="16"/>
        <v>0</v>
      </c>
      <c r="L107" s="93"/>
      <c r="M107" s="94">
        <f t="shared" si="17"/>
        <v>0</v>
      </c>
      <c r="N107" s="94">
        <f t="shared" si="18"/>
        <v>0</v>
      </c>
      <c r="O107" s="95"/>
    </row>
    <row r="108" spans="1:19">
      <c r="A108">
        <v>9247</v>
      </c>
      <c r="B108" t="s">
        <v>63</v>
      </c>
      <c r="C108" t="s">
        <v>63</v>
      </c>
      <c r="D108" s="143" t="s">
        <v>5</v>
      </c>
      <c r="E108" s="144">
        <v>43188.778402777774</v>
      </c>
      <c r="F108" s="89">
        <f t="shared" si="11"/>
        <v>43188.778402777774</v>
      </c>
      <c r="G108" s="90" t="str">
        <f t="shared" si="12"/>
        <v>18:40</v>
      </c>
      <c r="H108" s="91" t="str">
        <f t="shared" si="13"/>
        <v>-</v>
      </c>
      <c r="I108" s="92" t="str">
        <f t="shared" si="14"/>
        <v>-</v>
      </c>
      <c r="J108" s="92" t="str">
        <f t="shared" si="15"/>
        <v>-</v>
      </c>
      <c r="K108" s="93">
        <f t="shared" si="16"/>
        <v>0</v>
      </c>
      <c r="L108" s="93"/>
      <c r="M108" s="94">
        <f t="shared" si="17"/>
        <v>0</v>
      </c>
      <c r="N108" s="94">
        <f t="shared" si="18"/>
        <v>0</v>
      </c>
      <c r="O108" s="95"/>
    </row>
    <row r="109" spans="1:19">
      <c r="A109">
        <v>9248</v>
      </c>
      <c r="B109" t="s">
        <v>63</v>
      </c>
      <c r="C109" t="s">
        <v>63</v>
      </c>
      <c r="D109" s="143" t="s">
        <v>7</v>
      </c>
      <c r="E109" s="144">
        <v>43188.778414351851</v>
      </c>
      <c r="F109" s="89">
        <f t="shared" si="11"/>
        <v>43188.778414351851</v>
      </c>
      <c r="G109" s="90" t="str">
        <f t="shared" si="12"/>
        <v>18:40</v>
      </c>
      <c r="H109" s="91" t="str">
        <f t="shared" si="13"/>
        <v>-</v>
      </c>
      <c r="I109" s="92" t="str">
        <f t="shared" si="14"/>
        <v>-</v>
      </c>
      <c r="J109" s="92" t="str">
        <f t="shared" si="15"/>
        <v>-</v>
      </c>
      <c r="K109" s="93">
        <f t="shared" si="16"/>
        <v>1.4000000000000004</v>
      </c>
      <c r="L109" s="93"/>
      <c r="M109" s="94">
        <f t="shared" si="17"/>
        <v>1.4000000000000004</v>
      </c>
      <c r="N109" s="94">
        <f t="shared" si="18"/>
        <v>0</v>
      </c>
      <c r="O109" s="95"/>
    </row>
    <row r="110" spans="1:19">
      <c r="A110">
        <v>9255</v>
      </c>
      <c r="B110" t="s">
        <v>63</v>
      </c>
      <c r="C110" t="s">
        <v>63</v>
      </c>
      <c r="D110" s="143" t="s">
        <v>8</v>
      </c>
      <c r="E110" s="144">
        <v>43188.8362037037</v>
      </c>
      <c r="F110" s="89">
        <f t="shared" si="11"/>
        <v>43188.8362037037</v>
      </c>
      <c r="G110" s="90" t="str">
        <f t="shared" si="12"/>
        <v>20:4</v>
      </c>
      <c r="H110" s="91" t="str">
        <f t="shared" si="13"/>
        <v>-</v>
      </c>
      <c r="I110" s="92" t="str">
        <f t="shared" si="14"/>
        <v>-</v>
      </c>
      <c r="J110" s="92" t="str">
        <f t="shared" si="15"/>
        <v>-</v>
      </c>
      <c r="K110" s="93">
        <f t="shared" si="16"/>
        <v>0</v>
      </c>
      <c r="L110" s="93"/>
      <c r="M110" s="94">
        <f t="shared" si="17"/>
        <v>0</v>
      </c>
      <c r="N110" s="94">
        <f t="shared" si="18"/>
        <v>0</v>
      </c>
      <c r="O110" s="95"/>
    </row>
    <row r="111" spans="1:19">
      <c r="A111">
        <v>9266</v>
      </c>
      <c r="B111" t="s">
        <v>79</v>
      </c>
      <c r="C111" t="s">
        <v>63</v>
      </c>
      <c r="D111" s="143" t="s">
        <v>6</v>
      </c>
      <c r="E111" s="144">
        <v>43189.371331018519</v>
      </c>
      <c r="F111" s="89">
        <f t="shared" si="11"/>
        <v>43189.371331018519</v>
      </c>
      <c r="G111" s="90" t="str">
        <f t="shared" si="12"/>
        <v>8:54</v>
      </c>
      <c r="H111" s="91">
        <f t="shared" si="13"/>
        <v>9.7166666666666668</v>
      </c>
      <c r="I111" s="92">
        <f t="shared" si="14"/>
        <v>8</v>
      </c>
      <c r="J111" s="92" t="str">
        <f t="shared" si="15"/>
        <v>-</v>
      </c>
      <c r="K111" s="93">
        <f t="shared" si="16"/>
        <v>0</v>
      </c>
      <c r="L111" s="93"/>
      <c r="M111" s="94">
        <f t="shared" si="17"/>
        <v>0</v>
      </c>
      <c r="N111" s="94">
        <f t="shared" si="18"/>
        <v>0</v>
      </c>
      <c r="O111" s="95"/>
    </row>
    <row r="112" spans="1:19">
      <c r="A112">
        <v>9277</v>
      </c>
      <c r="B112" t="s">
        <v>63</v>
      </c>
      <c r="C112" t="s">
        <v>63</v>
      </c>
      <c r="D112" s="143" t="s">
        <v>5</v>
      </c>
      <c r="E112" s="144">
        <v>43189.77584490741</v>
      </c>
      <c r="F112" s="89">
        <f t="shared" si="11"/>
        <v>43189.77584490741</v>
      </c>
      <c r="G112" s="90" t="str">
        <f t="shared" si="12"/>
        <v>18:37</v>
      </c>
      <c r="H112" s="91" t="str">
        <f t="shared" si="13"/>
        <v>-</v>
      </c>
      <c r="I112" s="92" t="str">
        <f t="shared" si="14"/>
        <v>-</v>
      </c>
      <c r="J112" s="92" t="str">
        <f t="shared" si="15"/>
        <v>-</v>
      </c>
      <c r="K112" s="93">
        <f t="shared" si="16"/>
        <v>0</v>
      </c>
      <c r="L112" s="93"/>
      <c r="M112" s="94">
        <f t="shared" si="17"/>
        <v>0</v>
      </c>
      <c r="N112" s="94">
        <f t="shared" si="18"/>
        <v>0</v>
      </c>
      <c r="O112" s="95"/>
    </row>
    <row r="113" spans="1:15">
      <c r="A113">
        <v>9278</v>
      </c>
      <c r="B113" t="s">
        <v>63</v>
      </c>
      <c r="C113" t="s">
        <v>63</v>
      </c>
      <c r="D113" s="143" t="s">
        <v>7</v>
      </c>
      <c r="E113" s="144">
        <v>43189.775902777779</v>
      </c>
      <c r="F113" s="89">
        <f t="shared" si="11"/>
        <v>43189.775902777779</v>
      </c>
      <c r="G113" s="90" t="str">
        <f t="shared" si="12"/>
        <v>18:37</v>
      </c>
      <c r="H113" s="91" t="str">
        <f t="shared" si="13"/>
        <v>-</v>
      </c>
      <c r="I113" s="92" t="str">
        <f t="shared" si="14"/>
        <v>-</v>
      </c>
      <c r="J113" s="92" t="str">
        <f t="shared" si="15"/>
        <v>-</v>
      </c>
      <c r="K113" s="93">
        <f t="shared" si="16"/>
        <v>1.6999999999999993</v>
      </c>
      <c r="L113" s="93"/>
      <c r="M113" s="94">
        <f t="shared" si="17"/>
        <v>1.6999999999999993</v>
      </c>
      <c r="N113" s="94">
        <f t="shared" si="18"/>
        <v>0</v>
      </c>
      <c r="O113" s="95"/>
    </row>
    <row r="114" spans="1:15">
      <c r="A114">
        <v>9282</v>
      </c>
      <c r="B114" t="s">
        <v>63</v>
      </c>
      <c r="C114" t="s">
        <v>63</v>
      </c>
      <c r="D114" s="143" t="s">
        <v>8</v>
      </c>
      <c r="E114" s="144">
        <v>43189.846886574072</v>
      </c>
      <c r="F114" s="89">
        <f t="shared" si="11"/>
        <v>43189.846886574072</v>
      </c>
      <c r="G114" s="90" t="str">
        <f t="shared" si="12"/>
        <v>20:19</v>
      </c>
      <c r="H114" s="91" t="str">
        <f t="shared" si="13"/>
        <v>-</v>
      </c>
      <c r="I114" s="92" t="str">
        <f t="shared" si="14"/>
        <v>-</v>
      </c>
      <c r="J114" s="92" t="str">
        <f t="shared" si="15"/>
        <v>-</v>
      </c>
      <c r="K114" s="93">
        <f t="shared" si="16"/>
        <v>0</v>
      </c>
      <c r="L114" s="93"/>
      <c r="M114" s="94">
        <f t="shared" si="17"/>
        <v>0</v>
      </c>
      <c r="N114" s="94">
        <f t="shared" si="18"/>
        <v>0</v>
      </c>
      <c r="O114" s="95"/>
    </row>
    <row r="115" spans="1:15">
      <c r="A115">
        <v>9287</v>
      </c>
      <c r="B115" t="s">
        <v>79</v>
      </c>
      <c r="C115" t="s">
        <v>63</v>
      </c>
      <c r="D115" s="143" t="s">
        <v>6</v>
      </c>
      <c r="E115" s="144">
        <v>43190.366932870369</v>
      </c>
      <c r="F115" s="89">
        <f t="shared" si="11"/>
        <v>43190.366932870369</v>
      </c>
      <c r="G115" s="90" t="str">
        <f t="shared" si="12"/>
        <v>8:48</v>
      </c>
      <c r="H115" s="91">
        <f t="shared" si="13"/>
        <v>10.333333333333332</v>
      </c>
      <c r="I115" s="92">
        <f t="shared" si="14"/>
        <v>8</v>
      </c>
      <c r="J115" s="92" t="str">
        <f t="shared" si="15"/>
        <v>-</v>
      </c>
      <c r="K115" s="93">
        <f t="shared" si="16"/>
        <v>0</v>
      </c>
      <c r="L115" s="93"/>
      <c r="M115" s="94">
        <f t="shared" si="17"/>
        <v>0</v>
      </c>
      <c r="N115" s="94">
        <f t="shared" si="18"/>
        <v>0</v>
      </c>
      <c r="O115" s="95"/>
    </row>
    <row r="116" spans="1:15">
      <c r="A116">
        <v>9305</v>
      </c>
      <c r="B116" t="s">
        <v>79</v>
      </c>
      <c r="C116" t="s">
        <v>63</v>
      </c>
      <c r="D116" s="143" t="s">
        <v>5</v>
      </c>
      <c r="E116" s="144">
        <v>43190.797442129631</v>
      </c>
      <c r="F116" s="89">
        <f t="shared" si="11"/>
        <v>43190.797442129631</v>
      </c>
      <c r="G116" s="90" t="str">
        <f t="shared" si="12"/>
        <v>19:8</v>
      </c>
      <c r="H116" s="91" t="str">
        <f t="shared" si="13"/>
        <v>-</v>
      </c>
      <c r="I116" s="92" t="str">
        <f t="shared" si="14"/>
        <v>-</v>
      </c>
      <c r="J116" s="92" t="str">
        <f t="shared" si="15"/>
        <v>-</v>
      </c>
      <c r="K116" s="93">
        <f t="shared" si="16"/>
        <v>0</v>
      </c>
      <c r="L116" s="93"/>
      <c r="M116" s="94">
        <f t="shared" si="17"/>
        <v>0</v>
      </c>
      <c r="N116" s="94">
        <f t="shared" si="18"/>
        <v>0</v>
      </c>
      <c r="O116" s="95"/>
    </row>
    <row r="117" spans="1:15">
      <c r="A117">
        <v>9306</v>
      </c>
      <c r="B117" t="s">
        <v>79</v>
      </c>
      <c r="C117" t="s">
        <v>63</v>
      </c>
      <c r="D117" s="143" t="s">
        <v>7</v>
      </c>
      <c r="E117" s="144">
        <v>43190.797465277778</v>
      </c>
      <c r="F117" s="89">
        <f t="shared" si="11"/>
        <v>43190.797465277778</v>
      </c>
      <c r="G117" s="90" t="str">
        <f t="shared" si="12"/>
        <v>19:8</v>
      </c>
      <c r="H117" s="91" t="str">
        <f t="shared" si="13"/>
        <v>-</v>
      </c>
      <c r="I117" s="92" t="str">
        <f t="shared" si="14"/>
        <v>-</v>
      </c>
      <c r="J117" s="92" t="str">
        <f t="shared" si="15"/>
        <v>-</v>
      </c>
      <c r="K117" s="93">
        <f t="shared" si="16"/>
        <v>3.083333333333333</v>
      </c>
      <c r="L117" s="93"/>
      <c r="M117" s="94">
        <f t="shared" si="17"/>
        <v>2</v>
      </c>
      <c r="N117" s="94">
        <f t="shared" si="18"/>
        <v>1.083333333333333</v>
      </c>
      <c r="O117" s="95"/>
    </row>
    <row r="118" spans="1:15">
      <c r="A118">
        <v>9309</v>
      </c>
      <c r="B118" t="s">
        <v>79</v>
      </c>
      <c r="C118" t="s">
        <v>63</v>
      </c>
      <c r="D118" s="143" t="s">
        <v>8</v>
      </c>
      <c r="E118" s="144">
        <v>43190.926006944443</v>
      </c>
      <c r="F118" s="89">
        <f t="shared" si="11"/>
        <v>43190.926006944443</v>
      </c>
      <c r="G118" s="90" t="str">
        <f t="shared" si="12"/>
        <v>22:13</v>
      </c>
      <c r="H118" s="91" t="str">
        <f t="shared" si="13"/>
        <v>-</v>
      </c>
      <c r="I118" s="92" t="str">
        <f t="shared" si="14"/>
        <v>-</v>
      </c>
      <c r="J118" s="92" t="str">
        <f t="shared" si="15"/>
        <v>-</v>
      </c>
      <c r="K118" s="93">
        <f t="shared" si="16"/>
        <v>0</v>
      </c>
      <c r="L118" s="93"/>
      <c r="M118" s="94">
        <f t="shared" si="17"/>
        <v>0</v>
      </c>
      <c r="N118" s="94">
        <f t="shared" si="18"/>
        <v>0</v>
      </c>
      <c r="O118" s="95"/>
    </row>
    <row r="121" spans="1:15">
      <c r="D121" s="9" t="s">
        <v>37</v>
      </c>
    </row>
    <row r="122" spans="1:15">
      <c r="D122" s="9" t="s">
        <v>36</v>
      </c>
    </row>
    <row r="123" spans="1:15">
      <c r="D123" s="172" t="s">
        <v>64</v>
      </c>
    </row>
    <row r="124" spans="1:15">
      <c r="D124" t="s">
        <v>67</v>
      </c>
    </row>
    <row r="125" spans="1:15">
      <c r="D125" t="s">
        <v>65</v>
      </c>
    </row>
    <row r="126" spans="1:15">
      <c r="D126" t="s">
        <v>69</v>
      </c>
    </row>
    <row r="127" spans="1:15">
      <c r="D127" t="s">
        <v>70</v>
      </c>
    </row>
    <row r="128" spans="1:15">
      <c r="D128" t="s">
        <v>66</v>
      </c>
    </row>
    <row r="129" spans="4:4">
      <c r="D129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51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Z72"/>
  <sheetViews>
    <sheetView view="pageBreakPreview" topLeftCell="D1" zoomScaleNormal="100" zoomScaleSheetLayoutView="100" workbookViewId="0">
      <selection activeCell="S13" sqref="S13"/>
    </sheetView>
  </sheetViews>
  <sheetFormatPr baseColWidth="10" defaultColWidth="9" defaultRowHeight="15" outlineLevelCol="1"/>
  <cols>
    <col min="1" max="1" width="5.83203125" style="261" hidden="1" customWidth="1" outlineLevel="1"/>
    <col min="2" max="2" width="6.83203125" style="261" hidden="1" customWidth="1" outlineLevel="1"/>
    <col min="3" max="3" width="6.5" style="262" hidden="1" customWidth="1" outlineLevel="1"/>
    <col min="4" max="4" width="10.1640625" style="262" customWidth="1" collapsed="1"/>
    <col min="5" max="5" width="15.1640625" style="262" customWidth="1"/>
    <col min="6" max="6" width="6.1640625" style="303" customWidth="1"/>
    <col min="7" max="7" width="8.6640625" style="309" hidden="1" customWidth="1" outlineLevel="1"/>
    <col min="8" max="8" width="10.6640625" style="310" hidden="1" customWidth="1" outlineLevel="1"/>
    <col min="9" max="9" width="10.5" style="311" customWidth="1" collapsed="1"/>
    <col min="10" max="10" width="9" style="311" customWidth="1"/>
    <col min="11" max="11" width="8.33203125" style="307" hidden="1" customWidth="1" outlineLevel="1"/>
    <col min="12" max="12" width="8.33203125" style="307" customWidth="1" collapsed="1"/>
    <col min="13" max="13" width="10.5" style="307" customWidth="1"/>
    <col min="14" max="14" width="10.1640625" style="307" customWidth="1"/>
    <col min="15" max="15" width="10.6640625" style="308" customWidth="1"/>
    <col min="16" max="16" width="9" style="9"/>
    <col min="17" max="17" width="9.83203125" style="9" customWidth="1"/>
    <col min="18" max="18" width="2.5" style="9" bestFit="1" customWidth="1"/>
    <col min="19" max="19" width="9" style="9"/>
    <col min="20" max="20" width="3" customWidth="1"/>
    <col min="21" max="21" width="10.1640625" customWidth="1"/>
    <col min="22" max="23" width="8.83203125" customWidth="1"/>
    <col min="24" max="25" width="9" style="396"/>
    <col min="26" max="16384" width="9" style="261"/>
  </cols>
  <sheetData>
    <row r="1" spans="1:25" s="251" customFormat="1" ht="28" thickBot="1">
      <c r="C1" s="252"/>
      <c r="D1" s="253"/>
      <c r="E1" s="253"/>
      <c r="F1" s="254"/>
      <c r="G1" s="255"/>
      <c r="H1" s="256"/>
      <c r="I1" s="257" t="str">
        <f>B7</f>
        <v>justin</v>
      </c>
      <c r="J1" s="258" t="s">
        <v>30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75</v>
      </c>
      <c r="E2" s="264">
        <v>0</v>
      </c>
      <c r="F2" s="265" t="s">
        <v>76</v>
      </c>
      <c r="G2" s="266"/>
      <c r="H2" s="266"/>
      <c r="I2" s="267"/>
      <c r="J2" s="267" t="s">
        <v>35</v>
      </c>
      <c r="K2" s="268"/>
      <c r="L2" s="269" t="s">
        <v>21</v>
      </c>
      <c r="M2" s="270" t="s">
        <v>18</v>
      </c>
      <c r="N2" s="270" t="s">
        <v>19</v>
      </c>
      <c r="O2" s="271" t="s">
        <v>28</v>
      </c>
    </row>
    <row r="3" spans="1:25" ht="16" thickBot="1">
      <c r="D3" s="272" t="s">
        <v>77</v>
      </c>
      <c r="E3" s="273">
        <v>800</v>
      </c>
      <c r="F3" s="274"/>
      <c r="G3" s="275"/>
      <c r="H3" s="275"/>
      <c r="I3" s="276"/>
      <c r="J3" s="277">
        <f>D5+E5</f>
        <v>0</v>
      </c>
      <c r="K3" s="278">
        <f>SUM(K16:K43)</f>
        <v>6.9166666666666661</v>
      </c>
      <c r="L3" s="278">
        <v>0</v>
      </c>
      <c r="M3" s="278">
        <v>0</v>
      </c>
      <c r="N3" s="278">
        <v>0</v>
      </c>
      <c r="O3" s="279"/>
    </row>
    <row r="4" spans="1:25">
      <c r="D4" s="280" t="s">
        <v>46</v>
      </c>
      <c r="E4" s="281" t="s">
        <v>45</v>
      </c>
      <c r="F4" s="281" t="s">
        <v>47</v>
      </c>
      <c r="G4" s="282"/>
      <c r="H4" s="282"/>
      <c r="I4" s="283" t="s">
        <v>34</v>
      </c>
      <c r="J4" s="283" t="s">
        <v>33</v>
      </c>
      <c r="K4" s="283"/>
      <c r="L4" s="283" t="s">
        <v>22</v>
      </c>
      <c r="M4" s="283" t="s">
        <v>22</v>
      </c>
      <c r="N4" s="283" t="s">
        <v>22</v>
      </c>
      <c r="O4" s="284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5">
      <c r="D5" s="285">
        <v>0</v>
      </c>
      <c r="E5" s="286">
        <v>0</v>
      </c>
      <c r="F5" s="287">
        <v>0</v>
      </c>
      <c r="G5" s="288"/>
      <c r="H5" s="288"/>
      <c r="I5" s="289" t="s">
        <v>48</v>
      </c>
      <c r="J5" s="289" t="s">
        <v>48</v>
      </c>
      <c r="K5" s="289" t="s">
        <v>17</v>
      </c>
      <c r="L5" s="73"/>
      <c r="M5" s="73"/>
      <c r="N5" s="73"/>
      <c r="O5" s="290"/>
      <c r="Q5" s="9" t="s">
        <v>41</v>
      </c>
      <c r="S5" s="57">
        <f>(Q6)/160</f>
        <v>0</v>
      </c>
      <c r="U5" s="49"/>
      <c r="V5" s="443"/>
    </row>
    <row r="6" spans="1:25" ht="16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23</v>
      </c>
      <c r="I6" s="295">
        <f>SUM(I7:I100)</f>
        <v>172.5</v>
      </c>
      <c r="J6" s="295">
        <f t="shared" ref="J6:N6" si="0">SUM(J7:J100)</f>
        <v>11.5</v>
      </c>
      <c r="K6" s="295">
        <f t="shared" si="0"/>
        <v>6.9166666666666661</v>
      </c>
      <c r="L6" s="295">
        <f t="shared" si="0"/>
        <v>0</v>
      </c>
      <c r="M6" s="295">
        <f t="shared" si="0"/>
        <v>4.0999999999999996</v>
      </c>
      <c r="N6" s="295">
        <f t="shared" si="0"/>
        <v>2.8166666666666664</v>
      </c>
      <c r="O6" s="296"/>
      <c r="Q6" s="386"/>
      <c r="R6" s="8"/>
      <c r="S6" s="8"/>
      <c r="U6" s="386"/>
      <c r="V6" s="386"/>
      <c r="W6" s="8"/>
    </row>
    <row r="7" spans="1:25" s="303" customFormat="1">
      <c r="A7" s="140">
        <v>8490</v>
      </c>
      <c r="B7" s="140" t="s">
        <v>11</v>
      </c>
      <c r="C7" s="140" t="s">
        <v>11</v>
      </c>
      <c r="D7" s="141" t="s">
        <v>6</v>
      </c>
      <c r="E7" s="142">
        <v>43160.362199074072</v>
      </c>
      <c r="F7" s="297">
        <f>E7</f>
        <v>43160.362199074072</v>
      </c>
      <c r="G7" s="298" t="str">
        <f>HOUR(E7)&amp;":"&amp;MINUTE(E7)</f>
        <v>8:41</v>
      </c>
      <c r="H7" s="299">
        <f>IF(D7="上班",(G8-G7)*24,"-")</f>
        <v>11.533333333333331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>IF(D7="加班",(G8-G7)*24,0)</f>
        <v>0</v>
      </c>
      <c r="L7" s="301"/>
      <c r="M7" s="302">
        <f t="shared" ref="M7" si="3">IF(K7&gt;2,2,K7)</f>
        <v>0</v>
      </c>
      <c r="N7" s="302">
        <f t="shared" ref="N7" si="4">IF(K7&gt;2,K7-2,0)</f>
        <v>0</v>
      </c>
      <c r="O7" s="393"/>
      <c r="P7" s="137"/>
      <c r="Q7" s="387"/>
      <c r="R7" s="137"/>
      <c r="S7" s="16"/>
      <c r="T7" s="16"/>
      <c r="U7" s="444"/>
      <c r="V7" s="444"/>
      <c r="W7" s="16"/>
      <c r="X7" s="16"/>
      <c r="Y7" s="16"/>
    </row>
    <row r="8" spans="1:25" s="303" customFormat="1">
      <c r="A8" s="140">
        <v>8518</v>
      </c>
      <c r="B8" s="140" t="s">
        <v>11</v>
      </c>
      <c r="C8" s="140" t="s">
        <v>11</v>
      </c>
      <c r="D8" s="143" t="s">
        <v>5</v>
      </c>
      <c r="E8" s="144">
        <v>43160.842546296299</v>
      </c>
      <c r="F8" s="297">
        <f t="shared" ref="F8:F58" si="5">E8</f>
        <v>43160.842546296299</v>
      </c>
      <c r="G8" s="298" t="str">
        <f t="shared" ref="G8:G58" si="6">HOUR(E8)&amp;":"&amp;MINUTE(E8)</f>
        <v>20:13</v>
      </c>
      <c r="H8" s="299" t="str">
        <f t="shared" ref="H8:H58" si="7">IF(D8="上班",(G9-G8)*24,"-")</f>
        <v>-</v>
      </c>
      <c r="I8" s="300" t="str">
        <f t="shared" ref="I8:I58" si="8">IF(D8="上班",IF(H8-1.5&gt;8,8,H8-1.5),"-")</f>
        <v>-</v>
      </c>
      <c r="J8" s="300" t="str">
        <f t="shared" ref="J8:J58" si="9">IF(I8&lt;8,8-I8,"-")</f>
        <v>-</v>
      </c>
      <c r="K8" s="301">
        <f t="shared" ref="K8:K58" si="10">IF(D8="加班",(G9-G8)*24,0)</f>
        <v>0</v>
      </c>
      <c r="L8" s="301"/>
      <c r="M8" s="302">
        <f t="shared" ref="M8:M58" si="11">IF(K8&gt;2,2,K8)</f>
        <v>0</v>
      </c>
      <c r="N8" s="302">
        <f t="shared" ref="N8:N58" si="12">IF(K8&gt;2,K8-2,0)</f>
        <v>0</v>
      </c>
      <c r="O8" s="393"/>
      <c r="P8" s="137"/>
      <c r="Q8" s="387"/>
      <c r="R8" s="137"/>
      <c r="S8" s="16"/>
      <c r="T8" s="16"/>
      <c r="U8" s="444"/>
      <c r="V8" s="444"/>
      <c r="W8" s="16"/>
      <c r="X8" s="16"/>
      <c r="Y8" s="16"/>
    </row>
    <row r="9" spans="1:25" s="303" customFormat="1">
      <c r="A9" s="140">
        <v>8523</v>
      </c>
      <c r="B9" s="140" t="s">
        <v>11</v>
      </c>
      <c r="C9" s="140" t="s">
        <v>11</v>
      </c>
      <c r="D9" s="143" t="s">
        <v>6</v>
      </c>
      <c r="E9" s="144">
        <v>43161.364131944443</v>
      </c>
      <c r="F9" s="297">
        <f t="shared" si="5"/>
        <v>43161.364131944443</v>
      </c>
      <c r="G9" s="298" t="str">
        <f t="shared" si="6"/>
        <v>8:44</v>
      </c>
      <c r="H9" s="299">
        <f t="shared" si="7"/>
        <v>11.566666666666666</v>
      </c>
      <c r="I9" s="300">
        <f t="shared" si="8"/>
        <v>8</v>
      </c>
      <c r="J9" s="300" t="str">
        <f t="shared" si="9"/>
        <v>-</v>
      </c>
      <c r="K9" s="301">
        <f t="shared" si="10"/>
        <v>0</v>
      </c>
      <c r="L9" s="301"/>
      <c r="M9" s="302">
        <f t="shared" si="11"/>
        <v>0</v>
      </c>
      <c r="N9" s="302">
        <f t="shared" si="12"/>
        <v>0</v>
      </c>
      <c r="O9" s="393"/>
      <c r="P9" s="137"/>
      <c r="Q9" s="387"/>
      <c r="R9" s="137"/>
      <c r="S9" s="16"/>
      <c r="T9" s="16"/>
      <c r="U9" s="444"/>
      <c r="V9" s="444"/>
      <c r="W9" s="16"/>
      <c r="X9" s="16"/>
      <c r="Y9" s="16"/>
    </row>
    <row r="10" spans="1:25" s="303" customFormat="1">
      <c r="A10" s="140">
        <v>8545</v>
      </c>
      <c r="B10" s="140" t="s">
        <v>11</v>
      </c>
      <c r="C10" s="140" t="s">
        <v>11</v>
      </c>
      <c r="D10" s="143" t="s">
        <v>5</v>
      </c>
      <c r="E10" s="144">
        <v>43161.845891203702</v>
      </c>
      <c r="F10" s="297">
        <f t="shared" si="5"/>
        <v>43161.845891203702</v>
      </c>
      <c r="G10" s="298" t="str">
        <f t="shared" si="6"/>
        <v>20:18</v>
      </c>
      <c r="H10" s="299" t="str">
        <f t="shared" si="7"/>
        <v>-</v>
      </c>
      <c r="I10" s="300" t="str">
        <f t="shared" si="8"/>
        <v>-</v>
      </c>
      <c r="J10" s="300" t="str">
        <f t="shared" si="9"/>
        <v>-</v>
      </c>
      <c r="K10" s="301">
        <f t="shared" si="10"/>
        <v>0</v>
      </c>
      <c r="L10" s="301"/>
      <c r="M10" s="302">
        <f t="shared" si="11"/>
        <v>0</v>
      </c>
      <c r="N10" s="302">
        <f t="shared" si="12"/>
        <v>0</v>
      </c>
      <c r="O10" s="393"/>
      <c r="P10" s="137"/>
      <c r="Q10" s="387"/>
      <c r="R10" s="137"/>
      <c r="S10" s="16"/>
      <c r="T10" s="16"/>
      <c r="U10" s="444"/>
      <c r="V10" s="444"/>
      <c r="W10" s="16"/>
      <c r="X10" s="16"/>
      <c r="Y10" s="16"/>
    </row>
    <row r="11" spans="1:25" s="16" customFormat="1">
      <c r="A11" s="140">
        <v>8559</v>
      </c>
      <c r="B11" s="140" t="s">
        <v>11</v>
      </c>
      <c r="C11" s="140" t="s">
        <v>11</v>
      </c>
      <c r="D11" s="143" t="s">
        <v>6</v>
      </c>
      <c r="E11" s="144">
        <v>43164.362916666665</v>
      </c>
      <c r="F11" s="297">
        <f t="shared" si="5"/>
        <v>43164.362916666665</v>
      </c>
      <c r="G11" s="298" t="str">
        <f t="shared" si="6"/>
        <v>8:42</v>
      </c>
      <c r="H11" s="299">
        <f t="shared" si="7"/>
        <v>12.566666666666665</v>
      </c>
      <c r="I11" s="300">
        <f t="shared" si="8"/>
        <v>8</v>
      </c>
      <c r="J11" s="300" t="str">
        <f t="shared" si="9"/>
        <v>-</v>
      </c>
      <c r="K11" s="301">
        <f t="shared" si="10"/>
        <v>0</v>
      </c>
      <c r="L11" s="301"/>
      <c r="M11" s="302">
        <f t="shared" si="11"/>
        <v>0</v>
      </c>
      <c r="N11" s="302">
        <f t="shared" si="12"/>
        <v>0</v>
      </c>
      <c r="O11" s="393"/>
      <c r="P11" s="137"/>
      <c r="Q11" s="387"/>
      <c r="R11" s="137"/>
      <c r="S11" s="63"/>
      <c r="U11" s="444"/>
      <c r="V11" s="444"/>
      <c r="X11" s="63"/>
    </row>
    <row r="12" spans="1:25" s="16" customFormat="1">
      <c r="A12" s="140">
        <v>8589</v>
      </c>
      <c r="B12" s="140" t="s">
        <v>11</v>
      </c>
      <c r="C12" s="140" t="s">
        <v>11</v>
      </c>
      <c r="D12" s="143" t="s">
        <v>5</v>
      </c>
      <c r="E12" s="144">
        <v>43164.886423611111</v>
      </c>
      <c r="F12" s="297">
        <f t="shared" si="5"/>
        <v>43164.886423611111</v>
      </c>
      <c r="G12" s="298" t="str">
        <f t="shared" si="6"/>
        <v>21:16</v>
      </c>
      <c r="H12" s="299" t="str">
        <f t="shared" si="7"/>
        <v>-</v>
      </c>
      <c r="I12" s="300" t="str">
        <f t="shared" si="8"/>
        <v>-</v>
      </c>
      <c r="J12" s="300" t="str">
        <f t="shared" si="9"/>
        <v>-</v>
      </c>
      <c r="K12" s="301">
        <f t="shared" si="10"/>
        <v>0</v>
      </c>
      <c r="L12" s="301"/>
      <c r="M12" s="302">
        <f t="shared" si="11"/>
        <v>0</v>
      </c>
      <c r="N12" s="302">
        <f t="shared" si="12"/>
        <v>0</v>
      </c>
      <c r="O12" s="393"/>
      <c r="P12" s="137"/>
      <c r="Q12" s="387"/>
      <c r="R12" s="137"/>
      <c r="S12" s="63"/>
      <c r="U12" s="444"/>
      <c r="V12" s="444"/>
      <c r="X12" s="63"/>
    </row>
    <row r="13" spans="1:25" s="63" customFormat="1">
      <c r="A13" s="140">
        <v>8595</v>
      </c>
      <c r="B13" s="140" t="s">
        <v>11</v>
      </c>
      <c r="C13" s="140" t="s">
        <v>11</v>
      </c>
      <c r="D13" s="143" t="s">
        <v>6</v>
      </c>
      <c r="E13" s="144">
        <v>43165.362002314818</v>
      </c>
      <c r="F13" s="297">
        <f t="shared" si="5"/>
        <v>43165.362002314818</v>
      </c>
      <c r="G13" s="298" t="str">
        <f t="shared" si="6"/>
        <v>8:41</v>
      </c>
      <c r="H13" s="299">
        <f t="shared" si="7"/>
        <v>13.066666666666668</v>
      </c>
      <c r="I13" s="300">
        <f t="shared" si="8"/>
        <v>8</v>
      </c>
      <c r="J13" s="300" t="str">
        <f t="shared" si="9"/>
        <v>-</v>
      </c>
      <c r="K13" s="301">
        <f t="shared" si="10"/>
        <v>0</v>
      </c>
      <c r="L13" s="301"/>
      <c r="M13" s="302">
        <f t="shared" si="11"/>
        <v>0</v>
      </c>
      <c r="N13" s="302">
        <f t="shared" si="12"/>
        <v>0</v>
      </c>
      <c r="O13" s="393"/>
      <c r="P13" s="18"/>
      <c r="Q13" s="387"/>
      <c r="R13" s="137"/>
      <c r="S13" s="16"/>
      <c r="T13" s="16"/>
      <c r="U13" s="444"/>
      <c r="V13" s="444"/>
      <c r="W13" s="16"/>
      <c r="X13" s="16"/>
      <c r="Y13" s="16"/>
    </row>
    <row r="14" spans="1:25" s="63" customFormat="1">
      <c r="A14" s="140">
        <v>8624</v>
      </c>
      <c r="B14" s="140" t="s">
        <v>11</v>
      </c>
      <c r="C14" s="140" t="s">
        <v>11</v>
      </c>
      <c r="D14" s="143" t="s">
        <v>5</v>
      </c>
      <c r="E14" s="144">
        <v>43165.906597222223</v>
      </c>
      <c r="F14" s="297">
        <f t="shared" si="5"/>
        <v>43165.906597222223</v>
      </c>
      <c r="G14" s="298" t="str">
        <f t="shared" si="6"/>
        <v>21:45</v>
      </c>
      <c r="H14" s="299" t="str">
        <f t="shared" si="7"/>
        <v>-</v>
      </c>
      <c r="I14" s="300" t="str">
        <f t="shared" si="8"/>
        <v>-</v>
      </c>
      <c r="J14" s="300" t="str">
        <f t="shared" si="9"/>
        <v>-</v>
      </c>
      <c r="K14" s="301">
        <f t="shared" si="10"/>
        <v>0</v>
      </c>
      <c r="L14" s="301"/>
      <c r="M14" s="302">
        <f t="shared" si="11"/>
        <v>0</v>
      </c>
      <c r="N14" s="302">
        <f t="shared" si="12"/>
        <v>0</v>
      </c>
      <c r="O14" s="393"/>
      <c r="P14" s="18"/>
      <c r="Q14" s="387"/>
      <c r="R14" s="137"/>
      <c r="S14" s="16"/>
      <c r="T14" s="16"/>
      <c r="U14" s="444"/>
      <c r="V14" s="444"/>
      <c r="W14" s="16"/>
      <c r="X14" s="16"/>
      <c r="Y14" s="16"/>
    </row>
    <row r="15" spans="1:25" s="303" customFormat="1">
      <c r="A15" s="140">
        <v>8629</v>
      </c>
      <c r="B15" s="140" t="s">
        <v>11</v>
      </c>
      <c r="C15" s="140" t="s">
        <v>11</v>
      </c>
      <c r="D15" s="143" t="s">
        <v>6</v>
      </c>
      <c r="E15" s="144">
        <v>43166.364965277775</v>
      </c>
      <c r="F15" s="297">
        <f t="shared" si="5"/>
        <v>43166.364965277775</v>
      </c>
      <c r="G15" s="298" t="str">
        <f t="shared" si="6"/>
        <v>8:45</v>
      </c>
      <c r="H15" s="299">
        <f t="shared" si="7"/>
        <v>11.7</v>
      </c>
      <c r="I15" s="300">
        <f t="shared" si="8"/>
        <v>8</v>
      </c>
      <c r="J15" s="300" t="str">
        <f t="shared" si="9"/>
        <v>-</v>
      </c>
      <c r="K15" s="301">
        <f t="shared" si="10"/>
        <v>0</v>
      </c>
      <c r="L15" s="301"/>
      <c r="M15" s="302">
        <f t="shared" si="11"/>
        <v>0</v>
      </c>
      <c r="N15" s="302">
        <f t="shared" si="12"/>
        <v>0</v>
      </c>
      <c r="O15" s="393"/>
      <c r="P15" s="137"/>
      <c r="Q15" s="387"/>
      <c r="R15" s="137"/>
      <c r="S15" s="16"/>
      <c r="T15" s="16"/>
      <c r="U15" s="444"/>
      <c r="V15" s="444"/>
      <c r="W15" s="16"/>
      <c r="X15" s="16"/>
      <c r="Y15" s="16"/>
    </row>
    <row r="16" spans="1:25" s="305" customFormat="1">
      <c r="A16" s="140">
        <v>8656</v>
      </c>
      <c r="B16" s="140" t="s">
        <v>11</v>
      </c>
      <c r="C16" s="140" t="s">
        <v>11</v>
      </c>
      <c r="D16" s="143" t="s">
        <v>5</v>
      </c>
      <c r="E16" s="144">
        <v>43166.85255787037</v>
      </c>
      <c r="F16" s="297">
        <f t="shared" si="5"/>
        <v>43166.85255787037</v>
      </c>
      <c r="G16" s="298" t="str">
        <f t="shared" si="6"/>
        <v>20:27</v>
      </c>
      <c r="H16" s="299" t="str">
        <f t="shared" si="7"/>
        <v>-</v>
      </c>
      <c r="I16" s="300" t="str">
        <f t="shared" si="8"/>
        <v>-</v>
      </c>
      <c r="J16" s="300" t="str">
        <f t="shared" si="9"/>
        <v>-</v>
      </c>
      <c r="K16" s="301">
        <f t="shared" si="10"/>
        <v>0</v>
      </c>
      <c r="L16" s="301"/>
      <c r="M16" s="302">
        <f t="shared" si="11"/>
        <v>0</v>
      </c>
      <c r="N16" s="302">
        <f t="shared" si="12"/>
        <v>0</v>
      </c>
      <c r="O16" s="393"/>
      <c r="P16" s="18"/>
      <c r="Q16" s="387"/>
      <c r="R16" s="18"/>
      <c r="S16" s="63"/>
      <c r="T16" s="63"/>
      <c r="U16" s="444"/>
      <c r="V16" s="444"/>
      <c r="W16" s="63"/>
      <c r="X16" s="63"/>
      <c r="Y16" s="63"/>
    </row>
    <row r="17" spans="1:25">
      <c r="A17" s="140">
        <v>8664</v>
      </c>
      <c r="B17" s="140" t="s">
        <v>11</v>
      </c>
      <c r="C17" s="140" t="s">
        <v>11</v>
      </c>
      <c r="D17" s="143" t="s">
        <v>6</v>
      </c>
      <c r="E17" s="144">
        <v>43167.360162037039</v>
      </c>
      <c r="F17" s="297">
        <f t="shared" si="5"/>
        <v>43167.360162037039</v>
      </c>
      <c r="G17" s="298" t="str">
        <f t="shared" si="6"/>
        <v>8:38</v>
      </c>
      <c r="H17" s="299">
        <f t="shared" si="7"/>
        <v>11.4</v>
      </c>
      <c r="I17" s="300">
        <f t="shared" si="8"/>
        <v>8</v>
      </c>
      <c r="J17" s="300" t="str">
        <f t="shared" si="9"/>
        <v>-</v>
      </c>
      <c r="K17" s="301">
        <f t="shared" si="10"/>
        <v>0</v>
      </c>
      <c r="L17" s="301"/>
      <c r="M17" s="302">
        <f t="shared" si="11"/>
        <v>0</v>
      </c>
      <c r="N17" s="302">
        <f t="shared" si="12"/>
        <v>0</v>
      </c>
      <c r="O17" s="393"/>
      <c r="Q17" s="387"/>
      <c r="U17" s="444"/>
      <c r="V17" s="444"/>
    </row>
    <row r="18" spans="1:25" s="63" customFormat="1">
      <c r="A18" s="140">
        <v>8688</v>
      </c>
      <c r="B18" s="140" t="s">
        <v>11</v>
      </c>
      <c r="C18" s="140" t="s">
        <v>11</v>
      </c>
      <c r="D18" s="143" t="s">
        <v>5</v>
      </c>
      <c r="E18" s="144">
        <v>43167.834745370368</v>
      </c>
      <c r="F18" s="297">
        <f t="shared" si="5"/>
        <v>43167.834745370368</v>
      </c>
      <c r="G18" s="298" t="str">
        <f t="shared" si="6"/>
        <v>20:2</v>
      </c>
      <c r="H18" s="299" t="str">
        <f t="shared" si="7"/>
        <v>-</v>
      </c>
      <c r="I18" s="300" t="str">
        <f t="shared" si="8"/>
        <v>-</v>
      </c>
      <c r="J18" s="300" t="str">
        <f t="shared" si="9"/>
        <v>-</v>
      </c>
      <c r="K18" s="301">
        <f t="shared" si="10"/>
        <v>0</v>
      </c>
      <c r="L18" s="301"/>
      <c r="M18" s="302">
        <f t="shared" si="11"/>
        <v>0</v>
      </c>
      <c r="N18" s="302">
        <f t="shared" si="12"/>
        <v>0</v>
      </c>
      <c r="O18" s="393"/>
      <c r="P18" s="18"/>
      <c r="Q18" s="387"/>
      <c r="R18" s="9"/>
      <c r="S18" s="9"/>
      <c r="T18"/>
      <c r="U18" s="444"/>
      <c r="V18" s="444"/>
      <c r="W18"/>
      <c r="X18" s="396"/>
    </row>
    <row r="19" spans="1:25">
      <c r="A19" s="140">
        <v>8693</v>
      </c>
      <c r="B19" s="140" t="s">
        <v>78</v>
      </c>
      <c r="C19" s="140" t="s">
        <v>11</v>
      </c>
      <c r="D19" s="143" t="s">
        <v>6</v>
      </c>
      <c r="E19" s="144">
        <v>43168.362719907411</v>
      </c>
      <c r="F19" s="297">
        <f t="shared" si="5"/>
        <v>43168.362719907411</v>
      </c>
      <c r="G19" s="298" t="str">
        <f t="shared" si="6"/>
        <v>8:42</v>
      </c>
      <c r="H19" s="299">
        <f t="shared" si="7"/>
        <v>10.183333333333334</v>
      </c>
      <c r="I19" s="300">
        <f t="shared" si="8"/>
        <v>8</v>
      </c>
      <c r="J19" s="300" t="str">
        <f t="shared" si="9"/>
        <v>-</v>
      </c>
      <c r="K19" s="301">
        <f t="shared" si="10"/>
        <v>0</v>
      </c>
      <c r="L19" s="301"/>
      <c r="M19" s="302">
        <f t="shared" si="11"/>
        <v>0</v>
      </c>
      <c r="N19" s="302">
        <f t="shared" si="12"/>
        <v>0</v>
      </c>
      <c r="O19" s="393"/>
      <c r="Q19" s="387"/>
      <c r="R19" s="8"/>
      <c r="S19" s="63"/>
      <c r="T19" s="2"/>
      <c r="U19" s="444"/>
      <c r="V19" s="444"/>
      <c r="W19" s="63"/>
      <c r="X19" s="63"/>
    </row>
    <row r="20" spans="1:25">
      <c r="A20" s="140">
        <v>8715</v>
      </c>
      <c r="B20" s="140" t="s">
        <v>11</v>
      </c>
      <c r="C20" s="140" t="s">
        <v>11</v>
      </c>
      <c r="D20" s="143" t="s">
        <v>5</v>
      </c>
      <c r="E20" s="144">
        <v>43168.786909722221</v>
      </c>
      <c r="F20" s="297">
        <f t="shared" si="5"/>
        <v>43168.786909722221</v>
      </c>
      <c r="G20" s="298" t="str">
        <f t="shared" si="6"/>
        <v>18:53</v>
      </c>
      <c r="H20" s="299" t="str">
        <f t="shared" si="7"/>
        <v>-</v>
      </c>
      <c r="I20" s="300" t="str">
        <f t="shared" si="8"/>
        <v>-</v>
      </c>
      <c r="J20" s="300" t="str">
        <f t="shared" si="9"/>
        <v>-</v>
      </c>
      <c r="K20" s="301">
        <f t="shared" si="10"/>
        <v>0</v>
      </c>
      <c r="L20" s="301"/>
      <c r="M20" s="302">
        <f t="shared" si="11"/>
        <v>0</v>
      </c>
      <c r="N20" s="302">
        <f t="shared" si="12"/>
        <v>0</v>
      </c>
      <c r="O20" s="393"/>
      <c r="Q20" s="387"/>
      <c r="U20" s="444"/>
      <c r="V20" s="444"/>
    </row>
    <row r="21" spans="1:25">
      <c r="A21" s="140">
        <v>8718</v>
      </c>
      <c r="B21" s="140" t="s">
        <v>11</v>
      </c>
      <c r="C21" s="140" t="s">
        <v>11</v>
      </c>
      <c r="D21" s="143" t="s">
        <v>7</v>
      </c>
      <c r="E21" s="144">
        <v>43169.418043981481</v>
      </c>
      <c r="F21" s="297">
        <f t="shared" si="5"/>
        <v>43169.418043981481</v>
      </c>
      <c r="G21" s="298" t="str">
        <f t="shared" si="6"/>
        <v>10:1</v>
      </c>
      <c r="H21" s="299" t="str">
        <f t="shared" si="7"/>
        <v>-</v>
      </c>
      <c r="I21" s="300" t="str">
        <f t="shared" si="8"/>
        <v>-</v>
      </c>
      <c r="J21" s="300" t="str">
        <f t="shared" si="9"/>
        <v>-</v>
      </c>
      <c r="K21" s="301">
        <f t="shared" si="10"/>
        <v>9.9999999999999645E-2</v>
      </c>
      <c r="L21" s="301"/>
      <c r="M21" s="302">
        <f t="shared" si="11"/>
        <v>9.9999999999999645E-2</v>
      </c>
      <c r="N21" s="302">
        <f t="shared" si="12"/>
        <v>0</v>
      </c>
      <c r="O21" s="393"/>
      <c r="Q21" s="387"/>
      <c r="U21" s="444"/>
      <c r="V21" s="444"/>
    </row>
    <row r="22" spans="1:25">
      <c r="A22" s="140">
        <v>8720</v>
      </c>
      <c r="B22" s="140" t="s">
        <v>11</v>
      </c>
      <c r="C22" s="140" t="s">
        <v>11</v>
      </c>
      <c r="D22" s="143" t="s">
        <v>8</v>
      </c>
      <c r="E22" s="144">
        <v>43169.421759259261</v>
      </c>
      <c r="F22" s="297">
        <f t="shared" si="5"/>
        <v>43169.421759259261</v>
      </c>
      <c r="G22" s="298" t="str">
        <f t="shared" si="6"/>
        <v>10:7</v>
      </c>
      <c r="H22" s="299" t="str">
        <f t="shared" si="7"/>
        <v>-</v>
      </c>
      <c r="I22" s="300" t="str">
        <f t="shared" si="8"/>
        <v>-</v>
      </c>
      <c r="J22" s="300" t="str">
        <f t="shared" si="9"/>
        <v>-</v>
      </c>
      <c r="K22" s="301">
        <f t="shared" si="10"/>
        <v>0</v>
      </c>
      <c r="L22" s="301"/>
      <c r="M22" s="302">
        <f t="shared" si="11"/>
        <v>0</v>
      </c>
      <c r="N22" s="302">
        <f t="shared" si="12"/>
        <v>0</v>
      </c>
      <c r="O22" s="393"/>
      <c r="Q22" s="387"/>
      <c r="U22" s="444"/>
      <c r="V22" s="444"/>
    </row>
    <row r="23" spans="1:25">
      <c r="A23" s="140">
        <v>8721</v>
      </c>
      <c r="B23" s="140" t="s">
        <v>11</v>
      </c>
      <c r="C23" s="140" t="s">
        <v>11</v>
      </c>
      <c r="D23" s="143" t="s">
        <v>7</v>
      </c>
      <c r="E23" s="144">
        <v>43169.430486111109</v>
      </c>
      <c r="F23" s="297">
        <f t="shared" si="5"/>
        <v>43169.430486111109</v>
      </c>
      <c r="G23" s="298" t="str">
        <f t="shared" si="6"/>
        <v>10:19</v>
      </c>
      <c r="H23" s="299" t="str">
        <f t="shared" si="7"/>
        <v>-</v>
      </c>
      <c r="I23" s="300" t="str">
        <f t="shared" si="8"/>
        <v>-</v>
      </c>
      <c r="J23" s="300" t="str">
        <f t="shared" si="9"/>
        <v>-</v>
      </c>
      <c r="K23" s="301">
        <f t="shared" si="10"/>
        <v>2.8833333333333324</v>
      </c>
      <c r="L23" s="301"/>
      <c r="M23" s="302">
        <f t="shared" si="11"/>
        <v>2</v>
      </c>
      <c r="N23" s="302">
        <f t="shared" si="12"/>
        <v>0.88333333333333242</v>
      </c>
      <c r="O23" s="393"/>
      <c r="Q23" s="387"/>
      <c r="U23" s="444"/>
      <c r="V23" s="444"/>
    </row>
    <row r="24" spans="1:25">
      <c r="A24" s="140">
        <v>8724</v>
      </c>
      <c r="B24" s="140" t="s">
        <v>11</v>
      </c>
      <c r="C24" s="140" t="s">
        <v>11</v>
      </c>
      <c r="D24" s="143" t="s">
        <v>8</v>
      </c>
      <c r="E24" s="144">
        <v>43169.550254629627</v>
      </c>
      <c r="F24" s="297">
        <f t="shared" si="5"/>
        <v>43169.550254629627</v>
      </c>
      <c r="G24" s="298" t="str">
        <f t="shared" si="6"/>
        <v>13:12</v>
      </c>
      <c r="H24" s="299" t="str">
        <f t="shared" si="7"/>
        <v>-</v>
      </c>
      <c r="I24" s="300" t="str">
        <f t="shared" si="8"/>
        <v>-</v>
      </c>
      <c r="J24" s="300" t="str">
        <f t="shared" si="9"/>
        <v>-</v>
      </c>
      <c r="K24" s="301">
        <f t="shared" si="10"/>
        <v>0</v>
      </c>
      <c r="L24" s="301"/>
      <c r="M24" s="302">
        <f t="shared" si="11"/>
        <v>0</v>
      </c>
      <c r="N24" s="302">
        <f t="shared" si="12"/>
        <v>0</v>
      </c>
      <c r="O24" s="393"/>
      <c r="Q24" s="387"/>
      <c r="U24" s="444"/>
      <c r="V24" s="444"/>
    </row>
    <row r="25" spans="1:25">
      <c r="A25" s="140">
        <v>8762</v>
      </c>
      <c r="B25" s="140" t="s">
        <v>11</v>
      </c>
      <c r="C25" s="140" t="s">
        <v>11</v>
      </c>
      <c r="D25" s="143" t="s">
        <v>6</v>
      </c>
      <c r="E25" s="144">
        <v>43171.362523148149</v>
      </c>
      <c r="F25" s="297">
        <f t="shared" si="5"/>
        <v>43171.362523148149</v>
      </c>
      <c r="G25" s="298" t="str">
        <f t="shared" si="6"/>
        <v>8:42</v>
      </c>
      <c r="H25" s="299">
        <f t="shared" si="7"/>
        <v>13.116666666666665</v>
      </c>
      <c r="I25" s="300">
        <f t="shared" si="8"/>
        <v>8</v>
      </c>
      <c r="J25" s="300" t="str">
        <f t="shared" si="9"/>
        <v>-</v>
      </c>
      <c r="K25" s="301">
        <f t="shared" si="10"/>
        <v>0</v>
      </c>
      <c r="L25" s="301"/>
      <c r="M25" s="302">
        <f t="shared" si="11"/>
        <v>0</v>
      </c>
      <c r="N25" s="302">
        <f t="shared" si="12"/>
        <v>0</v>
      </c>
      <c r="O25" s="393"/>
      <c r="Q25" s="387"/>
      <c r="U25" s="444"/>
      <c r="V25" s="444"/>
    </row>
    <row r="26" spans="1:25" s="305" customFormat="1">
      <c r="A26" s="140">
        <v>8797</v>
      </c>
      <c r="B26" s="140" t="s">
        <v>11</v>
      </c>
      <c r="C26" s="140" t="s">
        <v>11</v>
      </c>
      <c r="D26" s="143" t="s">
        <v>5</v>
      </c>
      <c r="E26" s="144">
        <v>43171.909074074072</v>
      </c>
      <c r="F26" s="297">
        <f t="shared" si="5"/>
        <v>43171.909074074072</v>
      </c>
      <c r="G26" s="298" t="str">
        <f t="shared" si="6"/>
        <v>21:49</v>
      </c>
      <c r="H26" s="299" t="str">
        <f t="shared" si="7"/>
        <v>-</v>
      </c>
      <c r="I26" s="300" t="str">
        <f t="shared" si="8"/>
        <v>-</v>
      </c>
      <c r="J26" s="300" t="str">
        <f t="shared" si="9"/>
        <v>-</v>
      </c>
      <c r="K26" s="301">
        <f t="shared" si="10"/>
        <v>0</v>
      </c>
      <c r="L26" s="301"/>
      <c r="M26" s="302">
        <f t="shared" si="11"/>
        <v>0</v>
      </c>
      <c r="N26" s="302">
        <f t="shared" si="12"/>
        <v>0</v>
      </c>
      <c r="O26" s="393"/>
      <c r="P26" s="18"/>
      <c r="Q26" s="387"/>
      <c r="R26" s="9"/>
      <c r="S26" s="9"/>
      <c r="T26"/>
      <c r="U26" s="444"/>
      <c r="V26" s="444"/>
      <c r="W26"/>
      <c r="X26" s="396"/>
      <c r="Y26" s="63"/>
    </row>
    <row r="27" spans="1:25" s="305" customFormat="1">
      <c r="A27" s="140">
        <v>8800</v>
      </c>
      <c r="B27" s="140" t="s">
        <v>11</v>
      </c>
      <c r="C27" s="140" t="s">
        <v>11</v>
      </c>
      <c r="D27" s="143" t="s">
        <v>6</v>
      </c>
      <c r="E27" s="144">
        <v>43172.361863425926</v>
      </c>
      <c r="F27" s="297">
        <f t="shared" si="5"/>
        <v>43172.361863425926</v>
      </c>
      <c r="G27" s="298" t="str">
        <f t="shared" si="6"/>
        <v>8:41</v>
      </c>
      <c r="H27" s="299">
        <f t="shared" si="7"/>
        <v>12.08333333333333</v>
      </c>
      <c r="I27" s="300">
        <f t="shared" si="8"/>
        <v>8</v>
      </c>
      <c r="J27" s="300" t="str">
        <f t="shared" si="9"/>
        <v>-</v>
      </c>
      <c r="K27" s="301">
        <f t="shared" si="10"/>
        <v>0</v>
      </c>
      <c r="L27" s="301"/>
      <c r="M27" s="302">
        <f t="shared" si="11"/>
        <v>0</v>
      </c>
      <c r="N27" s="302">
        <f t="shared" si="12"/>
        <v>0</v>
      </c>
      <c r="O27" s="393"/>
      <c r="P27" s="18"/>
      <c r="Q27" s="387"/>
      <c r="R27" s="18"/>
      <c r="S27" s="63"/>
      <c r="T27" s="63"/>
      <c r="U27" s="444"/>
      <c r="V27" s="444"/>
      <c r="W27" s="63"/>
      <c r="X27" s="63"/>
      <c r="Y27" s="63"/>
    </row>
    <row r="28" spans="1:25">
      <c r="A28" s="140">
        <v>8831</v>
      </c>
      <c r="B28" s="140" t="s">
        <v>11</v>
      </c>
      <c r="C28" s="140" t="s">
        <v>11</v>
      </c>
      <c r="D28" s="143" t="s">
        <v>5</v>
      </c>
      <c r="E28" s="144">
        <v>43172.86550925926</v>
      </c>
      <c r="F28" s="297">
        <f t="shared" si="5"/>
        <v>43172.86550925926</v>
      </c>
      <c r="G28" s="298" t="str">
        <f t="shared" si="6"/>
        <v>20:46</v>
      </c>
      <c r="H28" s="299" t="str">
        <f t="shared" si="7"/>
        <v>-</v>
      </c>
      <c r="I28" s="300" t="str">
        <f t="shared" si="8"/>
        <v>-</v>
      </c>
      <c r="J28" s="300" t="str">
        <f t="shared" si="9"/>
        <v>-</v>
      </c>
      <c r="K28" s="301">
        <f t="shared" si="10"/>
        <v>0</v>
      </c>
      <c r="L28" s="301"/>
      <c r="M28" s="302">
        <f t="shared" si="11"/>
        <v>0</v>
      </c>
      <c r="N28" s="302">
        <f t="shared" si="12"/>
        <v>0</v>
      </c>
      <c r="O28" s="393"/>
      <c r="Q28" s="387"/>
      <c r="R28" s="18"/>
      <c r="S28" s="63"/>
      <c r="T28" s="63"/>
      <c r="U28" s="444"/>
      <c r="V28" s="444"/>
      <c r="W28" s="63"/>
      <c r="X28" s="63"/>
    </row>
    <row r="29" spans="1:25">
      <c r="A29" s="140">
        <v>8837</v>
      </c>
      <c r="B29" s="140" t="s">
        <v>11</v>
      </c>
      <c r="C29" s="140" t="s">
        <v>11</v>
      </c>
      <c r="D29" s="143" t="s">
        <v>6</v>
      </c>
      <c r="E29" s="144">
        <v>43173.361215277779</v>
      </c>
      <c r="F29" s="297">
        <f t="shared" si="5"/>
        <v>43173.361215277779</v>
      </c>
      <c r="G29" s="298" t="str">
        <f t="shared" si="6"/>
        <v>8:40</v>
      </c>
      <c r="H29" s="299">
        <f t="shared" si="7"/>
        <v>11.899999999999999</v>
      </c>
      <c r="I29" s="300">
        <f t="shared" si="8"/>
        <v>8</v>
      </c>
      <c r="J29" s="300" t="str">
        <f t="shared" si="9"/>
        <v>-</v>
      </c>
      <c r="K29" s="301">
        <f t="shared" si="10"/>
        <v>0</v>
      </c>
      <c r="L29" s="301"/>
      <c r="M29" s="302">
        <f t="shared" si="11"/>
        <v>0</v>
      </c>
      <c r="N29" s="302">
        <f t="shared" si="12"/>
        <v>0</v>
      </c>
      <c r="O29" s="393"/>
      <c r="Q29" s="387"/>
      <c r="U29" s="444"/>
      <c r="V29" s="444"/>
    </row>
    <row r="30" spans="1:25" s="388" customFormat="1">
      <c r="A30" s="140">
        <v>8864</v>
      </c>
      <c r="B30" s="140" t="s">
        <v>11</v>
      </c>
      <c r="C30" s="140" t="s">
        <v>11</v>
      </c>
      <c r="D30" s="143" t="s">
        <v>5</v>
      </c>
      <c r="E30" s="144">
        <v>43173.857407407406</v>
      </c>
      <c r="F30" s="297">
        <f t="shared" si="5"/>
        <v>43173.857407407406</v>
      </c>
      <c r="G30" s="298" t="str">
        <f t="shared" si="6"/>
        <v>20:34</v>
      </c>
      <c r="H30" s="299" t="str">
        <f t="shared" si="7"/>
        <v>-</v>
      </c>
      <c r="I30" s="300" t="str">
        <f t="shared" si="8"/>
        <v>-</v>
      </c>
      <c r="J30" s="300" t="str">
        <f t="shared" si="9"/>
        <v>-</v>
      </c>
      <c r="K30" s="301">
        <f t="shared" si="10"/>
        <v>0</v>
      </c>
      <c r="L30" s="301"/>
      <c r="M30" s="302">
        <f t="shared" si="11"/>
        <v>0</v>
      </c>
      <c r="N30" s="302">
        <f t="shared" si="12"/>
        <v>0</v>
      </c>
      <c r="O30" s="393"/>
      <c r="P30" s="388" t="s">
        <v>20</v>
      </c>
      <c r="Q30" s="387"/>
      <c r="R30" s="9"/>
      <c r="S30" s="9"/>
      <c r="T30"/>
      <c r="U30" s="444"/>
      <c r="V30" s="444"/>
      <c r="W30"/>
      <c r="X30" s="396"/>
    </row>
    <row r="31" spans="1:25" s="388" customFormat="1">
      <c r="A31" s="140">
        <v>8873</v>
      </c>
      <c r="B31" s="140" t="s">
        <v>78</v>
      </c>
      <c r="C31" s="140" t="s">
        <v>11</v>
      </c>
      <c r="D31" s="143" t="s">
        <v>6</v>
      </c>
      <c r="E31" s="144">
        <v>43174.363182870373</v>
      </c>
      <c r="F31" s="297">
        <f t="shared" si="5"/>
        <v>43174.363182870373</v>
      </c>
      <c r="G31" s="298" t="str">
        <f t="shared" si="6"/>
        <v>8:42</v>
      </c>
      <c r="H31" s="299">
        <f t="shared" si="7"/>
        <v>12.383333333333335</v>
      </c>
      <c r="I31" s="300">
        <f t="shared" si="8"/>
        <v>8</v>
      </c>
      <c r="J31" s="300" t="str">
        <f t="shared" si="9"/>
        <v>-</v>
      </c>
      <c r="K31" s="301">
        <f t="shared" si="10"/>
        <v>0</v>
      </c>
      <c r="L31" s="301"/>
      <c r="M31" s="302">
        <f t="shared" si="11"/>
        <v>0</v>
      </c>
      <c r="N31" s="302">
        <f t="shared" si="12"/>
        <v>0</v>
      </c>
      <c r="O31" s="393"/>
      <c r="Q31" s="387"/>
      <c r="U31" s="444"/>
      <c r="V31" s="444"/>
    </row>
    <row r="32" spans="1:25" s="306" customFormat="1">
      <c r="A32" s="140">
        <v>8904</v>
      </c>
      <c r="B32" s="140" t="s">
        <v>11</v>
      </c>
      <c r="C32" s="140" t="s">
        <v>11</v>
      </c>
      <c r="D32" s="143" t="s">
        <v>5</v>
      </c>
      <c r="E32" s="144">
        <v>43174.878645833334</v>
      </c>
      <c r="F32" s="297">
        <f t="shared" si="5"/>
        <v>43174.878645833334</v>
      </c>
      <c r="G32" s="298" t="str">
        <f t="shared" si="6"/>
        <v>21:5</v>
      </c>
      <c r="H32" s="299" t="str">
        <f t="shared" si="7"/>
        <v>-</v>
      </c>
      <c r="I32" s="300" t="str">
        <f t="shared" si="8"/>
        <v>-</v>
      </c>
      <c r="J32" s="300" t="str">
        <f t="shared" si="9"/>
        <v>-</v>
      </c>
      <c r="K32" s="301">
        <f t="shared" si="10"/>
        <v>0</v>
      </c>
      <c r="L32" s="301"/>
      <c r="M32" s="302">
        <f t="shared" si="11"/>
        <v>0</v>
      </c>
      <c r="N32" s="302">
        <f t="shared" si="12"/>
        <v>0</v>
      </c>
      <c r="O32" s="393"/>
      <c r="P32" s="389" t="s">
        <v>20</v>
      </c>
      <c r="Q32" s="387"/>
      <c r="R32" s="388"/>
      <c r="S32" s="388"/>
      <c r="T32" s="388"/>
      <c r="U32" s="444"/>
      <c r="V32" s="444"/>
      <c r="W32" s="388"/>
      <c r="X32" s="388"/>
      <c r="Y32" s="388"/>
    </row>
    <row r="33" spans="1:26" s="306" customFormat="1">
      <c r="A33" s="140">
        <v>8909</v>
      </c>
      <c r="B33" s="140" t="s">
        <v>11</v>
      </c>
      <c r="C33" s="140" t="s">
        <v>11</v>
      </c>
      <c r="D33" s="143" t="s">
        <v>6</v>
      </c>
      <c r="E33" s="144">
        <v>43175.36273148148</v>
      </c>
      <c r="F33" s="297">
        <f t="shared" si="5"/>
        <v>43175.36273148148</v>
      </c>
      <c r="G33" s="298" t="str">
        <f t="shared" si="6"/>
        <v>8:42</v>
      </c>
      <c r="H33" s="299">
        <f t="shared" si="7"/>
        <v>10.883333333333333</v>
      </c>
      <c r="I33" s="300">
        <f t="shared" si="8"/>
        <v>8</v>
      </c>
      <c r="J33" s="300" t="str">
        <f t="shared" si="9"/>
        <v>-</v>
      </c>
      <c r="K33" s="301">
        <f t="shared" si="10"/>
        <v>0</v>
      </c>
      <c r="L33" s="301"/>
      <c r="M33" s="302">
        <f t="shared" si="11"/>
        <v>0</v>
      </c>
      <c r="N33" s="302">
        <f t="shared" si="12"/>
        <v>0</v>
      </c>
      <c r="O33" s="393"/>
      <c r="P33" s="389"/>
      <c r="Q33" s="387"/>
      <c r="R33" s="389"/>
      <c r="S33" s="388"/>
      <c r="T33" s="389"/>
      <c r="U33" s="444"/>
      <c r="V33" s="444"/>
      <c r="W33" s="389"/>
      <c r="X33" s="388"/>
      <c r="Y33" s="388"/>
    </row>
    <row r="34" spans="1:26" s="305" customFormat="1">
      <c r="A34" s="140">
        <v>8936</v>
      </c>
      <c r="B34" s="140" t="s">
        <v>11</v>
      </c>
      <c r="C34" s="140" t="s">
        <v>11</v>
      </c>
      <c r="D34" s="143" t="s">
        <v>5</v>
      </c>
      <c r="E34" s="144">
        <v>43175.815983796296</v>
      </c>
      <c r="F34" s="297">
        <f t="shared" si="5"/>
        <v>43175.815983796296</v>
      </c>
      <c r="G34" s="298" t="str">
        <f t="shared" si="6"/>
        <v>19:35</v>
      </c>
      <c r="H34" s="299" t="str">
        <f t="shared" si="7"/>
        <v>-</v>
      </c>
      <c r="I34" s="300" t="str">
        <f t="shared" si="8"/>
        <v>-</v>
      </c>
      <c r="J34" s="300" t="str">
        <f t="shared" si="9"/>
        <v>-</v>
      </c>
      <c r="K34" s="301">
        <f t="shared" si="10"/>
        <v>0</v>
      </c>
      <c r="L34" s="301"/>
      <c r="M34" s="302">
        <f t="shared" si="11"/>
        <v>0</v>
      </c>
      <c r="N34" s="302">
        <f t="shared" si="12"/>
        <v>0</v>
      </c>
      <c r="O34" s="393"/>
      <c r="P34" s="18"/>
      <c r="Q34" s="387"/>
      <c r="R34" s="389"/>
      <c r="S34" s="388"/>
      <c r="T34" s="389"/>
      <c r="U34" s="444"/>
      <c r="V34" s="444"/>
      <c r="W34" s="389"/>
      <c r="X34" s="388"/>
      <c r="Y34" s="63"/>
    </row>
    <row r="35" spans="1:26" s="16" customFormat="1">
      <c r="A35" s="140">
        <v>8943</v>
      </c>
      <c r="B35" s="140" t="s">
        <v>11</v>
      </c>
      <c r="C35" s="140" t="s">
        <v>11</v>
      </c>
      <c r="D35" s="143" t="s">
        <v>7</v>
      </c>
      <c r="E35" s="144">
        <v>43176.42428240741</v>
      </c>
      <c r="F35" s="297">
        <f t="shared" si="5"/>
        <v>43176.42428240741</v>
      </c>
      <c r="G35" s="298" t="str">
        <f t="shared" si="6"/>
        <v>10:10</v>
      </c>
      <c r="H35" s="299" t="str">
        <f t="shared" si="7"/>
        <v>-</v>
      </c>
      <c r="I35" s="300" t="str">
        <f t="shared" si="8"/>
        <v>-</v>
      </c>
      <c r="J35" s="300" t="str">
        <f t="shared" si="9"/>
        <v>-</v>
      </c>
      <c r="K35" s="301">
        <f t="shared" si="10"/>
        <v>3.933333333333334</v>
      </c>
      <c r="L35" s="301"/>
      <c r="M35" s="302">
        <f t="shared" si="11"/>
        <v>2</v>
      </c>
      <c r="N35" s="302">
        <f t="shared" si="12"/>
        <v>1.933333333333334</v>
      </c>
      <c r="O35" s="393"/>
      <c r="P35" s="137"/>
      <c r="Q35" s="387"/>
      <c r="R35" s="18"/>
      <c r="S35" s="63"/>
      <c r="T35" s="63"/>
      <c r="U35" s="444"/>
      <c r="V35" s="444"/>
      <c r="W35" s="63"/>
      <c r="X35" s="63"/>
    </row>
    <row r="36" spans="1:26" s="16" customFormat="1">
      <c r="A36" s="140">
        <v>8961</v>
      </c>
      <c r="B36" s="140" t="s">
        <v>11</v>
      </c>
      <c r="C36" s="140" t="s">
        <v>11</v>
      </c>
      <c r="D36" s="143" t="s">
        <v>8</v>
      </c>
      <c r="E36" s="144">
        <v>43176.587546296294</v>
      </c>
      <c r="F36" s="297">
        <f t="shared" si="5"/>
        <v>43176.587546296294</v>
      </c>
      <c r="G36" s="298" t="str">
        <f t="shared" si="6"/>
        <v>14:6</v>
      </c>
      <c r="H36" s="299" t="str">
        <f t="shared" si="7"/>
        <v>-</v>
      </c>
      <c r="I36" s="300" t="str">
        <f t="shared" si="8"/>
        <v>-</v>
      </c>
      <c r="J36" s="300" t="str">
        <f t="shared" si="9"/>
        <v>-</v>
      </c>
      <c r="K36" s="301">
        <f t="shared" si="10"/>
        <v>0</v>
      </c>
      <c r="L36" s="301"/>
      <c r="M36" s="302">
        <f t="shared" si="11"/>
        <v>0</v>
      </c>
      <c r="N36" s="302">
        <f t="shared" si="12"/>
        <v>0</v>
      </c>
      <c r="O36" s="393"/>
      <c r="P36" s="137"/>
      <c r="Q36" s="387"/>
      <c r="R36" s="18"/>
      <c r="S36" s="63"/>
      <c r="T36" s="63"/>
      <c r="U36" s="444"/>
      <c r="V36" s="444"/>
      <c r="W36" s="63"/>
      <c r="X36" s="63"/>
    </row>
    <row r="37" spans="1:26" s="63" customFormat="1">
      <c r="A37" s="422">
        <v>9009</v>
      </c>
      <c r="B37" s="422" t="s">
        <v>11</v>
      </c>
      <c r="C37" s="422" t="s">
        <v>11</v>
      </c>
      <c r="D37" s="181" t="s">
        <v>6</v>
      </c>
      <c r="E37" s="180">
        <v>43178.354664351849</v>
      </c>
      <c r="F37" s="135">
        <f t="shared" si="5"/>
        <v>43178.354664351849</v>
      </c>
      <c r="G37" s="67" t="str">
        <f t="shared" si="6"/>
        <v>8:30</v>
      </c>
      <c r="H37" s="64">
        <f t="shared" si="7"/>
        <v>9.5</v>
      </c>
      <c r="I37" s="181"/>
      <c r="J37" s="66">
        <f>IF(D37="上班",IF(H37-1.5&gt;8,8,H37-1.5),"-")</f>
        <v>8</v>
      </c>
      <c r="K37" s="68">
        <f t="shared" si="10"/>
        <v>0</v>
      </c>
      <c r="L37" s="68"/>
      <c r="M37" s="65">
        <f t="shared" si="11"/>
        <v>0</v>
      </c>
      <c r="N37" s="65">
        <f t="shared" si="12"/>
        <v>0</v>
      </c>
      <c r="O37" s="186" t="s">
        <v>111</v>
      </c>
      <c r="P37" s="18"/>
      <c r="Q37" s="387"/>
      <c r="R37" s="18"/>
      <c r="U37" s="444"/>
      <c r="V37" s="444"/>
    </row>
    <row r="38" spans="1:26" s="63" customFormat="1">
      <c r="A38" s="422">
        <v>9040</v>
      </c>
      <c r="B38" s="422" t="s">
        <v>11</v>
      </c>
      <c r="C38" s="422" t="s">
        <v>11</v>
      </c>
      <c r="D38" s="181" t="s">
        <v>5</v>
      </c>
      <c r="E38" s="180">
        <v>43178.750104166669</v>
      </c>
      <c r="F38" s="135">
        <f t="shared" si="5"/>
        <v>43178.750104166669</v>
      </c>
      <c r="G38" s="67" t="str">
        <f t="shared" si="6"/>
        <v>18:0</v>
      </c>
      <c r="H38" s="64" t="str">
        <f t="shared" si="7"/>
        <v>-</v>
      </c>
      <c r="I38" s="442" t="str">
        <f t="shared" si="8"/>
        <v>-</v>
      </c>
      <c r="J38" s="66" t="str">
        <f t="shared" si="9"/>
        <v>-</v>
      </c>
      <c r="K38" s="68">
        <f t="shared" si="10"/>
        <v>0</v>
      </c>
      <c r="L38" s="68"/>
      <c r="M38" s="65">
        <f t="shared" si="11"/>
        <v>0</v>
      </c>
      <c r="N38" s="65">
        <f t="shared" si="12"/>
        <v>0</v>
      </c>
      <c r="O38" s="186"/>
      <c r="P38" s="18"/>
      <c r="Q38" s="387"/>
      <c r="R38" s="18"/>
      <c r="U38" s="444"/>
      <c r="V38" s="444"/>
    </row>
    <row r="39" spans="1:26" s="304" customFormat="1">
      <c r="A39" s="140">
        <v>9009</v>
      </c>
      <c r="B39" s="140" t="s">
        <v>11</v>
      </c>
      <c r="C39" s="140" t="s">
        <v>11</v>
      </c>
      <c r="D39" s="143" t="s">
        <v>6</v>
      </c>
      <c r="E39" s="144">
        <v>43179.362303240741</v>
      </c>
      <c r="F39" s="297">
        <f t="shared" si="5"/>
        <v>43179.362303240741</v>
      </c>
      <c r="G39" s="298" t="str">
        <f t="shared" si="6"/>
        <v>8:41</v>
      </c>
      <c r="H39" s="299">
        <f t="shared" si="7"/>
        <v>10.933333333333334</v>
      </c>
      <c r="I39" s="300">
        <f t="shared" si="8"/>
        <v>8</v>
      </c>
      <c r="J39" s="300" t="str">
        <f t="shared" si="9"/>
        <v>-</v>
      </c>
      <c r="K39" s="301">
        <f t="shared" si="10"/>
        <v>0</v>
      </c>
      <c r="L39" s="301"/>
      <c r="M39" s="302">
        <f t="shared" si="11"/>
        <v>0</v>
      </c>
      <c r="N39" s="302">
        <f t="shared" si="12"/>
        <v>0</v>
      </c>
      <c r="O39" s="393"/>
      <c r="P39" s="18"/>
      <c r="Q39" s="387"/>
      <c r="R39" s="18"/>
      <c r="S39" s="63"/>
      <c r="T39" s="63"/>
      <c r="U39" s="444"/>
      <c r="V39" s="444"/>
      <c r="W39" s="63"/>
      <c r="X39" s="63"/>
      <c r="Y39" s="63"/>
      <c r="Z39" s="305"/>
    </row>
    <row r="40" spans="1:26" s="304" customFormat="1">
      <c r="A40" s="140">
        <v>9040</v>
      </c>
      <c r="B40" s="140" t="s">
        <v>11</v>
      </c>
      <c r="C40" s="140" t="s">
        <v>11</v>
      </c>
      <c r="D40" s="143" t="s">
        <v>5</v>
      </c>
      <c r="E40" s="144">
        <v>43179.817465277774</v>
      </c>
      <c r="F40" s="297">
        <f t="shared" si="5"/>
        <v>43179.817465277774</v>
      </c>
      <c r="G40" s="298" t="str">
        <f t="shared" si="6"/>
        <v>19:37</v>
      </c>
      <c r="H40" s="299" t="str">
        <f t="shared" si="7"/>
        <v>-</v>
      </c>
      <c r="I40" s="300" t="str">
        <f t="shared" si="8"/>
        <v>-</v>
      </c>
      <c r="J40" s="300" t="str">
        <f t="shared" si="9"/>
        <v>-</v>
      </c>
      <c r="K40" s="301">
        <f t="shared" si="10"/>
        <v>0</v>
      </c>
      <c r="L40" s="301"/>
      <c r="M40" s="302">
        <f t="shared" si="11"/>
        <v>0</v>
      </c>
      <c r="N40" s="302">
        <f t="shared" si="12"/>
        <v>0</v>
      </c>
      <c r="O40" s="393"/>
      <c r="P40" s="18"/>
      <c r="Q40" s="387"/>
      <c r="R40" s="18"/>
      <c r="S40" s="18"/>
      <c r="T40" s="63"/>
      <c r="U40" s="444"/>
      <c r="V40" s="444"/>
      <c r="W40" s="63"/>
      <c r="X40" s="63"/>
      <c r="Y40" s="63"/>
      <c r="Z40" s="305"/>
    </row>
    <row r="41" spans="1:26" s="18" customFormat="1">
      <c r="A41" s="422">
        <v>9056</v>
      </c>
      <c r="B41" s="422" t="s">
        <v>78</v>
      </c>
      <c r="C41" s="422" t="s">
        <v>11</v>
      </c>
      <c r="D41" s="181" t="s">
        <v>6</v>
      </c>
      <c r="E41" s="180">
        <v>43180.597361111111</v>
      </c>
      <c r="F41" s="135">
        <f t="shared" si="5"/>
        <v>43180.597361111111</v>
      </c>
      <c r="G41" s="67" t="str">
        <f t="shared" si="6"/>
        <v>14:20</v>
      </c>
      <c r="H41" s="64">
        <f t="shared" si="7"/>
        <v>6.05</v>
      </c>
      <c r="I41" s="66">
        <v>4.5</v>
      </c>
      <c r="J41" s="66">
        <f t="shared" si="9"/>
        <v>3.5</v>
      </c>
      <c r="K41" s="68">
        <f t="shared" si="10"/>
        <v>0</v>
      </c>
      <c r="L41" s="68"/>
      <c r="M41" s="65">
        <f t="shared" si="11"/>
        <v>0</v>
      </c>
      <c r="N41" s="65">
        <f t="shared" si="12"/>
        <v>0</v>
      </c>
      <c r="O41" s="186" t="s">
        <v>111</v>
      </c>
      <c r="Q41" s="387"/>
      <c r="U41" s="444"/>
      <c r="V41" s="444"/>
      <c r="W41" s="63"/>
      <c r="X41" s="63"/>
    </row>
    <row r="42" spans="1:26" s="18" customFormat="1">
      <c r="A42" s="422">
        <v>9077</v>
      </c>
      <c r="B42" s="422" t="s">
        <v>11</v>
      </c>
      <c r="C42" s="422" t="s">
        <v>11</v>
      </c>
      <c r="D42" s="181" t="s">
        <v>5</v>
      </c>
      <c r="E42" s="180">
        <v>43180.849444444444</v>
      </c>
      <c r="F42" s="135">
        <f t="shared" si="5"/>
        <v>43180.849444444444</v>
      </c>
      <c r="G42" s="67" t="str">
        <f t="shared" si="6"/>
        <v>20:23</v>
      </c>
      <c r="H42" s="64" t="str">
        <f t="shared" si="7"/>
        <v>-</v>
      </c>
      <c r="I42" s="66" t="str">
        <f t="shared" si="8"/>
        <v>-</v>
      </c>
      <c r="J42" s="66" t="str">
        <f t="shared" si="9"/>
        <v>-</v>
      </c>
      <c r="K42" s="68">
        <f t="shared" si="10"/>
        <v>0</v>
      </c>
      <c r="L42" s="68"/>
      <c r="M42" s="65">
        <f t="shared" si="11"/>
        <v>0</v>
      </c>
      <c r="N42" s="65">
        <f t="shared" si="12"/>
        <v>0</v>
      </c>
      <c r="O42" s="186"/>
      <c r="Q42" s="387"/>
      <c r="U42" s="444"/>
      <c r="V42" s="444"/>
      <c r="W42" s="63"/>
      <c r="X42" s="63"/>
    </row>
    <row r="43" spans="1:26" s="403" customFormat="1">
      <c r="A43" s="140">
        <v>9082</v>
      </c>
      <c r="B43" s="140" t="s">
        <v>11</v>
      </c>
      <c r="C43" s="140" t="s">
        <v>11</v>
      </c>
      <c r="D43" s="143" t="s">
        <v>6</v>
      </c>
      <c r="E43" s="144">
        <v>43181.364050925928</v>
      </c>
      <c r="F43" s="297">
        <f t="shared" si="5"/>
        <v>43181.364050925928</v>
      </c>
      <c r="G43" s="298" t="str">
        <f t="shared" si="6"/>
        <v>8:44</v>
      </c>
      <c r="H43" s="299">
        <f t="shared" si="7"/>
        <v>11.183333333333335</v>
      </c>
      <c r="I43" s="300">
        <f t="shared" si="8"/>
        <v>8</v>
      </c>
      <c r="J43" s="300" t="str">
        <f t="shared" si="9"/>
        <v>-</v>
      </c>
      <c r="K43" s="301">
        <f t="shared" si="10"/>
        <v>0</v>
      </c>
      <c r="L43" s="301"/>
      <c r="M43" s="302">
        <f t="shared" si="11"/>
        <v>0</v>
      </c>
      <c r="N43" s="302">
        <f t="shared" si="12"/>
        <v>0</v>
      </c>
      <c r="O43" s="393"/>
      <c r="Q43" s="387"/>
      <c r="R43" s="18"/>
      <c r="S43" s="18"/>
      <c r="T43" s="63"/>
      <c r="U43" s="444"/>
      <c r="V43" s="444"/>
      <c r="W43" s="63"/>
      <c r="X43" s="63"/>
    </row>
    <row r="44" spans="1:26" s="403" customFormat="1">
      <c r="A44" s="140">
        <v>9109</v>
      </c>
      <c r="B44" s="140" t="s">
        <v>11</v>
      </c>
      <c r="C44" s="140" t="s">
        <v>11</v>
      </c>
      <c r="D44" s="143" t="s">
        <v>5</v>
      </c>
      <c r="E44" s="144">
        <v>43181.830023148148</v>
      </c>
      <c r="F44" s="297">
        <f t="shared" si="5"/>
        <v>43181.830023148148</v>
      </c>
      <c r="G44" s="298" t="str">
        <f t="shared" si="6"/>
        <v>19:55</v>
      </c>
      <c r="H44" s="299" t="str">
        <f t="shared" si="7"/>
        <v>-</v>
      </c>
      <c r="I44" s="300" t="str">
        <f t="shared" si="8"/>
        <v>-</v>
      </c>
      <c r="J44" s="300" t="str">
        <f t="shared" si="9"/>
        <v>-</v>
      </c>
      <c r="K44" s="301">
        <f t="shared" si="10"/>
        <v>0</v>
      </c>
      <c r="L44" s="301"/>
      <c r="M44" s="302">
        <f t="shared" si="11"/>
        <v>0</v>
      </c>
      <c r="N44" s="302">
        <f t="shared" si="12"/>
        <v>0</v>
      </c>
      <c r="O44" s="393"/>
      <c r="Q44" s="387"/>
      <c r="R44" s="18"/>
      <c r="S44" s="18"/>
      <c r="T44" s="63"/>
      <c r="U44" s="444"/>
      <c r="V44" s="444"/>
      <c r="W44" s="63"/>
      <c r="X44" s="63"/>
    </row>
    <row r="45" spans="1:26" s="16" customFormat="1">
      <c r="A45" s="140">
        <v>9118</v>
      </c>
      <c r="B45" s="140" t="s">
        <v>11</v>
      </c>
      <c r="C45" s="140" t="s">
        <v>11</v>
      </c>
      <c r="D45" s="143" t="s">
        <v>6</v>
      </c>
      <c r="E45" s="144">
        <v>43182.36246527778</v>
      </c>
      <c r="F45" s="297">
        <f t="shared" si="5"/>
        <v>43182.36246527778</v>
      </c>
      <c r="G45" s="298" t="str">
        <f t="shared" si="6"/>
        <v>8:41</v>
      </c>
      <c r="H45" s="299">
        <f t="shared" si="7"/>
        <v>9.8833333333333346</v>
      </c>
      <c r="I45" s="300">
        <f t="shared" si="8"/>
        <v>8</v>
      </c>
      <c r="J45" s="300" t="str">
        <f t="shared" si="9"/>
        <v>-</v>
      </c>
      <c r="K45" s="301">
        <f t="shared" si="10"/>
        <v>0</v>
      </c>
      <c r="L45" s="301"/>
      <c r="M45" s="302">
        <f t="shared" si="11"/>
        <v>0</v>
      </c>
      <c r="N45" s="302">
        <f t="shared" si="12"/>
        <v>0</v>
      </c>
      <c r="O45" s="393"/>
      <c r="P45" s="137"/>
      <c r="Q45" s="387"/>
      <c r="R45" s="9"/>
      <c r="S45" s="63"/>
      <c r="T45"/>
      <c r="U45" s="444"/>
      <c r="V45" s="444"/>
      <c r="W45"/>
      <c r="X45" s="396"/>
    </row>
    <row r="46" spans="1:26" s="16" customFormat="1">
      <c r="A46" s="140">
        <v>9134</v>
      </c>
      <c r="B46" s="140" t="s">
        <v>11</v>
      </c>
      <c r="C46" s="140" t="s">
        <v>11</v>
      </c>
      <c r="D46" s="143" t="s">
        <v>5</v>
      </c>
      <c r="E46" s="144">
        <v>43182.774131944447</v>
      </c>
      <c r="F46" s="297">
        <f t="shared" si="5"/>
        <v>43182.774131944447</v>
      </c>
      <c r="G46" s="298" t="str">
        <f t="shared" si="6"/>
        <v>18:34</v>
      </c>
      <c r="H46" s="299" t="str">
        <f t="shared" si="7"/>
        <v>-</v>
      </c>
      <c r="I46" s="300" t="str">
        <f t="shared" si="8"/>
        <v>-</v>
      </c>
      <c r="J46" s="300" t="str">
        <f t="shared" si="9"/>
        <v>-</v>
      </c>
      <c r="K46" s="301">
        <f t="shared" si="10"/>
        <v>0</v>
      </c>
      <c r="L46" s="301"/>
      <c r="M46" s="302">
        <f t="shared" si="11"/>
        <v>0</v>
      </c>
      <c r="N46" s="302">
        <f t="shared" si="12"/>
        <v>0</v>
      </c>
      <c r="O46" s="393"/>
      <c r="P46" s="137"/>
      <c r="Q46" s="387"/>
      <c r="R46" s="9"/>
      <c r="S46" s="63"/>
      <c r="T46"/>
      <c r="U46" s="444"/>
      <c r="V46" s="444"/>
      <c r="W46"/>
      <c r="X46" s="396"/>
    </row>
    <row r="47" spans="1:26">
      <c r="A47">
        <v>9137</v>
      </c>
      <c r="B47" t="s">
        <v>11</v>
      </c>
      <c r="C47" t="s">
        <v>11</v>
      </c>
      <c r="D47" s="143" t="s">
        <v>6</v>
      </c>
      <c r="E47" s="144">
        <v>43185.359409722223</v>
      </c>
      <c r="F47" s="297">
        <f t="shared" si="5"/>
        <v>43185.359409722223</v>
      </c>
      <c r="G47" s="298" t="str">
        <f t="shared" si="6"/>
        <v>8:37</v>
      </c>
      <c r="H47" s="299">
        <f t="shared" si="7"/>
        <v>11.516666666666667</v>
      </c>
      <c r="I47" s="300">
        <f t="shared" si="8"/>
        <v>8</v>
      </c>
      <c r="J47" s="300" t="str">
        <f t="shared" si="9"/>
        <v>-</v>
      </c>
      <c r="K47" s="301">
        <f t="shared" si="10"/>
        <v>0</v>
      </c>
      <c r="L47" s="301"/>
      <c r="M47" s="302">
        <f t="shared" si="11"/>
        <v>0</v>
      </c>
      <c r="N47" s="302">
        <f t="shared" si="12"/>
        <v>0</v>
      </c>
      <c r="O47" s="393"/>
      <c r="P47" s="307"/>
      <c r="Q47" s="387"/>
      <c r="U47" s="444"/>
      <c r="V47" s="444"/>
    </row>
    <row r="48" spans="1:26">
      <c r="A48">
        <v>9160</v>
      </c>
      <c r="B48" t="s">
        <v>11</v>
      </c>
      <c r="C48" t="s">
        <v>11</v>
      </c>
      <c r="D48" s="143" t="s">
        <v>5</v>
      </c>
      <c r="E48" s="144">
        <v>43185.839166666665</v>
      </c>
      <c r="F48" s="297">
        <f t="shared" si="5"/>
        <v>43185.839166666665</v>
      </c>
      <c r="G48" s="298" t="str">
        <f t="shared" si="6"/>
        <v>20:8</v>
      </c>
      <c r="H48" s="299" t="str">
        <f t="shared" si="7"/>
        <v>-</v>
      </c>
      <c r="I48" s="300" t="str">
        <f t="shared" si="8"/>
        <v>-</v>
      </c>
      <c r="J48" s="300" t="str">
        <f t="shared" si="9"/>
        <v>-</v>
      </c>
      <c r="K48" s="301">
        <f t="shared" si="10"/>
        <v>0</v>
      </c>
      <c r="L48" s="301"/>
      <c r="M48" s="302">
        <f t="shared" si="11"/>
        <v>0</v>
      </c>
      <c r="N48" s="302">
        <f t="shared" si="12"/>
        <v>0</v>
      </c>
      <c r="O48" s="393"/>
      <c r="P48" s="307"/>
      <c r="Q48" s="387"/>
      <c r="U48" s="444"/>
      <c r="V48" s="444"/>
    </row>
    <row r="49" spans="1:22">
      <c r="A49">
        <v>9164</v>
      </c>
      <c r="B49" t="s">
        <v>78</v>
      </c>
      <c r="C49" t="s">
        <v>11</v>
      </c>
      <c r="D49" s="143" t="s">
        <v>6</v>
      </c>
      <c r="E49" s="144">
        <v>43186.360960648148</v>
      </c>
      <c r="F49" s="297">
        <f t="shared" si="5"/>
        <v>43186.360960648148</v>
      </c>
      <c r="G49" s="298" t="str">
        <f t="shared" si="6"/>
        <v>8:39</v>
      </c>
      <c r="H49" s="299">
        <f t="shared" si="7"/>
        <v>10.85</v>
      </c>
      <c r="I49" s="300">
        <f t="shared" si="8"/>
        <v>8</v>
      </c>
      <c r="J49" s="300" t="str">
        <f t="shared" si="9"/>
        <v>-</v>
      </c>
      <c r="K49" s="301">
        <f t="shared" si="10"/>
        <v>0</v>
      </c>
      <c r="L49" s="301"/>
      <c r="M49" s="302">
        <f t="shared" si="11"/>
        <v>0</v>
      </c>
      <c r="N49" s="302">
        <f t="shared" si="12"/>
        <v>0</v>
      </c>
      <c r="O49" s="393"/>
      <c r="P49" s="307"/>
      <c r="Q49" s="387"/>
      <c r="U49" s="444"/>
      <c r="V49" s="444"/>
    </row>
    <row r="50" spans="1:22">
      <c r="A50">
        <v>9184</v>
      </c>
      <c r="B50" t="s">
        <v>11</v>
      </c>
      <c r="C50" t="s">
        <v>11</v>
      </c>
      <c r="D50" s="143" t="s">
        <v>5</v>
      </c>
      <c r="E50" s="144">
        <v>43186.812974537039</v>
      </c>
      <c r="F50" s="297">
        <f t="shared" si="5"/>
        <v>43186.812974537039</v>
      </c>
      <c r="G50" s="298" t="str">
        <f t="shared" si="6"/>
        <v>19:30</v>
      </c>
      <c r="H50" s="299" t="str">
        <f t="shared" si="7"/>
        <v>-</v>
      </c>
      <c r="I50" s="300" t="str">
        <f t="shared" si="8"/>
        <v>-</v>
      </c>
      <c r="J50" s="300" t="str">
        <f t="shared" si="9"/>
        <v>-</v>
      </c>
      <c r="K50" s="301">
        <f t="shared" si="10"/>
        <v>0</v>
      </c>
      <c r="L50" s="301"/>
      <c r="M50" s="302">
        <f t="shared" si="11"/>
        <v>0</v>
      </c>
      <c r="N50" s="302">
        <f t="shared" si="12"/>
        <v>0</v>
      </c>
      <c r="O50" s="393"/>
      <c r="P50" s="307"/>
      <c r="Q50" s="387"/>
      <c r="U50" s="444"/>
      <c r="V50" s="444"/>
    </row>
    <row r="51" spans="1:22">
      <c r="A51">
        <v>9190</v>
      </c>
      <c r="B51" t="s">
        <v>11</v>
      </c>
      <c r="C51" t="s">
        <v>11</v>
      </c>
      <c r="D51" s="143" t="s">
        <v>6</v>
      </c>
      <c r="E51" s="144">
        <v>43187.35533564815</v>
      </c>
      <c r="F51" s="297">
        <f t="shared" si="5"/>
        <v>43187.35533564815</v>
      </c>
      <c r="G51" s="298" t="str">
        <f t="shared" si="6"/>
        <v>8:31</v>
      </c>
      <c r="H51" s="299">
        <f t="shared" si="7"/>
        <v>14.283333333333333</v>
      </c>
      <c r="I51" s="300">
        <f t="shared" si="8"/>
        <v>8</v>
      </c>
      <c r="J51" s="300" t="str">
        <f t="shared" si="9"/>
        <v>-</v>
      </c>
      <c r="K51" s="301">
        <f t="shared" si="10"/>
        <v>0</v>
      </c>
      <c r="L51" s="301"/>
      <c r="M51" s="302">
        <f t="shared" si="11"/>
        <v>0</v>
      </c>
      <c r="N51" s="302">
        <f t="shared" si="12"/>
        <v>0</v>
      </c>
      <c r="O51" s="393"/>
      <c r="P51" s="307"/>
      <c r="Q51" s="387"/>
      <c r="U51" s="444"/>
      <c r="V51" s="444"/>
    </row>
    <row r="52" spans="1:22">
      <c r="A52">
        <v>9225</v>
      </c>
      <c r="B52" t="s">
        <v>11</v>
      </c>
      <c r="C52" t="s">
        <v>11</v>
      </c>
      <c r="D52" s="143" t="s">
        <v>5</v>
      </c>
      <c r="E52" s="144">
        <v>43187.950115740743</v>
      </c>
      <c r="F52" s="297">
        <f t="shared" si="5"/>
        <v>43187.950115740743</v>
      </c>
      <c r="G52" s="298" t="str">
        <f t="shared" si="6"/>
        <v>22:48</v>
      </c>
      <c r="H52" s="299" t="str">
        <f t="shared" si="7"/>
        <v>-</v>
      </c>
      <c r="I52" s="300" t="str">
        <f t="shared" si="8"/>
        <v>-</v>
      </c>
      <c r="J52" s="300" t="str">
        <f t="shared" si="9"/>
        <v>-</v>
      </c>
      <c r="K52" s="301">
        <f t="shared" si="10"/>
        <v>0</v>
      </c>
      <c r="L52" s="301"/>
      <c r="M52" s="302">
        <f t="shared" si="11"/>
        <v>0</v>
      </c>
      <c r="N52" s="302">
        <f t="shared" si="12"/>
        <v>0</v>
      </c>
      <c r="O52" s="393"/>
      <c r="P52" s="307"/>
      <c r="Q52" s="387"/>
      <c r="U52" s="444"/>
      <c r="V52" s="444"/>
    </row>
    <row r="53" spans="1:22">
      <c r="A53">
        <v>9228</v>
      </c>
      <c r="B53" t="s">
        <v>11</v>
      </c>
      <c r="C53" t="s">
        <v>11</v>
      </c>
      <c r="D53" s="143" t="s">
        <v>6</v>
      </c>
      <c r="E53" s="144">
        <v>43188.364201388889</v>
      </c>
      <c r="F53" s="297">
        <f t="shared" si="5"/>
        <v>43188.364201388889</v>
      </c>
      <c r="G53" s="298" t="str">
        <f t="shared" si="6"/>
        <v>8:44</v>
      </c>
      <c r="H53" s="299">
        <f t="shared" si="7"/>
        <v>10.533333333333331</v>
      </c>
      <c r="I53" s="300">
        <f t="shared" si="8"/>
        <v>8</v>
      </c>
      <c r="J53" s="300" t="str">
        <f t="shared" si="9"/>
        <v>-</v>
      </c>
      <c r="K53" s="301">
        <f t="shared" si="10"/>
        <v>0</v>
      </c>
      <c r="L53" s="301"/>
      <c r="M53" s="302">
        <f t="shared" si="11"/>
        <v>0</v>
      </c>
      <c r="N53" s="302">
        <f t="shared" si="12"/>
        <v>0</v>
      </c>
      <c r="O53" s="393"/>
      <c r="P53" s="307"/>
      <c r="Q53" s="387"/>
      <c r="U53" s="444"/>
      <c r="V53" s="444"/>
    </row>
    <row r="54" spans="1:22">
      <c r="A54">
        <v>9251</v>
      </c>
      <c r="B54" t="s">
        <v>11</v>
      </c>
      <c r="C54" t="s">
        <v>11</v>
      </c>
      <c r="D54" s="143" t="s">
        <v>5</v>
      </c>
      <c r="E54" s="144">
        <v>43188.802905092591</v>
      </c>
      <c r="F54" s="297">
        <f t="shared" si="5"/>
        <v>43188.802905092591</v>
      </c>
      <c r="G54" s="298" t="str">
        <f t="shared" si="6"/>
        <v>19:16</v>
      </c>
      <c r="H54" s="299" t="str">
        <f t="shared" si="7"/>
        <v>-</v>
      </c>
      <c r="I54" s="300" t="str">
        <f t="shared" si="8"/>
        <v>-</v>
      </c>
      <c r="J54" s="300" t="str">
        <f t="shared" si="9"/>
        <v>-</v>
      </c>
      <c r="K54" s="301">
        <f t="shared" si="10"/>
        <v>0</v>
      </c>
      <c r="L54" s="301"/>
      <c r="M54" s="302">
        <f t="shared" si="11"/>
        <v>0</v>
      </c>
      <c r="N54" s="302">
        <f t="shared" si="12"/>
        <v>0</v>
      </c>
      <c r="O54" s="393"/>
      <c r="P54" s="307"/>
      <c r="Q54" s="387"/>
      <c r="U54" s="444"/>
      <c r="V54" s="444"/>
    </row>
    <row r="55" spans="1:22">
      <c r="A55">
        <v>9259</v>
      </c>
      <c r="B55" t="s">
        <v>11</v>
      </c>
      <c r="C55" t="s">
        <v>11</v>
      </c>
      <c r="D55" s="143" t="s">
        <v>6</v>
      </c>
      <c r="E55" s="144">
        <v>43189.359861111108</v>
      </c>
      <c r="F55" s="297">
        <f t="shared" si="5"/>
        <v>43189.359861111108</v>
      </c>
      <c r="G55" s="298" t="str">
        <f t="shared" si="6"/>
        <v>8:38</v>
      </c>
      <c r="H55" s="299">
        <f t="shared" si="7"/>
        <v>10.866666666666667</v>
      </c>
      <c r="I55" s="300">
        <f t="shared" si="8"/>
        <v>8</v>
      </c>
      <c r="J55" s="300" t="str">
        <f t="shared" si="9"/>
        <v>-</v>
      </c>
      <c r="K55" s="301">
        <f t="shared" si="10"/>
        <v>0</v>
      </c>
      <c r="L55" s="301"/>
      <c r="M55" s="302">
        <f t="shared" si="11"/>
        <v>0</v>
      </c>
      <c r="N55" s="302">
        <f t="shared" si="12"/>
        <v>0</v>
      </c>
      <c r="O55" s="393"/>
      <c r="P55" s="307"/>
      <c r="Q55" s="387"/>
      <c r="U55" s="444"/>
      <c r="V55" s="444"/>
    </row>
    <row r="56" spans="1:22">
      <c r="A56">
        <v>9280</v>
      </c>
      <c r="B56" t="s">
        <v>11</v>
      </c>
      <c r="C56" t="s">
        <v>11</v>
      </c>
      <c r="D56" s="143" t="s">
        <v>5</v>
      </c>
      <c r="E56" s="144">
        <v>43189.8125462963</v>
      </c>
      <c r="F56" s="297">
        <f t="shared" si="5"/>
        <v>43189.8125462963</v>
      </c>
      <c r="G56" s="298" t="str">
        <f t="shared" si="6"/>
        <v>19:30</v>
      </c>
      <c r="H56" s="299" t="str">
        <f t="shared" si="7"/>
        <v>-</v>
      </c>
      <c r="I56" s="300" t="str">
        <f t="shared" si="8"/>
        <v>-</v>
      </c>
      <c r="J56" s="300" t="str">
        <f t="shared" si="9"/>
        <v>-</v>
      </c>
      <c r="K56" s="301">
        <f t="shared" si="10"/>
        <v>0</v>
      </c>
      <c r="L56" s="301"/>
      <c r="M56" s="302">
        <f t="shared" si="11"/>
        <v>0</v>
      </c>
      <c r="N56" s="302">
        <f t="shared" si="12"/>
        <v>0</v>
      </c>
      <c r="O56" s="393"/>
      <c r="P56" s="307"/>
      <c r="Q56" s="387"/>
      <c r="U56" s="444"/>
      <c r="V56" s="444"/>
    </row>
    <row r="57" spans="1:22">
      <c r="A57">
        <v>9285</v>
      </c>
      <c r="B57" t="s">
        <v>78</v>
      </c>
      <c r="C57" t="s">
        <v>11</v>
      </c>
      <c r="D57" s="143" t="s">
        <v>6</v>
      </c>
      <c r="E57" s="144">
        <v>43190.361770833333</v>
      </c>
      <c r="F57" s="297">
        <f t="shared" si="5"/>
        <v>43190.361770833333</v>
      </c>
      <c r="G57" s="298" t="str">
        <f t="shared" si="6"/>
        <v>8:40</v>
      </c>
      <c r="H57" s="299">
        <f t="shared" si="7"/>
        <v>10.966666666666667</v>
      </c>
      <c r="I57" s="300">
        <f t="shared" si="8"/>
        <v>8</v>
      </c>
      <c r="J57" s="300" t="str">
        <f t="shared" si="9"/>
        <v>-</v>
      </c>
      <c r="K57" s="301">
        <f t="shared" si="10"/>
        <v>0</v>
      </c>
      <c r="L57" s="301"/>
      <c r="M57" s="302">
        <f t="shared" si="11"/>
        <v>0</v>
      </c>
      <c r="N57" s="302">
        <f t="shared" si="12"/>
        <v>0</v>
      </c>
      <c r="O57" s="393"/>
      <c r="P57" s="307"/>
      <c r="Q57" s="387"/>
      <c r="U57" s="444"/>
      <c r="V57" s="444"/>
    </row>
    <row r="58" spans="1:22">
      <c r="A58">
        <v>9307</v>
      </c>
      <c r="B58" t="s">
        <v>11</v>
      </c>
      <c r="C58" t="s">
        <v>11</v>
      </c>
      <c r="D58" s="143" t="s">
        <v>5</v>
      </c>
      <c r="E58" s="144">
        <v>43190.818657407406</v>
      </c>
      <c r="F58" s="297">
        <f t="shared" si="5"/>
        <v>43190.818657407406</v>
      </c>
      <c r="G58" s="298" t="str">
        <f t="shared" si="6"/>
        <v>19:38</v>
      </c>
      <c r="H58" s="299" t="str">
        <f t="shared" si="7"/>
        <v>-</v>
      </c>
      <c r="I58" s="300" t="str">
        <f t="shared" si="8"/>
        <v>-</v>
      </c>
      <c r="J58" s="300" t="str">
        <f t="shared" si="9"/>
        <v>-</v>
      </c>
      <c r="K58" s="301">
        <f t="shared" si="10"/>
        <v>0</v>
      </c>
      <c r="L58" s="301"/>
      <c r="M58" s="302">
        <f t="shared" si="11"/>
        <v>0</v>
      </c>
      <c r="N58" s="302">
        <f t="shared" si="12"/>
        <v>0</v>
      </c>
      <c r="O58" s="393"/>
      <c r="P58" s="307"/>
      <c r="Q58" s="387"/>
      <c r="U58" s="444"/>
      <c r="V58" s="444"/>
    </row>
    <row r="59" spans="1:22">
      <c r="O59" s="307"/>
      <c r="P59" s="307"/>
      <c r="Q59" s="307"/>
      <c r="R59" s="307"/>
      <c r="S59" s="307"/>
      <c r="T59" s="307"/>
      <c r="U59" s="307"/>
      <c r="V59" s="387"/>
    </row>
    <row r="60" spans="1:22">
      <c r="O60" s="307"/>
      <c r="P60" s="307"/>
    </row>
    <row r="61" spans="1:22">
      <c r="D61" s="9" t="s">
        <v>37</v>
      </c>
      <c r="O61" s="307"/>
      <c r="P61" s="307"/>
    </row>
    <row r="62" spans="1:22">
      <c r="D62" s="9" t="s">
        <v>36</v>
      </c>
      <c r="O62" s="307"/>
      <c r="P62" s="307"/>
    </row>
    <row r="63" spans="1:22">
      <c r="D63" s="172" t="s">
        <v>64</v>
      </c>
      <c r="O63" s="307"/>
      <c r="P63" s="307"/>
    </row>
    <row r="64" spans="1:22">
      <c r="D64" t="s">
        <v>67</v>
      </c>
      <c r="O64" s="307"/>
      <c r="P64" s="307"/>
    </row>
    <row r="65" spans="4:16">
      <c r="D65" t="s">
        <v>65</v>
      </c>
      <c r="O65" s="307"/>
      <c r="P65" s="307"/>
    </row>
    <row r="66" spans="4:16">
      <c r="D66" t="s">
        <v>69</v>
      </c>
      <c r="O66" s="307"/>
      <c r="P66" s="307"/>
    </row>
    <row r="67" spans="4:16">
      <c r="D67" t="s">
        <v>70</v>
      </c>
      <c r="O67" s="307"/>
      <c r="P67" s="307"/>
    </row>
    <row r="68" spans="4:16">
      <c r="D68" t="s">
        <v>66</v>
      </c>
      <c r="O68" s="307"/>
      <c r="P68" s="307"/>
    </row>
    <row r="69" spans="4:16">
      <c r="D69" t="s">
        <v>68</v>
      </c>
      <c r="O69" s="307"/>
      <c r="P69" s="307"/>
    </row>
    <row r="70" spans="4:16">
      <c r="O70" s="307"/>
      <c r="P70" s="307"/>
    </row>
    <row r="71" spans="4:16">
      <c r="O71" s="307"/>
      <c r="P71" s="307"/>
    </row>
    <row r="72" spans="4:16">
      <c r="O72" s="307"/>
      <c r="P72" s="307"/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V73"/>
  <sheetViews>
    <sheetView view="pageBreakPreview" topLeftCell="A61" zoomScaleNormal="100" zoomScaleSheetLayoutView="100" workbookViewId="0">
      <selection activeCell="C7" sqref="C7"/>
    </sheetView>
  </sheetViews>
  <sheetFormatPr baseColWidth="10" defaultColWidth="8.83203125" defaultRowHeight="15" outlineLevelCol="1"/>
  <cols>
    <col min="1" max="2" width="6.83203125" customWidth="1" outlineLevel="1"/>
    <col min="3" max="3" width="6.5" style="3" customWidth="1" outlineLevel="1"/>
    <col min="4" max="4" width="9.6640625" style="3" customWidth="1"/>
    <col min="5" max="5" width="15.1640625" style="3" customWidth="1"/>
    <col min="6" max="6" width="7.5" style="16" customWidth="1"/>
    <col min="7" max="7" width="8.6640625" style="17" hidden="1" customWidth="1" outlineLevel="1"/>
    <col min="8" max="8" width="6.1640625" style="51" hidden="1" customWidth="1" outlineLevel="1"/>
    <col min="9" max="9" width="11" style="21" customWidth="1" collapsed="1"/>
    <col min="10" max="10" width="10" style="21" customWidth="1"/>
    <col min="11" max="11" width="8.33203125" style="22" customWidth="1" outlineLevel="1"/>
    <col min="12" max="12" width="8.33203125" style="22" customWidth="1"/>
    <col min="13" max="13" width="10.5" style="22" customWidth="1"/>
    <col min="14" max="14" width="9.1640625" style="22" customWidth="1"/>
    <col min="15" max="15" width="17.66406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2" s="4" customFormat="1" ht="28" thickBot="1">
      <c r="C1" s="5"/>
      <c r="D1" s="6"/>
      <c r="E1" s="6"/>
      <c r="F1" s="10"/>
      <c r="G1" s="11"/>
      <c r="H1" s="12"/>
      <c r="I1" s="13" t="str">
        <f>B7</f>
        <v>amber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2">
      <c r="D2" s="133" t="s">
        <v>75</v>
      </c>
      <c r="E2" s="184">
        <v>0</v>
      </c>
      <c r="F2" s="79" t="s">
        <v>76</v>
      </c>
      <c r="G2" s="80"/>
      <c r="H2" s="80"/>
      <c r="I2" s="81"/>
      <c r="J2" s="81" t="s">
        <v>54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2" ht="16" thickBot="1">
      <c r="D3" s="24" t="s">
        <v>77</v>
      </c>
      <c r="E3" s="188">
        <v>0</v>
      </c>
      <c r="F3" s="25"/>
      <c r="G3" s="26"/>
      <c r="H3" s="26"/>
      <c r="I3" s="88"/>
      <c r="J3" s="54">
        <f>D5+E5</f>
        <v>25.5</v>
      </c>
      <c r="K3" s="53">
        <f>SUM(K7:K94)</f>
        <v>9.5833333333333357</v>
      </c>
      <c r="L3" s="53">
        <f>M6+N6</f>
        <v>9.5833333333333357</v>
      </c>
      <c r="M3" s="53">
        <v>0</v>
      </c>
      <c r="N3" s="53">
        <v>0</v>
      </c>
      <c r="O3" s="50"/>
    </row>
    <row r="4" spans="1:22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2">
      <c r="D5" s="392">
        <f>J6</f>
        <v>25.5</v>
      </c>
      <c r="E5" s="136">
        <v>0</v>
      </c>
      <c r="F5" s="139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5.989583333333335E-2</v>
      </c>
    </row>
    <row r="6" spans="1:22" ht="16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SUM(I7:I70)</f>
        <v>158.5</v>
      </c>
      <c r="J6" s="78">
        <f t="shared" ref="J6:N6" si="0">SUM(J7:J70)</f>
        <v>25.5</v>
      </c>
      <c r="K6" s="78">
        <f t="shared" si="0"/>
        <v>9.5833333333333357</v>
      </c>
      <c r="L6" s="78">
        <f t="shared" si="0"/>
        <v>0</v>
      </c>
      <c r="M6" s="78">
        <f t="shared" si="0"/>
        <v>5.31666666666667</v>
      </c>
      <c r="N6" s="78">
        <f t="shared" si="0"/>
        <v>4.2666666666666648</v>
      </c>
      <c r="O6" s="45"/>
      <c r="Q6" s="47"/>
    </row>
    <row r="7" spans="1:22" s="16" customFormat="1">
      <c r="A7" s="426">
        <v>8499</v>
      </c>
      <c r="B7" s="426" t="s">
        <v>9</v>
      </c>
      <c r="C7" s="426" t="s">
        <v>9</v>
      </c>
      <c r="D7" s="430" t="s">
        <v>6</v>
      </c>
      <c r="E7" s="431">
        <v>43160.725474537037</v>
      </c>
      <c r="F7" s="31">
        <f t="shared" ref="F7" si="1">E7</f>
        <v>43160.725474537037</v>
      </c>
      <c r="G7" s="32" t="str">
        <f t="shared" ref="G7" si="2">HOUR(E7)&amp;":"&amp;MINUTE(E7)</f>
        <v>17:24</v>
      </c>
      <c r="H7" s="33">
        <f t="shared" ref="H7" si="3">IF(D7="上班",(G8-G7)*24,"-")</f>
        <v>1.4833333333333334</v>
      </c>
      <c r="I7" s="58">
        <v>1</v>
      </c>
      <c r="J7" s="58">
        <f t="shared" ref="J7" si="4">IF(I7&lt;8,8-I7,"-")</f>
        <v>7</v>
      </c>
      <c r="K7" s="34">
        <f t="shared" ref="K7" si="5">IF(D7="加班",(G8-G7)*24,0)</f>
        <v>0</v>
      </c>
      <c r="L7" s="34"/>
      <c r="M7" s="35">
        <f t="shared" ref="M7" si="6">IF(K7&gt;2,2,K7)</f>
        <v>0</v>
      </c>
      <c r="N7" s="35">
        <f t="shared" ref="N7" si="7">IF(K7&gt;2,K7-2,0)</f>
        <v>0</v>
      </c>
      <c r="O7" s="36" t="s">
        <v>114</v>
      </c>
      <c r="P7" s="137"/>
      <c r="Q7" s="137"/>
      <c r="R7" s="137"/>
      <c r="S7" s="137"/>
    </row>
    <row r="8" spans="1:22" s="16" customFormat="1">
      <c r="A8" s="140">
        <v>8512</v>
      </c>
      <c r="B8" s="140" t="s">
        <v>9</v>
      </c>
      <c r="C8" s="140" t="s">
        <v>9</v>
      </c>
      <c r="D8" s="143" t="s">
        <v>5</v>
      </c>
      <c r="E8" s="144">
        <v>43160.787256944444</v>
      </c>
      <c r="F8" s="89">
        <f t="shared" ref="F8:F62" si="8">E8</f>
        <v>43160.787256944444</v>
      </c>
      <c r="G8" s="90" t="str">
        <f t="shared" ref="G8:G62" si="9">HOUR(E8)&amp;":"&amp;MINUTE(E8)</f>
        <v>18:53</v>
      </c>
      <c r="H8" s="91" t="str">
        <f t="shared" ref="H8:H62" si="10">IF(D8="上班",(G9-G8)*24,"-")</f>
        <v>-</v>
      </c>
      <c r="I8" s="92" t="str">
        <f t="shared" ref="I8:I62" si="11">IF(D8="上班",IF(H8-1.5&gt;8,8,H8-1.5),"-")</f>
        <v>-</v>
      </c>
      <c r="J8" s="92" t="str">
        <f t="shared" ref="J8:J62" si="12">IF(I8&lt;8,8-I8,"-")</f>
        <v>-</v>
      </c>
      <c r="K8" s="93">
        <f t="shared" ref="K8:K62" si="13">IF(D8="加班",(G9-G8)*24,0)</f>
        <v>0</v>
      </c>
      <c r="L8" s="93"/>
      <c r="M8" s="94">
        <f t="shared" ref="M8:M62" si="14">IF(K8&gt;2,2,K8)</f>
        <v>0</v>
      </c>
      <c r="N8" s="94">
        <f t="shared" ref="N8:N62" si="15">IF(K8&gt;2,K8-2,0)</f>
        <v>0</v>
      </c>
      <c r="O8" s="171"/>
      <c r="P8" s="137"/>
      <c r="Q8" s="137"/>
      <c r="R8" s="137"/>
      <c r="S8" s="137"/>
    </row>
    <row r="9" spans="1:22" s="427" customFormat="1">
      <c r="A9" s="429">
        <v>8522</v>
      </c>
      <c r="B9" s="429" t="s">
        <v>9</v>
      </c>
      <c r="C9" s="429" t="s">
        <v>9</v>
      </c>
      <c r="D9" s="445" t="s">
        <v>6</v>
      </c>
      <c r="E9" s="446">
        <v>43161.363958333335</v>
      </c>
      <c r="F9" s="135">
        <f t="shared" si="8"/>
        <v>43161.363958333335</v>
      </c>
      <c r="G9" s="67" t="str">
        <f t="shared" si="9"/>
        <v>8:44</v>
      </c>
      <c r="H9" s="64">
        <f t="shared" si="10"/>
        <v>3.6666666666666683</v>
      </c>
      <c r="I9" s="66">
        <f>H9</f>
        <v>3.6666666666666683</v>
      </c>
      <c r="J9" s="66"/>
      <c r="K9" s="68">
        <f t="shared" si="13"/>
        <v>0</v>
      </c>
      <c r="L9" s="68"/>
      <c r="M9" s="65">
        <f t="shared" si="14"/>
        <v>0</v>
      </c>
      <c r="N9" s="65">
        <f t="shared" si="15"/>
        <v>0</v>
      </c>
      <c r="O9" s="186" t="s">
        <v>114</v>
      </c>
    </row>
    <row r="10" spans="1:22" s="427" customFormat="1">
      <c r="A10" s="429">
        <v>8532</v>
      </c>
      <c r="B10" s="429" t="s">
        <v>9</v>
      </c>
      <c r="C10" s="429" t="s">
        <v>9</v>
      </c>
      <c r="D10" s="445" t="s">
        <v>5</v>
      </c>
      <c r="E10" s="446">
        <v>43161.517256944448</v>
      </c>
      <c r="F10" s="135">
        <f t="shared" si="8"/>
        <v>43161.517256944448</v>
      </c>
      <c r="G10" s="67" t="str">
        <f t="shared" si="9"/>
        <v>12:24</v>
      </c>
      <c r="H10" s="64" t="str">
        <f t="shared" si="10"/>
        <v>-</v>
      </c>
      <c r="I10" s="66" t="str">
        <f t="shared" si="11"/>
        <v>-</v>
      </c>
      <c r="J10" s="66" t="str">
        <f t="shared" si="12"/>
        <v>-</v>
      </c>
      <c r="K10" s="68">
        <f t="shared" si="13"/>
        <v>0</v>
      </c>
      <c r="L10" s="68"/>
      <c r="M10" s="65">
        <f t="shared" si="14"/>
        <v>0</v>
      </c>
      <c r="N10" s="65">
        <f t="shared" si="15"/>
        <v>0</v>
      </c>
      <c r="O10" s="186"/>
      <c r="V10" s="428"/>
    </row>
    <row r="11" spans="1:22" s="427" customFormat="1">
      <c r="A11" s="429">
        <v>8533</v>
      </c>
      <c r="B11" s="429" t="s">
        <v>9</v>
      </c>
      <c r="C11" s="429" t="s">
        <v>9</v>
      </c>
      <c r="D11" s="445" t="s">
        <v>6</v>
      </c>
      <c r="E11" s="446">
        <v>43161.679837962962</v>
      </c>
      <c r="F11" s="135">
        <f t="shared" si="8"/>
        <v>43161.679837962962</v>
      </c>
      <c r="G11" s="67" t="str">
        <f t="shared" si="9"/>
        <v>16:18</v>
      </c>
      <c r="H11" s="64">
        <f t="shared" si="10"/>
        <v>1.9166666666666652</v>
      </c>
      <c r="I11" s="66">
        <f>8-I9-J11</f>
        <v>1.8333333333333321</v>
      </c>
      <c r="J11" s="66">
        <v>2.5</v>
      </c>
      <c r="K11" s="68">
        <f t="shared" si="13"/>
        <v>0</v>
      </c>
      <c r="L11" s="68"/>
      <c r="M11" s="65">
        <f t="shared" si="14"/>
        <v>0</v>
      </c>
      <c r="N11" s="65">
        <f t="shared" si="15"/>
        <v>0</v>
      </c>
      <c r="O11" s="186" t="s">
        <v>44</v>
      </c>
    </row>
    <row r="12" spans="1:22" s="427" customFormat="1">
      <c r="A12" s="429">
        <v>8534</v>
      </c>
      <c r="B12" s="429" t="s">
        <v>9</v>
      </c>
      <c r="C12" s="429" t="s">
        <v>9</v>
      </c>
      <c r="D12" s="445" t="s">
        <v>5</v>
      </c>
      <c r="E12" s="446">
        <v>43161.759039351855</v>
      </c>
      <c r="F12" s="135">
        <f t="shared" si="8"/>
        <v>43161.759039351855</v>
      </c>
      <c r="G12" s="67" t="str">
        <f t="shared" si="9"/>
        <v>18:13</v>
      </c>
      <c r="H12" s="64" t="str">
        <f t="shared" si="10"/>
        <v>-</v>
      </c>
      <c r="I12" s="66" t="str">
        <f t="shared" si="11"/>
        <v>-</v>
      </c>
      <c r="J12" s="66" t="str">
        <f t="shared" si="12"/>
        <v>-</v>
      </c>
      <c r="K12" s="68">
        <f t="shared" si="13"/>
        <v>0</v>
      </c>
      <c r="L12" s="68"/>
      <c r="M12" s="65">
        <f t="shared" si="14"/>
        <v>0</v>
      </c>
      <c r="N12" s="65">
        <f t="shared" si="15"/>
        <v>0</v>
      </c>
      <c r="O12" s="186"/>
    </row>
    <row r="13" spans="1:22" s="187" customFormat="1">
      <c r="A13" s="433">
        <v>8565</v>
      </c>
      <c r="B13" s="433" t="s">
        <v>93</v>
      </c>
      <c r="C13" s="433" t="s">
        <v>9</v>
      </c>
      <c r="D13" s="434" t="s">
        <v>6</v>
      </c>
      <c r="E13" s="435">
        <v>43164.373113425929</v>
      </c>
      <c r="F13" s="436">
        <f t="shared" si="8"/>
        <v>43164.373113425929</v>
      </c>
      <c r="G13" s="437" t="str">
        <f t="shared" si="9"/>
        <v>8:57</v>
      </c>
      <c r="H13" s="438">
        <f t="shared" si="10"/>
        <v>8.1999999999999993</v>
      </c>
      <c r="I13" s="439">
        <v>6.5</v>
      </c>
      <c r="J13" s="439">
        <f t="shared" si="12"/>
        <v>1.5</v>
      </c>
      <c r="K13" s="440">
        <f t="shared" si="13"/>
        <v>0</v>
      </c>
      <c r="L13" s="440"/>
      <c r="M13" s="441">
        <f t="shared" si="14"/>
        <v>0</v>
      </c>
      <c r="N13" s="441">
        <f t="shared" si="15"/>
        <v>0</v>
      </c>
      <c r="O13" s="432" t="s">
        <v>114</v>
      </c>
    </row>
    <row r="14" spans="1:22" s="16" customFormat="1">
      <c r="A14" s="140">
        <v>8570</v>
      </c>
      <c r="B14" s="140" t="s">
        <v>9</v>
      </c>
      <c r="C14" s="140" t="s">
        <v>9</v>
      </c>
      <c r="D14" s="143" t="s">
        <v>5</v>
      </c>
      <c r="E14" s="144">
        <v>43164.71471064815</v>
      </c>
      <c r="F14" s="89">
        <f t="shared" si="8"/>
        <v>43164.71471064815</v>
      </c>
      <c r="G14" s="90" t="str">
        <f t="shared" si="9"/>
        <v>17:9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171"/>
      <c r="P14" s="137"/>
      <c r="Q14" s="137"/>
      <c r="R14" s="137"/>
      <c r="S14" s="137"/>
    </row>
    <row r="15" spans="1:22" s="137" customFormat="1">
      <c r="A15" s="426">
        <v>8600</v>
      </c>
      <c r="B15" s="426" t="s">
        <v>9</v>
      </c>
      <c r="C15" s="426" t="s">
        <v>9</v>
      </c>
      <c r="D15" s="138" t="s">
        <v>6</v>
      </c>
      <c r="E15" s="146">
        <v>43165.369710648149</v>
      </c>
      <c r="F15" s="31">
        <f t="shared" si="8"/>
        <v>43165.369710648149</v>
      </c>
      <c r="G15" s="32" t="str">
        <f t="shared" si="9"/>
        <v>8:52</v>
      </c>
      <c r="H15" s="33">
        <f t="shared" si="10"/>
        <v>9.1333333333333329</v>
      </c>
      <c r="I15" s="58">
        <v>7.5</v>
      </c>
      <c r="J15" s="58">
        <f t="shared" si="12"/>
        <v>0.5</v>
      </c>
      <c r="K15" s="34">
        <f t="shared" si="13"/>
        <v>0</v>
      </c>
      <c r="L15" s="34"/>
      <c r="M15" s="35">
        <f t="shared" si="14"/>
        <v>0</v>
      </c>
      <c r="N15" s="35">
        <f t="shared" si="15"/>
        <v>0</v>
      </c>
      <c r="O15" s="432" t="s">
        <v>114</v>
      </c>
    </row>
    <row r="16" spans="1:22" s="137" customFormat="1">
      <c r="A16" s="140">
        <v>8604</v>
      </c>
      <c r="B16" s="140" t="s">
        <v>9</v>
      </c>
      <c r="C16" s="140" t="s">
        <v>9</v>
      </c>
      <c r="D16" s="143" t="s">
        <v>5</v>
      </c>
      <c r="E16" s="144">
        <v>43165.750092592592</v>
      </c>
      <c r="F16" s="89">
        <f t="shared" si="8"/>
        <v>43165.750092592592</v>
      </c>
      <c r="G16" s="90" t="str">
        <f t="shared" si="9"/>
        <v>18:0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171"/>
    </row>
    <row r="17" spans="1:16" s="137" customFormat="1">
      <c r="A17" s="426">
        <v>8632</v>
      </c>
      <c r="B17" s="426" t="s">
        <v>9</v>
      </c>
      <c r="C17" s="426" t="s">
        <v>9</v>
      </c>
      <c r="D17" s="138" t="s">
        <v>6</v>
      </c>
      <c r="E17" s="146">
        <v>43166.369409722225</v>
      </c>
      <c r="F17" s="31">
        <f t="shared" si="8"/>
        <v>43166.369409722225</v>
      </c>
      <c r="G17" s="32" t="str">
        <f t="shared" si="9"/>
        <v>8:51</v>
      </c>
      <c r="H17" s="33">
        <f t="shared" si="10"/>
        <v>8.4</v>
      </c>
      <c r="I17" s="58">
        <v>6.5</v>
      </c>
      <c r="J17" s="58">
        <f t="shared" si="12"/>
        <v>1.5</v>
      </c>
      <c r="K17" s="34">
        <f t="shared" si="13"/>
        <v>0</v>
      </c>
      <c r="L17" s="34"/>
      <c r="M17" s="35">
        <f t="shared" si="14"/>
        <v>0</v>
      </c>
      <c r="N17" s="35">
        <f t="shared" si="15"/>
        <v>0</v>
      </c>
      <c r="O17" s="432" t="s">
        <v>114</v>
      </c>
    </row>
    <row r="18" spans="1:16" s="137" customFormat="1">
      <c r="A18" s="140">
        <v>8639</v>
      </c>
      <c r="B18" s="140" t="s">
        <v>9</v>
      </c>
      <c r="C18" s="140" t="s">
        <v>9</v>
      </c>
      <c r="D18" s="143" t="s">
        <v>5</v>
      </c>
      <c r="E18" s="144">
        <v>43166.719189814816</v>
      </c>
      <c r="F18" s="89">
        <f t="shared" si="8"/>
        <v>43166.719189814816</v>
      </c>
      <c r="G18" s="90" t="str">
        <f t="shared" si="9"/>
        <v>17:15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171"/>
    </row>
    <row r="19" spans="1:16" s="137" customFormat="1">
      <c r="A19" s="140">
        <v>8666</v>
      </c>
      <c r="B19" s="140" t="s">
        <v>9</v>
      </c>
      <c r="C19" s="140" t="s">
        <v>9</v>
      </c>
      <c r="D19" s="143" t="s">
        <v>6</v>
      </c>
      <c r="E19" s="144">
        <v>43167.368275462963</v>
      </c>
      <c r="F19" s="89">
        <f t="shared" si="8"/>
        <v>43167.368275462963</v>
      </c>
      <c r="G19" s="90" t="str">
        <f t="shared" si="9"/>
        <v>8:50</v>
      </c>
      <c r="H19" s="91">
        <f t="shared" si="10"/>
        <v>9.533333333333335</v>
      </c>
      <c r="I19" s="92">
        <f t="shared" si="11"/>
        <v>8</v>
      </c>
      <c r="J19" s="92" t="str">
        <f t="shared" si="12"/>
        <v>-</v>
      </c>
      <c r="K19" s="93">
        <f t="shared" si="13"/>
        <v>0</v>
      </c>
      <c r="L19" s="93"/>
      <c r="M19" s="94">
        <f t="shared" si="14"/>
        <v>0</v>
      </c>
      <c r="N19" s="94">
        <f t="shared" si="15"/>
        <v>0</v>
      </c>
      <c r="O19" s="171"/>
    </row>
    <row r="20" spans="1:16" s="137" customFormat="1">
      <c r="A20" s="140">
        <v>8673</v>
      </c>
      <c r="B20" s="140" t="s">
        <v>9</v>
      </c>
      <c r="C20" s="140" t="s">
        <v>9</v>
      </c>
      <c r="D20" s="143" t="s">
        <v>5</v>
      </c>
      <c r="E20" s="144">
        <v>43167.765798611108</v>
      </c>
      <c r="F20" s="89">
        <f t="shared" si="8"/>
        <v>43167.765798611108</v>
      </c>
      <c r="G20" s="90" t="str">
        <f t="shared" si="9"/>
        <v>18:22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171"/>
    </row>
    <row r="21" spans="1:16" s="137" customFormat="1">
      <c r="A21" s="140">
        <v>8694</v>
      </c>
      <c r="B21" s="140" t="s">
        <v>93</v>
      </c>
      <c r="C21" s="140" t="s">
        <v>9</v>
      </c>
      <c r="D21" s="143" t="s">
        <v>6</v>
      </c>
      <c r="E21" s="144">
        <v>43168.363437499997</v>
      </c>
      <c r="F21" s="89">
        <f t="shared" si="8"/>
        <v>43168.363437499997</v>
      </c>
      <c r="G21" s="90" t="str">
        <f t="shared" si="9"/>
        <v>8:43</v>
      </c>
      <c r="H21" s="91">
        <f t="shared" si="10"/>
        <v>9.7000000000000011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171"/>
    </row>
    <row r="22" spans="1:16" s="137" customFormat="1">
      <c r="A22" s="140">
        <v>8706</v>
      </c>
      <c r="B22" s="140" t="s">
        <v>9</v>
      </c>
      <c r="C22" s="140" t="s">
        <v>9</v>
      </c>
      <c r="D22" s="143" t="s">
        <v>5</v>
      </c>
      <c r="E22" s="144">
        <v>43168.767951388887</v>
      </c>
      <c r="F22" s="89">
        <f t="shared" si="8"/>
        <v>43168.767951388887</v>
      </c>
      <c r="G22" s="90" t="str">
        <f t="shared" si="9"/>
        <v>18:25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171"/>
    </row>
    <row r="23" spans="1:16" s="63" customFormat="1">
      <c r="A23" s="145">
        <v>8728</v>
      </c>
      <c r="B23" s="145" t="s">
        <v>9</v>
      </c>
      <c r="C23" s="145" t="s">
        <v>9</v>
      </c>
      <c r="D23" s="424" t="s">
        <v>13</v>
      </c>
      <c r="E23" s="146">
        <v>43170.37572916667</v>
      </c>
      <c r="F23" s="89">
        <f t="shared" si="8"/>
        <v>43170.37572916667</v>
      </c>
      <c r="G23" s="90" t="str">
        <f t="shared" si="9"/>
        <v>9:1</v>
      </c>
      <c r="H23" s="91" t="str">
        <f t="shared" si="10"/>
        <v>-</v>
      </c>
      <c r="I23" s="92" t="str">
        <f t="shared" si="11"/>
        <v>-</v>
      </c>
      <c r="J23" s="92" t="str">
        <f t="shared" si="12"/>
        <v>-</v>
      </c>
      <c r="K23" s="93">
        <f t="shared" si="13"/>
        <v>4.0833333333333304</v>
      </c>
      <c r="L23" s="93"/>
      <c r="M23" s="94">
        <f t="shared" si="14"/>
        <v>2</v>
      </c>
      <c r="N23" s="94">
        <f t="shared" si="15"/>
        <v>2.0833333333333304</v>
      </c>
      <c r="O23" s="171"/>
    </row>
    <row r="24" spans="1:16" s="9" customFormat="1">
      <c r="A24" s="140">
        <v>8734</v>
      </c>
      <c r="B24" s="140" t="s">
        <v>9</v>
      </c>
      <c r="C24" s="140" t="s">
        <v>9</v>
      </c>
      <c r="D24" s="143" t="s">
        <v>8</v>
      </c>
      <c r="E24" s="144">
        <v>43170.546168981484</v>
      </c>
      <c r="F24" s="89">
        <f t="shared" si="8"/>
        <v>43170.546168981484</v>
      </c>
      <c r="G24" s="90" t="str">
        <f t="shared" si="9"/>
        <v>13:6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171"/>
    </row>
    <row r="25" spans="1:16" s="18" customFormat="1">
      <c r="A25" s="140">
        <v>8767</v>
      </c>
      <c r="B25" s="140" t="s">
        <v>9</v>
      </c>
      <c r="C25" s="140" t="s">
        <v>9</v>
      </c>
      <c r="D25" s="143" t="s">
        <v>6</v>
      </c>
      <c r="E25" s="144">
        <v>43171.370196759257</v>
      </c>
      <c r="F25" s="89">
        <f t="shared" si="8"/>
        <v>43171.370196759257</v>
      </c>
      <c r="G25" s="90" t="str">
        <f t="shared" si="9"/>
        <v>8:53</v>
      </c>
      <c r="H25" s="91">
        <f t="shared" si="10"/>
        <v>8.3833333333333346</v>
      </c>
      <c r="I25" s="92">
        <v>6.5</v>
      </c>
      <c r="J25" s="92">
        <f t="shared" si="12"/>
        <v>1.5</v>
      </c>
      <c r="K25" s="93">
        <f t="shared" si="13"/>
        <v>0</v>
      </c>
      <c r="L25" s="93"/>
      <c r="M25" s="94">
        <f t="shared" si="14"/>
        <v>0</v>
      </c>
      <c r="N25" s="94">
        <f t="shared" si="15"/>
        <v>0</v>
      </c>
      <c r="O25" s="432" t="s">
        <v>114</v>
      </c>
    </row>
    <row r="26" spans="1:16" s="137" customFormat="1">
      <c r="A26" s="140">
        <v>8773</v>
      </c>
      <c r="B26" s="140" t="s">
        <v>9</v>
      </c>
      <c r="C26" s="140" t="s">
        <v>9</v>
      </c>
      <c r="D26" s="143" t="s">
        <v>5</v>
      </c>
      <c r="E26" s="144">
        <v>43171.719606481478</v>
      </c>
      <c r="F26" s="89">
        <f t="shared" si="8"/>
        <v>43171.719606481478</v>
      </c>
      <c r="G26" s="90" t="str">
        <f t="shared" si="9"/>
        <v>17:16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171"/>
    </row>
    <row r="27" spans="1:16" s="137" customFormat="1">
      <c r="A27" s="140">
        <v>8801</v>
      </c>
      <c r="B27" s="140" t="s">
        <v>9</v>
      </c>
      <c r="C27" s="140" t="s">
        <v>9</v>
      </c>
      <c r="D27" s="143" t="s">
        <v>6</v>
      </c>
      <c r="E27" s="144">
        <v>43172.361921296295</v>
      </c>
      <c r="F27" s="89">
        <f t="shared" si="8"/>
        <v>43172.361921296295</v>
      </c>
      <c r="G27" s="90" t="str">
        <f t="shared" si="9"/>
        <v>8:41</v>
      </c>
      <c r="H27" s="91">
        <f t="shared" si="10"/>
        <v>8.4500000000000011</v>
      </c>
      <c r="I27" s="92">
        <v>7</v>
      </c>
      <c r="J27" s="92">
        <f t="shared" si="12"/>
        <v>1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36" t="s">
        <v>114</v>
      </c>
    </row>
    <row r="28" spans="1:16" s="137" customFormat="1">
      <c r="A28" s="140">
        <v>8811</v>
      </c>
      <c r="B28" s="140" t="s">
        <v>9</v>
      </c>
      <c r="C28" s="140" t="s">
        <v>9</v>
      </c>
      <c r="D28" s="143" t="s">
        <v>5</v>
      </c>
      <c r="E28" s="144">
        <v>43172.714143518519</v>
      </c>
      <c r="F28" s="89">
        <f t="shared" si="8"/>
        <v>43172.714143518519</v>
      </c>
      <c r="G28" s="90" t="str">
        <f t="shared" si="9"/>
        <v>17:8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171"/>
    </row>
    <row r="29" spans="1:16" s="137" customFormat="1">
      <c r="A29" s="140">
        <v>8839</v>
      </c>
      <c r="B29" s="140" t="s">
        <v>9</v>
      </c>
      <c r="C29" s="140" t="s">
        <v>9</v>
      </c>
      <c r="D29" s="143" t="s">
        <v>6</v>
      </c>
      <c r="E29" s="144">
        <v>43173.36383101852</v>
      </c>
      <c r="F29" s="89">
        <f t="shared" si="8"/>
        <v>43173.36383101852</v>
      </c>
      <c r="G29" s="90" t="str">
        <f t="shared" si="9"/>
        <v>8:43</v>
      </c>
      <c r="H29" s="91">
        <f t="shared" si="10"/>
        <v>8.4166666666666679</v>
      </c>
      <c r="I29" s="92">
        <v>7</v>
      </c>
      <c r="J29" s="92">
        <f t="shared" si="12"/>
        <v>1</v>
      </c>
      <c r="K29" s="93">
        <f t="shared" si="13"/>
        <v>0</v>
      </c>
      <c r="L29" s="93"/>
      <c r="M29" s="94">
        <f t="shared" si="14"/>
        <v>0</v>
      </c>
      <c r="N29" s="94">
        <f t="shared" si="15"/>
        <v>0</v>
      </c>
      <c r="O29" s="36" t="s">
        <v>114</v>
      </c>
    </row>
    <row r="30" spans="1:16" s="137" customFormat="1">
      <c r="A30" s="140">
        <v>8847</v>
      </c>
      <c r="B30" s="140" t="s">
        <v>9</v>
      </c>
      <c r="C30" s="140" t="s">
        <v>9</v>
      </c>
      <c r="D30" s="143" t="s">
        <v>5</v>
      </c>
      <c r="E30" s="144">
        <v>43173.714131944442</v>
      </c>
      <c r="F30" s="89">
        <f t="shared" si="8"/>
        <v>43173.714131944442</v>
      </c>
      <c r="G30" s="90" t="str">
        <f t="shared" si="9"/>
        <v>17:8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171"/>
      <c r="P30" s="137" t="s">
        <v>20</v>
      </c>
    </row>
    <row r="31" spans="1:16" s="137" customFormat="1">
      <c r="A31" s="140">
        <v>8874</v>
      </c>
      <c r="B31" s="140" t="s">
        <v>93</v>
      </c>
      <c r="C31" s="140" t="s">
        <v>9</v>
      </c>
      <c r="D31" s="143" t="s">
        <v>6</v>
      </c>
      <c r="E31" s="144">
        <v>43174.363240740742</v>
      </c>
      <c r="F31" s="89">
        <f t="shared" si="8"/>
        <v>43174.363240740742</v>
      </c>
      <c r="G31" s="90" t="str">
        <f t="shared" si="9"/>
        <v>8:43</v>
      </c>
      <c r="H31" s="91">
        <f t="shared" si="10"/>
        <v>9.7166666666666686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171"/>
    </row>
    <row r="32" spans="1:16" s="137" customFormat="1">
      <c r="A32" s="140">
        <v>8886</v>
      </c>
      <c r="B32" s="140" t="s">
        <v>9</v>
      </c>
      <c r="C32" s="140" t="s">
        <v>9</v>
      </c>
      <c r="D32" s="143" t="s">
        <v>5</v>
      </c>
      <c r="E32" s="144">
        <v>43174.768576388888</v>
      </c>
      <c r="F32" s="89">
        <f t="shared" si="8"/>
        <v>43174.768576388888</v>
      </c>
      <c r="G32" s="90" t="str">
        <f t="shared" si="9"/>
        <v>18:26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171"/>
    </row>
    <row r="33" spans="1:21">
      <c r="A33" s="140">
        <v>8912</v>
      </c>
      <c r="B33" s="140" t="s">
        <v>9</v>
      </c>
      <c r="C33" s="140" t="s">
        <v>9</v>
      </c>
      <c r="D33" s="143" t="s">
        <v>6</v>
      </c>
      <c r="E33" s="144">
        <v>43175.365243055552</v>
      </c>
      <c r="F33" s="89">
        <f t="shared" si="8"/>
        <v>43175.365243055552</v>
      </c>
      <c r="G33" s="90" t="str">
        <f t="shared" si="9"/>
        <v>8:45</v>
      </c>
      <c r="H33" s="91">
        <f t="shared" si="10"/>
        <v>9.6000000000000014</v>
      </c>
      <c r="I33" s="92">
        <f t="shared" si="11"/>
        <v>8</v>
      </c>
      <c r="J33" s="92" t="str">
        <f t="shared" si="12"/>
        <v>-</v>
      </c>
      <c r="K33" s="93">
        <f t="shared" si="13"/>
        <v>0</v>
      </c>
      <c r="L33" s="93"/>
      <c r="M33" s="94">
        <f t="shared" si="14"/>
        <v>0</v>
      </c>
      <c r="N33" s="94">
        <f t="shared" si="15"/>
        <v>0</v>
      </c>
      <c r="O33" s="171"/>
    </row>
    <row r="34" spans="1:21">
      <c r="A34" s="140">
        <v>8919</v>
      </c>
      <c r="B34" s="140" t="s">
        <v>9</v>
      </c>
      <c r="C34" s="140" t="s">
        <v>9</v>
      </c>
      <c r="D34" s="143" t="s">
        <v>5</v>
      </c>
      <c r="E34" s="144">
        <v>43175.76494212963</v>
      </c>
      <c r="F34" s="89">
        <f t="shared" si="8"/>
        <v>43175.76494212963</v>
      </c>
      <c r="G34" s="90" t="str">
        <f t="shared" si="9"/>
        <v>18:21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171"/>
    </row>
    <row r="35" spans="1:21" s="16" customFormat="1">
      <c r="A35" s="140">
        <v>8924</v>
      </c>
      <c r="B35" s="140" t="s">
        <v>9</v>
      </c>
      <c r="C35" s="140" t="s">
        <v>9</v>
      </c>
      <c r="D35" s="143" t="s">
        <v>7</v>
      </c>
      <c r="E35" s="144">
        <v>43175.771273148152</v>
      </c>
      <c r="F35" s="89">
        <f t="shared" si="8"/>
        <v>43175.771273148152</v>
      </c>
      <c r="G35" s="90" t="str">
        <f t="shared" si="9"/>
        <v>18:30</v>
      </c>
      <c r="H35" s="91" t="str">
        <f t="shared" si="10"/>
        <v>-</v>
      </c>
      <c r="I35" s="92" t="str">
        <f t="shared" si="11"/>
        <v>-</v>
      </c>
      <c r="J35" s="92" t="str">
        <f t="shared" si="12"/>
        <v>-</v>
      </c>
      <c r="K35" s="93">
        <f t="shared" si="13"/>
        <v>1.033333333333335</v>
      </c>
      <c r="L35" s="93"/>
      <c r="M35" s="94">
        <f t="shared" si="14"/>
        <v>1.033333333333335</v>
      </c>
      <c r="N35" s="94">
        <f t="shared" si="15"/>
        <v>0</v>
      </c>
      <c r="O35" s="171"/>
      <c r="P35" s="137"/>
      <c r="Q35" s="137"/>
      <c r="R35" s="137"/>
      <c r="S35" s="137"/>
    </row>
    <row r="36" spans="1:21" s="397" customFormat="1">
      <c r="A36" s="140">
        <v>8935</v>
      </c>
      <c r="B36" s="140" t="s">
        <v>9</v>
      </c>
      <c r="C36" s="140" t="s">
        <v>9</v>
      </c>
      <c r="D36" s="143" t="s">
        <v>8</v>
      </c>
      <c r="E36" s="144">
        <v>43175.814016203702</v>
      </c>
      <c r="F36" s="89">
        <f t="shared" si="8"/>
        <v>43175.814016203702</v>
      </c>
      <c r="G36" s="90" t="str">
        <f t="shared" si="9"/>
        <v>19:32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171"/>
    </row>
    <row r="37" spans="1:21" s="137" customFormat="1">
      <c r="A37" s="425">
        <v>9010</v>
      </c>
      <c r="B37" s="425" t="s">
        <v>9</v>
      </c>
      <c r="C37" s="425" t="s">
        <v>9</v>
      </c>
      <c r="D37" s="407" t="s">
        <v>6</v>
      </c>
      <c r="E37" s="180">
        <v>43178.354710648149</v>
      </c>
      <c r="F37" s="89">
        <f t="shared" si="8"/>
        <v>43178.354710648149</v>
      </c>
      <c r="G37" s="90" t="str">
        <f t="shared" si="9"/>
        <v>8:30</v>
      </c>
      <c r="H37" s="91">
        <f t="shared" si="10"/>
        <v>9.5</v>
      </c>
      <c r="I37" s="92">
        <f t="shared" si="11"/>
        <v>8</v>
      </c>
      <c r="J37" s="92" t="str">
        <f t="shared" si="12"/>
        <v>-</v>
      </c>
      <c r="K37" s="93">
        <f t="shared" si="13"/>
        <v>0</v>
      </c>
      <c r="L37" s="93"/>
      <c r="M37" s="94">
        <f t="shared" si="14"/>
        <v>0</v>
      </c>
      <c r="N37" s="94">
        <f t="shared" si="15"/>
        <v>0</v>
      </c>
      <c r="O37" s="171"/>
    </row>
    <row r="38" spans="1:21" s="18" customFormat="1">
      <c r="A38" s="425">
        <v>9019</v>
      </c>
      <c r="B38" s="425" t="s">
        <v>9</v>
      </c>
      <c r="C38" s="425" t="s">
        <v>9</v>
      </c>
      <c r="D38" s="407" t="s">
        <v>5</v>
      </c>
      <c r="E38" s="180">
        <v>43178.750208333331</v>
      </c>
      <c r="F38" s="89">
        <f t="shared" si="8"/>
        <v>43178.750208333331</v>
      </c>
      <c r="G38" s="90" t="str">
        <f t="shared" si="9"/>
        <v>18:0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171"/>
      <c r="T38" s="63"/>
      <c r="U38" s="63"/>
    </row>
    <row r="39" spans="1:21" s="137" customFormat="1">
      <c r="A39" s="140">
        <v>9010</v>
      </c>
      <c r="B39" s="140" t="s">
        <v>9</v>
      </c>
      <c r="C39" s="140" t="s">
        <v>9</v>
      </c>
      <c r="D39" s="143" t="s">
        <v>6</v>
      </c>
      <c r="E39" s="144">
        <v>43179.362349537034</v>
      </c>
      <c r="F39" s="89">
        <f t="shared" si="8"/>
        <v>43179.362349537034</v>
      </c>
      <c r="G39" s="90" t="str">
        <f t="shared" si="9"/>
        <v>8:41</v>
      </c>
      <c r="H39" s="91">
        <f t="shared" si="10"/>
        <v>8.5666666666666664</v>
      </c>
      <c r="I39" s="92">
        <v>7</v>
      </c>
      <c r="J39" s="92">
        <f t="shared" si="12"/>
        <v>1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36" t="s">
        <v>114</v>
      </c>
    </row>
    <row r="40" spans="1:21" s="18" customFormat="1">
      <c r="A40" s="140">
        <v>9019</v>
      </c>
      <c r="B40" s="140" t="s">
        <v>9</v>
      </c>
      <c r="C40" s="140" t="s">
        <v>9</v>
      </c>
      <c r="D40" s="143" t="s">
        <v>5</v>
      </c>
      <c r="E40" s="144">
        <v>43179.718958333331</v>
      </c>
      <c r="F40" s="89">
        <f t="shared" si="8"/>
        <v>43179.718958333331</v>
      </c>
      <c r="G40" s="90" t="str">
        <f t="shared" si="9"/>
        <v>17:15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171"/>
      <c r="T40" s="63"/>
      <c r="U40" s="63"/>
    </row>
    <row r="41" spans="1:21" s="18" customFormat="1">
      <c r="A41" s="140">
        <v>9049</v>
      </c>
      <c r="B41" s="140" t="s">
        <v>9</v>
      </c>
      <c r="C41" s="140" t="s">
        <v>9</v>
      </c>
      <c r="D41" s="143" t="s">
        <v>6</v>
      </c>
      <c r="E41" s="144">
        <v>43180.367094907408</v>
      </c>
      <c r="F41" s="89">
        <f t="shared" si="8"/>
        <v>43180.367094907408</v>
      </c>
      <c r="G41" s="90" t="str">
        <f t="shared" si="9"/>
        <v>8:48</v>
      </c>
      <c r="H41" s="91">
        <f t="shared" si="10"/>
        <v>8.3499999999999979</v>
      </c>
      <c r="I41" s="92">
        <v>6.5</v>
      </c>
      <c r="J41" s="92">
        <f t="shared" si="12"/>
        <v>1.5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36" t="s">
        <v>114</v>
      </c>
      <c r="T41" s="63"/>
      <c r="U41" s="63"/>
    </row>
    <row r="42" spans="1:21" s="9" customFormat="1">
      <c r="A42" s="140">
        <v>9057</v>
      </c>
      <c r="B42" s="140" t="s">
        <v>9</v>
      </c>
      <c r="C42" s="140" t="s">
        <v>9</v>
      </c>
      <c r="D42" s="143" t="s">
        <v>5</v>
      </c>
      <c r="E42" s="144">
        <v>43180.714965277781</v>
      </c>
      <c r="F42" s="89">
        <f t="shared" si="8"/>
        <v>43180.714965277781</v>
      </c>
      <c r="G42" s="90" t="str">
        <f t="shared" si="9"/>
        <v>17:9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171"/>
      <c r="T42"/>
      <c r="U42"/>
    </row>
    <row r="43" spans="1:21" s="137" customFormat="1">
      <c r="A43" s="140">
        <v>9089</v>
      </c>
      <c r="B43" s="140" t="s">
        <v>9</v>
      </c>
      <c r="C43" s="140" t="s">
        <v>9</v>
      </c>
      <c r="D43" s="143" t="s">
        <v>6</v>
      </c>
      <c r="E43" s="144">
        <v>43181.372604166667</v>
      </c>
      <c r="F43" s="89">
        <f t="shared" si="8"/>
        <v>43181.372604166667</v>
      </c>
      <c r="G43" s="90" t="str">
        <f t="shared" si="9"/>
        <v>8:56</v>
      </c>
      <c r="H43" s="91">
        <f t="shared" si="10"/>
        <v>5.0833333333333339</v>
      </c>
      <c r="I43" s="92">
        <v>3.5</v>
      </c>
      <c r="J43" s="92">
        <f t="shared" si="12"/>
        <v>4.5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36" t="s">
        <v>114</v>
      </c>
      <c r="T43" s="16"/>
      <c r="U43" s="16"/>
    </row>
    <row r="44" spans="1:21" s="18" customFormat="1">
      <c r="A44" s="140">
        <v>9091</v>
      </c>
      <c r="B44" s="140" t="s">
        <v>93</v>
      </c>
      <c r="C44" s="140" t="s">
        <v>9</v>
      </c>
      <c r="D44" s="143" t="s">
        <v>5</v>
      </c>
      <c r="E44" s="144">
        <v>43181.584687499999</v>
      </c>
      <c r="F44" s="89">
        <f t="shared" si="8"/>
        <v>43181.584687499999</v>
      </c>
      <c r="G44" s="90" t="str">
        <f t="shared" si="9"/>
        <v>14:1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171"/>
      <c r="T44" s="63"/>
      <c r="U44" s="63"/>
    </row>
    <row r="45" spans="1:21" s="137" customFormat="1">
      <c r="A45" s="140">
        <v>9120</v>
      </c>
      <c r="B45" s="140" t="s">
        <v>9</v>
      </c>
      <c r="C45" s="140" t="s">
        <v>9</v>
      </c>
      <c r="D45" s="143" t="s">
        <v>6</v>
      </c>
      <c r="E45" s="144">
        <v>43182.364606481482</v>
      </c>
      <c r="F45" s="89">
        <f t="shared" si="8"/>
        <v>43182.364606481482</v>
      </c>
      <c r="G45" s="90" t="str">
        <f t="shared" si="9"/>
        <v>8:45</v>
      </c>
      <c r="H45" s="91">
        <f t="shared" si="10"/>
        <v>9.8166666666666682</v>
      </c>
      <c r="I45" s="92">
        <f t="shared" si="11"/>
        <v>8</v>
      </c>
      <c r="J45" s="92" t="str">
        <f t="shared" si="12"/>
        <v>-</v>
      </c>
      <c r="K45" s="93">
        <f t="shared" si="13"/>
        <v>0</v>
      </c>
      <c r="L45" s="93"/>
      <c r="M45" s="94">
        <f t="shared" si="14"/>
        <v>0</v>
      </c>
      <c r="N45" s="94">
        <f t="shared" si="15"/>
        <v>0</v>
      </c>
      <c r="O45" s="171"/>
    </row>
    <row r="46" spans="1:21" s="137" customFormat="1">
      <c r="A46" s="140">
        <v>9133</v>
      </c>
      <c r="B46" s="140" t="s">
        <v>93</v>
      </c>
      <c r="C46" s="140" t="s">
        <v>9</v>
      </c>
      <c r="D46" s="143" t="s">
        <v>5</v>
      </c>
      <c r="E46" s="144">
        <v>43182.773877314816</v>
      </c>
      <c r="F46" s="89">
        <f t="shared" si="8"/>
        <v>43182.773877314816</v>
      </c>
      <c r="G46" s="90" t="str">
        <f t="shared" si="9"/>
        <v>18:34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171"/>
    </row>
    <row r="47" spans="1:21" s="16" customFormat="1">
      <c r="A47" s="140">
        <v>9138</v>
      </c>
      <c r="B47" s="140" t="s">
        <v>9</v>
      </c>
      <c r="C47" s="140" t="s">
        <v>9</v>
      </c>
      <c r="D47" s="143" t="s">
        <v>6</v>
      </c>
      <c r="E47" s="144">
        <v>43185.360289351855</v>
      </c>
      <c r="F47" s="89">
        <f t="shared" si="8"/>
        <v>43185.360289351855</v>
      </c>
      <c r="G47" s="90" t="str">
        <f t="shared" si="9"/>
        <v>8:38</v>
      </c>
      <c r="H47" s="91">
        <f t="shared" si="10"/>
        <v>8.7166666666666686</v>
      </c>
      <c r="I47" s="92">
        <v>7</v>
      </c>
      <c r="J47" s="92">
        <f t="shared" si="12"/>
        <v>1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36" t="s">
        <v>114</v>
      </c>
      <c r="P47" s="137"/>
      <c r="Q47" s="137"/>
      <c r="R47" s="137"/>
      <c r="S47" s="137"/>
    </row>
    <row r="48" spans="1:21" s="63" customFormat="1">
      <c r="A48" s="140">
        <v>9146</v>
      </c>
      <c r="B48" s="140" t="s">
        <v>9</v>
      </c>
      <c r="C48" s="140" t="s">
        <v>9</v>
      </c>
      <c r="D48" s="143" t="s">
        <v>5</v>
      </c>
      <c r="E48" s="144">
        <v>43185.723333333335</v>
      </c>
      <c r="F48" s="89">
        <f t="shared" si="8"/>
        <v>43185.723333333335</v>
      </c>
      <c r="G48" s="90" t="str">
        <f t="shared" si="9"/>
        <v>17:21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171"/>
      <c r="P48" s="18"/>
      <c r="Q48" s="18"/>
      <c r="R48" s="18"/>
      <c r="S48" s="18"/>
    </row>
    <row r="49" spans="1:19" s="16" customFormat="1">
      <c r="A49" s="425">
        <v>9010</v>
      </c>
      <c r="B49" s="425" t="s">
        <v>9</v>
      </c>
      <c r="C49" s="425" t="s">
        <v>9</v>
      </c>
      <c r="D49" s="407" t="s">
        <v>6</v>
      </c>
      <c r="E49" s="180">
        <v>43186.354710648149</v>
      </c>
      <c r="F49" s="89">
        <f t="shared" si="8"/>
        <v>43186.354710648149</v>
      </c>
      <c r="G49" s="90" t="str">
        <f t="shared" si="9"/>
        <v>8:30</v>
      </c>
      <c r="H49" s="91">
        <f t="shared" si="10"/>
        <v>9.5</v>
      </c>
      <c r="I49" s="92">
        <f t="shared" si="11"/>
        <v>8</v>
      </c>
      <c r="J49" s="92" t="str">
        <f t="shared" si="12"/>
        <v>-</v>
      </c>
      <c r="K49" s="93">
        <f t="shared" si="13"/>
        <v>0</v>
      </c>
      <c r="L49" s="93"/>
      <c r="M49" s="94">
        <f t="shared" si="14"/>
        <v>0</v>
      </c>
      <c r="N49" s="94">
        <f t="shared" si="15"/>
        <v>0</v>
      </c>
      <c r="O49" s="171"/>
      <c r="P49" s="137"/>
      <c r="Q49" s="137"/>
      <c r="R49" s="137"/>
      <c r="S49" s="137"/>
    </row>
    <row r="50" spans="1:19" s="16" customFormat="1">
      <c r="A50" s="425">
        <v>9019</v>
      </c>
      <c r="B50" s="425" t="s">
        <v>9</v>
      </c>
      <c r="C50" s="425" t="s">
        <v>9</v>
      </c>
      <c r="D50" s="407" t="s">
        <v>5</v>
      </c>
      <c r="E50" s="180">
        <v>43186.750208333331</v>
      </c>
      <c r="F50" s="89">
        <f t="shared" si="8"/>
        <v>43186.750208333331</v>
      </c>
      <c r="G50" s="90" t="str">
        <f t="shared" si="9"/>
        <v>18:0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171"/>
      <c r="P50" s="137"/>
      <c r="Q50" s="137"/>
      <c r="R50" s="137"/>
      <c r="S50" s="137"/>
    </row>
    <row r="51" spans="1:19">
      <c r="A51">
        <v>9193</v>
      </c>
      <c r="B51" t="s">
        <v>9</v>
      </c>
      <c r="C51" t="s">
        <v>9</v>
      </c>
      <c r="D51" s="143" t="s">
        <v>6</v>
      </c>
      <c r="E51" s="144">
        <v>43187.363703703704</v>
      </c>
      <c r="F51" s="89">
        <f t="shared" si="8"/>
        <v>43187.363703703704</v>
      </c>
      <c r="G51" s="90" t="str">
        <f t="shared" si="9"/>
        <v>8:43</v>
      </c>
      <c r="H51" s="91">
        <f t="shared" si="10"/>
        <v>8.4999999999999982</v>
      </c>
      <c r="I51" s="92">
        <f t="shared" si="11"/>
        <v>6.9999999999999982</v>
      </c>
      <c r="J51" s="92">
        <f t="shared" si="12"/>
        <v>1.0000000000000018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36" t="s">
        <v>114</v>
      </c>
    </row>
    <row r="52" spans="1:19">
      <c r="A52">
        <v>9201</v>
      </c>
      <c r="B52" t="s">
        <v>9</v>
      </c>
      <c r="C52" t="s">
        <v>9</v>
      </c>
      <c r="D52" s="143" t="s">
        <v>5</v>
      </c>
      <c r="E52" s="144">
        <v>43187.717395833337</v>
      </c>
      <c r="F52" s="89">
        <f t="shared" si="8"/>
        <v>43187.717395833337</v>
      </c>
      <c r="G52" s="90" t="str">
        <f t="shared" si="9"/>
        <v>17:13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171"/>
    </row>
    <row r="53" spans="1:19">
      <c r="A53">
        <v>9234</v>
      </c>
      <c r="B53" t="s">
        <v>9</v>
      </c>
      <c r="C53" t="s">
        <v>9</v>
      </c>
      <c r="D53" s="143" t="s">
        <v>6</v>
      </c>
      <c r="E53" s="144">
        <v>43188.372164351851</v>
      </c>
      <c r="F53" s="89">
        <f t="shared" si="8"/>
        <v>43188.372164351851</v>
      </c>
      <c r="G53" s="90" t="str">
        <f t="shared" si="9"/>
        <v>8:55</v>
      </c>
      <c r="H53" s="91">
        <f t="shared" si="10"/>
        <v>9.5833333333333357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171"/>
    </row>
    <row r="54" spans="1:19">
      <c r="A54">
        <v>9240</v>
      </c>
      <c r="B54" t="s">
        <v>9</v>
      </c>
      <c r="C54" t="s">
        <v>9</v>
      </c>
      <c r="D54" s="143" t="s">
        <v>5</v>
      </c>
      <c r="E54" s="144">
        <v>43188.771134259259</v>
      </c>
      <c r="F54" s="89">
        <f t="shared" si="8"/>
        <v>43188.771134259259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171"/>
    </row>
    <row r="55" spans="1:19">
      <c r="A55">
        <v>9263</v>
      </c>
      <c r="B55" t="s">
        <v>9</v>
      </c>
      <c r="C55" t="s">
        <v>9</v>
      </c>
      <c r="D55" s="143" t="s">
        <v>6</v>
      </c>
      <c r="E55" s="144">
        <v>43189.364768518521</v>
      </c>
      <c r="F55" s="89">
        <f t="shared" si="8"/>
        <v>43189.364768518521</v>
      </c>
      <c r="G55" s="90" t="str">
        <f t="shared" si="9"/>
        <v>8:45</v>
      </c>
      <c r="H55" s="91">
        <f t="shared" si="10"/>
        <v>9.7500000000000018</v>
      </c>
      <c r="I55" s="92">
        <f t="shared" si="11"/>
        <v>8</v>
      </c>
      <c r="J55" s="92" t="str">
        <f t="shared" si="12"/>
        <v>-</v>
      </c>
      <c r="K55" s="93">
        <f t="shared" si="13"/>
        <v>0</v>
      </c>
      <c r="L55" s="93"/>
      <c r="M55" s="94">
        <f t="shared" si="14"/>
        <v>0</v>
      </c>
      <c r="N55" s="94">
        <f t="shared" si="15"/>
        <v>0</v>
      </c>
      <c r="O55" s="171"/>
    </row>
    <row r="56" spans="1:19">
      <c r="A56">
        <v>9271</v>
      </c>
      <c r="B56" t="s">
        <v>9</v>
      </c>
      <c r="C56" t="s">
        <v>9</v>
      </c>
      <c r="D56" s="143" t="s">
        <v>5</v>
      </c>
      <c r="E56" s="144">
        <v>43189.771423611113</v>
      </c>
      <c r="F56" s="89">
        <f t="shared" si="8"/>
        <v>43189.771423611113</v>
      </c>
      <c r="G56" s="90" t="str">
        <f t="shared" si="9"/>
        <v>18:30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171"/>
    </row>
    <row r="57" spans="1:19">
      <c r="A57">
        <v>9272</v>
      </c>
      <c r="B57" t="s">
        <v>9</v>
      </c>
      <c r="C57" t="s">
        <v>9</v>
      </c>
      <c r="D57" s="143" t="s">
        <v>7</v>
      </c>
      <c r="E57" s="144">
        <v>43189.771458333336</v>
      </c>
      <c r="F57" s="89">
        <f t="shared" si="8"/>
        <v>43189.771458333336</v>
      </c>
      <c r="G57" s="90" t="str">
        <f t="shared" si="9"/>
        <v>18:30</v>
      </c>
      <c r="H57" s="91" t="str">
        <f t="shared" si="10"/>
        <v>-</v>
      </c>
      <c r="I57" s="92" t="str">
        <f t="shared" si="11"/>
        <v>-</v>
      </c>
      <c r="J57" s="92" t="str">
        <f t="shared" si="12"/>
        <v>-</v>
      </c>
      <c r="K57" s="93">
        <f t="shared" si="13"/>
        <v>0.28333333333333499</v>
      </c>
      <c r="L57" s="93"/>
      <c r="M57" s="94">
        <f t="shared" si="14"/>
        <v>0.28333333333333499</v>
      </c>
      <c r="N57" s="94">
        <f t="shared" si="15"/>
        <v>0</v>
      </c>
      <c r="O57" s="171"/>
    </row>
    <row r="58" spans="1:19">
      <c r="A58">
        <v>9279</v>
      </c>
      <c r="B58" t="s">
        <v>9</v>
      </c>
      <c r="C58" t="s">
        <v>9</v>
      </c>
      <c r="D58" s="143" t="s">
        <v>8</v>
      </c>
      <c r="E58" s="144">
        <v>43189.783275462964</v>
      </c>
      <c r="F58" s="89">
        <f t="shared" si="8"/>
        <v>43189.783275462964</v>
      </c>
      <c r="G58" s="90" t="str">
        <f t="shared" si="9"/>
        <v>18:47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171"/>
    </row>
    <row r="59" spans="1:19">
      <c r="A59">
        <v>9290</v>
      </c>
      <c r="B59" t="s">
        <v>9</v>
      </c>
      <c r="C59" t="s">
        <v>9</v>
      </c>
      <c r="D59" s="143" t="s">
        <v>6</v>
      </c>
      <c r="E59" s="144">
        <v>43190.370393518519</v>
      </c>
      <c r="F59" s="89">
        <f t="shared" si="8"/>
        <v>43190.370393518519</v>
      </c>
      <c r="G59" s="90" t="str">
        <f t="shared" si="9"/>
        <v>8:53</v>
      </c>
      <c r="H59" s="91">
        <f t="shared" si="10"/>
        <v>9.533333333333335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171"/>
    </row>
    <row r="60" spans="1:19">
      <c r="A60">
        <v>9295</v>
      </c>
      <c r="B60" t="s">
        <v>9</v>
      </c>
      <c r="C60" t="s">
        <v>9</v>
      </c>
      <c r="D60" s="143" t="s">
        <v>5</v>
      </c>
      <c r="E60" s="144">
        <v>43190.767708333333</v>
      </c>
      <c r="F60" s="89">
        <f t="shared" si="8"/>
        <v>43190.767708333333</v>
      </c>
      <c r="G60" s="90" t="str">
        <f t="shared" si="9"/>
        <v>18:25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171"/>
    </row>
    <row r="61" spans="1:19">
      <c r="A61">
        <v>9300</v>
      </c>
      <c r="B61" t="s">
        <v>9</v>
      </c>
      <c r="C61" t="s">
        <v>9</v>
      </c>
      <c r="D61" s="143" t="s">
        <v>7</v>
      </c>
      <c r="E61" s="144">
        <v>43190.771620370368</v>
      </c>
      <c r="F61" s="89">
        <f t="shared" si="8"/>
        <v>43190.771620370368</v>
      </c>
      <c r="G61" s="90" t="str">
        <f t="shared" si="9"/>
        <v>18:31</v>
      </c>
      <c r="H61" s="91" t="str">
        <f t="shared" si="10"/>
        <v>-</v>
      </c>
      <c r="I61" s="92" t="str">
        <f t="shared" si="11"/>
        <v>-</v>
      </c>
      <c r="J61" s="92" t="str">
        <f t="shared" si="12"/>
        <v>-</v>
      </c>
      <c r="K61" s="93">
        <f t="shared" si="13"/>
        <v>4.1833333333333345</v>
      </c>
      <c r="L61" s="93"/>
      <c r="M61" s="94">
        <f t="shared" si="14"/>
        <v>2</v>
      </c>
      <c r="N61" s="94">
        <f t="shared" si="15"/>
        <v>2.1833333333333345</v>
      </c>
      <c r="O61" s="171"/>
    </row>
    <row r="62" spans="1:19">
      <c r="A62">
        <v>9310</v>
      </c>
      <c r="B62" t="s">
        <v>9</v>
      </c>
      <c r="C62" t="s">
        <v>9</v>
      </c>
      <c r="D62" s="143" t="s">
        <v>8</v>
      </c>
      <c r="E62" s="144">
        <v>43190.946331018517</v>
      </c>
      <c r="F62" s="89">
        <f t="shared" si="8"/>
        <v>43190.946331018517</v>
      </c>
      <c r="G62" s="90" t="str">
        <f t="shared" si="9"/>
        <v>22:42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171"/>
    </row>
    <row r="65" spans="4:4">
      <c r="D65" s="9" t="s">
        <v>37</v>
      </c>
    </row>
    <row r="66" spans="4:4">
      <c r="D66" s="9" t="s">
        <v>36</v>
      </c>
    </row>
    <row r="67" spans="4:4">
      <c r="D67" s="172" t="s">
        <v>64</v>
      </c>
    </row>
    <row r="68" spans="4:4">
      <c r="D68" t="s">
        <v>67</v>
      </c>
    </row>
    <row r="69" spans="4:4">
      <c r="D69" t="s">
        <v>65</v>
      </c>
    </row>
    <row r="70" spans="4:4">
      <c r="D70" t="s">
        <v>69</v>
      </c>
    </row>
    <row r="71" spans="4:4">
      <c r="D71" t="s">
        <v>70</v>
      </c>
    </row>
    <row r="72" spans="4:4">
      <c r="D72" t="s">
        <v>66</v>
      </c>
    </row>
    <row r="73" spans="4:4">
      <c r="D73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U107"/>
  <sheetViews>
    <sheetView view="pageBreakPreview" zoomScaleNormal="100" zoomScaleSheetLayoutView="100" workbookViewId="0">
      <selection activeCell="L7" sqref="L7:N28"/>
    </sheetView>
  </sheetViews>
  <sheetFormatPr baseColWidth="10" defaultColWidth="8.83203125" defaultRowHeight="15" outlineLevelCol="1"/>
  <cols>
    <col min="1" max="1" width="5.6640625" customWidth="1" outlineLevel="1"/>
    <col min="2" max="2" width="6.83203125" customWidth="1" outlineLevel="1"/>
    <col min="3" max="3" width="6.5" style="3" customWidth="1" outlineLevel="1"/>
    <col min="4" max="4" width="9.83203125" style="3" customWidth="1"/>
    <col min="5" max="5" width="17.1640625" style="3" customWidth="1"/>
    <col min="6" max="6" width="8" style="16" customWidth="1"/>
    <col min="7" max="7" width="8.6640625" style="17" customWidth="1" outlineLevel="1"/>
    <col min="8" max="8" width="11.1640625" style="51" customWidth="1" outlineLevel="1"/>
    <col min="9" max="9" width="10.1640625" style="21" customWidth="1"/>
    <col min="10" max="10" width="10" style="21" customWidth="1"/>
    <col min="11" max="11" width="8.33203125" style="22" customWidth="1" outlineLevel="1"/>
    <col min="12" max="12" width="8.33203125" style="22" customWidth="1"/>
    <col min="13" max="13" width="10.5" style="22" customWidth="1"/>
    <col min="14" max="14" width="9.1640625" style="22" customWidth="1"/>
    <col min="15" max="15" width="14.83203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" thickBot="1">
      <c r="C1" s="5"/>
      <c r="D1" s="6"/>
      <c r="E1" s="6"/>
      <c r="F1" s="10"/>
      <c r="G1" s="11"/>
      <c r="H1" s="12"/>
      <c r="I1" s="13" t="str">
        <f>B7</f>
        <v>ruby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44.5-13</f>
        <v>31.5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" thickBot="1">
      <c r="D3" s="24" t="s">
        <v>77</v>
      </c>
      <c r="E3" s="185">
        <v>800</v>
      </c>
      <c r="F3" s="25"/>
      <c r="G3" s="26"/>
      <c r="H3" s="26"/>
      <c r="I3" s="88"/>
      <c r="J3" s="54">
        <f>D5+E5</f>
        <v>0</v>
      </c>
      <c r="K3" s="53">
        <f>SUM(K7:K94)</f>
        <v>38.866666666666674</v>
      </c>
      <c r="L3" s="53">
        <f>J3</f>
        <v>0</v>
      </c>
      <c r="M3" s="53">
        <f>M6-J3</f>
        <v>25.083333333333329</v>
      </c>
      <c r="N3" s="53">
        <f>N6</f>
        <v>14.183333333333332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f>8+1.5</f>
        <v>9.5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0.24541666666666662</v>
      </c>
    </row>
    <row r="6" spans="1:21" ht="16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SUM(I7:I100)</f>
        <v>174.5</v>
      </c>
      <c r="J6" s="78">
        <f t="shared" ref="J6:N6" si="0">SUM(J7:J100)</f>
        <v>9.5</v>
      </c>
      <c r="K6" s="78">
        <f t="shared" si="0"/>
        <v>39.266666666666673</v>
      </c>
      <c r="L6" s="78">
        <f t="shared" si="0"/>
        <v>0</v>
      </c>
      <c r="M6" s="78">
        <f t="shared" si="0"/>
        <v>25.083333333333329</v>
      </c>
      <c r="N6" s="78">
        <f t="shared" si="0"/>
        <v>14.183333333333332</v>
      </c>
      <c r="O6" s="45"/>
      <c r="Q6" s="47"/>
    </row>
    <row r="7" spans="1:21" s="63" customFormat="1">
      <c r="A7" s="140">
        <v>8492</v>
      </c>
      <c r="B7" s="140" t="s">
        <v>15</v>
      </c>
      <c r="C7" s="140" t="s">
        <v>15</v>
      </c>
      <c r="D7" s="141" t="s">
        <v>6</v>
      </c>
      <c r="E7" s="142">
        <v>43160.364583333336</v>
      </c>
      <c r="F7" s="89">
        <f>E7</f>
        <v>43160.364583333336</v>
      </c>
      <c r="G7" s="90" t="str">
        <f>HOUR(E7)&amp;":"&amp;MINUTE(E7)</f>
        <v>8:45</v>
      </c>
      <c r="H7" s="91">
        <f t="shared" ref="H7" si="1">IF(D7="上班",(G8-G7)*24,"-")</f>
        <v>10.083333333333334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18"/>
      <c r="Q7" s="18"/>
      <c r="R7" s="18"/>
      <c r="S7" s="18"/>
    </row>
    <row r="8" spans="1:21" s="63" customFormat="1">
      <c r="A8" s="140">
        <v>8506</v>
      </c>
      <c r="B8" s="140" t="s">
        <v>15</v>
      </c>
      <c r="C8" s="140" t="s">
        <v>15</v>
      </c>
      <c r="D8" s="143" t="s">
        <v>5</v>
      </c>
      <c r="E8" s="144">
        <v>43160.78497685185</v>
      </c>
      <c r="F8" s="89">
        <f t="shared" ref="F8:F71" si="7">E8</f>
        <v>43160.78497685185</v>
      </c>
      <c r="G8" s="90" t="str">
        <f t="shared" ref="G8:G71" si="8">HOUR(E8)&amp;":"&amp;MINUTE(E8)</f>
        <v>18:50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  <c r="P8" s="18"/>
      <c r="Q8" s="18"/>
      <c r="R8" s="18"/>
      <c r="S8" s="18"/>
    </row>
    <row r="9" spans="1:21" s="63" customFormat="1">
      <c r="A9" s="140">
        <v>8507</v>
      </c>
      <c r="B9" s="140" t="s">
        <v>15</v>
      </c>
      <c r="C9" s="140" t="s">
        <v>15</v>
      </c>
      <c r="D9" s="143" t="s">
        <v>7</v>
      </c>
      <c r="E9" s="144">
        <v>43160.78502314815</v>
      </c>
      <c r="F9" s="89">
        <f t="shared" si="7"/>
        <v>43160.78502314815</v>
      </c>
      <c r="G9" s="90" t="str">
        <f t="shared" si="8"/>
        <v>18:50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0.90000000000000213</v>
      </c>
      <c r="L9" s="93"/>
      <c r="M9" s="94">
        <f t="shared" si="13"/>
        <v>0.90000000000000213</v>
      </c>
      <c r="N9" s="94">
        <f t="shared" si="14"/>
        <v>0</v>
      </c>
      <c r="O9" s="95"/>
      <c r="P9" s="18"/>
      <c r="Q9" s="18"/>
      <c r="R9" s="18"/>
      <c r="S9" s="18"/>
    </row>
    <row r="10" spans="1:21" s="63" customFormat="1">
      <c r="A10" s="140">
        <v>8516</v>
      </c>
      <c r="B10" s="140" t="s">
        <v>15</v>
      </c>
      <c r="C10" s="140" t="s">
        <v>15</v>
      </c>
      <c r="D10" s="143" t="s">
        <v>8</v>
      </c>
      <c r="E10" s="144">
        <v>43160.822743055556</v>
      </c>
      <c r="F10" s="89">
        <f t="shared" si="7"/>
        <v>43160.822743055556</v>
      </c>
      <c r="G10" s="90" t="str">
        <f t="shared" si="8"/>
        <v>19:44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  <c r="P10" s="18"/>
      <c r="Q10" s="18"/>
      <c r="R10" s="18"/>
      <c r="S10" s="18"/>
    </row>
    <row r="11" spans="1:21" s="63" customFormat="1">
      <c r="A11" s="140">
        <v>8524</v>
      </c>
      <c r="B11" s="140" t="s">
        <v>15</v>
      </c>
      <c r="C11" s="140" t="s">
        <v>15</v>
      </c>
      <c r="D11" s="143" t="s">
        <v>6</v>
      </c>
      <c r="E11" s="144">
        <v>43161.365011574075</v>
      </c>
      <c r="F11" s="89">
        <f t="shared" si="7"/>
        <v>43161.365011574075</v>
      </c>
      <c r="G11" s="90" t="str">
        <f t="shared" si="8"/>
        <v>8:45</v>
      </c>
      <c r="H11" s="91">
        <f t="shared" si="9"/>
        <v>9.8166666666666682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18"/>
      <c r="Q11" s="18"/>
      <c r="R11" s="18"/>
      <c r="S11" s="18"/>
    </row>
    <row r="12" spans="1:21" s="63" customFormat="1">
      <c r="A12" s="140">
        <v>8538</v>
      </c>
      <c r="B12" s="140" t="s">
        <v>15</v>
      </c>
      <c r="C12" s="140" t="s">
        <v>15</v>
      </c>
      <c r="D12" s="143" t="s">
        <v>5</v>
      </c>
      <c r="E12" s="144">
        <v>43161.773622685185</v>
      </c>
      <c r="F12" s="89">
        <f t="shared" si="7"/>
        <v>43161.773622685185</v>
      </c>
      <c r="G12" s="90" t="str">
        <f t="shared" si="8"/>
        <v>18:34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  <c r="P12" s="18"/>
      <c r="Q12" s="18"/>
      <c r="R12" s="18"/>
      <c r="S12" s="18"/>
    </row>
    <row r="13" spans="1:21" s="63" customFormat="1">
      <c r="A13" s="140">
        <v>8539</v>
      </c>
      <c r="B13" s="140" t="s">
        <v>15</v>
      </c>
      <c r="C13" s="140" t="s">
        <v>15</v>
      </c>
      <c r="D13" s="143" t="s">
        <v>7</v>
      </c>
      <c r="E13" s="144">
        <v>43161.773668981485</v>
      </c>
      <c r="F13" s="89">
        <f t="shared" si="7"/>
        <v>43161.773668981485</v>
      </c>
      <c r="G13" s="90" t="str">
        <f t="shared" si="8"/>
        <v>18:34</v>
      </c>
      <c r="H13" s="91" t="str">
        <f t="shared" si="9"/>
        <v>-</v>
      </c>
      <c r="I13" s="92" t="str">
        <f t="shared" si="10"/>
        <v>-</v>
      </c>
      <c r="J13" s="92" t="str">
        <f t="shared" si="11"/>
        <v>-</v>
      </c>
      <c r="K13" s="93">
        <f t="shared" si="12"/>
        <v>1.2166666666666677</v>
      </c>
      <c r="L13" s="93"/>
      <c r="M13" s="94">
        <f t="shared" si="13"/>
        <v>1.2166666666666677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8544</v>
      </c>
      <c r="B14" s="140" t="s">
        <v>15</v>
      </c>
      <c r="C14" s="140" t="s">
        <v>15</v>
      </c>
      <c r="D14" s="143" t="s">
        <v>8</v>
      </c>
      <c r="E14" s="144">
        <v>43161.824756944443</v>
      </c>
      <c r="F14" s="89">
        <f t="shared" si="7"/>
        <v>43161.824756944443</v>
      </c>
      <c r="G14" s="90" t="str">
        <f t="shared" si="8"/>
        <v>19:47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 s="63" customFormat="1">
      <c r="A15" s="140">
        <v>8561</v>
      </c>
      <c r="B15" s="140" t="s">
        <v>15</v>
      </c>
      <c r="C15" s="140" t="s">
        <v>15</v>
      </c>
      <c r="D15" s="143" t="s">
        <v>6</v>
      </c>
      <c r="E15" s="144">
        <v>43164.36478009259</v>
      </c>
      <c r="F15" s="89">
        <f t="shared" si="7"/>
        <v>43164.36478009259</v>
      </c>
      <c r="G15" s="90" t="str">
        <f t="shared" si="8"/>
        <v>8:45</v>
      </c>
      <c r="H15" s="91">
        <f t="shared" si="9"/>
        <v>9.533333333333335</v>
      </c>
      <c r="I15" s="92">
        <f t="shared" si="10"/>
        <v>8</v>
      </c>
      <c r="J15" s="92" t="str">
        <f t="shared" si="11"/>
        <v>-</v>
      </c>
      <c r="K15" s="93">
        <f t="shared" si="12"/>
        <v>0</v>
      </c>
      <c r="L15" s="93"/>
      <c r="M15" s="94">
        <f t="shared" si="13"/>
        <v>0</v>
      </c>
      <c r="N15" s="94">
        <f t="shared" si="14"/>
        <v>0</v>
      </c>
      <c r="O15" s="95"/>
      <c r="P15" s="18"/>
      <c r="Q15" s="18"/>
      <c r="R15" s="18"/>
      <c r="S15" s="18"/>
    </row>
    <row r="16" spans="1:21" s="63" customFormat="1">
      <c r="A16" s="140">
        <v>8574</v>
      </c>
      <c r="B16" s="140" t="s">
        <v>15</v>
      </c>
      <c r="C16" s="140" t="s">
        <v>15</v>
      </c>
      <c r="D16" s="143" t="s">
        <v>5</v>
      </c>
      <c r="E16" s="144">
        <v>43164.762280092589</v>
      </c>
      <c r="F16" s="89">
        <f t="shared" si="7"/>
        <v>43164.762280092589</v>
      </c>
      <c r="G16" s="90" t="str">
        <f t="shared" si="8"/>
        <v>18:17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  <c r="P16" s="18"/>
      <c r="Q16" s="18"/>
      <c r="R16" s="18"/>
      <c r="S16" s="18"/>
    </row>
    <row r="17" spans="1:19" s="187" customFormat="1">
      <c r="A17" s="140">
        <v>8584</v>
      </c>
      <c r="B17" s="140" t="s">
        <v>15</v>
      </c>
      <c r="C17" s="140" t="s">
        <v>15</v>
      </c>
      <c r="D17" s="143" t="s">
        <v>7</v>
      </c>
      <c r="E17" s="144">
        <v>43164.801041666666</v>
      </c>
      <c r="F17" s="89">
        <f t="shared" si="7"/>
        <v>43164.801041666666</v>
      </c>
      <c r="G17" s="90" t="str">
        <f t="shared" si="8"/>
        <v>19:13</v>
      </c>
      <c r="H17" s="91" t="str">
        <f t="shared" si="9"/>
        <v>-</v>
      </c>
      <c r="I17" s="92" t="str">
        <f t="shared" si="10"/>
        <v>-</v>
      </c>
      <c r="J17" s="92" t="str">
        <f t="shared" si="11"/>
        <v>-</v>
      </c>
      <c r="K17" s="93">
        <f t="shared" si="12"/>
        <v>3.1166666666666663</v>
      </c>
      <c r="L17" s="93"/>
      <c r="M17" s="94">
        <f t="shared" si="13"/>
        <v>2</v>
      </c>
      <c r="N17" s="94">
        <f t="shared" si="14"/>
        <v>1.1166666666666663</v>
      </c>
      <c r="O17" s="95"/>
    </row>
    <row r="18" spans="1:19" s="63" customFormat="1">
      <c r="A18" s="140">
        <v>8590</v>
      </c>
      <c r="B18" s="140" t="s">
        <v>15</v>
      </c>
      <c r="C18" s="140" t="s">
        <v>15</v>
      </c>
      <c r="D18" s="143" t="s">
        <v>8</v>
      </c>
      <c r="E18" s="144">
        <v>43164.930856481478</v>
      </c>
      <c r="F18" s="89">
        <f t="shared" si="7"/>
        <v>43164.930856481478</v>
      </c>
      <c r="G18" s="90" t="str">
        <f t="shared" si="8"/>
        <v>22:20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9" customFormat="1">
      <c r="A19" s="48">
        <v>8599</v>
      </c>
      <c r="B19" s="48" t="s">
        <v>15</v>
      </c>
      <c r="C19" s="48" t="s">
        <v>15</v>
      </c>
      <c r="D19" s="447" t="s">
        <v>6</v>
      </c>
      <c r="E19" s="448">
        <v>43165.369502314818</v>
      </c>
      <c r="F19" s="89">
        <f t="shared" si="7"/>
        <v>43165.369502314818</v>
      </c>
      <c r="G19" s="90" t="str">
        <f t="shared" si="8"/>
        <v>8:52</v>
      </c>
      <c r="H19" s="91">
        <f t="shared" si="9"/>
        <v>9.466666666666665</v>
      </c>
      <c r="I19" s="92">
        <v>8</v>
      </c>
      <c r="J19" s="92" t="str">
        <f t="shared" si="11"/>
        <v>-</v>
      </c>
      <c r="K19" s="93">
        <f t="shared" si="12"/>
        <v>0</v>
      </c>
      <c r="L19" s="93"/>
      <c r="M19" s="94">
        <f t="shared" si="13"/>
        <v>0</v>
      </c>
      <c r="N19" s="94">
        <f t="shared" si="14"/>
        <v>0</v>
      </c>
      <c r="O19" s="95"/>
    </row>
    <row r="20" spans="1:19">
      <c r="A20" s="140">
        <v>8606</v>
      </c>
      <c r="B20" s="140" t="s">
        <v>15</v>
      </c>
      <c r="C20" s="140" t="s">
        <v>15</v>
      </c>
      <c r="D20" s="143" t="s">
        <v>5</v>
      </c>
      <c r="E20" s="144">
        <v>43165.764062499999</v>
      </c>
      <c r="F20" s="89">
        <f t="shared" si="7"/>
        <v>43165.764062499999</v>
      </c>
      <c r="G20" s="90" t="str">
        <f t="shared" si="8"/>
        <v>18:20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</row>
    <row r="21" spans="1:19">
      <c r="A21" s="140">
        <v>8619</v>
      </c>
      <c r="B21" s="140" t="s">
        <v>15</v>
      </c>
      <c r="C21" s="140" t="s">
        <v>15</v>
      </c>
      <c r="D21" s="143" t="s">
        <v>7</v>
      </c>
      <c r="E21" s="144">
        <v>43165.788055555553</v>
      </c>
      <c r="F21" s="89">
        <f t="shared" si="7"/>
        <v>43165.788055555553</v>
      </c>
      <c r="G21" s="90" t="str">
        <f t="shared" si="8"/>
        <v>18:54</v>
      </c>
      <c r="H21" s="91" t="str">
        <f t="shared" si="9"/>
        <v>-</v>
      </c>
      <c r="I21" s="92" t="str">
        <f t="shared" si="10"/>
        <v>-</v>
      </c>
      <c r="J21" s="92" t="str">
        <f t="shared" si="11"/>
        <v>-</v>
      </c>
      <c r="K21" s="93">
        <f t="shared" si="12"/>
        <v>2.6666666666666679</v>
      </c>
      <c r="L21" s="93"/>
      <c r="M21" s="94">
        <f t="shared" si="13"/>
        <v>2</v>
      </c>
      <c r="N21" s="94">
        <f t="shared" si="14"/>
        <v>0.66666666666666785</v>
      </c>
      <c r="O21" s="95"/>
    </row>
    <row r="22" spans="1:19" s="63" customFormat="1">
      <c r="A22" s="140">
        <v>8622</v>
      </c>
      <c r="B22" s="140" t="s">
        <v>15</v>
      </c>
      <c r="C22" s="140" t="s">
        <v>15</v>
      </c>
      <c r="D22" s="143" t="s">
        <v>8</v>
      </c>
      <c r="E22" s="144">
        <v>43165.899189814816</v>
      </c>
      <c r="F22" s="89">
        <f t="shared" si="7"/>
        <v>43165.899189814816</v>
      </c>
      <c r="G22" s="90" t="str">
        <f t="shared" si="8"/>
        <v>21:34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  <c r="P22" s="18"/>
      <c r="Q22" s="18"/>
      <c r="R22" s="18"/>
      <c r="S22" s="18"/>
    </row>
    <row r="23" spans="1:19" s="63" customFormat="1">
      <c r="A23" s="140">
        <v>8634</v>
      </c>
      <c r="B23" s="140" t="s">
        <v>15</v>
      </c>
      <c r="C23" s="140" t="s">
        <v>15</v>
      </c>
      <c r="D23" s="143" t="s">
        <v>6</v>
      </c>
      <c r="E23" s="144">
        <v>43166.371666666666</v>
      </c>
      <c r="F23" s="89">
        <f t="shared" si="7"/>
        <v>43166.371666666666</v>
      </c>
      <c r="G23" s="90" t="str">
        <f t="shared" si="8"/>
        <v>8:55</v>
      </c>
      <c r="H23" s="91">
        <f t="shared" si="9"/>
        <v>9.5666666666666682</v>
      </c>
      <c r="I23" s="92">
        <f t="shared" si="10"/>
        <v>8</v>
      </c>
      <c r="J23" s="92" t="str">
        <f t="shared" si="11"/>
        <v>-</v>
      </c>
      <c r="K23" s="93">
        <f t="shared" si="12"/>
        <v>0</v>
      </c>
      <c r="L23" s="93"/>
      <c r="M23" s="94">
        <f t="shared" si="13"/>
        <v>0</v>
      </c>
      <c r="N23" s="94">
        <f t="shared" si="14"/>
        <v>0</v>
      </c>
      <c r="O23" s="95"/>
      <c r="P23" s="18"/>
      <c r="Q23" s="18"/>
      <c r="R23" s="18"/>
      <c r="S23" s="18"/>
    </row>
    <row r="24" spans="1:19" s="63" customFormat="1">
      <c r="A24" s="140">
        <v>8644</v>
      </c>
      <c r="B24" s="140" t="s">
        <v>15</v>
      </c>
      <c r="C24" s="140" t="s">
        <v>15</v>
      </c>
      <c r="D24" s="143" t="s">
        <v>5</v>
      </c>
      <c r="E24" s="144">
        <v>43166.770613425928</v>
      </c>
      <c r="F24" s="89">
        <f t="shared" si="7"/>
        <v>43166.770613425928</v>
      </c>
      <c r="G24" s="90" t="str">
        <f t="shared" si="8"/>
        <v>18:29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  <c r="P24" s="18"/>
      <c r="Q24" s="18"/>
      <c r="R24" s="18"/>
      <c r="S24" s="18"/>
    </row>
    <row r="25" spans="1:19" s="16" customFormat="1">
      <c r="A25" s="140">
        <v>8665</v>
      </c>
      <c r="B25" s="140" t="s">
        <v>15</v>
      </c>
      <c r="C25" s="140" t="s">
        <v>15</v>
      </c>
      <c r="D25" s="143" t="s">
        <v>6</v>
      </c>
      <c r="E25" s="144">
        <v>43167.364722222221</v>
      </c>
      <c r="F25" s="89">
        <f t="shared" si="7"/>
        <v>43167.364722222221</v>
      </c>
      <c r="G25" s="90" t="str">
        <f t="shared" si="8"/>
        <v>8:45</v>
      </c>
      <c r="H25" s="91">
        <f t="shared" si="9"/>
        <v>9.6499999999999986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137"/>
      <c r="Q25" s="137"/>
      <c r="R25" s="137"/>
      <c r="S25" s="137"/>
    </row>
    <row r="26" spans="1:19" s="63" customFormat="1">
      <c r="A26" s="140">
        <v>8675</v>
      </c>
      <c r="B26" s="140" t="s">
        <v>15</v>
      </c>
      <c r="C26" s="140" t="s">
        <v>15</v>
      </c>
      <c r="D26" s="143" t="s">
        <v>5</v>
      </c>
      <c r="E26" s="144">
        <v>43167.766863425924</v>
      </c>
      <c r="F26" s="89">
        <f t="shared" si="7"/>
        <v>43167.766863425924</v>
      </c>
      <c r="G26" s="90" t="str">
        <f t="shared" si="8"/>
        <v>18:24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  <c r="P26" s="18"/>
      <c r="Q26" s="18"/>
      <c r="R26" s="18"/>
      <c r="S26" s="18"/>
    </row>
    <row r="27" spans="1:19">
      <c r="A27" s="140">
        <v>8696</v>
      </c>
      <c r="B27" s="140" t="s">
        <v>15</v>
      </c>
      <c r="C27" s="140" t="s">
        <v>15</v>
      </c>
      <c r="D27" s="143" t="s">
        <v>6</v>
      </c>
      <c r="E27" s="144">
        <v>43168.367430555554</v>
      </c>
      <c r="F27" s="89">
        <f t="shared" si="7"/>
        <v>43168.367430555554</v>
      </c>
      <c r="G27" s="90" t="str">
        <f t="shared" si="8"/>
        <v>8:49</v>
      </c>
      <c r="H27" s="91">
        <f t="shared" si="9"/>
        <v>9.6833333333333353</v>
      </c>
      <c r="I27" s="92">
        <f t="shared" si="10"/>
        <v>8</v>
      </c>
      <c r="J27" s="92" t="str">
        <f t="shared" si="11"/>
        <v>-</v>
      </c>
      <c r="K27" s="93">
        <f t="shared" si="12"/>
        <v>0</v>
      </c>
      <c r="L27" s="93"/>
      <c r="M27" s="94">
        <f t="shared" si="13"/>
        <v>0</v>
      </c>
      <c r="N27" s="94">
        <f t="shared" si="14"/>
        <v>0</v>
      </c>
      <c r="O27" s="95"/>
    </row>
    <row r="28" spans="1:19">
      <c r="A28" s="140">
        <v>8707</v>
      </c>
      <c r="B28" s="140" t="s">
        <v>95</v>
      </c>
      <c r="C28" s="140" t="s">
        <v>15</v>
      </c>
      <c r="D28" s="143" t="s">
        <v>5</v>
      </c>
      <c r="E28" s="144">
        <v>43168.771111111113</v>
      </c>
      <c r="F28" s="89">
        <f t="shared" si="7"/>
        <v>43168.771111111113</v>
      </c>
      <c r="G28" s="90" t="str">
        <f t="shared" si="8"/>
        <v>18:30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</row>
    <row r="29" spans="1:19">
      <c r="A29" s="140">
        <v>8708</v>
      </c>
      <c r="B29" s="140" t="s">
        <v>95</v>
      </c>
      <c r="C29" s="140" t="s">
        <v>15</v>
      </c>
      <c r="D29" s="143" t="s">
        <v>7</v>
      </c>
      <c r="E29" s="144">
        <v>43168.771145833336</v>
      </c>
      <c r="F29" s="89">
        <f t="shared" si="7"/>
        <v>43168.771145833336</v>
      </c>
      <c r="G29" s="90" t="str">
        <f t="shared" si="8"/>
        <v>18:30</v>
      </c>
      <c r="H29" s="91" t="str">
        <f t="shared" si="9"/>
        <v>-</v>
      </c>
      <c r="I29" s="92" t="str">
        <f t="shared" si="10"/>
        <v>-</v>
      </c>
      <c r="J29" s="92" t="str">
        <f t="shared" si="11"/>
        <v>-</v>
      </c>
      <c r="K29" s="93">
        <f t="shared" si="12"/>
        <v>0.33333333333333215</v>
      </c>
      <c r="L29" s="93"/>
      <c r="M29" s="94">
        <f t="shared" si="13"/>
        <v>0.33333333333333215</v>
      </c>
      <c r="N29" s="94">
        <f t="shared" si="14"/>
        <v>0</v>
      </c>
      <c r="O29" s="95"/>
      <c r="P29" s="9" t="s">
        <v>20</v>
      </c>
    </row>
    <row r="30" spans="1:19">
      <c r="A30" s="140">
        <v>8714</v>
      </c>
      <c r="B30" s="140" t="s">
        <v>15</v>
      </c>
      <c r="C30" s="140" t="s">
        <v>15</v>
      </c>
      <c r="D30" s="143" t="s">
        <v>8</v>
      </c>
      <c r="E30" s="144">
        <v>43168.785324074073</v>
      </c>
      <c r="F30" s="89">
        <f t="shared" si="7"/>
        <v>43168.785324074073</v>
      </c>
      <c r="G30" s="90" t="str">
        <f t="shared" si="8"/>
        <v>18:50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</row>
    <row r="31" spans="1:19">
      <c r="A31" s="140">
        <v>8732</v>
      </c>
      <c r="B31" s="140" t="s">
        <v>95</v>
      </c>
      <c r="C31" s="140" t="s">
        <v>15</v>
      </c>
      <c r="D31" s="143" t="s">
        <v>7</v>
      </c>
      <c r="E31" s="144">
        <v>43170.436840277776</v>
      </c>
      <c r="F31" s="89">
        <f t="shared" si="7"/>
        <v>43170.436840277776</v>
      </c>
      <c r="G31" s="90" t="str">
        <f t="shared" si="8"/>
        <v>10:29</v>
      </c>
      <c r="H31" s="91" t="str">
        <f t="shared" si="9"/>
        <v>-</v>
      </c>
      <c r="I31" s="92" t="str">
        <f t="shared" si="10"/>
        <v>-</v>
      </c>
      <c r="J31" s="92" t="str">
        <f t="shared" si="11"/>
        <v>-</v>
      </c>
      <c r="K31" s="93">
        <f t="shared" si="12"/>
        <v>2.7000000000000024</v>
      </c>
      <c r="L31" s="93"/>
      <c r="M31" s="94">
        <f t="shared" si="13"/>
        <v>2</v>
      </c>
      <c r="N31" s="94">
        <f t="shared" si="14"/>
        <v>0.7000000000000024</v>
      </c>
      <c r="O31" s="95"/>
    </row>
    <row r="32" spans="1:19">
      <c r="A32" s="140">
        <v>8736</v>
      </c>
      <c r="B32" s="140" t="s">
        <v>15</v>
      </c>
      <c r="C32" s="140" t="s">
        <v>15</v>
      </c>
      <c r="D32" s="143" t="s">
        <v>8</v>
      </c>
      <c r="E32" s="144">
        <v>43170.549791666665</v>
      </c>
      <c r="F32" s="89">
        <f t="shared" si="7"/>
        <v>43170.549791666665</v>
      </c>
      <c r="G32" s="90" t="str">
        <f t="shared" si="8"/>
        <v>13:11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</row>
    <row r="33" spans="1:21">
      <c r="A33" s="140">
        <v>8743</v>
      </c>
      <c r="B33" s="140" t="s">
        <v>15</v>
      </c>
      <c r="C33" s="140" t="s">
        <v>15</v>
      </c>
      <c r="D33" s="143" t="s">
        <v>7</v>
      </c>
      <c r="E33" s="144">
        <v>43170.584976851853</v>
      </c>
      <c r="F33" s="89">
        <f t="shared" si="7"/>
        <v>43170.584976851853</v>
      </c>
      <c r="G33" s="90" t="str">
        <f t="shared" si="8"/>
        <v>14:2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3.9833333333333325</v>
      </c>
      <c r="L33" s="93"/>
      <c r="M33" s="94"/>
      <c r="N33" s="94">
        <f>K33</f>
        <v>3.9833333333333325</v>
      </c>
      <c r="O33" s="95"/>
      <c r="P33" s="9" t="s">
        <v>20</v>
      </c>
    </row>
    <row r="34" spans="1:21">
      <c r="A34" s="140">
        <v>8750</v>
      </c>
      <c r="B34" s="140" t="s">
        <v>15</v>
      </c>
      <c r="C34" s="140" t="s">
        <v>15</v>
      </c>
      <c r="D34" s="143" t="s">
        <v>8</v>
      </c>
      <c r="E34" s="144">
        <v>43170.751134259262</v>
      </c>
      <c r="F34" s="89">
        <f t="shared" si="7"/>
        <v>43170.751134259262</v>
      </c>
      <c r="G34" s="90" t="str">
        <f t="shared" si="8"/>
        <v>18:1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</row>
    <row r="35" spans="1:21" s="9" customFormat="1">
      <c r="A35" s="140">
        <v>8751</v>
      </c>
      <c r="B35" s="140" t="s">
        <v>15</v>
      </c>
      <c r="C35" s="140" t="s">
        <v>15</v>
      </c>
      <c r="D35" s="143" t="s">
        <v>7</v>
      </c>
      <c r="E35" s="144">
        <v>43170.751192129632</v>
      </c>
      <c r="F35" s="89">
        <f t="shared" si="7"/>
        <v>43170.751192129632</v>
      </c>
      <c r="G35" s="90" t="str">
        <f t="shared" si="8"/>
        <v>18:1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0.99999999999999911</v>
      </c>
      <c r="L35" s="93"/>
      <c r="M35" s="94"/>
      <c r="N35" s="94">
        <f>K35</f>
        <v>0.99999999999999911</v>
      </c>
      <c r="O35" s="95"/>
    </row>
    <row r="36" spans="1:21" s="9" customFormat="1">
      <c r="A36" s="140">
        <v>8759</v>
      </c>
      <c r="B36" s="140" t="s">
        <v>15</v>
      </c>
      <c r="C36" s="140" t="s">
        <v>15</v>
      </c>
      <c r="D36" s="143" t="s">
        <v>8</v>
      </c>
      <c r="E36" s="144">
        <v>43170.792662037034</v>
      </c>
      <c r="F36" s="89">
        <f t="shared" si="7"/>
        <v>43170.792662037034</v>
      </c>
      <c r="G36" s="90" t="str">
        <f t="shared" si="8"/>
        <v>19:1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9" customFormat="1">
      <c r="A37" s="140">
        <v>8765</v>
      </c>
      <c r="B37" s="140" t="s">
        <v>15</v>
      </c>
      <c r="C37" s="140" t="s">
        <v>15</v>
      </c>
      <c r="D37" s="143" t="s">
        <v>6</v>
      </c>
      <c r="E37" s="144">
        <v>43171.369097222225</v>
      </c>
      <c r="F37" s="89">
        <f t="shared" si="7"/>
        <v>43171.369097222225</v>
      </c>
      <c r="G37" s="90" t="str">
        <f t="shared" si="8"/>
        <v>8:51</v>
      </c>
      <c r="H37" s="91">
        <f t="shared" si="9"/>
        <v>9.6333333333333346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</row>
    <row r="38" spans="1:21" s="9" customFormat="1">
      <c r="A38" s="140">
        <v>8779</v>
      </c>
      <c r="B38" s="140" t="s">
        <v>15</v>
      </c>
      <c r="C38" s="140" t="s">
        <v>15</v>
      </c>
      <c r="D38" s="143" t="s">
        <v>5</v>
      </c>
      <c r="E38" s="144">
        <v>43171.770277777781</v>
      </c>
      <c r="F38" s="89">
        <f t="shared" si="7"/>
        <v>43171.770277777781</v>
      </c>
      <c r="G38" s="90" t="str">
        <f t="shared" si="8"/>
        <v>18:29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</row>
    <row r="39" spans="1:21" s="137" customFormat="1">
      <c r="A39" s="140">
        <v>8807</v>
      </c>
      <c r="B39" s="140" t="s">
        <v>95</v>
      </c>
      <c r="C39" s="140" t="s">
        <v>15</v>
      </c>
      <c r="D39" s="143" t="s">
        <v>6</v>
      </c>
      <c r="E39" s="144">
        <v>43172.369039351855</v>
      </c>
      <c r="F39" s="89">
        <f t="shared" si="7"/>
        <v>43172.369039351855</v>
      </c>
      <c r="G39" s="90" t="str">
        <f t="shared" si="8"/>
        <v>8:51</v>
      </c>
      <c r="H39" s="91">
        <f t="shared" si="9"/>
        <v>9.6</v>
      </c>
      <c r="I39" s="92">
        <f t="shared" si="10"/>
        <v>8</v>
      </c>
      <c r="J39" s="92" t="str">
        <f t="shared" si="11"/>
        <v>-</v>
      </c>
      <c r="K39" s="93">
        <f t="shared" si="12"/>
        <v>0</v>
      </c>
      <c r="L39" s="93"/>
      <c r="M39" s="94">
        <f t="shared" si="13"/>
        <v>0</v>
      </c>
      <c r="N39" s="94">
        <f t="shared" si="14"/>
        <v>0</v>
      </c>
      <c r="O39" s="95"/>
      <c r="T39" s="16"/>
      <c r="U39" s="16"/>
    </row>
    <row r="40" spans="1:21" s="137" customFormat="1">
      <c r="A40" s="140">
        <v>8812</v>
      </c>
      <c r="B40" s="140" t="s">
        <v>15</v>
      </c>
      <c r="C40" s="140" t="s">
        <v>15</v>
      </c>
      <c r="D40" s="143" t="s">
        <v>5</v>
      </c>
      <c r="E40" s="144">
        <v>43172.76935185185</v>
      </c>
      <c r="F40" s="89">
        <f t="shared" si="7"/>
        <v>43172.76935185185</v>
      </c>
      <c r="G40" s="90" t="str">
        <f t="shared" si="8"/>
        <v>18:27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T40" s="16"/>
      <c r="U40" s="16"/>
    </row>
    <row r="41" spans="1:21" s="18" customFormat="1">
      <c r="A41" s="140">
        <v>8813</v>
      </c>
      <c r="B41" s="140" t="s">
        <v>15</v>
      </c>
      <c r="C41" s="140" t="s">
        <v>15</v>
      </c>
      <c r="D41" s="143" t="s">
        <v>7</v>
      </c>
      <c r="E41" s="144">
        <v>43172.770925925928</v>
      </c>
      <c r="F41" s="89">
        <f t="shared" si="7"/>
        <v>43172.770925925928</v>
      </c>
      <c r="G41" s="90" t="str">
        <f t="shared" si="8"/>
        <v>18:30</v>
      </c>
      <c r="H41" s="91" t="str">
        <f t="shared" si="9"/>
        <v>-</v>
      </c>
      <c r="I41" s="92" t="str">
        <f t="shared" si="10"/>
        <v>-</v>
      </c>
      <c r="J41" s="92" t="str">
        <f t="shared" si="11"/>
        <v>-</v>
      </c>
      <c r="K41" s="93">
        <f t="shared" si="12"/>
        <v>2.2166666666666641</v>
      </c>
      <c r="L41" s="93"/>
      <c r="M41" s="94">
        <f t="shared" si="13"/>
        <v>2</v>
      </c>
      <c r="N41" s="94">
        <f t="shared" si="14"/>
        <v>0.21666666666666412</v>
      </c>
      <c r="O41" s="95"/>
      <c r="T41" s="63"/>
      <c r="U41" s="63"/>
    </row>
    <row r="42" spans="1:21" s="18" customFormat="1">
      <c r="A42" s="140">
        <v>8830</v>
      </c>
      <c r="B42" s="140" t="s">
        <v>15</v>
      </c>
      <c r="C42" s="140" t="s">
        <v>15</v>
      </c>
      <c r="D42" s="143" t="s">
        <v>8</v>
      </c>
      <c r="E42" s="144">
        <v>43172.863553240742</v>
      </c>
      <c r="F42" s="89">
        <f t="shared" si="7"/>
        <v>43172.863553240742</v>
      </c>
      <c r="G42" s="90" t="str">
        <f t="shared" si="8"/>
        <v>20:43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  <c r="T42" s="63"/>
      <c r="U42" s="63"/>
    </row>
    <row r="43" spans="1:21" s="18" customFormat="1">
      <c r="A43" s="140">
        <v>8842</v>
      </c>
      <c r="B43" s="140" t="s">
        <v>15</v>
      </c>
      <c r="C43" s="140" t="s">
        <v>15</v>
      </c>
      <c r="D43" s="143" t="s">
        <v>6</v>
      </c>
      <c r="E43" s="144">
        <v>43173.369479166664</v>
      </c>
      <c r="F43" s="89">
        <f t="shared" si="7"/>
        <v>43173.369479166664</v>
      </c>
      <c r="G43" s="90" t="str">
        <f t="shared" si="8"/>
        <v>8:52</v>
      </c>
      <c r="H43" s="91">
        <f t="shared" si="9"/>
        <v>9.5500000000000007</v>
      </c>
      <c r="I43" s="92">
        <f t="shared" si="10"/>
        <v>8</v>
      </c>
      <c r="J43" s="92" t="str">
        <f t="shared" si="11"/>
        <v>-</v>
      </c>
      <c r="K43" s="93">
        <f t="shared" si="12"/>
        <v>0</v>
      </c>
      <c r="L43" s="93"/>
      <c r="M43" s="94">
        <f t="shared" si="13"/>
        <v>0</v>
      </c>
      <c r="N43" s="94">
        <f t="shared" si="14"/>
        <v>0</v>
      </c>
      <c r="O43" s="95"/>
      <c r="T43" s="63"/>
      <c r="U43" s="63"/>
    </row>
    <row r="44" spans="1:21" s="18" customFormat="1">
      <c r="A44" s="140">
        <v>8849</v>
      </c>
      <c r="B44" s="140" t="s">
        <v>15</v>
      </c>
      <c r="C44" s="140" t="s">
        <v>15</v>
      </c>
      <c r="D44" s="143" t="s">
        <v>5</v>
      </c>
      <c r="E44" s="144">
        <v>43173.76798611111</v>
      </c>
      <c r="F44" s="89">
        <f t="shared" si="7"/>
        <v>43173.76798611111</v>
      </c>
      <c r="G44" s="90" t="str">
        <f t="shared" si="8"/>
        <v>18:25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  <c r="T44" s="63"/>
      <c r="U44" s="63"/>
    </row>
    <row r="45" spans="1:21" s="18" customFormat="1">
      <c r="A45" s="140">
        <v>8856</v>
      </c>
      <c r="B45" s="140" t="s">
        <v>15</v>
      </c>
      <c r="C45" s="140" t="s">
        <v>15</v>
      </c>
      <c r="D45" s="143" t="s">
        <v>7</v>
      </c>
      <c r="E45" s="144">
        <v>43173.772187499999</v>
      </c>
      <c r="F45" s="89">
        <f t="shared" si="7"/>
        <v>43173.772187499999</v>
      </c>
      <c r="G45" s="90" t="str">
        <f t="shared" si="8"/>
        <v>18:31</v>
      </c>
      <c r="H45" s="91" t="str">
        <f t="shared" si="9"/>
        <v>-</v>
      </c>
      <c r="I45" s="92" t="str">
        <f t="shared" si="10"/>
        <v>-</v>
      </c>
      <c r="J45" s="92" t="str">
        <f t="shared" si="11"/>
        <v>-</v>
      </c>
      <c r="K45" s="93">
        <f t="shared" si="12"/>
        <v>1.4500000000000002</v>
      </c>
      <c r="L45" s="93"/>
      <c r="M45" s="94">
        <f t="shared" si="13"/>
        <v>1.4500000000000002</v>
      </c>
      <c r="N45" s="94">
        <f t="shared" si="14"/>
        <v>0</v>
      </c>
      <c r="O45" s="95"/>
      <c r="T45" s="63"/>
      <c r="U45" s="63"/>
    </row>
    <row r="46" spans="1:21" s="18" customFormat="1">
      <c r="A46" s="140">
        <v>8860</v>
      </c>
      <c r="B46" s="140" t="s">
        <v>15</v>
      </c>
      <c r="C46" s="140" t="s">
        <v>15</v>
      </c>
      <c r="D46" s="143" t="s">
        <v>8</v>
      </c>
      <c r="E46" s="144">
        <v>43173.832083333335</v>
      </c>
      <c r="F46" s="89">
        <f t="shared" si="7"/>
        <v>43173.832083333335</v>
      </c>
      <c r="G46" s="90" t="str">
        <f t="shared" si="8"/>
        <v>19:58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T46" s="63"/>
      <c r="U46" s="63"/>
    </row>
    <row r="47" spans="1:21" s="18" customFormat="1">
      <c r="A47" s="140">
        <v>8861</v>
      </c>
      <c r="B47" s="140" t="s">
        <v>15</v>
      </c>
      <c r="C47" s="140" t="s">
        <v>15</v>
      </c>
      <c r="D47" s="143" t="s">
        <v>7</v>
      </c>
      <c r="E47" s="144">
        <v>43173.838993055557</v>
      </c>
      <c r="F47" s="89">
        <f t="shared" si="7"/>
        <v>43173.838993055557</v>
      </c>
      <c r="G47" s="90" t="str">
        <f t="shared" si="8"/>
        <v>20:8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1.033333333333335</v>
      </c>
      <c r="L47" s="93"/>
      <c r="M47" s="94">
        <f>2-M45</f>
        <v>0.54999999999999982</v>
      </c>
      <c r="N47" s="94">
        <f>K45+K47-2</f>
        <v>0.48333333333333517</v>
      </c>
      <c r="O47" s="95"/>
    </row>
    <row r="48" spans="1:21" s="18" customFormat="1">
      <c r="A48" s="140">
        <v>8870</v>
      </c>
      <c r="B48" s="140" t="s">
        <v>15</v>
      </c>
      <c r="C48" s="140" t="s">
        <v>15</v>
      </c>
      <c r="D48" s="143" t="s">
        <v>8</v>
      </c>
      <c r="E48" s="144">
        <v>43173.882060185184</v>
      </c>
      <c r="F48" s="89">
        <f t="shared" si="7"/>
        <v>43173.882060185184</v>
      </c>
      <c r="G48" s="90" t="str">
        <f t="shared" si="8"/>
        <v>21:10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 s="63"/>
      <c r="U48" s="63"/>
    </row>
    <row r="49" spans="1:21" s="18" customFormat="1">
      <c r="A49" s="140">
        <v>8877</v>
      </c>
      <c r="B49" s="140" t="s">
        <v>95</v>
      </c>
      <c r="C49" s="140" t="s">
        <v>15</v>
      </c>
      <c r="D49" s="143" t="s">
        <v>6</v>
      </c>
      <c r="E49" s="144">
        <v>43174.369270833333</v>
      </c>
      <c r="F49" s="89">
        <f t="shared" si="7"/>
        <v>43174.369270833333</v>
      </c>
      <c r="G49" s="90" t="str">
        <f t="shared" si="8"/>
        <v>8:51</v>
      </c>
      <c r="H49" s="91">
        <f t="shared" si="9"/>
        <v>9.6500000000000021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 s="63"/>
      <c r="U49" s="63"/>
    </row>
    <row r="50" spans="1:21" s="18" customFormat="1">
      <c r="A50" s="140">
        <v>8887</v>
      </c>
      <c r="B50" s="140" t="s">
        <v>15</v>
      </c>
      <c r="C50" s="140" t="s">
        <v>15</v>
      </c>
      <c r="D50" s="143" t="s">
        <v>5</v>
      </c>
      <c r="E50" s="144">
        <v>43174.771319444444</v>
      </c>
      <c r="F50" s="89">
        <f t="shared" si="7"/>
        <v>43174.771319444444</v>
      </c>
      <c r="G50" s="90" t="str">
        <f t="shared" si="8"/>
        <v>18:30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 s="63"/>
      <c r="U50" s="63"/>
    </row>
    <row r="51" spans="1:21" s="18" customFormat="1">
      <c r="A51" s="140">
        <v>8888</v>
      </c>
      <c r="B51" s="140" t="s">
        <v>15</v>
      </c>
      <c r="C51" s="140" t="s">
        <v>15</v>
      </c>
      <c r="D51" s="143" t="s">
        <v>7</v>
      </c>
      <c r="E51" s="144">
        <v>43174.771354166667</v>
      </c>
      <c r="F51" s="89">
        <f t="shared" si="7"/>
        <v>43174.771354166667</v>
      </c>
      <c r="G51" s="90" t="str">
        <f t="shared" si="8"/>
        <v>18:30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2.2166666666666641</v>
      </c>
      <c r="L51" s="93"/>
      <c r="M51" s="94">
        <f t="shared" si="13"/>
        <v>2</v>
      </c>
      <c r="N51" s="94">
        <f t="shared" si="14"/>
        <v>0.21666666666666412</v>
      </c>
      <c r="O51" s="95"/>
      <c r="T51" s="63"/>
      <c r="U51" s="63"/>
    </row>
    <row r="52" spans="1:21" s="18" customFormat="1">
      <c r="A52" s="140">
        <v>8902</v>
      </c>
      <c r="B52" s="140" t="s">
        <v>15</v>
      </c>
      <c r="C52" s="140" t="s">
        <v>15</v>
      </c>
      <c r="D52" s="143" t="s">
        <v>8</v>
      </c>
      <c r="E52" s="144">
        <v>43174.863692129627</v>
      </c>
      <c r="F52" s="89">
        <f t="shared" si="7"/>
        <v>43174.863692129627</v>
      </c>
      <c r="G52" s="90" t="str">
        <f t="shared" si="8"/>
        <v>20:43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 s="63"/>
      <c r="U52" s="63"/>
    </row>
    <row r="53" spans="1:21" s="63" customFormat="1">
      <c r="A53" s="140">
        <v>8906</v>
      </c>
      <c r="B53" s="140" t="s">
        <v>15</v>
      </c>
      <c r="C53" s="140" t="s">
        <v>15</v>
      </c>
      <c r="D53" s="143" t="s">
        <v>6</v>
      </c>
      <c r="E53" s="144">
        <v>43175.331493055557</v>
      </c>
      <c r="F53" s="89">
        <f t="shared" si="7"/>
        <v>43175.331493055557</v>
      </c>
      <c r="G53" s="90" t="str">
        <f t="shared" si="8"/>
        <v>7:57</v>
      </c>
      <c r="H53" s="91">
        <f t="shared" si="9"/>
        <v>10.400000000000002</v>
      </c>
      <c r="I53" s="92">
        <f t="shared" si="10"/>
        <v>8</v>
      </c>
      <c r="J53" s="92" t="str">
        <f t="shared" si="11"/>
        <v>-</v>
      </c>
      <c r="K53" s="93">
        <f t="shared" si="12"/>
        <v>0</v>
      </c>
      <c r="L53" s="93"/>
      <c r="M53" s="94">
        <f t="shared" si="13"/>
        <v>0</v>
      </c>
      <c r="N53" s="94">
        <f t="shared" si="14"/>
        <v>0</v>
      </c>
      <c r="O53" s="95"/>
      <c r="P53" s="18"/>
      <c r="Q53" s="18"/>
      <c r="R53" s="18"/>
      <c r="S53" s="18"/>
    </row>
    <row r="54" spans="1:21" s="63" customFormat="1">
      <c r="A54" s="140">
        <v>8918</v>
      </c>
      <c r="B54" s="140" t="s">
        <v>95</v>
      </c>
      <c r="C54" s="140" t="s">
        <v>15</v>
      </c>
      <c r="D54" s="143" t="s">
        <v>5</v>
      </c>
      <c r="E54" s="144">
        <v>43175.764872685184</v>
      </c>
      <c r="F54" s="89">
        <f t="shared" si="7"/>
        <v>43175.764872685184</v>
      </c>
      <c r="G54" s="90" t="str">
        <f t="shared" si="8"/>
        <v>18:21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  <c r="P54" s="18"/>
      <c r="Q54" s="18"/>
      <c r="R54" s="18"/>
      <c r="S54" s="18"/>
    </row>
    <row r="55" spans="1:21" s="63" customFormat="1">
      <c r="A55" s="140">
        <v>8960</v>
      </c>
      <c r="B55" s="140" t="s">
        <v>15</v>
      </c>
      <c r="C55" s="140" t="s">
        <v>15</v>
      </c>
      <c r="D55" s="143" t="s">
        <v>7</v>
      </c>
      <c r="E55" s="144">
        <v>43176.582395833335</v>
      </c>
      <c r="F55" s="89">
        <f t="shared" si="7"/>
        <v>43176.582395833335</v>
      </c>
      <c r="G55" s="90" t="str">
        <f t="shared" si="8"/>
        <v>13:58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3.8666666666666636</v>
      </c>
      <c r="L55" s="93"/>
      <c r="M55" s="94">
        <f t="shared" si="13"/>
        <v>2</v>
      </c>
      <c r="N55" s="94">
        <f t="shared" si="14"/>
        <v>1.8666666666666636</v>
      </c>
      <c r="O55" s="95"/>
      <c r="P55" s="18"/>
      <c r="Q55" s="18"/>
      <c r="R55" s="18"/>
      <c r="S55" s="18"/>
    </row>
    <row r="56" spans="1:21" s="63" customFormat="1">
      <c r="A56" s="140">
        <v>8969</v>
      </c>
      <c r="B56" s="140" t="s">
        <v>15</v>
      </c>
      <c r="C56" s="140" t="s">
        <v>15</v>
      </c>
      <c r="D56" s="143" t="s">
        <v>8</v>
      </c>
      <c r="E56" s="144">
        <v>43176.743437500001</v>
      </c>
      <c r="F56" s="89">
        <f t="shared" si="7"/>
        <v>43176.743437500001</v>
      </c>
      <c r="G56" s="90" t="str">
        <f t="shared" si="8"/>
        <v>17:50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18"/>
      <c r="Q56" s="18"/>
      <c r="R56" s="18"/>
      <c r="S56" s="18"/>
    </row>
    <row r="57" spans="1:21" s="63" customFormat="1">
      <c r="A57" s="140">
        <v>8970</v>
      </c>
      <c r="B57" s="140" t="s">
        <v>15</v>
      </c>
      <c r="C57" s="140" t="s">
        <v>15</v>
      </c>
      <c r="D57" s="143" t="s">
        <v>7</v>
      </c>
      <c r="E57" s="144">
        <v>43176.743495370371</v>
      </c>
      <c r="F57" s="89">
        <f t="shared" si="7"/>
        <v>43176.743495370371</v>
      </c>
      <c r="G57" s="90" t="str">
        <f t="shared" si="8"/>
        <v>17:50</v>
      </c>
      <c r="H57" s="91" t="str">
        <f t="shared" si="9"/>
        <v>-</v>
      </c>
      <c r="I57" s="92" t="str">
        <f t="shared" si="10"/>
        <v>-</v>
      </c>
      <c r="J57" s="92" t="str">
        <f t="shared" si="11"/>
        <v>-</v>
      </c>
      <c r="K57" s="93">
        <f t="shared" si="12"/>
        <v>2.1333333333333337</v>
      </c>
      <c r="L57" s="93"/>
      <c r="M57" s="94"/>
      <c r="N57" s="94">
        <f>K57</f>
        <v>2.1333333333333337</v>
      </c>
      <c r="O57" s="95"/>
      <c r="P57" s="18"/>
      <c r="Q57" s="18"/>
      <c r="R57" s="18"/>
      <c r="S57" s="18"/>
    </row>
    <row r="58" spans="1:21" s="63" customFormat="1">
      <c r="A58" s="140">
        <v>8971</v>
      </c>
      <c r="B58" s="140" t="s">
        <v>15</v>
      </c>
      <c r="C58" s="140" t="s">
        <v>15</v>
      </c>
      <c r="D58" s="143" t="s">
        <v>8</v>
      </c>
      <c r="E58" s="144">
        <v>43176.832384259258</v>
      </c>
      <c r="F58" s="89">
        <f t="shared" si="7"/>
        <v>43176.832384259258</v>
      </c>
      <c r="G58" s="90" t="str">
        <f t="shared" si="8"/>
        <v>19:58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 s="63" customFormat="1">
      <c r="A59" s="422">
        <v>8982</v>
      </c>
      <c r="B59" s="422" t="s">
        <v>95</v>
      </c>
      <c r="C59" s="422" t="s">
        <v>15</v>
      </c>
      <c r="D59" s="181" t="s">
        <v>6</v>
      </c>
      <c r="E59" s="180">
        <v>43178.430451388886</v>
      </c>
      <c r="F59" s="135">
        <f t="shared" si="7"/>
        <v>43178.430451388886</v>
      </c>
      <c r="G59" s="67" t="str">
        <f t="shared" si="8"/>
        <v>10:19</v>
      </c>
      <c r="H59" s="64">
        <f t="shared" si="9"/>
        <v>7.9666666666666686</v>
      </c>
      <c r="I59" s="66">
        <v>6.5</v>
      </c>
      <c r="J59" s="66">
        <f t="shared" si="11"/>
        <v>1.5</v>
      </c>
      <c r="K59" s="68">
        <f t="shared" si="12"/>
        <v>0</v>
      </c>
      <c r="L59" s="68"/>
      <c r="M59" s="65">
        <f t="shared" si="13"/>
        <v>0</v>
      </c>
      <c r="N59" s="65">
        <f t="shared" si="14"/>
        <v>0</v>
      </c>
      <c r="O59" s="147" t="s">
        <v>112</v>
      </c>
      <c r="P59" s="18"/>
      <c r="Q59" s="18"/>
      <c r="R59" s="18"/>
      <c r="S59" s="18"/>
    </row>
    <row r="60" spans="1:21">
      <c r="A60" s="140">
        <v>8983</v>
      </c>
      <c r="B60" s="140" t="s">
        <v>15</v>
      </c>
      <c r="C60" s="140" t="s">
        <v>15</v>
      </c>
      <c r="D60" s="143" t="s">
        <v>5</v>
      </c>
      <c r="E60" s="144">
        <v>43178.762141203704</v>
      </c>
      <c r="F60" s="89">
        <f t="shared" si="7"/>
        <v>43178.762141203704</v>
      </c>
      <c r="G60" s="90" t="str">
        <f t="shared" si="8"/>
        <v>18:17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8995</v>
      </c>
      <c r="B61" s="140" t="s">
        <v>15</v>
      </c>
      <c r="C61" s="140" t="s">
        <v>15</v>
      </c>
      <c r="D61" s="143" t="s">
        <v>7</v>
      </c>
      <c r="E61" s="144">
        <v>43178.792187500003</v>
      </c>
      <c r="F61" s="89">
        <f t="shared" si="7"/>
        <v>43178.792187500003</v>
      </c>
      <c r="G61" s="90" t="str">
        <f t="shared" si="8"/>
        <v>19:0</v>
      </c>
      <c r="H61" s="91" t="str">
        <f t="shared" si="9"/>
        <v>-</v>
      </c>
      <c r="I61" s="92" t="str">
        <f t="shared" si="10"/>
        <v>-</v>
      </c>
      <c r="J61" s="92" t="str">
        <f t="shared" si="11"/>
        <v>-</v>
      </c>
      <c r="K61" s="93">
        <f t="shared" si="12"/>
        <v>1.7500000000000018</v>
      </c>
      <c r="L61" s="93"/>
      <c r="M61" s="94">
        <f t="shared" si="13"/>
        <v>1.7500000000000018</v>
      </c>
      <c r="N61" s="94">
        <f t="shared" si="14"/>
        <v>0</v>
      </c>
      <c r="O61" s="95"/>
    </row>
    <row r="62" spans="1:21">
      <c r="A62" s="140">
        <v>9002</v>
      </c>
      <c r="B62" s="140" t="s">
        <v>15</v>
      </c>
      <c r="C62" s="140" t="s">
        <v>15</v>
      </c>
      <c r="D62" s="143" t="s">
        <v>8</v>
      </c>
      <c r="E62" s="144">
        <v>43178.864652777775</v>
      </c>
      <c r="F62" s="89">
        <f t="shared" si="7"/>
        <v>43178.864652777775</v>
      </c>
      <c r="G62" s="90" t="str">
        <f t="shared" si="8"/>
        <v>20:45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16" customFormat="1">
      <c r="A63" s="140">
        <v>9013</v>
      </c>
      <c r="B63" s="140" t="s">
        <v>15</v>
      </c>
      <c r="C63" s="140" t="s">
        <v>15</v>
      </c>
      <c r="D63" s="143" t="s">
        <v>6</v>
      </c>
      <c r="E63" s="144">
        <v>43179.367002314815</v>
      </c>
      <c r="F63" s="89">
        <f t="shared" si="7"/>
        <v>43179.367002314815</v>
      </c>
      <c r="G63" s="90" t="str">
        <f t="shared" si="8"/>
        <v>8:48</v>
      </c>
      <c r="H63" s="91">
        <f t="shared" si="9"/>
        <v>9.6166666666666671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37"/>
      <c r="Q63" s="137"/>
      <c r="R63" s="137"/>
      <c r="S63" s="137"/>
    </row>
    <row r="64" spans="1:21" s="16" customFormat="1">
      <c r="A64" s="140">
        <v>9023</v>
      </c>
      <c r="B64" s="140" t="s">
        <v>15</v>
      </c>
      <c r="C64" s="140" t="s">
        <v>15</v>
      </c>
      <c r="D64" s="143" t="s">
        <v>5</v>
      </c>
      <c r="E64" s="144">
        <v>43179.767951388887</v>
      </c>
      <c r="F64" s="89">
        <f t="shared" si="7"/>
        <v>43179.767951388887</v>
      </c>
      <c r="G64" s="90" t="str">
        <f t="shared" si="8"/>
        <v>18:25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37"/>
      <c r="Q64" s="137"/>
      <c r="R64" s="137"/>
      <c r="S64" s="137"/>
    </row>
    <row r="65" spans="1:19" s="16" customFormat="1">
      <c r="A65" s="140">
        <v>9048</v>
      </c>
      <c r="B65" s="140" t="s">
        <v>15</v>
      </c>
      <c r="C65" s="140" t="s">
        <v>15</v>
      </c>
      <c r="D65" s="143" t="s">
        <v>6</v>
      </c>
      <c r="E65" s="144">
        <v>43180.367048611108</v>
      </c>
      <c r="F65" s="89">
        <f t="shared" si="7"/>
        <v>43180.367048611108</v>
      </c>
      <c r="G65" s="90" t="str">
        <f t="shared" si="8"/>
        <v>8:48</v>
      </c>
      <c r="H65" s="91">
        <f t="shared" si="9"/>
        <v>9.6833333333333336</v>
      </c>
      <c r="I65" s="92">
        <f t="shared" si="10"/>
        <v>8</v>
      </c>
      <c r="J65" s="92" t="str">
        <f t="shared" si="11"/>
        <v>-</v>
      </c>
      <c r="K65" s="93">
        <f t="shared" si="12"/>
        <v>0</v>
      </c>
      <c r="L65" s="93"/>
      <c r="M65" s="94">
        <f t="shared" si="13"/>
        <v>0</v>
      </c>
      <c r="N65" s="94">
        <f t="shared" si="14"/>
        <v>0</v>
      </c>
      <c r="O65" s="95"/>
      <c r="P65" s="137"/>
      <c r="Q65" s="137"/>
      <c r="R65" s="137"/>
      <c r="S65" s="137"/>
    </row>
    <row r="66" spans="1:19" s="16" customFormat="1">
      <c r="A66" s="140">
        <v>9059</v>
      </c>
      <c r="B66" s="140" t="s">
        <v>15</v>
      </c>
      <c r="C66" s="140" t="s">
        <v>15</v>
      </c>
      <c r="D66" s="143" t="s">
        <v>5</v>
      </c>
      <c r="E66" s="144">
        <v>43180.770208333335</v>
      </c>
      <c r="F66" s="89">
        <f t="shared" si="7"/>
        <v>43180.770208333335</v>
      </c>
      <c r="G66" s="90" t="str">
        <f t="shared" si="8"/>
        <v>18:29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  <c r="P66" s="137"/>
      <c r="Q66" s="137"/>
      <c r="R66" s="137"/>
      <c r="S66" s="137"/>
    </row>
    <row r="67" spans="1:19">
      <c r="A67" s="140">
        <v>9062</v>
      </c>
      <c r="B67" s="140" t="s">
        <v>15</v>
      </c>
      <c r="C67" s="140" t="s">
        <v>15</v>
      </c>
      <c r="D67" s="143" t="s">
        <v>7</v>
      </c>
      <c r="E67" s="144">
        <v>43180.770879629628</v>
      </c>
      <c r="F67" s="89">
        <f t="shared" si="7"/>
        <v>43180.770879629628</v>
      </c>
      <c r="G67" s="90" t="str">
        <f t="shared" si="8"/>
        <v>18:30</v>
      </c>
      <c r="H67" s="91" t="str">
        <f t="shared" si="9"/>
        <v>-</v>
      </c>
      <c r="I67" s="92" t="str">
        <f t="shared" si="10"/>
        <v>-</v>
      </c>
      <c r="J67" s="92" t="str">
        <f t="shared" si="11"/>
        <v>-</v>
      </c>
      <c r="K67" s="93">
        <f t="shared" si="12"/>
        <v>1.1499999999999986</v>
      </c>
      <c r="L67" s="93"/>
      <c r="M67" s="94">
        <f t="shared" si="13"/>
        <v>1.1499999999999986</v>
      </c>
      <c r="N67" s="94">
        <f t="shared" si="14"/>
        <v>0</v>
      </c>
      <c r="O67" s="95"/>
    </row>
    <row r="68" spans="1:19">
      <c r="A68" s="140">
        <v>9076</v>
      </c>
      <c r="B68" s="140" t="s">
        <v>15</v>
      </c>
      <c r="C68" s="140" t="s">
        <v>15</v>
      </c>
      <c r="D68" s="143" t="s">
        <v>8</v>
      </c>
      <c r="E68" s="144">
        <v>43180.819282407407</v>
      </c>
      <c r="F68" s="89">
        <f t="shared" si="7"/>
        <v>43180.819282407407</v>
      </c>
      <c r="G68" s="90" t="str">
        <f t="shared" si="8"/>
        <v>19:39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 s="140">
        <v>9083</v>
      </c>
      <c r="B69" s="140" t="s">
        <v>15</v>
      </c>
      <c r="C69" s="140" t="s">
        <v>15</v>
      </c>
      <c r="D69" s="143" t="s">
        <v>6</v>
      </c>
      <c r="E69" s="144">
        <v>43181.36409722222</v>
      </c>
      <c r="F69" s="89">
        <f t="shared" si="7"/>
        <v>43181.36409722222</v>
      </c>
      <c r="G69" s="90" t="str">
        <f t="shared" si="8"/>
        <v>8:44</v>
      </c>
      <c r="H69" s="91">
        <f t="shared" si="9"/>
        <v>9.5333333333333332</v>
      </c>
      <c r="I69" s="92">
        <f t="shared" si="10"/>
        <v>8</v>
      </c>
      <c r="J69" s="92" t="str">
        <f t="shared" si="11"/>
        <v>-</v>
      </c>
      <c r="K69" s="93">
        <f t="shared" si="12"/>
        <v>0</v>
      </c>
      <c r="L69" s="93"/>
      <c r="M69" s="94">
        <f t="shared" si="13"/>
        <v>0</v>
      </c>
      <c r="N69" s="94">
        <f t="shared" si="14"/>
        <v>0</v>
      </c>
      <c r="O69" s="95"/>
    </row>
    <row r="70" spans="1:19">
      <c r="A70" s="140">
        <v>9092</v>
      </c>
      <c r="B70" s="140" t="s">
        <v>15</v>
      </c>
      <c r="C70" s="140" t="s">
        <v>15</v>
      </c>
      <c r="D70" s="143" t="s">
        <v>5</v>
      </c>
      <c r="E70" s="144">
        <v>43181.761145833334</v>
      </c>
      <c r="F70" s="89">
        <f t="shared" si="7"/>
        <v>43181.761145833334</v>
      </c>
      <c r="G70" s="90" t="str">
        <f t="shared" si="8"/>
        <v>18:16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</row>
    <row r="71" spans="1:19">
      <c r="A71" s="140">
        <v>9105</v>
      </c>
      <c r="B71" s="140" t="s">
        <v>15</v>
      </c>
      <c r="C71" s="140" t="s">
        <v>15</v>
      </c>
      <c r="D71" s="143" t="s">
        <v>7</v>
      </c>
      <c r="E71" s="144">
        <v>43181.797777777778</v>
      </c>
      <c r="F71" s="89">
        <f t="shared" si="7"/>
        <v>43181.797777777778</v>
      </c>
      <c r="G71" s="90" t="str">
        <f t="shared" si="8"/>
        <v>19:8</v>
      </c>
      <c r="H71" s="91" t="str">
        <f t="shared" si="9"/>
        <v>-</v>
      </c>
      <c r="I71" s="92" t="str">
        <f t="shared" si="10"/>
        <v>-</v>
      </c>
      <c r="J71" s="92" t="str">
        <f t="shared" si="11"/>
        <v>-</v>
      </c>
      <c r="K71" s="93">
        <f t="shared" si="12"/>
        <v>3.8000000000000025</v>
      </c>
      <c r="L71" s="93"/>
      <c r="M71" s="94">
        <f t="shared" si="13"/>
        <v>2</v>
      </c>
      <c r="N71" s="94">
        <f t="shared" si="14"/>
        <v>1.8000000000000025</v>
      </c>
      <c r="O71" s="95"/>
    </row>
    <row r="72" spans="1:19">
      <c r="A72" s="140">
        <v>9115</v>
      </c>
      <c r="B72" s="140" t="s">
        <v>15</v>
      </c>
      <c r="C72" s="140" t="s">
        <v>15</v>
      </c>
      <c r="D72" s="143" t="s">
        <v>8</v>
      </c>
      <c r="E72" s="144">
        <v>43181.95579861111</v>
      </c>
      <c r="F72" s="89">
        <f t="shared" ref="F72:F96" si="15">E72</f>
        <v>43181.95579861111</v>
      </c>
      <c r="G72" s="90" t="str">
        <f t="shared" ref="G72:G96" si="16">HOUR(E72)&amp;":"&amp;MINUTE(E72)</f>
        <v>22:56</v>
      </c>
      <c r="H72" s="91" t="str">
        <f t="shared" ref="H72:H96" si="17">IF(D72="上班",(G73-G72)*24,"-")</f>
        <v>-</v>
      </c>
      <c r="I72" s="92" t="str">
        <f t="shared" ref="I72:I96" si="18">IF(D72="上班",IF(H72-1.5&gt;8,8,H72-1.5),"-")</f>
        <v>-</v>
      </c>
      <c r="J72" s="92" t="str">
        <f t="shared" ref="J72:J96" si="19">IF(I72&lt;8,8-I72,"-")</f>
        <v>-</v>
      </c>
      <c r="K72" s="93">
        <f t="shared" ref="K72:K96" si="20">IF(D72="加班",(G73-G72)*24,0)</f>
        <v>0</v>
      </c>
      <c r="L72" s="93"/>
      <c r="M72" s="94">
        <f t="shared" ref="M72:M96" si="21">IF(K72&gt;2,2,K72)</f>
        <v>0</v>
      </c>
      <c r="N72" s="94">
        <f t="shared" ref="N72:N96" si="22">IF(K72&gt;2,K72-2,0)</f>
        <v>0</v>
      </c>
      <c r="O72" s="95"/>
    </row>
    <row r="73" spans="1:19">
      <c r="A73" s="140">
        <v>9119</v>
      </c>
      <c r="B73" s="140" t="s">
        <v>15</v>
      </c>
      <c r="C73" s="140" t="s">
        <v>15</v>
      </c>
      <c r="D73" s="143" t="s">
        <v>6</v>
      </c>
      <c r="E73" s="144">
        <v>43182.364560185182</v>
      </c>
      <c r="F73" s="89">
        <f t="shared" si="15"/>
        <v>43182.364560185182</v>
      </c>
      <c r="G73" s="90" t="str">
        <f t="shared" si="16"/>
        <v>8:44</v>
      </c>
      <c r="H73" s="91">
        <f t="shared" si="17"/>
        <v>10.050000000000002</v>
      </c>
      <c r="I73" s="92">
        <f t="shared" si="18"/>
        <v>8</v>
      </c>
      <c r="J73" s="92" t="str">
        <f t="shared" si="19"/>
        <v>-</v>
      </c>
      <c r="K73" s="93">
        <f t="shared" si="20"/>
        <v>0</v>
      </c>
      <c r="L73" s="93"/>
      <c r="M73" s="94">
        <f t="shared" si="21"/>
        <v>0</v>
      </c>
      <c r="N73" s="94">
        <f t="shared" si="22"/>
        <v>0</v>
      </c>
      <c r="O73" s="95"/>
    </row>
    <row r="74" spans="1:19">
      <c r="A74" s="140">
        <v>9136</v>
      </c>
      <c r="B74" s="140" t="s">
        <v>15</v>
      </c>
      <c r="C74" s="140" t="s">
        <v>15</v>
      </c>
      <c r="D74" s="143" t="s">
        <v>5</v>
      </c>
      <c r="E74" s="144">
        <v>43182.782997685186</v>
      </c>
      <c r="F74" s="89">
        <f t="shared" si="15"/>
        <v>43182.782997685186</v>
      </c>
      <c r="G74" s="90" t="str">
        <f t="shared" si="16"/>
        <v>18:47</v>
      </c>
      <c r="H74" s="91" t="str">
        <f t="shared" si="17"/>
        <v>-</v>
      </c>
      <c r="I74" s="92" t="str">
        <f t="shared" si="18"/>
        <v>-</v>
      </c>
      <c r="J74" s="92" t="str">
        <f t="shared" si="19"/>
        <v>-</v>
      </c>
      <c r="K74" s="93">
        <f t="shared" si="20"/>
        <v>0</v>
      </c>
      <c r="L74" s="93"/>
      <c r="M74" s="94">
        <f t="shared" si="21"/>
        <v>0</v>
      </c>
      <c r="N74" s="94">
        <f t="shared" si="22"/>
        <v>0</v>
      </c>
      <c r="O74" s="95"/>
    </row>
    <row r="75" spans="1:19">
      <c r="A75" s="140">
        <v>9143</v>
      </c>
      <c r="B75" s="140" t="s">
        <v>15</v>
      </c>
      <c r="C75" s="140" t="s">
        <v>15</v>
      </c>
      <c r="D75" s="143" t="s">
        <v>6</v>
      </c>
      <c r="E75" s="144">
        <v>43185.371342592596</v>
      </c>
      <c r="F75" s="89">
        <f t="shared" si="15"/>
        <v>43185.371342592596</v>
      </c>
      <c r="G75" s="90" t="str">
        <f t="shared" si="16"/>
        <v>8:54</v>
      </c>
      <c r="H75" s="91">
        <f t="shared" si="17"/>
        <v>9.6000000000000014</v>
      </c>
      <c r="I75" s="92">
        <f t="shared" si="18"/>
        <v>8</v>
      </c>
      <c r="J75" s="92" t="str">
        <f t="shared" si="19"/>
        <v>-</v>
      </c>
      <c r="K75" s="93">
        <f t="shared" si="20"/>
        <v>0</v>
      </c>
      <c r="L75" s="93"/>
      <c r="M75" s="94">
        <f t="shared" si="21"/>
        <v>0</v>
      </c>
      <c r="N75" s="94">
        <f t="shared" si="22"/>
        <v>0</v>
      </c>
      <c r="O75" s="95"/>
    </row>
    <row r="76" spans="1:19">
      <c r="A76" s="140">
        <v>9151</v>
      </c>
      <c r="B76" s="140" t="s">
        <v>15</v>
      </c>
      <c r="C76" s="140" t="s">
        <v>15</v>
      </c>
      <c r="D76" s="143" t="s">
        <v>5</v>
      </c>
      <c r="E76" s="144">
        <v>43185.771157407406</v>
      </c>
      <c r="F76" s="89">
        <f t="shared" si="15"/>
        <v>43185.771157407406</v>
      </c>
      <c r="G76" s="90" t="str">
        <f t="shared" si="16"/>
        <v>18:30</v>
      </c>
      <c r="H76" s="91" t="str">
        <f t="shared" si="17"/>
        <v>-</v>
      </c>
      <c r="I76" s="92" t="str">
        <f t="shared" si="18"/>
        <v>-</v>
      </c>
      <c r="J76" s="92" t="str">
        <f t="shared" si="19"/>
        <v>-</v>
      </c>
      <c r="K76" s="93">
        <f t="shared" si="20"/>
        <v>0</v>
      </c>
      <c r="L76" s="93"/>
      <c r="M76" s="94">
        <f t="shared" si="21"/>
        <v>0</v>
      </c>
      <c r="N76" s="94">
        <f t="shared" si="22"/>
        <v>0</v>
      </c>
      <c r="O76" s="95"/>
    </row>
    <row r="77" spans="1:19">
      <c r="A77" s="140">
        <v>9167</v>
      </c>
      <c r="B77" s="140" t="s">
        <v>15</v>
      </c>
      <c r="C77" s="140" t="s">
        <v>15</v>
      </c>
      <c r="D77" s="143" t="s">
        <v>6</v>
      </c>
      <c r="E77" s="144">
        <v>43186.367314814815</v>
      </c>
      <c r="F77" s="89">
        <f t="shared" si="15"/>
        <v>43186.367314814815</v>
      </c>
      <c r="G77" s="90" t="str">
        <f t="shared" si="16"/>
        <v>8:48</v>
      </c>
      <c r="H77" s="91">
        <f t="shared" si="17"/>
        <v>9.5999999999999979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</row>
    <row r="78" spans="1:19">
      <c r="A78" s="140">
        <v>9171</v>
      </c>
      <c r="B78" s="140" t="s">
        <v>15</v>
      </c>
      <c r="C78" s="140" t="s">
        <v>15</v>
      </c>
      <c r="D78" s="143" t="s">
        <v>5</v>
      </c>
      <c r="E78" s="144">
        <v>43186.767210648148</v>
      </c>
      <c r="F78" s="89">
        <f t="shared" si="15"/>
        <v>43186.767210648148</v>
      </c>
      <c r="G78" s="90" t="str">
        <f t="shared" si="16"/>
        <v>18:24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</row>
    <row r="79" spans="1:19">
      <c r="A79" s="140">
        <v>9172</v>
      </c>
      <c r="B79" s="140" t="s">
        <v>15</v>
      </c>
      <c r="C79" s="140" t="s">
        <v>15</v>
      </c>
      <c r="D79" s="143" t="s">
        <v>7</v>
      </c>
      <c r="E79" s="144">
        <v>43186.770891203705</v>
      </c>
      <c r="F79" s="89">
        <f t="shared" si="15"/>
        <v>43186.770891203705</v>
      </c>
      <c r="G79" s="90" t="str">
        <f t="shared" si="16"/>
        <v>18:30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6.666666666666643E-2</v>
      </c>
      <c r="L79" s="93"/>
      <c r="M79" s="94">
        <f t="shared" si="21"/>
        <v>6.666666666666643E-2</v>
      </c>
      <c r="N79" s="94">
        <f t="shared" si="22"/>
        <v>0</v>
      </c>
      <c r="O79" s="95"/>
    </row>
    <row r="80" spans="1:19">
      <c r="A80" s="140">
        <v>9178</v>
      </c>
      <c r="B80" s="140" t="s">
        <v>15</v>
      </c>
      <c r="C80" s="140" t="s">
        <v>15</v>
      </c>
      <c r="D80" s="143" t="s">
        <v>8</v>
      </c>
      <c r="E80" s="144">
        <v>43186.773726851854</v>
      </c>
      <c r="F80" s="89">
        <f t="shared" si="15"/>
        <v>43186.773726851854</v>
      </c>
      <c r="G80" s="90" t="str">
        <f t="shared" si="16"/>
        <v>18:34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</row>
    <row r="81" spans="1:19">
      <c r="A81">
        <v>9186</v>
      </c>
      <c r="B81" t="s">
        <v>15</v>
      </c>
      <c r="C81" t="s">
        <v>15</v>
      </c>
      <c r="D81" s="143" t="s">
        <v>7</v>
      </c>
      <c r="E81" s="144">
        <v>43186.834930555553</v>
      </c>
      <c r="F81" s="89">
        <f t="shared" si="15"/>
        <v>43186.834930555553</v>
      </c>
      <c r="G81" s="90" t="str">
        <f t="shared" si="16"/>
        <v>20:2</v>
      </c>
      <c r="H81" s="91" t="str">
        <f t="shared" si="17"/>
        <v>-</v>
      </c>
      <c r="I81" s="92" t="str">
        <f t="shared" si="18"/>
        <v>-</v>
      </c>
      <c r="J81" s="92" t="str">
        <f t="shared" si="19"/>
        <v>-</v>
      </c>
      <c r="K81" s="93">
        <f t="shared" si="20"/>
        <v>1.4833333333333307</v>
      </c>
      <c r="L81" s="93"/>
      <c r="M81" s="94">
        <f t="shared" si="21"/>
        <v>1.4833333333333307</v>
      </c>
      <c r="N81" s="94">
        <f t="shared" si="22"/>
        <v>0</v>
      </c>
      <c r="O81" s="95"/>
    </row>
    <row r="82" spans="1:19">
      <c r="A82">
        <v>9188</v>
      </c>
      <c r="B82" t="s">
        <v>15</v>
      </c>
      <c r="C82" t="s">
        <v>15</v>
      </c>
      <c r="D82" s="143" t="s">
        <v>8</v>
      </c>
      <c r="E82" s="144">
        <v>43186.896597222221</v>
      </c>
      <c r="F82" s="89">
        <f t="shared" si="15"/>
        <v>43186.896597222221</v>
      </c>
      <c r="G82" s="90" t="str">
        <f t="shared" si="16"/>
        <v>21:31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</row>
    <row r="83" spans="1:19">
      <c r="A83">
        <v>9194</v>
      </c>
      <c r="B83" t="s">
        <v>15</v>
      </c>
      <c r="C83" t="s">
        <v>15</v>
      </c>
      <c r="D83" s="143" t="s">
        <v>6</v>
      </c>
      <c r="E83" s="144">
        <v>43187.364560185182</v>
      </c>
      <c r="F83" s="89">
        <f t="shared" si="15"/>
        <v>43187.364560185182</v>
      </c>
      <c r="G83" s="90" t="str">
        <f t="shared" si="16"/>
        <v>8:44</v>
      </c>
      <c r="H83" s="91">
        <f t="shared" si="17"/>
        <v>9.7333333333333325</v>
      </c>
      <c r="I83" s="92">
        <f t="shared" si="18"/>
        <v>8</v>
      </c>
      <c r="J83" s="92" t="str">
        <f t="shared" si="19"/>
        <v>-</v>
      </c>
      <c r="K83" s="93">
        <f t="shared" si="20"/>
        <v>0</v>
      </c>
      <c r="L83" s="93"/>
      <c r="M83" s="94">
        <f t="shared" si="21"/>
        <v>0</v>
      </c>
      <c r="N83" s="94">
        <f t="shared" si="22"/>
        <v>0</v>
      </c>
      <c r="O83" s="95"/>
    </row>
    <row r="84" spans="1:19">
      <c r="A84">
        <v>9203</v>
      </c>
      <c r="B84" t="s">
        <v>15</v>
      </c>
      <c r="C84" t="s">
        <v>15</v>
      </c>
      <c r="D84" s="143" t="s">
        <v>5</v>
      </c>
      <c r="E84" s="144">
        <v>43187.769456018519</v>
      </c>
      <c r="F84" s="89">
        <f t="shared" si="15"/>
        <v>43187.769456018519</v>
      </c>
      <c r="G84" s="90" t="str">
        <f t="shared" si="16"/>
        <v>18:28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9">
      <c r="A85">
        <v>9204</v>
      </c>
      <c r="B85" t="s">
        <v>15</v>
      </c>
      <c r="C85" t="s">
        <v>15</v>
      </c>
      <c r="D85" s="143" t="s">
        <v>7</v>
      </c>
      <c r="E85" s="144">
        <v>43187.770844907405</v>
      </c>
      <c r="F85" s="89">
        <f t="shared" si="15"/>
        <v>43187.770844907405</v>
      </c>
      <c r="G85" s="90" t="str">
        <f t="shared" si="16"/>
        <v>18:30</v>
      </c>
      <c r="H85" s="91" t="str">
        <f t="shared" si="17"/>
        <v>-</v>
      </c>
      <c r="I85" s="92" t="str">
        <f t="shared" si="18"/>
        <v>-</v>
      </c>
      <c r="J85" s="92" t="str">
        <f t="shared" si="19"/>
        <v>-</v>
      </c>
      <c r="K85" s="93">
        <f t="shared" si="20"/>
        <v>0.39999999999999858</v>
      </c>
      <c r="L85" s="93"/>
      <c r="M85" s="94">
        <f t="shared" si="21"/>
        <v>0.39999999999999858</v>
      </c>
      <c r="N85" s="94">
        <f t="shared" si="22"/>
        <v>0</v>
      </c>
      <c r="O85" s="95"/>
    </row>
    <row r="86" spans="1:19">
      <c r="A86">
        <v>9217</v>
      </c>
      <c r="B86" t="s">
        <v>15</v>
      </c>
      <c r="C86" t="s">
        <v>15</v>
      </c>
      <c r="D86" s="143" t="s">
        <v>8</v>
      </c>
      <c r="E86" s="144">
        <v>43187.787708333337</v>
      </c>
      <c r="F86" s="89">
        <f t="shared" si="15"/>
        <v>43187.787708333337</v>
      </c>
      <c r="G86" s="90" t="str">
        <f t="shared" si="16"/>
        <v>18:54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9">
      <c r="A87">
        <v>9231</v>
      </c>
      <c r="B87" t="s">
        <v>15</v>
      </c>
      <c r="C87" t="s">
        <v>15</v>
      </c>
      <c r="D87" s="143" t="s">
        <v>6</v>
      </c>
      <c r="E87" s="144">
        <v>43188.369293981479</v>
      </c>
      <c r="F87" s="89">
        <f t="shared" si="15"/>
        <v>43188.369293981479</v>
      </c>
      <c r="G87" s="90" t="str">
        <f t="shared" si="16"/>
        <v>8:51</v>
      </c>
      <c r="H87" s="91">
        <f t="shared" si="17"/>
        <v>9.5333333333333332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9">
      <c r="A88">
        <v>9238</v>
      </c>
      <c r="B88" t="s">
        <v>15</v>
      </c>
      <c r="C88" t="s">
        <v>15</v>
      </c>
      <c r="D88" s="143" t="s">
        <v>5</v>
      </c>
      <c r="E88" s="144">
        <v>43188.766377314816</v>
      </c>
      <c r="F88" s="89">
        <f t="shared" si="15"/>
        <v>43188.766377314816</v>
      </c>
      <c r="G88" s="90" t="str">
        <f t="shared" si="16"/>
        <v>18:23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89" spans="1:19">
      <c r="A89">
        <v>9250</v>
      </c>
      <c r="B89" t="s">
        <v>15</v>
      </c>
      <c r="C89" t="s">
        <v>15</v>
      </c>
      <c r="D89" s="143" t="s">
        <v>7</v>
      </c>
      <c r="E89" s="144">
        <v>43188.792314814818</v>
      </c>
      <c r="F89" s="89">
        <f t="shared" si="15"/>
        <v>43188.792314814818</v>
      </c>
      <c r="G89" s="90" t="str">
        <f t="shared" si="16"/>
        <v>19:0</v>
      </c>
      <c r="H89" s="91" t="str">
        <f t="shared" si="17"/>
        <v>-</v>
      </c>
      <c r="I89" s="92" t="str">
        <f t="shared" si="18"/>
        <v>-</v>
      </c>
      <c r="J89" s="92" t="str">
        <f t="shared" si="19"/>
        <v>-</v>
      </c>
      <c r="K89" s="93">
        <f t="shared" si="20"/>
        <v>1.3833333333333337</v>
      </c>
      <c r="L89" s="93"/>
      <c r="M89" s="94">
        <f t="shared" si="21"/>
        <v>1.3833333333333337</v>
      </c>
      <c r="N89" s="94">
        <f t="shared" si="22"/>
        <v>0</v>
      </c>
      <c r="O89" s="95"/>
    </row>
    <row r="90" spans="1:19">
      <c r="A90">
        <v>9257</v>
      </c>
      <c r="B90" t="s">
        <v>15</v>
      </c>
      <c r="C90" t="s">
        <v>15</v>
      </c>
      <c r="D90" s="143" t="s">
        <v>8</v>
      </c>
      <c r="E90" s="144">
        <v>43188.84951388889</v>
      </c>
      <c r="F90" s="89">
        <f t="shared" si="15"/>
        <v>43188.84951388889</v>
      </c>
      <c r="G90" s="90" t="str">
        <f t="shared" si="16"/>
        <v>20:23</v>
      </c>
      <c r="H90" s="91" t="str">
        <f t="shared" si="17"/>
        <v>-</v>
      </c>
      <c r="I90" s="92" t="str">
        <f t="shared" si="18"/>
        <v>-</v>
      </c>
      <c r="J90" s="92" t="str">
        <f t="shared" si="19"/>
        <v>-</v>
      </c>
      <c r="K90" s="93">
        <f t="shared" si="20"/>
        <v>0</v>
      </c>
      <c r="L90" s="93"/>
      <c r="M90" s="94">
        <f t="shared" si="21"/>
        <v>0</v>
      </c>
      <c r="N90" s="94">
        <f t="shared" si="22"/>
        <v>0</v>
      </c>
      <c r="O90" s="95"/>
    </row>
    <row r="91" spans="1:19" s="63" customFormat="1">
      <c r="A91" s="63">
        <v>9288</v>
      </c>
      <c r="B91" s="63" t="s">
        <v>15</v>
      </c>
      <c r="C91" s="63" t="s">
        <v>15</v>
      </c>
      <c r="D91" s="181" t="s">
        <v>6</v>
      </c>
      <c r="E91" s="180">
        <v>43189.354444444441</v>
      </c>
      <c r="F91" s="135">
        <f t="shared" si="15"/>
        <v>43189.354444444441</v>
      </c>
      <c r="G91" s="67" t="str">
        <f t="shared" si="16"/>
        <v>8:30</v>
      </c>
      <c r="H91" s="64">
        <f t="shared" si="17"/>
        <v>10</v>
      </c>
      <c r="I91" s="181"/>
      <c r="J91" s="66">
        <f>IF(D91="上班",IF(H91-1.5&gt;8,8,H91-1.5),"-")</f>
        <v>8</v>
      </c>
      <c r="K91" s="68">
        <f t="shared" si="20"/>
        <v>0</v>
      </c>
      <c r="L91" s="68"/>
      <c r="M91" s="65">
        <f t="shared" si="21"/>
        <v>0</v>
      </c>
      <c r="N91" s="65">
        <f t="shared" si="22"/>
        <v>0</v>
      </c>
      <c r="O91" s="147" t="s">
        <v>112</v>
      </c>
      <c r="P91" s="18"/>
      <c r="Q91" s="18"/>
      <c r="R91" s="18"/>
      <c r="S91" s="18"/>
    </row>
    <row r="92" spans="1:19" s="63" customFormat="1">
      <c r="A92" s="63">
        <v>9296</v>
      </c>
      <c r="B92" s="63" t="s">
        <v>15</v>
      </c>
      <c r="C92" s="63" t="s">
        <v>15</v>
      </c>
      <c r="D92" s="181" t="s">
        <v>5</v>
      </c>
      <c r="E92" s="180">
        <v>43189.771064814813</v>
      </c>
      <c r="F92" s="135">
        <f t="shared" si="15"/>
        <v>43189.771064814813</v>
      </c>
      <c r="G92" s="67" t="str">
        <f t="shared" si="16"/>
        <v>18:30</v>
      </c>
      <c r="H92" s="64" t="str">
        <f t="shared" si="17"/>
        <v>-</v>
      </c>
      <c r="I92" s="442" t="str">
        <f t="shared" si="18"/>
        <v>-</v>
      </c>
      <c r="J92" s="66" t="str">
        <f t="shared" si="19"/>
        <v>-</v>
      </c>
      <c r="K92" s="68">
        <f t="shared" si="20"/>
        <v>0</v>
      </c>
      <c r="L92" s="68"/>
      <c r="M92" s="65">
        <f t="shared" si="21"/>
        <v>0</v>
      </c>
      <c r="N92" s="65">
        <f t="shared" si="22"/>
        <v>0</v>
      </c>
      <c r="O92" s="147"/>
      <c r="P92" s="18"/>
      <c r="Q92" s="18"/>
      <c r="R92" s="18"/>
      <c r="S92" s="18"/>
    </row>
    <row r="93" spans="1:19">
      <c r="A93">
        <v>9288</v>
      </c>
      <c r="B93" t="s">
        <v>15</v>
      </c>
      <c r="C93" t="s">
        <v>15</v>
      </c>
      <c r="D93" s="143" t="s">
        <v>6</v>
      </c>
      <c r="E93" s="144">
        <v>43190.366944444446</v>
      </c>
      <c r="F93" s="89">
        <f t="shared" si="15"/>
        <v>43190.366944444446</v>
      </c>
      <c r="G93" s="90" t="str">
        <f t="shared" si="16"/>
        <v>8:48</v>
      </c>
      <c r="H93" s="91">
        <f t="shared" si="17"/>
        <v>9.6833333333333336</v>
      </c>
      <c r="I93" s="92">
        <f t="shared" si="18"/>
        <v>8</v>
      </c>
      <c r="J93" s="92" t="str">
        <f t="shared" si="19"/>
        <v>-</v>
      </c>
      <c r="K93" s="93">
        <f t="shared" si="20"/>
        <v>0</v>
      </c>
      <c r="L93" s="93"/>
      <c r="M93" s="94">
        <f t="shared" si="21"/>
        <v>0</v>
      </c>
      <c r="N93" s="94">
        <f t="shared" si="22"/>
        <v>0</v>
      </c>
      <c r="O93" s="95"/>
    </row>
    <row r="94" spans="1:19">
      <c r="A94">
        <v>9296</v>
      </c>
      <c r="B94" t="s">
        <v>15</v>
      </c>
      <c r="C94" t="s">
        <v>15</v>
      </c>
      <c r="D94" s="143" t="s">
        <v>5</v>
      </c>
      <c r="E94" s="144">
        <v>43190.770370370374</v>
      </c>
      <c r="F94" s="89">
        <f t="shared" si="15"/>
        <v>43190.770370370374</v>
      </c>
      <c r="G94" s="90" t="str">
        <f t="shared" si="16"/>
        <v>18:29</v>
      </c>
      <c r="H94" s="91" t="str">
        <f t="shared" si="17"/>
        <v>-</v>
      </c>
      <c r="I94" s="92" t="str">
        <f t="shared" si="18"/>
        <v>-</v>
      </c>
      <c r="J94" s="92" t="str">
        <f t="shared" si="19"/>
        <v>-</v>
      </c>
      <c r="K94" s="93">
        <f t="shared" si="20"/>
        <v>0</v>
      </c>
      <c r="L94" s="93"/>
      <c r="M94" s="94">
        <f t="shared" si="21"/>
        <v>0</v>
      </c>
      <c r="N94" s="94">
        <f t="shared" si="22"/>
        <v>0</v>
      </c>
      <c r="O94" s="95"/>
    </row>
    <row r="95" spans="1:19">
      <c r="A95">
        <v>9299</v>
      </c>
      <c r="B95" t="s">
        <v>15</v>
      </c>
      <c r="C95" t="s">
        <v>15</v>
      </c>
      <c r="D95" s="143" t="s">
        <v>7</v>
      </c>
      <c r="E95" s="144">
        <v>43190.770833333336</v>
      </c>
      <c r="F95" s="89">
        <f t="shared" si="15"/>
        <v>43190.770833333336</v>
      </c>
      <c r="G95" s="90" t="str">
        <f t="shared" si="16"/>
        <v>18:30</v>
      </c>
      <c r="H95" s="91" t="str">
        <f t="shared" si="17"/>
        <v>-</v>
      </c>
      <c r="I95" s="92" t="str">
        <f t="shared" si="18"/>
        <v>-</v>
      </c>
      <c r="J95" s="92" t="str">
        <f t="shared" si="19"/>
        <v>-</v>
      </c>
      <c r="K95" s="93">
        <f t="shared" si="20"/>
        <v>0.39999999999999858</v>
      </c>
      <c r="L95" s="93"/>
      <c r="M95" s="94">
        <f t="shared" si="21"/>
        <v>0.39999999999999858</v>
      </c>
      <c r="N95" s="94">
        <f t="shared" si="22"/>
        <v>0</v>
      </c>
      <c r="O95" s="95"/>
    </row>
    <row r="96" spans="1:19">
      <c r="A96">
        <v>9303</v>
      </c>
      <c r="B96" t="s">
        <v>15</v>
      </c>
      <c r="C96" t="s">
        <v>15</v>
      </c>
      <c r="D96" s="143" t="s">
        <v>8</v>
      </c>
      <c r="E96" s="144">
        <v>43190.788101851853</v>
      </c>
      <c r="F96" s="89">
        <f t="shared" si="15"/>
        <v>43190.788101851853</v>
      </c>
      <c r="G96" s="90" t="str">
        <f t="shared" si="16"/>
        <v>18:54</v>
      </c>
      <c r="H96" s="91" t="str">
        <f t="shared" si="17"/>
        <v>-</v>
      </c>
      <c r="I96" s="92" t="str">
        <f t="shared" si="18"/>
        <v>-</v>
      </c>
      <c r="J96" s="92" t="str">
        <f t="shared" si="19"/>
        <v>-</v>
      </c>
      <c r="K96" s="93">
        <f t="shared" si="20"/>
        <v>0</v>
      </c>
      <c r="L96" s="93"/>
      <c r="M96" s="94">
        <f t="shared" si="21"/>
        <v>0</v>
      </c>
      <c r="N96" s="94">
        <f t="shared" si="22"/>
        <v>0</v>
      </c>
      <c r="O96" s="95"/>
    </row>
    <row r="99" spans="4:4">
      <c r="D99" s="9" t="s">
        <v>37</v>
      </c>
    </row>
    <row r="100" spans="4:4">
      <c r="D100" s="9" t="s">
        <v>36</v>
      </c>
    </row>
    <row r="101" spans="4:4">
      <c r="D101" s="172" t="s">
        <v>64</v>
      </c>
    </row>
    <row r="102" spans="4:4">
      <c r="D102" t="s">
        <v>67</v>
      </c>
    </row>
    <row r="103" spans="4:4">
      <c r="D103" t="s">
        <v>65</v>
      </c>
    </row>
    <row r="104" spans="4:4">
      <c r="D104" t="s">
        <v>69</v>
      </c>
    </row>
    <row r="105" spans="4:4">
      <c r="D105" t="s">
        <v>70</v>
      </c>
    </row>
    <row r="106" spans="4:4">
      <c r="D106" t="s">
        <v>66</v>
      </c>
    </row>
    <row r="107" spans="4:4">
      <c r="D107" t="s">
        <v>68</v>
      </c>
    </row>
  </sheetData>
  <phoneticPr fontId="18" type="noConversion"/>
  <printOptions horizontalCentered="1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>
    <pageSetUpPr fitToPage="1"/>
  </sheetPr>
  <dimension ref="A1:U99"/>
  <sheetViews>
    <sheetView view="pageBreakPreview" topLeftCell="D1" zoomScaleNormal="100" zoomScaleSheetLayoutView="100" workbookViewId="0">
      <selection activeCell="L26" sqref="L26"/>
    </sheetView>
  </sheetViews>
  <sheetFormatPr baseColWidth="10" defaultColWidth="8.83203125" defaultRowHeight="15" outlineLevelCol="1"/>
  <cols>
    <col min="1" max="1" width="6.6640625" hidden="1" customWidth="1" outlineLevel="1"/>
    <col min="2" max="2" width="6.83203125" hidden="1" customWidth="1" outlineLevel="1"/>
    <col min="3" max="3" width="6.5" style="3" hidden="1" customWidth="1" outlineLevel="1"/>
    <col min="4" max="4" width="9.6640625" style="3" customWidth="1" collapsed="1"/>
    <col min="5" max="5" width="15.1640625" style="3" customWidth="1"/>
    <col min="6" max="6" width="6.1640625" style="16" customWidth="1"/>
    <col min="7" max="7" width="8.6640625" style="17" hidden="1" customWidth="1" outlineLevel="1"/>
    <col min="8" max="8" width="11.1640625" style="51" hidden="1" customWidth="1" outlineLevel="1"/>
    <col min="9" max="9" width="9.3320312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10.5" style="22" customWidth="1"/>
    <col min="14" max="14" width="8.6640625" style="22" customWidth="1"/>
    <col min="15" max="15" width="16.332031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" thickBot="1">
      <c r="C1" s="5"/>
      <c r="D1" s="6"/>
      <c r="E1" s="6"/>
      <c r="F1" s="10"/>
      <c r="G1" s="11"/>
      <c r="H1" s="12"/>
      <c r="I1" s="13" t="str">
        <f>B7</f>
        <v>lorah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391">
        <f>72-16</f>
        <v>56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" thickBot="1">
      <c r="D3" s="24" t="s">
        <v>77</v>
      </c>
      <c r="E3" s="185">
        <v>500</v>
      </c>
      <c r="F3" s="25"/>
      <c r="G3" s="26"/>
      <c r="H3" s="26"/>
      <c r="I3" s="88"/>
      <c r="J3" s="54">
        <f>D5+E5</f>
        <v>0</v>
      </c>
      <c r="K3" s="53">
        <f>SUM(K7:K80)</f>
        <v>29.833333333333325</v>
      </c>
      <c r="L3" s="53">
        <f>J3</f>
        <v>0</v>
      </c>
      <c r="M3" s="53">
        <f>M6-J3</f>
        <v>24.283333333333324</v>
      </c>
      <c r="N3" s="53">
        <f>N6</f>
        <v>6.5166666666666657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0.19249999999999995</v>
      </c>
    </row>
    <row r="6" spans="1:21" ht="16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168</v>
      </c>
      <c r="J6" s="78">
        <f t="shared" ref="J6:N6" si="0">SUM(J7:J150)</f>
        <v>16</v>
      </c>
      <c r="K6" s="78">
        <f t="shared" si="0"/>
        <v>30.79999999999999</v>
      </c>
      <c r="L6" s="78">
        <f t="shared" si="0"/>
        <v>0</v>
      </c>
      <c r="M6" s="78">
        <f t="shared" si="0"/>
        <v>24.283333333333324</v>
      </c>
      <c r="N6" s="78">
        <f t="shared" si="0"/>
        <v>6.5166666666666657</v>
      </c>
      <c r="O6" s="45"/>
      <c r="Q6" s="47"/>
    </row>
    <row r="7" spans="1:21" s="2" customFormat="1">
      <c r="A7" s="140">
        <v>8493</v>
      </c>
      <c r="B7" s="140" t="s">
        <v>39</v>
      </c>
      <c r="C7" s="140" t="s">
        <v>39</v>
      </c>
      <c r="D7" s="141" t="s">
        <v>6</v>
      </c>
      <c r="E7" s="142">
        <v>43160.367395833331</v>
      </c>
      <c r="F7" s="89">
        <f>E7</f>
        <v>43160.367395833331</v>
      </c>
      <c r="G7" s="90" t="str">
        <f>HOUR(E7)&amp;":"&amp;MINUTE(E7)</f>
        <v>8:49</v>
      </c>
      <c r="H7" s="91">
        <f t="shared" ref="H7" si="1">IF(D7="上班",(G8-G7)*24,"-")</f>
        <v>9.6833333333333353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8"/>
      <c r="Q7" s="8"/>
      <c r="R7" s="8"/>
      <c r="S7" s="8"/>
    </row>
    <row r="8" spans="1:21">
      <c r="A8" s="140">
        <v>8502</v>
      </c>
      <c r="B8" s="140" t="s">
        <v>39</v>
      </c>
      <c r="C8" s="140" t="s">
        <v>39</v>
      </c>
      <c r="D8" s="143" t="s">
        <v>5</v>
      </c>
      <c r="E8" s="144">
        <v>43160.770937499998</v>
      </c>
      <c r="F8" s="89">
        <f t="shared" ref="F8:F71" si="7">E8</f>
        <v>43160.770937499998</v>
      </c>
      <c r="G8" s="90" t="str">
        <f t="shared" ref="G8:G71" si="8">HOUR(E8)&amp;":"&amp;MINUTE(E8)</f>
        <v>18:30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</row>
    <row r="9" spans="1:21" s="187" customFormat="1">
      <c r="A9" s="140">
        <v>8504</v>
      </c>
      <c r="B9" s="140" t="s">
        <v>39</v>
      </c>
      <c r="C9" s="140" t="s">
        <v>39</v>
      </c>
      <c r="D9" s="141" t="s">
        <v>7</v>
      </c>
      <c r="E9" s="142">
        <v>43160.770995370367</v>
      </c>
      <c r="F9" s="89">
        <f t="shared" si="7"/>
        <v>43160.770995370367</v>
      </c>
      <c r="G9" s="90" t="str">
        <f t="shared" si="8"/>
        <v>18:30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0.79999999999999982</v>
      </c>
      <c r="L9" s="93"/>
      <c r="M9" s="94">
        <f t="shared" si="13"/>
        <v>0.79999999999999982</v>
      </c>
      <c r="N9" s="94">
        <f t="shared" si="14"/>
        <v>0</v>
      </c>
      <c r="O9" s="95"/>
    </row>
    <row r="10" spans="1:21" s="187" customFormat="1">
      <c r="A10" s="140">
        <v>8514</v>
      </c>
      <c r="B10" s="140" t="s">
        <v>39</v>
      </c>
      <c r="C10" s="140" t="s">
        <v>39</v>
      </c>
      <c r="D10" s="143" t="s">
        <v>8</v>
      </c>
      <c r="E10" s="144">
        <v>43160.804236111115</v>
      </c>
      <c r="F10" s="89">
        <f t="shared" si="7"/>
        <v>43160.804236111115</v>
      </c>
      <c r="G10" s="90" t="str">
        <f t="shared" si="8"/>
        <v>19:18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</row>
    <row r="11" spans="1:21" s="2" customFormat="1">
      <c r="A11" s="140">
        <v>8521</v>
      </c>
      <c r="B11" s="140" t="s">
        <v>39</v>
      </c>
      <c r="C11" s="140" t="s">
        <v>39</v>
      </c>
      <c r="D11" s="141" t="s">
        <v>6</v>
      </c>
      <c r="E11" s="142">
        <v>43161.363912037035</v>
      </c>
      <c r="F11" s="89">
        <f t="shared" si="7"/>
        <v>43161.363912037035</v>
      </c>
      <c r="G11" s="90" t="str">
        <f t="shared" si="8"/>
        <v>8:44</v>
      </c>
      <c r="H11" s="91">
        <f t="shared" si="9"/>
        <v>9.6833333333333353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8"/>
      <c r="Q11" s="8"/>
      <c r="R11" s="8"/>
      <c r="S11" s="8"/>
    </row>
    <row r="12" spans="1:21">
      <c r="A12" s="140">
        <v>8536</v>
      </c>
      <c r="B12" s="140" t="s">
        <v>39</v>
      </c>
      <c r="C12" s="140" t="s">
        <v>39</v>
      </c>
      <c r="D12" s="143" t="s">
        <v>5</v>
      </c>
      <c r="E12" s="144">
        <v>43161.767812500002</v>
      </c>
      <c r="F12" s="89">
        <f t="shared" si="7"/>
        <v>43161.767812500002</v>
      </c>
      <c r="G12" s="90" t="str">
        <f t="shared" si="8"/>
        <v>18:25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</row>
    <row r="13" spans="1:21" s="63" customFormat="1">
      <c r="A13" s="140">
        <v>8557</v>
      </c>
      <c r="B13" s="140" t="s">
        <v>39</v>
      </c>
      <c r="C13" s="140" t="s">
        <v>39</v>
      </c>
      <c r="D13" s="141" t="s">
        <v>6</v>
      </c>
      <c r="E13" s="142">
        <v>43164.361770833333</v>
      </c>
      <c r="F13" s="89">
        <f t="shared" si="7"/>
        <v>43164.361770833333</v>
      </c>
      <c r="G13" s="90" t="str">
        <f t="shared" si="8"/>
        <v>8:40</v>
      </c>
      <c r="H13" s="91">
        <f t="shared" si="9"/>
        <v>9.7000000000000011</v>
      </c>
      <c r="I13" s="92">
        <f t="shared" si="10"/>
        <v>8</v>
      </c>
      <c r="J13" s="92" t="str">
        <f t="shared" si="11"/>
        <v>-</v>
      </c>
      <c r="K13" s="93">
        <f t="shared" si="12"/>
        <v>0</v>
      </c>
      <c r="L13" s="93"/>
      <c r="M13" s="94">
        <f t="shared" si="13"/>
        <v>0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8576</v>
      </c>
      <c r="B14" s="140" t="s">
        <v>39</v>
      </c>
      <c r="C14" s="140" t="s">
        <v>39</v>
      </c>
      <c r="D14" s="143" t="s">
        <v>5</v>
      </c>
      <c r="E14" s="144">
        <v>43164.765347222223</v>
      </c>
      <c r="F14" s="89">
        <f t="shared" si="7"/>
        <v>43164.765347222223</v>
      </c>
      <c r="G14" s="90" t="str">
        <f t="shared" si="8"/>
        <v>18:22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>
      <c r="A15" s="140">
        <v>8581</v>
      </c>
      <c r="B15" s="140" t="s">
        <v>39</v>
      </c>
      <c r="C15" s="140" t="s">
        <v>39</v>
      </c>
      <c r="D15" s="143" t="s">
        <v>7</v>
      </c>
      <c r="E15" s="144">
        <v>43164.774062500001</v>
      </c>
      <c r="F15" s="89">
        <f t="shared" si="7"/>
        <v>43164.774062500001</v>
      </c>
      <c r="G15" s="90" t="str">
        <f t="shared" si="8"/>
        <v>18:34</v>
      </c>
      <c r="H15" s="91" t="str">
        <f t="shared" si="9"/>
        <v>-</v>
      </c>
      <c r="I15" s="92" t="str">
        <f t="shared" si="10"/>
        <v>-</v>
      </c>
      <c r="J15" s="92" t="str">
        <f t="shared" si="11"/>
        <v>-</v>
      </c>
      <c r="K15" s="93">
        <f t="shared" si="12"/>
        <v>1.5166666666666639</v>
      </c>
      <c r="L15" s="93"/>
      <c r="M15" s="94">
        <f t="shared" si="13"/>
        <v>1.5166666666666639</v>
      </c>
      <c r="N15" s="94">
        <f t="shared" si="14"/>
        <v>0</v>
      </c>
      <c r="O15" s="95"/>
    </row>
    <row r="16" spans="1:21">
      <c r="A16" s="140">
        <v>8586</v>
      </c>
      <c r="B16" s="140" t="s">
        <v>39</v>
      </c>
      <c r="C16" s="140" t="s">
        <v>39</v>
      </c>
      <c r="D16" s="143" t="s">
        <v>8</v>
      </c>
      <c r="E16" s="144">
        <v>43164.836886574078</v>
      </c>
      <c r="F16" s="89">
        <f t="shared" si="7"/>
        <v>43164.836886574078</v>
      </c>
      <c r="G16" s="90" t="str">
        <f t="shared" si="8"/>
        <v>20:5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</row>
    <row r="17" spans="1:19" s="2" customFormat="1">
      <c r="A17" s="140">
        <v>8594</v>
      </c>
      <c r="B17" s="140" t="s">
        <v>39</v>
      </c>
      <c r="C17" s="140" t="s">
        <v>39</v>
      </c>
      <c r="D17" s="141" t="s">
        <v>6</v>
      </c>
      <c r="E17" s="142">
        <v>43165.361122685186</v>
      </c>
      <c r="F17" s="89">
        <f t="shared" si="7"/>
        <v>43165.361122685186</v>
      </c>
      <c r="G17" s="90" t="str">
        <f t="shared" si="8"/>
        <v>8:40</v>
      </c>
      <c r="H17" s="91">
        <f t="shared" si="9"/>
        <v>9.6666666666666661</v>
      </c>
      <c r="I17" s="92">
        <f t="shared" si="10"/>
        <v>8</v>
      </c>
      <c r="J17" s="92" t="str">
        <f t="shared" si="11"/>
        <v>-</v>
      </c>
      <c r="K17" s="93">
        <f t="shared" si="12"/>
        <v>0</v>
      </c>
      <c r="L17" s="93"/>
      <c r="M17" s="94">
        <f t="shared" si="13"/>
        <v>0</v>
      </c>
      <c r="N17" s="94">
        <f t="shared" si="14"/>
        <v>0</v>
      </c>
      <c r="O17" s="95"/>
      <c r="P17" s="8"/>
      <c r="Q17" s="8"/>
      <c r="R17" s="8"/>
      <c r="S17" s="8"/>
    </row>
    <row r="18" spans="1:19" s="63" customFormat="1">
      <c r="A18" s="140">
        <v>8607</v>
      </c>
      <c r="B18" s="140" t="s">
        <v>39</v>
      </c>
      <c r="C18" s="140" t="s">
        <v>39</v>
      </c>
      <c r="D18" s="143" t="s">
        <v>5</v>
      </c>
      <c r="E18" s="144">
        <v>43165.764143518521</v>
      </c>
      <c r="F18" s="89">
        <f t="shared" si="7"/>
        <v>43165.764143518521</v>
      </c>
      <c r="G18" s="90" t="str">
        <f t="shared" si="8"/>
        <v>18:20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63" customFormat="1">
      <c r="A19" s="140">
        <v>8617</v>
      </c>
      <c r="B19" s="140" t="s">
        <v>39</v>
      </c>
      <c r="C19" s="140" t="s">
        <v>39</v>
      </c>
      <c r="D19" s="143" t="s">
        <v>7</v>
      </c>
      <c r="E19" s="144">
        <v>43165.786886574075</v>
      </c>
      <c r="F19" s="89">
        <f t="shared" si="7"/>
        <v>43165.786886574075</v>
      </c>
      <c r="G19" s="90" t="str">
        <f t="shared" si="8"/>
        <v>18:53</v>
      </c>
      <c r="H19" s="91" t="str">
        <f t="shared" si="9"/>
        <v>-</v>
      </c>
      <c r="I19" s="92" t="str">
        <f t="shared" si="10"/>
        <v>-</v>
      </c>
      <c r="J19" s="92" t="str">
        <f t="shared" si="11"/>
        <v>-</v>
      </c>
      <c r="K19" s="93">
        <f t="shared" si="12"/>
        <v>2.333333333333333</v>
      </c>
      <c r="L19" s="93"/>
      <c r="M19" s="94">
        <f t="shared" si="13"/>
        <v>2</v>
      </c>
      <c r="N19" s="94">
        <f t="shared" si="14"/>
        <v>0.33333333333333304</v>
      </c>
      <c r="O19" s="95"/>
      <c r="P19" s="18"/>
      <c r="Q19" s="18"/>
      <c r="R19" s="18"/>
      <c r="S19" s="18"/>
    </row>
    <row r="20" spans="1:19" s="63" customFormat="1">
      <c r="A20" s="140">
        <v>8621</v>
      </c>
      <c r="B20" s="140" t="s">
        <v>39</v>
      </c>
      <c r="C20" s="140" t="s">
        <v>39</v>
      </c>
      <c r="D20" s="143" t="s">
        <v>8</v>
      </c>
      <c r="E20" s="144">
        <v>43165.884479166663</v>
      </c>
      <c r="F20" s="89">
        <f t="shared" si="7"/>
        <v>43165.884479166663</v>
      </c>
      <c r="G20" s="90" t="str">
        <f t="shared" si="8"/>
        <v>21:13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  <c r="P20" s="18"/>
      <c r="Q20" s="18"/>
      <c r="R20" s="18"/>
      <c r="S20" s="18"/>
    </row>
    <row r="21" spans="1:19" s="63" customFormat="1">
      <c r="A21" s="140">
        <v>8627</v>
      </c>
      <c r="B21" s="140" t="s">
        <v>39</v>
      </c>
      <c r="C21" s="140" t="s">
        <v>39</v>
      </c>
      <c r="D21" s="143" t="s">
        <v>6</v>
      </c>
      <c r="E21" s="144">
        <v>43166.363900462966</v>
      </c>
      <c r="F21" s="89">
        <f t="shared" si="7"/>
        <v>43166.363900462966</v>
      </c>
      <c r="G21" s="90" t="str">
        <f t="shared" si="8"/>
        <v>8:44</v>
      </c>
      <c r="H21" s="91">
        <f t="shared" si="9"/>
        <v>9.5500000000000025</v>
      </c>
      <c r="I21" s="92">
        <f t="shared" si="10"/>
        <v>8</v>
      </c>
      <c r="J21" s="92" t="str">
        <f t="shared" si="11"/>
        <v>-</v>
      </c>
      <c r="K21" s="93">
        <f t="shared" si="12"/>
        <v>0</v>
      </c>
      <c r="L21" s="93"/>
      <c r="M21" s="94">
        <f t="shared" si="13"/>
        <v>0</v>
      </c>
      <c r="N21" s="94">
        <f t="shared" si="14"/>
        <v>0</v>
      </c>
      <c r="O21" s="95"/>
      <c r="P21" s="18"/>
      <c r="Q21" s="18"/>
      <c r="R21" s="18"/>
      <c r="S21" s="18"/>
    </row>
    <row r="22" spans="1:19">
      <c r="A22" s="140">
        <v>8640</v>
      </c>
      <c r="B22" s="140" t="s">
        <v>39</v>
      </c>
      <c r="C22" s="140" t="s">
        <v>39</v>
      </c>
      <c r="D22" s="143" t="s">
        <v>5</v>
      </c>
      <c r="E22" s="144">
        <v>43166.762476851851</v>
      </c>
      <c r="F22" s="89">
        <f t="shared" si="7"/>
        <v>43166.762476851851</v>
      </c>
      <c r="G22" s="90" t="str">
        <f t="shared" si="8"/>
        <v>18:17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</row>
    <row r="23" spans="1:19" s="63" customFormat="1">
      <c r="A23" s="140">
        <v>8646</v>
      </c>
      <c r="B23" s="140" t="s">
        <v>39</v>
      </c>
      <c r="C23" s="140" t="s">
        <v>39</v>
      </c>
      <c r="D23" s="143" t="s">
        <v>7</v>
      </c>
      <c r="E23" s="144">
        <v>43166.771087962959</v>
      </c>
      <c r="F23" s="89">
        <f t="shared" si="7"/>
        <v>43166.771087962959</v>
      </c>
      <c r="G23" s="90" t="str">
        <f t="shared" si="8"/>
        <v>18:30</v>
      </c>
      <c r="H23" s="91" t="str">
        <f t="shared" si="9"/>
        <v>-</v>
      </c>
      <c r="I23" s="92" t="str">
        <f t="shared" si="10"/>
        <v>-</v>
      </c>
      <c r="J23" s="92" t="str">
        <f t="shared" si="11"/>
        <v>-</v>
      </c>
      <c r="K23" s="93">
        <f t="shared" si="12"/>
        <v>2.25</v>
      </c>
      <c r="L23" s="93"/>
      <c r="M23" s="94">
        <f t="shared" si="13"/>
        <v>2</v>
      </c>
      <c r="N23" s="94">
        <f t="shared" si="14"/>
        <v>0.25</v>
      </c>
      <c r="O23" s="95"/>
      <c r="P23" s="18"/>
      <c r="Q23" s="18"/>
      <c r="R23" s="18"/>
      <c r="S23" s="18"/>
    </row>
    <row r="24" spans="1:19">
      <c r="A24" s="140">
        <v>8659</v>
      </c>
      <c r="B24" s="140" t="s">
        <v>39</v>
      </c>
      <c r="C24" s="140" t="s">
        <v>39</v>
      </c>
      <c r="D24" s="143" t="s">
        <v>8</v>
      </c>
      <c r="E24" s="144">
        <v>43166.865011574075</v>
      </c>
      <c r="F24" s="89">
        <f t="shared" si="7"/>
        <v>43166.865011574075</v>
      </c>
      <c r="G24" s="90" t="str">
        <f t="shared" si="8"/>
        <v>20:45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</row>
    <row r="25" spans="1:19" s="2" customFormat="1">
      <c r="A25" s="140">
        <v>8668</v>
      </c>
      <c r="B25" s="140" t="s">
        <v>39</v>
      </c>
      <c r="C25" s="140" t="s">
        <v>39</v>
      </c>
      <c r="D25" s="143" t="s">
        <v>6</v>
      </c>
      <c r="E25" s="144">
        <v>43167.368495370371</v>
      </c>
      <c r="F25" s="89">
        <f t="shared" si="7"/>
        <v>43167.368495370371</v>
      </c>
      <c r="G25" s="90" t="str">
        <f t="shared" si="8"/>
        <v>8:50</v>
      </c>
      <c r="H25" s="91">
        <f t="shared" si="9"/>
        <v>9.5499999999999972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8"/>
      <c r="Q25" s="8"/>
      <c r="R25" s="8"/>
      <c r="S25" s="8"/>
    </row>
    <row r="26" spans="1:19">
      <c r="A26" s="140">
        <v>8640</v>
      </c>
      <c r="B26" s="140" t="s">
        <v>39</v>
      </c>
      <c r="C26" s="140" t="s">
        <v>39</v>
      </c>
      <c r="D26" s="143" t="s">
        <v>5</v>
      </c>
      <c r="E26" s="144">
        <v>43167.766643518517</v>
      </c>
      <c r="F26" s="89">
        <f t="shared" si="7"/>
        <v>43167.766643518517</v>
      </c>
      <c r="G26" s="90" t="str">
        <f t="shared" si="8"/>
        <v>18:23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</row>
    <row r="27" spans="1:19" s="63" customFormat="1">
      <c r="A27" s="140">
        <v>8678</v>
      </c>
      <c r="B27" s="140" t="s">
        <v>39</v>
      </c>
      <c r="C27" s="140" t="s">
        <v>39</v>
      </c>
      <c r="D27" s="143" t="s">
        <v>7</v>
      </c>
      <c r="E27" s="144">
        <v>43167.770914351851</v>
      </c>
      <c r="F27" s="89">
        <f t="shared" si="7"/>
        <v>43167.770914351851</v>
      </c>
      <c r="G27" s="90" t="str">
        <f t="shared" si="8"/>
        <v>18:30</v>
      </c>
      <c r="H27" s="91" t="str">
        <f t="shared" si="9"/>
        <v>-</v>
      </c>
      <c r="I27" s="92" t="str">
        <f t="shared" si="10"/>
        <v>-</v>
      </c>
      <c r="J27" s="92" t="str">
        <f t="shared" si="11"/>
        <v>-</v>
      </c>
      <c r="K27" s="93">
        <f t="shared" si="12"/>
        <v>0.88333333333333286</v>
      </c>
      <c r="L27" s="93"/>
      <c r="M27" s="94">
        <f t="shared" si="13"/>
        <v>0.88333333333333286</v>
      </c>
      <c r="N27" s="94">
        <f t="shared" si="14"/>
        <v>0</v>
      </c>
      <c r="O27" s="95"/>
      <c r="P27" s="18"/>
      <c r="Q27" s="18"/>
      <c r="R27" s="18"/>
      <c r="S27" s="18"/>
    </row>
    <row r="28" spans="1:19" s="63" customFormat="1">
      <c r="A28" s="140">
        <v>8687</v>
      </c>
      <c r="B28" s="140" t="s">
        <v>39</v>
      </c>
      <c r="C28" s="140" t="s">
        <v>39</v>
      </c>
      <c r="D28" s="143" t="s">
        <v>8</v>
      </c>
      <c r="E28" s="144">
        <v>43167.808240740742</v>
      </c>
      <c r="F28" s="89">
        <f t="shared" si="7"/>
        <v>43167.808240740742</v>
      </c>
      <c r="G28" s="90" t="str">
        <f t="shared" si="8"/>
        <v>19:23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  <c r="P28" s="18"/>
      <c r="Q28" s="18"/>
      <c r="R28" s="18"/>
      <c r="S28" s="18"/>
    </row>
    <row r="29" spans="1:19" s="63" customFormat="1">
      <c r="A29" s="145">
        <v>8699</v>
      </c>
      <c r="B29" s="145" t="s">
        <v>39</v>
      </c>
      <c r="C29" s="145" t="s">
        <v>39</v>
      </c>
      <c r="D29" s="424" t="s">
        <v>109</v>
      </c>
      <c r="E29" s="146">
        <v>43168.354502314818</v>
      </c>
      <c r="F29" s="89">
        <f t="shared" si="7"/>
        <v>43168.354502314818</v>
      </c>
      <c r="G29" s="90" t="str">
        <f t="shared" si="8"/>
        <v>8:30</v>
      </c>
      <c r="H29" s="91">
        <f t="shared" si="9"/>
        <v>10</v>
      </c>
      <c r="I29" s="92">
        <f t="shared" si="10"/>
        <v>8</v>
      </c>
      <c r="J29" s="92" t="str">
        <f t="shared" si="11"/>
        <v>-</v>
      </c>
      <c r="K29" s="93">
        <f t="shared" si="12"/>
        <v>0</v>
      </c>
      <c r="L29" s="93"/>
      <c r="M29" s="94">
        <f t="shared" si="13"/>
        <v>0</v>
      </c>
      <c r="N29" s="94">
        <f t="shared" si="14"/>
        <v>0</v>
      </c>
      <c r="O29" s="95"/>
      <c r="P29" s="18"/>
      <c r="Q29" s="18"/>
      <c r="R29" s="18"/>
      <c r="S29" s="18"/>
    </row>
    <row r="30" spans="1:19" s="63" customFormat="1">
      <c r="A30" s="140">
        <v>8710</v>
      </c>
      <c r="B30" s="140" t="s">
        <v>39</v>
      </c>
      <c r="C30" s="140" t="s">
        <v>39</v>
      </c>
      <c r="D30" s="143" t="s">
        <v>5</v>
      </c>
      <c r="E30" s="144">
        <v>43168.77144675926</v>
      </c>
      <c r="F30" s="89">
        <f t="shared" si="7"/>
        <v>43168.77144675926</v>
      </c>
      <c r="G30" s="90" t="str">
        <f t="shared" si="8"/>
        <v>18:30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  <c r="P30" s="18"/>
      <c r="Q30" s="18"/>
      <c r="R30" s="18"/>
      <c r="S30" s="18"/>
    </row>
    <row r="31" spans="1:19" s="16" customFormat="1">
      <c r="A31" s="140">
        <v>8761</v>
      </c>
      <c r="B31" s="140" t="s">
        <v>39</v>
      </c>
      <c r="C31" s="140" t="s">
        <v>39</v>
      </c>
      <c r="D31" s="143" t="s">
        <v>6</v>
      </c>
      <c r="E31" s="144">
        <v>43171.362060185187</v>
      </c>
      <c r="F31" s="89">
        <f t="shared" si="7"/>
        <v>43171.362060185187</v>
      </c>
      <c r="G31" s="90" t="str">
        <f t="shared" si="8"/>
        <v>8:41</v>
      </c>
      <c r="H31" s="91">
        <f t="shared" si="9"/>
        <v>9.6499999999999986</v>
      </c>
      <c r="I31" s="92">
        <f t="shared" si="10"/>
        <v>8</v>
      </c>
      <c r="J31" s="92" t="str">
        <f t="shared" si="11"/>
        <v>-</v>
      </c>
      <c r="K31" s="93">
        <f t="shared" si="12"/>
        <v>0</v>
      </c>
      <c r="L31" s="93"/>
      <c r="M31" s="94">
        <f t="shared" si="13"/>
        <v>0</v>
      </c>
      <c r="N31" s="94">
        <f t="shared" si="14"/>
        <v>0</v>
      </c>
      <c r="O31" s="95"/>
      <c r="P31" s="137"/>
      <c r="Q31" s="137"/>
      <c r="R31" s="137"/>
      <c r="S31" s="137"/>
    </row>
    <row r="32" spans="1:19" s="16" customFormat="1">
      <c r="A32" s="140">
        <v>8774</v>
      </c>
      <c r="B32" s="140" t="s">
        <v>39</v>
      </c>
      <c r="C32" s="140" t="s">
        <v>39</v>
      </c>
      <c r="D32" s="143" t="s">
        <v>5</v>
      </c>
      <c r="E32" s="144">
        <v>43171.764328703706</v>
      </c>
      <c r="F32" s="89">
        <f t="shared" si="7"/>
        <v>43171.764328703706</v>
      </c>
      <c r="G32" s="90" t="str">
        <f t="shared" si="8"/>
        <v>18:20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  <c r="P32" s="137"/>
      <c r="Q32" s="137"/>
      <c r="R32" s="137"/>
      <c r="S32" s="137"/>
    </row>
    <row r="33" spans="1:21" s="16" customFormat="1">
      <c r="A33" s="140">
        <v>8783</v>
      </c>
      <c r="B33" s="140" t="s">
        <v>39</v>
      </c>
      <c r="C33" s="140" t="s">
        <v>39</v>
      </c>
      <c r="D33" s="143" t="s">
        <v>7</v>
      </c>
      <c r="E33" s="144">
        <v>43171.771365740744</v>
      </c>
      <c r="F33" s="89">
        <f t="shared" si="7"/>
        <v>43171.771365740744</v>
      </c>
      <c r="G33" s="90" t="str">
        <f t="shared" si="8"/>
        <v>18:30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0.31666666666666554</v>
      </c>
      <c r="L33" s="93"/>
      <c r="N33" s="94">
        <f>IF(K33&gt;2,2,K33)</f>
        <v>0.31666666666666554</v>
      </c>
      <c r="O33" s="95"/>
      <c r="P33" s="137"/>
      <c r="Q33" s="137"/>
      <c r="R33" s="137"/>
      <c r="S33" s="137"/>
    </row>
    <row r="34" spans="1:21" s="16" customFormat="1">
      <c r="A34" s="140">
        <v>8786</v>
      </c>
      <c r="B34" s="140" t="s">
        <v>39</v>
      </c>
      <c r="C34" s="140" t="s">
        <v>39</v>
      </c>
      <c r="D34" s="143" t="s">
        <v>8</v>
      </c>
      <c r="E34" s="144">
        <v>43171.784398148149</v>
      </c>
      <c r="F34" s="89">
        <f t="shared" si="7"/>
        <v>43171.784398148149</v>
      </c>
      <c r="G34" s="90" t="str">
        <f t="shared" si="8"/>
        <v>18:49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  <c r="P34" s="137"/>
      <c r="Q34" s="137"/>
      <c r="R34" s="137"/>
      <c r="S34" s="137"/>
    </row>
    <row r="35" spans="1:21" s="402" customFormat="1">
      <c r="A35" s="140">
        <v>8790</v>
      </c>
      <c r="B35" s="140" t="s">
        <v>39</v>
      </c>
      <c r="C35" s="140" t="s">
        <v>39</v>
      </c>
      <c r="D35" s="143" t="s">
        <v>7</v>
      </c>
      <c r="E35" s="144">
        <v>43171.798576388886</v>
      </c>
      <c r="F35" s="89">
        <f t="shared" si="7"/>
        <v>43171.798576388886</v>
      </c>
      <c r="G35" s="90" t="str">
        <f t="shared" si="8"/>
        <v>19:9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2.5166666666666684</v>
      </c>
      <c r="L35" s="93"/>
      <c r="M35" s="94">
        <f t="shared" si="13"/>
        <v>2</v>
      </c>
      <c r="N35" s="94">
        <f t="shared" si="14"/>
        <v>0.51666666666666838</v>
      </c>
      <c r="O35" s="95"/>
    </row>
    <row r="36" spans="1:21" s="402" customFormat="1">
      <c r="A36" s="140">
        <v>8793</v>
      </c>
      <c r="B36" s="140" t="s">
        <v>39</v>
      </c>
      <c r="C36" s="140" t="s">
        <v>39</v>
      </c>
      <c r="D36" s="143" t="s">
        <v>8</v>
      </c>
      <c r="E36" s="144">
        <v>43171.902939814812</v>
      </c>
      <c r="F36" s="89">
        <f t="shared" si="7"/>
        <v>43171.902939814812</v>
      </c>
      <c r="G36" s="90" t="str">
        <f t="shared" si="8"/>
        <v>21:40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63" customFormat="1">
      <c r="A37" s="140">
        <v>8802</v>
      </c>
      <c r="B37" s="140" t="s">
        <v>39</v>
      </c>
      <c r="C37" s="140" t="s">
        <v>39</v>
      </c>
      <c r="D37" s="143" t="s">
        <v>6</v>
      </c>
      <c r="E37" s="144">
        <v>43172.362141203703</v>
      </c>
      <c r="F37" s="89">
        <f t="shared" si="7"/>
        <v>43172.362141203703</v>
      </c>
      <c r="G37" s="90" t="str">
        <f t="shared" si="8"/>
        <v>8:41</v>
      </c>
      <c r="H37" s="91">
        <f t="shared" si="9"/>
        <v>9.8666666666666671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  <c r="P37" s="18"/>
      <c r="Q37" s="18"/>
      <c r="R37" s="18"/>
      <c r="S37" s="18"/>
    </row>
    <row r="38" spans="1:21" s="63" customFormat="1">
      <c r="A38" s="140">
        <v>8818</v>
      </c>
      <c r="B38" s="140" t="s">
        <v>39</v>
      </c>
      <c r="C38" s="140" t="s">
        <v>39</v>
      </c>
      <c r="D38" s="143" t="s">
        <v>5</v>
      </c>
      <c r="E38" s="144">
        <v>43172.7731712963</v>
      </c>
      <c r="F38" s="89">
        <f t="shared" si="7"/>
        <v>43172.7731712963</v>
      </c>
      <c r="G38" s="90" t="str">
        <f t="shared" si="8"/>
        <v>18:33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  <c r="P38" s="18"/>
      <c r="Q38" s="18"/>
      <c r="R38" s="18"/>
      <c r="S38" s="18"/>
    </row>
    <row r="39" spans="1:21" s="63" customFormat="1">
      <c r="A39" s="140">
        <v>8819</v>
      </c>
      <c r="B39" s="140" t="s">
        <v>39</v>
      </c>
      <c r="C39" s="140" t="s">
        <v>39</v>
      </c>
      <c r="D39" s="143" t="s">
        <v>7</v>
      </c>
      <c r="E39" s="144">
        <v>43172.773217592592</v>
      </c>
      <c r="F39" s="89">
        <f t="shared" si="7"/>
        <v>43172.773217592592</v>
      </c>
      <c r="G39" s="90" t="str">
        <f t="shared" si="8"/>
        <v>18:33</v>
      </c>
      <c r="H39" s="91" t="str">
        <f t="shared" si="9"/>
        <v>-</v>
      </c>
      <c r="I39" s="92" t="str">
        <f t="shared" si="10"/>
        <v>-</v>
      </c>
      <c r="J39" s="92" t="str">
        <f t="shared" si="11"/>
        <v>-</v>
      </c>
      <c r="K39" s="93">
        <f t="shared" si="12"/>
        <v>1.9166666666666652</v>
      </c>
      <c r="L39" s="93"/>
      <c r="M39" s="94">
        <f t="shared" si="13"/>
        <v>1.9166666666666652</v>
      </c>
      <c r="N39" s="94">
        <f t="shared" si="14"/>
        <v>0</v>
      </c>
      <c r="O39" s="95"/>
      <c r="P39" s="18"/>
      <c r="Q39" s="18"/>
      <c r="R39" s="18"/>
      <c r="S39" s="18"/>
    </row>
    <row r="40" spans="1:21" s="63" customFormat="1">
      <c r="A40" s="140">
        <v>8829</v>
      </c>
      <c r="B40" s="140" t="s">
        <v>39</v>
      </c>
      <c r="C40" s="140" t="s">
        <v>39</v>
      </c>
      <c r="D40" s="143" t="s">
        <v>8</v>
      </c>
      <c r="E40" s="144">
        <v>43172.852893518517</v>
      </c>
      <c r="F40" s="89">
        <f t="shared" si="7"/>
        <v>43172.852893518517</v>
      </c>
      <c r="G40" s="90" t="str">
        <f t="shared" si="8"/>
        <v>20:28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P40" s="18" t="s">
        <v>20</v>
      </c>
      <c r="Q40" s="18"/>
      <c r="R40" s="18"/>
      <c r="S40" s="18"/>
    </row>
    <row r="41" spans="1:21" s="63" customFormat="1">
      <c r="A41" s="140">
        <v>8841</v>
      </c>
      <c r="B41" s="140" t="s">
        <v>39</v>
      </c>
      <c r="C41" s="140" t="s">
        <v>39</v>
      </c>
      <c r="D41" s="143" t="s">
        <v>6</v>
      </c>
      <c r="E41" s="144">
        <v>43173.36787037037</v>
      </c>
      <c r="F41" s="89">
        <f t="shared" si="7"/>
        <v>43173.36787037037</v>
      </c>
      <c r="G41" s="90" t="str">
        <f t="shared" si="8"/>
        <v>8:49</v>
      </c>
      <c r="H41" s="91">
        <f t="shared" si="9"/>
        <v>9.6499999999999986</v>
      </c>
      <c r="I41" s="92">
        <f t="shared" si="10"/>
        <v>8</v>
      </c>
      <c r="J41" s="92" t="str">
        <f t="shared" si="11"/>
        <v>-</v>
      </c>
      <c r="K41" s="93">
        <f t="shared" si="12"/>
        <v>0</v>
      </c>
      <c r="L41" s="93"/>
      <c r="M41" s="94">
        <f t="shared" si="13"/>
        <v>0</v>
      </c>
      <c r="N41" s="94">
        <f t="shared" si="14"/>
        <v>0</v>
      </c>
      <c r="O41" s="95"/>
      <c r="P41" s="18"/>
      <c r="Q41" s="18"/>
      <c r="R41" s="18"/>
      <c r="S41" s="18"/>
    </row>
    <row r="42" spans="1:21">
      <c r="A42" s="140">
        <v>8851</v>
      </c>
      <c r="B42" s="140" t="s">
        <v>39</v>
      </c>
      <c r="C42" s="140" t="s">
        <v>39</v>
      </c>
      <c r="D42" s="143" t="s">
        <v>5</v>
      </c>
      <c r="E42" s="144">
        <v>43173.770127314812</v>
      </c>
      <c r="F42" s="89">
        <f t="shared" si="7"/>
        <v>43173.770127314812</v>
      </c>
      <c r="G42" s="90" t="str">
        <f t="shared" si="8"/>
        <v>18:28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</row>
    <row r="43" spans="1:21">
      <c r="A43" s="140">
        <v>8857</v>
      </c>
      <c r="B43" s="140" t="s">
        <v>39</v>
      </c>
      <c r="C43" s="140" t="s">
        <v>39</v>
      </c>
      <c r="D43" s="143" t="s">
        <v>7</v>
      </c>
      <c r="E43" s="144">
        <v>43173.772361111114</v>
      </c>
      <c r="F43" s="89">
        <f t="shared" si="7"/>
        <v>43173.772361111114</v>
      </c>
      <c r="G43" s="90" t="str">
        <f t="shared" si="8"/>
        <v>18:32</v>
      </c>
      <c r="H43" s="91" t="str">
        <f t="shared" si="9"/>
        <v>-</v>
      </c>
      <c r="I43" s="92" t="str">
        <f t="shared" si="10"/>
        <v>-</v>
      </c>
      <c r="J43" s="92" t="str">
        <f t="shared" si="11"/>
        <v>-</v>
      </c>
      <c r="K43" s="93">
        <f t="shared" si="12"/>
        <v>1.8333333333333321</v>
      </c>
      <c r="L43" s="93"/>
      <c r="M43" s="94">
        <f t="shared" si="13"/>
        <v>1.8333333333333321</v>
      </c>
      <c r="N43" s="94">
        <f t="shared" si="14"/>
        <v>0</v>
      </c>
      <c r="O43" s="95"/>
    </row>
    <row r="44" spans="1:21">
      <c r="A44" s="140">
        <v>8862</v>
      </c>
      <c r="B44" s="140" t="s">
        <v>39</v>
      </c>
      <c r="C44" s="140" t="s">
        <v>39</v>
      </c>
      <c r="D44" s="143" t="s">
        <v>8</v>
      </c>
      <c r="E44" s="144">
        <v>43173.849074074074</v>
      </c>
      <c r="F44" s="89">
        <f t="shared" si="7"/>
        <v>43173.849074074074</v>
      </c>
      <c r="G44" s="90" t="str">
        <f t="shared" si="8"/>
        <v>20:22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</row>
    <row r="45" spans="1:21" s="63" customFormat="1">
      <c r="A45" s="140">
        <v>8875</v>
      </c>
      <c r="B45" s="140" t="s">
        <v>94</v>
      </c>
      <c r="C45" s="140" t="s">
        <v>39</v>
      </c>
      <c r="D45" s="143" t="s">
        <v>6</v>
      </c>
      <c r="E45" s="144">
        <v>43174.363333333335</v>
      </c>
      <c r="F45" s="89">
        <f t="shared" si="7"/>
        <v>43174.363333333335</v>
      </c>
      <c r="G45" s="90" t="str">
        <f t="shared" si="8"/>
        <v>8:43</v>
      </c>
      <c r="H45" s="91">
        <f t="shared" si="9"/>
        <v>9.6333333333333346</v>
      </c>
      <c r="I45" s="92">
        <f t="shared" si="10"/>
        <v>8</v>
      </c>
      <c r="J45" s="92" t="str">
        <f t="shared" si="11"/>
        <v>-</v>
      </c>
      <c r="K45" s="93">
        <f t="shared" si="12"/>
        <v>0</v>
      </c>
      <c r="L45" s="93"/>
      <c r="M45" s="94">
        <f t="shared" si="13"/>
        <v>0</v>
      </c>
      <c r="N45" s="94">
        <f t="shared" si="14"/>
        <v>0</v>
      </c>
      <c r="O45" s="95"/>
      <c r="P45" s="18"/>
      <c r="Q45" s="18"/>
      <c r="R45" s="18"/>
      <c r="S45" s="18"/>
    </row>
    <row r="46" spans="1:21" s="63" customFormat="1">
      <c r="A46" s="140">
        <v>8883</v>
      </c>
      <c r="B46" s="140" t="s">
        <v>39</v>
      </c>
      <c r="C46" s="140" t="s">
        <v>39</v>
      </c>
      <c r="D46" s="143" t="s">
        <v>5</v>
      </c>
      <c r="E46" s="144">
        <v>43174.76489583333</v>
      </c>
      <c r="F46" s="89">
        <f t="shared" si="7"/>
        <v>43174.76489583333</v>
      </c>
      <c r="G46" s="90" t="str">
        <f t="shared" si="8"/>
        <v>18:21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P46" s="18"/>
      <c r="Q46" s="18"/>
      <c r="R46" s="18"/>
      <c r="S46" s="18"/>
    </row>
    <row r="47" spans="1:21" s="18" customFormat="1">
      <c r="A47" s="140">
        <v>8893</v>
      </c>
      <c r="B47" s="140" t="s">
        <v>39</v>
      </c>
      <c r="C47" s="140" t="s">
        <v>39</v>
      </c>
      <c r="D47" s="143" t="s">
        <v>7</v>
      </c>
      <c r="E47" s="144">
        <v>43174.77238425926</v>
      </c>
      <c r="F47" s="89">
        <f t="shared" si="7"/>
        <v>43174.77238425926</v>
      </c>
      <c r="G47" s="90" t="str">
        <f t="shared" si="8"/>
        <v>18:32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2.1500000000000004</v>
      </c>
      <c r="L47" s="93"/>
      <c r="M47" s="94">
        <f t="shared" si="13"/>
        <v>2</v>
      </c>
      <c r="N47" s="94">
        <f t="shared" si="14"/>
        <v>0.15000000000000036</v>
      </c>
      <c r="O47" s="95"/>
      <c r="T47" s="63"/>
      <c r="U47" s="63"/>
    </row>
    <row r="48" spans="1:21" s="9" customFormat="1">
      <c r="A48" s="140">
        <v>8901</v>
      </c>
      <c r="B48" s="140" t="s">
        <v>39</v>
      </c>
      <c r="C48" s="140" t="s">
        <v>39</v>
      </c>
      <c r="D48" s="143" t="s">
        <v>8</v>
      </c>
      <c r="E48" s="144">
        <v>43174.86209490741</v>
      </c>
      <c r="F48" s="89">
        <f t="shared" si="7"/>
        <v>43174.86209490741</v>
      </c>
      <c r="G48" s="90" t="str">
        <f t="shared" si="8"/>
        <v>20:41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/>
      <c r="U48"/>
    </row>
    <row r="49" spans="1:21" s="9" customFormat="1">
      <c r="A49" s="140">
        <v>8907</v>
      </c>
      <c r="B49" s="140" t="s">
        <v>39</v>
      </c>
      <c r="C49" s="140" t="s">
        <v>39</v>
      </c>
      <c r="D49" s="143" t="s">
        <v>6</v>
      </c>
      <c r="E49" s="144">
        <v>43175.361458333333</v>
      </c>
      <c r="F49" s="89">
        <f t="shared" si="7"/>
        <v>43175.361458333333</v>
      </c>
      <c r="G49" s="90" t="str">
        <f t="shared" si="8"/>
        <v>8:40</v>
      </c>
      <c r="H49" s="91">
        <f t="shared" si="9"/>
        <v>9.9166666666666643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/>
      <c r="U49"/>
    </row>
    <row r="50" spans="1:21" s="9" customFormat="1">
      <c r="A50" s="140">
        <v>8927</v>
      </c>
      <c r="B50" s="140" t="s">
        <v>39</v>
      </c>
      <c r="C50" s="140" t="s">
        <v>39</v>
      </c>
      <c r="D50" s="143" t="s">
        <v>5</v>
      </c>
      <c r="E50" s="144">
        <v>43175.774444444447</v>
      </c>
      <c r="F50" s="89">
        <f t="shared" si="7"/>
        <v>43175.774444444447</v>
      </c>
      <c r="G50" s="90" t="str">
        <f t="shared" si="8"/>
        <v>18:35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/>
      <c r="U50"/>
    </row>
    <row r="51" spans="1:21" s="18" customFormat="1">
      <c r="A51" s="140">
        <v>8928</v>
      </c>
      <c r="B51" s="140" t="s">
        <v>39</v>
      </c>
      <c r="C51" s="140" t="s">
        <v>39</v>
      </c>
      <c r="D51" s="143" t="s">
        <v>7</v>
      </c>
      <c r="E51" s="144">
        <v>43175.77447916667</v>
      </c>
      <c r="F51" s="89">
        <f t="shared" si="7"/>
        <v>43175.77447916667</v>
      </c>
      <c r="G51" s="90" t="str">
        <f t="shared" si="8"/>
        <v>18:35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0.56666666666666732</v>
      </c>
      <c r="L51" s="93"/>
      <c r="M51" s="94">
        <f t="shared" si="13"/>
        <v>0.56666666666666732</v>
      </c>
      <c r="N51" s="94">
        <f t="shared" si="14"/>
        <v>0</v>
      </c>
      <c r="O51" s="95"/>
      <c r="T51" s="63"/>
      <c r="U51" s="63"/>
    </row>
    <row r="52" spans="1:21" s="9" customFormat="1">
      <c r="A52" s="140">
        <v>8933</v>
      </c>
      <c r="B52" s="140" t="s">
        <v>39</v>
      </c>
      <c r="C52" s="140" t="s">
        <v>39</v>
      </c>
      <c r="D52" s="143" t="s">
        <v>8</v>
      </c>
      <c r="E52" s="144">
        <v>43175.798368055555</v>
      </c>
      <c r="F52" s="89">
        <f t="shared" si="7"/>
        <v>43175.798368055555</v>
      </c>
      <c r="G52" s="90" t="str">
        <f t="shared" si="8"/>
        <v>19:9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/>
      <c r="U52"/>
    </row>
    <row r="53" spans="1:21" s="63" customFormat="1">
      <c r="A53" s="140">
        <v>8946</v>
      </c>
      <c r="B53" s="140" t="s">
        <v>101</v>
      </c>
      <c r="C53" s="140" t="s">
        <v>39</v>
      </c>
      <c r="D53" s="143" t="s">
        <v>7</v>
      </c>
      <c r="E53" s="144">
        <v>43176.441747685189</v>
      </c>
      <c r="F53" s="89">
        <f t="shared" si="7"/>
        <v>43176.441747685189</v>
      </c>
      <c r="G53" s="90" t="str">
        <f t="shared" si="8"/>
        <v>10:36</v>
      </c>
      <c r="H53" s="91" t="str">
        <f t="shared" si="9"/>
        <v>-</v>
      </c>
      <c r="I53" s="92" t="str">
        <f t="shared" si="10"/>
        <v>-</v>
      </c>
      <c r="J53" s="92" t="str">
        <f t="shared" si="11"/>
        <v>-</v>
      </c>
      <c r="K53" s="93">
        <f t="shared" si="12"/>
        <v>1.5499999999999998</v>
      </c>
      <c r="L53" s="93"/>
      <c r="N53" s="94">
        <f>IF(K53&gt;2,2,K53)</f>
        <v>1.5499999999999998</v>
      </c>
      <c r="O53" s="95"/>
      <c r="P53" s="18"/>
      <c r="Q53" s="18"/>
      <c r="R53" s="18"/>
      <c r="S53" s="18"/>
    </row>
    <row r="54" spans="1:21">
      <c r="A54" s="140">
        <v>8953</v>
      </c>
      <c r="B54" s="140" t="s">
        <v>39</v>
      </c>
      <c r="C54" s="140" t="s">
        <v>39</v>
      </c>
      <c r="D54" s="143" t="s">
        <v>8</v>
      </c>
      <c r="E54" s="144">
        <v>43176.506793981483</v>
      </c>
      <c r="F54" s="89">
        <f t="shared" si="7"/>
        <v>43176.506793981483</v>
      </c>
      <c r="G54" s="90" t="str">
        <f t="shared" si="8"/>
        <v>12:9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</row>
    <row r="55" spans="1:21">
      <c r="A55" s="140">
        <v>8954</v>
      </c>
      <c r="B55" s="140" t="s">
        <v>39</v>
      </c>
      <c r="C55" s="140" t="s">
        <v>39</v>
      </c>
      <c r="D55" s="143" t="s">
        <v>7</v>
      </c>
      <c r="E55" s="144">
        <v>43176.562071759261</v>
      </c>
      <c r="F55" s="89">
        <f t="shared" si="7"/>
        <v>43176.562071759261</v>
      </c>
      <c r="G55" s="90" t="str">
        <f t="shared" si="8"/>
        <v>13:29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3.2833333333333323</v>
      </c>
      <c r="L55" s="93"/>
      <c r="M55" s="94">
        <f t="shared" si="13"/>
        <v>2</v>
      </c>
      <c r="N55" s="94">
        <f t="shared" si="14"/>
        <v>1.2833333333333323</v>
      </c>
      <c r="O55" s="95"/>
    </row>
    <row r="56" spans="1:21" s="2" customFormat="1">
      <c r="A56" s="140">
        <v>8966</v>
      </c>
      <c r="B56" s="140" t="s">
        <v>39</v>
      </c>
      <c r="C56" s="140" t="s">
        <v>39</v>
      </c>
      <c r="D56" s="143" t="s">
        <v>8</v>
      </c>
      <c r="E56" s="144">
        <v>43176.699236111112</v>
      </c>
      <c r="F56" s="89">
        <f t="shared" si="7"/>
        <v>43176.699236111112</v>
      </c>
      <c r="G56" s="90" t="str">
        <f t="shared" si="8"/>
        <v>16:46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8"/>
      <c r="Q56" s="8"/>
      <c r="R56" s="8"/>
      <c r="S56" s="8"/>
    </row>
    <row r="57" spans="1:21" s="63" customFormat="1">
      <c r="A57" s="140">
        <v>8976</v>
      </c>
      <c r="B57" s="140" t="s">
        <v>39</v>
      </c>
      <c r="C57" s="140" t="s">
        <v>39</v>
      </c>
      <c r="D57" s="143" t="s">
        <v>6</v>
      </c>
      <c r="E57" s="144">
        <v>43178.366608796299</v>
      </c>
      <c r="F57" s="89">
        <f t="shared" si="7"/>
        <v>43178.366608796299</v>
      </c>
      <c r="G57" s="90" t="str">
        <f t="shared" si="8"/>
        <v>8:47</v>
      </c>
      <c r="H57" s="91">
        <f t="shared" si="9"/>
        <v>9.5833333333333357</v>
      </c>
      <c r="I57" s="92">
        <f t="shared" si="10"/>
        <v>8</v>
      </c>
      <c r="J57" s="92" t="str">
        <f t="shared" si="11"/>
        <v>-</v>
      </c>
      <c r="K57" s="93">
        <f t="shared" si="12"/>
        <v>0</v>
      </c>
      <c r="L57" s="93"/>
      <c r="M57" s="94">
        <f t="shared" si="13"/>
        <v>0</v>
      </c>
      <c r="N57" s="94">
        <f t="shared" si="14"/>
        <v>0</v>
      </c>
      <c r="O57" s="95"/>
      <c r="P57" s="18"/>
      <c r="Q57" s="18"/>
      <c r="R57" s="18"/>
      <c r="S57" s="18"/>
    </row>
    <row r="58" spans="1:21" s="63" customFormat="1">
      <c r="A58" s="140">
        <v>8984</v>
      </c>
      <c r="B58" s="140" t="s">
        <v>39</v>
      </c>
      <c r="C58" s="140" t="s">
        <v>39</v>
      </c>
      <c r="D58" s="143" t="s">
        <v>5</v>
      </c>
      <c r="E58" s="144">
        <v>43178.765694444446</v>
      </c>
      <c r="F58" s="89">
        <f t="shared" si="7"/>
        <v>43178.765694444446</v>
      </c>
      <c r="G58" s="90" t="str">
        <f t="shared" si="8"/>
        <v>18:22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>
      <c r="A59" s="140">
        <v>8996</v>
      </c>
      <c r="B59" s="140" t="s">
        <v>39</v>
      </c>
      <c r="C59" s="140" t="s">
        <v>39</v>
      </c>
      <c r="D59" s="143" t="s">
        <v>7</v>
      </c>
      <c r="E59" s="144">
        <v>43178.792685185188</v>
      </c>
      <c r="F59" s="89">
        <f t="shared" si="7"/>
        <v>43178.792685185188</v>
      </c>
      <c r="G59" s="90" t="str">
        <f t="shared" si="8"/>
        <v>19:1</v>
      </c>
      <c r="H59" s="91" t="str">
        <f t="shared" si="9"/>
        <v>-</v>
      </c>
      <c r="I59" s="92" t="str">
        <f t="shared" si="10"/>
        <v>-</v>
      </c>
      <c r="J59" s="92" t="str">
        <f t="shared" si="11"/>
        <v>-</v>
      </c>
      <c r="K59" s="93">
        <f t="shared" si="12"/>
        <v>1.5333333333333359</v>
      </c>
      <c r="L59" s="93"/>
      <c r="M59" s="94">
        <f t="shared" si="13"/>
        <v>1.5333333333333359</v>
      </c>
      <c r="N59" s="94">
        <f t="shared" si="14"/>
        <v>0</v>
      </c>
      <c r="O59" s="95"/>
    </row>
    <row r="60" spans="1:21">
      <c r="A60" s="140">
        <v>9000</v>
      </c>
      <c r="B60" s="140" t="s">
        <v>39</v>
      </c>
      <c r="C60" s="140" t="s">
        <v>39</v>
      </c>
      <c r="D60" s="143" t="s">
        <v>8</v>
      </c>
      <c r="E60" s="144">
        <v>43178.856608796297</v>
      </c>
      <c r="F60" s="89">
        <f t="shared" si="7"/>
        <v>43178.856608796297</v>
      </c>
      <c r="G60" s="90" t="str">
        <f t="shared" si="8"/>
        <v>20:33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9011</v>
      </c>
      <c r="B61" s="140" t="s">
        <v>39</v>
      </c>
      <c r="C61" s="140" t="s">
        <v>39</v>
      </c>
      <c r="D61" s="143" t="s">
        <v>6</v>
      </c>
      <c r="E61" s="144">
        <v>43179.364502314813</v>
      </c>
      <c r="F61" s="89">
        <f t="shared" si="7"/>
        <v>43179.364502314813</v>
      </c>
      <c r="G61" s="90" t="str">
        <f t="shared" si="8"/>
        <v>8:44</v>
      </c>
      <c r="H61" s="91">
        <f t="shared" si="9"/>
        <v>9.7000000000000011</v>
      </c>
      <c r="I61" s="92">
        <f t="shared" si="10"/>
        <v>8</v>
      </c>
      <c r="J61" s="92" t="str">
        <f t="shared" si="11"/>
        <v>-</v>
      </c>
      <c r="K61" s="93">
        <f t="shared" si="12"/>
        <v>0</v>
      </c>
      <c r="L61" s="93"/>
      <c r="M61" s="94">
        <f t="shared" si="13"/>
        <v>0</v>
      </c>
      <c r="N61" s="94">
        <f t="shared" si="14"/>
        <v>0</v>
      </c>
      <c r="O61" s="95"/>
    </row>
    <row r="62" spans="1:21">
      <c r="A62" s="140">
        <v>9024</v>
      </c>
      <c r="B62" s="140" t="s">
        <v>39</v>
      </c>
      <c r="C62" s="140" t="s">
        <v>39</v>
      </c>
      <c r="D62" s="143" t="s">
        <v>5</v>
      </c>
      <c r="E62" s="144">
        <v>43179.768495370372</v>
      </c>
      <c r="F62" s="89">
        <f t="shared" si="7"/>
        <v>43179.768495370372</v>
      </c>
      <c r="G62" s="90" t="str">
        <f t="shared" si="8"/>
        <v>18:26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63" customFormat="1">
      <c r="A63" s="140">
        <v>9050</v>
      </c>
      <c r="B63" s="140" t="s">
        <v>39</v>
      </c>
      <c r="C63" s="140" t="s">
        <v>39</v>
      </c>
      <c r="D63" s="143" t="s">
        <v>6</v>
      </c>
      <c r="E63" s="144">
        <v>43180.368634259263</v>
      </c>
      <c r="F63" s="89">
        <f t="shared" si="7"/>
        <v>43180.368634259263</v>
      </c>
      <c r="G63" s="90" t="str">
        <f t="shared" si="8"/>
        <v>8:50</v>
      </c>
      <c r="H63" s="91">
        <f t="shared" si="9"/>
        <v>9.6333333333333311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8"/>
      <c r="Q63" s="18"/>
      <c r="R63" s="18"/>
      <c r="S63" s="18"/>
    </row>
    <row r="64" spans="1:21" s="63" customFormat="1">
      <c r="A64" s="140">
        <v>9058</v>
      </c>
      <c r="B64" s="140" t="s">
        <v>39</v>
      </c>
      <c r="C64" s="140" t="s">
        <v>39</v>
      </c>
      <c r="D64" s="143" t="s">
        <v>5</v>
      </c>
      <c r="E64" s="144">
        <v>43180.769606481481</v>
      </c>
      <c r="F64" s="89">
        <f t="shared" si="7"/>
        <v>43180.769606481481</v>
      </c>
      <c r="G64" s="90" t="str">
        <f t="shared" si="8"/>
        <v>18:28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8"/>
      <c r="Q64" s="18"/>
      <c r="R64" s="18"/>
      <c r="S64" s="18"/>
    </row>
    <row r="65" spans="1:19">
      <c r="A65" s="140">
        <v>9060</v>
      </c>
      <c r="B65" s="140" t="s">
        <v>39</v>
      </c>
      <c r="C65" s="140" t="s">
        <v>39</v>
      </c>
      <c r="D65" s="143" t="s">
        <v>7</v>
      </c>
      <c r="E65" s="144">
        <v>43180.770833333336</v>
      </c>
      <c r="F65" s="89">
        <f t="shared" si="7"/>
        <v>43180.770833333336</v>
      </c>
      <c r="G65" s="90" t="str">
        <f t="shared" si="8"/>
        <v>18:30</v>
      </c>
      <c r="H65" s="91" t="str">
        <f t="shared" si="9"/>
        <v>-</v>
      </c>
      <c r="I65" s="92" t="str">
        <f t="shared" si="10"/>
        <v>-</v>
      </c>
      <c r="J65" s="92" t="str">
        <f t="shared" si="11"/>
        <v>-</v>
      </c>
      <c r="K65" s="93">
        <f t="shared" si="12"/>
        <v>0.26666666666666572</v>
      </c>
      <c r="L65" s="93"/>
      <c r="M65" s="94">
        <f t="shared" si="13"/>
        <v>0.26666666666666572</v>
      </c>
      <c r="N65" s="94">
        <f t="shared" si="14"/>
        <v>0</v>
      </c>
      <c r="O65" s="95"/>
    </row>
    <row r="66" spans="1:19">
      <c r="A66" s="140">
        <v>9070</v>
      </c>
      <c r="B66" s="140" t="s">
        <v>39</v>
      </c>
      <c r="C66" s="140" t="s">
        <v>39</v>
      </c>
      <c r="D66" s="143" t="s">
        <v>8</v>
      </c>
      <c r="E66" s="144">
        <v>43180.782523148147</v>
      </c>
      <c r="F66" s="89">
        <f t="shared" si="7"/>
        <v>43180.782523148147</v>
      </c>
      <c r="G66" s="90" t="str">
        <f t="shared" si="8"/>
        <v>18:46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</row>
    <row r="67" spans="1:19">
      <c r="A67" s="140">
        <v>9086</v>
      </c>
      <c r="B67" s="140" t="s">
        <v>39</v>
      </c>
      <c r="C67" s="140" t="s">
        <v>39</v>
      </c>
      <c r="D67" s="143" t="s">
        <v>6</v>
      </c>
      <c r="E67" s="144">
        <v>43181.36613425926</v>
      </c>
      <c r="F67" s="89">
        <f t="shared" si="7"/>
        <v>43181.36613425926</v>
      </c>
      <c r="G67" s="90" t="str">
        <f t="shared" si="8"/>
        <v>8:47</v>
      </c>
      <c r="H67" s="91">
        <f t="shared" si="9"/>
        <v>9.5166666666666693</v>
      </c>
      <c r="I67" s="92">
        <f t="shared" si="10"/>
        <v>8</v>
      </c>
      <c r="J67" s="92" t="str">
        <f t="shared" si="11"/>
        <v>-</v>
      </c>
      <c r="K67" s="93">
        <f t="shared" si="12"/>
        <v>0</v>
      </c>
      <c r="L67" s="93"/>
      <c r="M67" s="94">
        <f t="shared" si="13"/>
        <v>0</v>
      </c>
      <c r="N67" s="94">
        <f t="shared" si="14"/>
        <v>0</v>
      </c>
      <c r="O67" s="95"/>
    </row>
    <row r="68" spans="1:19">
      <c r="A68" s="140">
        <v>9093</v>
      </c>
      <c r="B68" s="140" t="s">
        <v>39</v>
      </c>
      <c r="C68" s="140" t="s">
        <v>39</v>
      </c>
      <c r="D68" s="143" t="s">
        <v>5</v>
      </c>
      <c r="E68" s="144">
        <v>43181.762696759259</v>
      </c>
      <c r="F68" s="89">
        <f t="shared" si="7"/>
        <v>43181.762696759259</v>
      </c>
      <c r="G68" s="90" t="str">
        <f t="shared" si="8"/>
        <v>18:18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>
        <v>9106</v>
      </c>
      <c r="B69" t="s">
        <v>39</v>
      </c>
      <c r="C69" t="s">
        <v>39</v>
      </c>
      <c r="D69" s="143" t="s">
        <v>7</v>
      </c>
      <c r="E69" s="144">
        <v>43181.798495370371</v>
      </c>
      <c r="F69" s="89">
        <f t="shared" si="7"/>
        <v>43181.798495370371</v>
      </c>
      <c r="G69" s="90" t="str">
        <f t="shared" si="8"/>
        <v>19:9</v>
      </c>
      <c r="H69" s="91" t="str">
        <f t="shared" si="9"/>
        <v>-</v>
      </c>
      <c r="I69" s="92" t="str">
        <f t="shared" si="10"/>
        <v>-</v>
      </c>
      <c r="J69" s="92" t="str">
        <f t="shared" si="11"/>
        <v>-</v>
      </c>
      <c r="K69" s="93">
        <f t="shared" si="12"/>
        <v>3.1166666666666663</v>
      </c>
      <c r="L69" s="93"/>
      <c r="M69" s="94">
        <f t="shared" si="13"/>
        <v>2</v>
      </c>
      <c r="N69" s="94">
        <f t="shared" si="14"/>
        <v>1.1166666666666663</v>
      </c>
      <c r="O69" s="95"/>
      <c r="P69" s="22"/>
    </row>
    <row r="70" spans="1:19">
      <c r="A70">
        <v>9110</v>
      </c>
      <c r="B70" t="s">
        <v>39</v>
      </c>
      <c r="C70" t="s">
        <v>39</v>
      </c>
      <c r="D70" s="143" t="s">
        <v>8</v>
      </c>
      <c r="E70" s="144">
        <v>43181.927824074075</v>
      </c>
      <c r="F70" s="89">
        <f t="shared" si="7"/>
        <v>43181.927824074075</v>
      </c>
      <c r="G70" s="90" t="str">
        <f t="shared" si="8"/>
        <v>22:16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  <c r="P70" s="22"/>
    </row>
    <row r="71" spans="1:19">
      <c r="A71" s="406">
        <v>9124</v>
      </c>
      <c r="B71" s="406" t="s">
        <v>39</v>
      </c>
      <c r="C71" s="406" t="s">
        <v>39</v>
      </c>
      <c r="D71" s="424" t="s">
        <v>109</v>
      </c>
      <c r="E71" s="146">
        <v>43182.354826388888</v>
      </c>
      <c r="F71" s="89">
        <f t="shared" si="7"/>
        <v>43182.354826388888</v>
      </c>
      <c r="G71" s="90" t="str">
        <f t="shared" si="8"/>
        <v>8:30</v>
      </c>
      <c r="H71" s="91">
        <f t="shared" si="9"/>
        <v>9.8000000000000007</v>
      </c>
      <c r="I71" s="92">
        <f t="shared" si="10"/>
        <v>8</v>
      </c>
      <c r="J71" s="92" t="str">
        <f t="shared" si="11"/>
        <v>-</v>
      </c>
      <c r="K71" s="93">
        <f t="shared" si="12"/>
        <v>0</v>
      </c>
      <c r="L71" s="93"/>
      <c r="M71" s="94">
        <f t="shared" si="13"/>
        <v>0</v>
      </c>
      <c r="N71" s="94">
        <f t="shared" si="14"/>
        <v>0</v>
      </c>
      <c r="O71" s="95"/>
      <c r="P71" s="22"/>
    </row>
    <row r="72" spans="1:19">
      <c r="A72">
        <v>9128</v>
      </c>
      <c r="B72" t="s">
        <v>39</v>
      </c>
      <c r="C72" t="s">
        <v>39</v>
      </c>
      <c r="D72" s="143" t="s">
        <v>5</v>
      </c>
      <c r="E72" s="144">
        <v>43182.763171296298</v>
      </c>
      <c r="F72" s="89">
        <f t="shared" ref="F72:F88" si="15">E72</f>
        <v>43182.763171296298</v>
      </c>
      <c r="G72" s="90" t="str">
        <f t="shared" ref="G72:G88" si="16">HOUR(E72)&amp;":"&amp;MINUTE(E72)</f>
        <v>18:18</v>
      </c>
      <c r="H72" s="91" t="str">
        <f t="shared" ref="H72:H88" si="17">IF(D72="上班",(G73-G72)*24,"-")</f>
        <v>-</v>
      </c>
      <c r="I72" s="92" t="str">
        <f t="shared" ref="I72:I88" si="18">IF(D72="上班",IF(H72-1.5&gt;8,8,H72-1.5),"-")</f>
        <v>-</v>
      </c>
      <c r="J72" s="92" t="str">
        <f t="shared" ref="J72:J88" si="19">IF(I72&lt;8,8-I72,"-")</f>
        <v>-</v>
      </c>
      <c r="K72" s="93">
        <f t="shared" ref="K72:K88" si="20">IF(D72="加班",(G73-G72)*24,0)</f>
        <v>0</v>
      </c>
      <c r="L72" s="93"/>
      <c r="M72" s="94">
        <f t="shared" ref="M72:M88" si="21">IF(K72&gt;2,2,K72)</f>
        <v>0</v>
      </c>
      <c r="N72" s="94">
        <f t="shared" ref="N72:N88" si="22">IF(K72&gt;2,K72-2,0)</f>
        <v>0</v>
      </c>
      <c r="O72" s="95"/>
      <c r="P72" s="22"/>
    </row>
    <row r="73" spans="1:19" s="63" customFormat="1">
      <c r="A73" s="63">
        <v>9192</v>
      </c>
      <c r="B73" s="63" t="s">
        <v>39</v>
      </c>
      <c r="C73" s="63" t="s">
        <v>39</v>
      </c>
      <c r="D73" s="181" t="s">
        <v>6</v>
      </c>
      <c r="E73" s="180">
        <v>43185.354756944442</v>
      </c>
      <c r="F73" s="135">
        <f t="shared" si="15"/>
        <v>43185.354756944442</v>
      </c>
      <c r="G73" s="67" t="str">
        <f t="shared" si="16"/>
        <v>8:30</v>
      </c>
      <c r="H73" s="64">
        <f t="shared" si="17"/>
        <v>9.5</v>
      </c>
      <c r="J73" s="66">
        <f>IF(D73="上班",IF(H73-1.5&gt;8,8,H73-1.5),"-")</f>
        <v>8</v>
      </c>
      <c r="K73" s="68">
        <f t="shared" si="20"/>
        <v>0</v>
      </c>
      <c r="L73" s="68"/>
      <c r="M73" s="65">
        <f t="shared" si="21"/>
        <v>0</v>
      </c>
      <c r="N73" s="65">
        <f t="shared" si="22"/>
        <v>0</v>
      </c>
      <c r="O73" s="147" t="s">
        <v>111</v>
      </c>
      <c r="P73" s="169"/>
      <c r="Q73" s="18"/>
      <c r="R73" s="18"/>
      <c r="S73" s="18"/>
    </row>
    <row r="74" spans="1:19" s="63" customFormat="1">
      <c r="A74" s="63">
        <v>9211</v>
      </c>
      <c r="B74" s="63" t="s">
        <v>39</v>
      </c>
      <c r="C74" s="63" t="s">
        <v>39</v>
      </c>
      <c r="D74" s="181" t="s">
        <v>5</v>
      </c>
      <c r="E74" s="180">
        <v>43185.75</v>
      </c>
      <c r="F74" s="135">
        <f t="shared" si="15"/>
        <v>43185.75</v>
      </c>
      <c r="G74" s="67" t="str">
        <f t="shared" si="16"/>
        <v>18:0</v>
      </c>
      <c r="H74" s="64" t="str">
        <f t="shared" si="17"/>
        <v>-</v>
      </c>
      <c r="J74" s="66" t="str">
        <f>IF(D74="上班",IF(H74-1.5&gt;8,8,H74-1.5),"-")</f>
        <v>-</v>
      </c>
      <c r="K74" s="68">
        <f t="shared" si="20"/>
        <v>0</v>
      </c>
      <c r="L74" s="68"/>
      <c r="M74" s="65">
        <f t="shared" si="21"/>
        <v>0</v>
      </c>
      <c r="N74" s="65">
        <f t="shared" si="22"/>
        <v>0</v>
      </c>
      <c r="O74" s="147"/>
      <c r="P74" s="169"/>
      <c r="Q74" s="18"/>
      <c r="R74" s="18"/>
      <c r="S74" s="18"/>
    </row>
    <row r="75" spans="1:19" s="63" customFormat="1">
      <c r="A75" s="63">
        <v>9192</v>
      </c>
      <c r="B75" s="63" t="s">
        <v>39</v>
      </c>
      <c r="C75" s="63" t="s">
        <v>39</v>
      </c>
      <c r="D75" s="181" t="s">
        <v>6</v>
      </c>
      <c r="E75" s="180">
        <v>43186.354756944442</v>
      </c>
      <c r="F75" s="135">
        <f t="shared" si="15"/>
        <v>43186.354756944442</v>
      </c>
      <c r="G75" s="67" t="str">
        <f t="shared" si="16"/>
        <v>8:30</v>
      </c>
      <c r="H75" s="64">
        <f t="shared" si="17"/>
        <v>9.5</v>
      </c>
      <c r="J75" s="66">
        <f>IF(D75="上班",IF(H75-1.5&gt;8,8,H75-1.5),"-")</f>
        <v>8</v>
      </c>
      <c r="K75" s="68">
        <f t="shared" si="20"/>
        <v>0</v>
      </c>
      <c r="L75" s="68"/>
      <c r="M75" s="65">
        <f t="shared" si="21"/>
        <v>0</v>
      </c>
      <c r="N75" s="65">
        <f t="shared" si="22"/>
        <v>0</v>
      </c>
      <c r="O75" s="147" t="s">
        <v>110</v>
      </c>
      <c r="P75" s="169"/>
      <c r="Q75" s="18"/>
      <c r="R75" s="18"/>
      <c r="S75" s="18"/>
    </row>
    <row r="76" spans="1:19" s="63" customFormat="1">
      <c r="A76" s="63">
        <v>9211</v>
      </c>
      <c r="B76" s="63" t="s">
        <v>39</v>
      </c>
      <c r="C76" s="63" t="s">
        <v>39</v>
      </c>
      <c r="D76" s="181" t="s">
        <v>5</v>
      </c>
      <c r="E76" s="180">
        <v>43186.75</v>
      </c>
      <c r="F76" s="135">
        <f t="shared" si="15"/>
        <v>43186.75</v>
      </c>
      <c r="G76" s="67" t="str">
        <f t="shared" si="16"/>
        <v>18:0</v>
      </c>
      <c r="H76" s="64" t="str">
        <f t="shared" si="17"/>
        <v>-</v>
      </c>
      <c r="J76" s="66" t="str">
        <f>IF(D76="上班",IF(H76-1.5&gt;8,8,H76-1.5),"-")</f>
        <v>-</v>
      </c>
      <c r="K76" s="68">
        <f t="shared" si="20"/>
        <v>0</v>
      </c>
      <c r="L76" s="68"/>
      <c r="M76" s="65">
        <f t="shared" si="21"/>
        <v>0</v>
      </c>
      <c r="N76" s="65">
        <f t="shared" si="22"/>
        <v>0</v>
      </c>
      <c r="O76" s="147"/>
      <c r="P76" s="169"/>
      <c r="Q76" s="18"/>
      <c r="R76" s="18"/>
      <c r="S76" s="18"/>
    </row>
    <row r="77" spans="1:19">
      <c r="A77">
        <v>9192</v>
      </c>
      <c r="B77" t="s">
        <v>39</v>
      </c>
      <c r="C77" t="s">
        <v>39</v>
      </c>
      <c r="D77" s="143" t="s">
        <v>6</v>
      </c>
      <c r="E77" s="144">
        <v>43187.359618055554</v>
      </c>
      <c r="F77" s="89">
        <f t="shared" si="15"/>
        <v>43187.359618055554</v>
      </c>
      <c r="G77" s="90" t="str">
        <f t="shared" si="16"/>
        <v>8:37</v>
      </c>
      <c r="H77" s="91">
        <f t="shared" si="17"/>
        <v>9.8999999999999986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  <c r="P77" s="22"/>
    </row>
    <row r="78" spans="1:19">
      <c r="A78">
        <v>9211</v>
      </c>
      <c r="B78" t="s">
        <v>39</v>
      </c>
      <c r="C78" t="s">
        <v>39</v>
      </c>
      <c r="D78" s="143" t="s">
        <v>5</v>
      </c>
      <c r="E78" s="144">
        <v>43187.771527777775</v>
      </c>
      <c r="F78" s="89">
        <f t="shared" si="15"/>
        <v>43187.771527777775</v>
      </c>
      <c r="G78" s="90" t="str">
        <f t="shared" si="16"/>
        <v>18:31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  <c r="P78" s="22"/>
    </row>
    <row r="79" spans="1:19">
      <c r="A79">
        <v>9212</v>
      </c>
      <c r="B79" t="s">
        <v>39</v>
      </c>
      <c r="C79" t="s">
        <v>39</v>
      </c>
      <c r="D79" s="143" t="s">
        <v>7</v>
      </c>
      <c r="E79" s="144">
        <v>43187.771574074075</v>
      </c>
      <c r="F79" s="89">
        <f t="shared" si="15"/>
        <v>43187.771574074075</v>
      </c>
      <c r="G79" s="90" t="str">
        <f t="shared" si="16"/>
        <v>18:31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3</v>
      </c>
      <c r="L79" s="93"/>
      <c r="M79" s="94">
        <f t="shared" si="21"/>
        <v>2</v>
      </c>
      <c r="N79" s="94">
        <f t="shared" si="22"/>
        <v>1</v>
      </c>
      <c r="O79" s="95"/>
      <c r="P79" s="22"/>
    </row>
    <row r="80" spans="1:19">
      <c r="A80">
        <v>9223</v>
      </c>
      <c r="B80" t="s">
        <v>39</v>
      </c>
      <c r="C80" t="s">
        <v>39</v>
      </c>
      <c r="D80" s="143" t="s">
        <v>8</v>
      </c>
      <c r="E80" s="144">
        <v>43187.896979166668</v>
      </c>
      <c r="F80" s="89">
        <f t="shared" si="15"/>
        <v>43187.896979166668</v>
      </c>
      <c r="G80" s="90" t="str">
        <f t="shared" si="16"/>
        <v>21:31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  <c r="P80" s="22"/>
    </row>
    <row r="81" spans="1:16">
      <c r="A81">
        <v>9227</v>
      </c>
      <c r="B81" t="s">
        <v>39</v>
      </c>
      <c r="C81" t="s">
        <v>39</v>
      </c>
      <c r="D81" s="143" t="s">
        <v>6</v>
      </c>
      <c r="E81" s="144">
        <v>43188.357118055559</v>
      </c>
      <c r="F81" s="89">
        <f t="shared" si="15"/>
        <v>43188.357118055559</v>
      </c>
      <c r="G81" s="90" t="str">
        <f t="shared" si="16"/>
        <v>8:34</v>
      </c>
      <c r="H81" s="91">
        <f t="shared" si="17"/>
        <v>9.7499999999999982</v>
      </c>
      <c r="I81" s="92">
        <f t="shared" si="18"/>
        <v>8</v>
      </c>
      <c r="J81" s="92" t="str">
        <f t="shared" si="19"/>
        <v>-</v>
      </c>
      <c r="K81" s="93">
        <f t="shared" si="20"/>
        <v>0</v>
      </c>
      <c r="L81" s="93"/>
      <c r="M81" s="94">
        <f t="shared" si="21"/>
        <v>0</v>
      </c>
      <c r="N81" s="94">
        <f t="shared" si="22"/>
        <v>0</v>
      </c>
      <c r="O81" s="95"/>
      <c r="P81" s="22"/>
    </row>
    <row r="82" spans="1:16">
      <c r="A82">
        <v>9237</v>
      </c>
      <c r="B82" t="s">
        <v>39</v>
      </c>
      <c r="C82" t="s">
        <v>39</v>
      </c>
      <c r="D82" s="143" t="s">
        <v>5</v>
      </c>
      <c r="E82" s="144">
        <v>43188.763692129629</v>
      </c>
      <c r="F82" s="89">
        <f t="shared" si="15"/>
        <v>43188.763692129629</v>
      </c>
      <c r="G82" s="90" t="str">
        <f t="shared" si="16"/>
        <v>18:19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  <c r="P82" s="22"/>
    </row>
    <row r="83" spans="1:16">
      <c r="A83">
        <v>9241</v>
      </c>
      <c r="B83" t="s">
        <v>39</v>
      </c>
      <c r="C83" t="s">
        <v>39</v>
      </c>
      <c r="D83" s="143" t="s">
        <v>7</v>
      </c>
      <c r="E83" s="144">
        <v>43188.771134259259</v>
      </c>
      <c r="F83" s="89">
        <f t="shared" si="15"/>
        <v>43188.771134259259</v>
      </c>
      <c r="G83" s="90" t="str">
        <f t="shared" si="16"/>
        <v>18:30</v>
      </c>
      <c r="H83" s="91" t="str">
        <f t="shared" si="17"/>
        <v>-</v>
      </c>
      <c r="I83" s="92" t="str">
        <f t="shared" si="18"/>
        <v>-</v>
      </c>
      <c r="J83" s="92" t="str">
        <f t="shared" si="19"/>
        <v>-</v>
      </c>
      <c r="K83" s="93">
        <f t="shared" si="20"/>
        <v>0.96666666666666323</v>
      </c>
      <c r="L83" s="93"/>
      <c r="M83" s="94">
        <f t="shared" si="21"/>
        <v>0.96666666666666323</v>
      </c>
      <c r="N83" s="94">
        <f t="shared" si="22"/>
        <v>0</v>
      </c>
      <c r="O83" s="95"/>
      <c r="P83" s="22"/>
    </row>
    <row r="84" spans="1:16">
      <c r="A84">
        <v>9252</v>
      </c>
      <c r="B84" t="s">
        <v>39</v>
      </c>
      <c r="C84" t="s">
        <v>39</v>
      </c>
      <c r="D84" s="143" t="s">
        <v>8</v>
      </c>
      <c r="E84" s="144">
        <v>43188.811423611114</v>
      </c>
      <c r="F84" s="89">
        <f t="shared" si="15"/>
        <v>43188.811423611114</v>
      </c>
      <c r="G84" s="90" t="str">
        <f t="shared" si="16"/>
        <v>19:28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6">
      <c r="A85">
        <v>9260</v>
      </c>
      <c r="B85" t="s">
        <v>39</v>
      </c>
      <c r="C85" t="s">
        <v>39</v>
      </c>
      <c r="D85" s="143" t="s">
        <v>6</v>
      </c>
      <c r="E85" s="144">
        <v>43189.360821759263</v>
      </c>
      <c r="F85" s="89">
        <f t="shared" si="15"/>
        <v>43189.360821759263</v>
      </c>
      <c r="G85" s="90" t="str">
        <f t="shared" si="16"/>
        <v>8:39</v>
      </c>
      <c r="H85" s="91">
        <f t="shared" si="17"/>
        <v>9.9166666666666679</v>
      </c>
      <c r="I85" s="92">
        <f t="shared" si="18"/>
        <v>8</v>
      </c>
      <c r="J85" s="92" t="str">
        <f t="shared" si="19"/>
        <v>-</v>
      </c>
      <c r="K85" s="93">
        <f t="shared" si="20"/>
        <v>0</v>
      </c>
      <c r="L85" s="93"/>
      <c r="M85" s="94">
        <f t="shared" si="21"/>
        <v>0</v>
      </c>
      <c r="N85" s="94">
        <f t="shared" si="22"/>
        <v>0</v>
      </c>
      <c r="O85" s="95"/>
    </row>
    <row r="86" spans="1:16">
      <c r="A86">
        <v>9274</v>
      </c>
      <c r="B86" t="s">
        <v>39</v>
      </c>
      <c r="C86" t="s">
        <v>39</v>
      </c>
      <c r="D86" s="143" t="s">
        <v>5</v>
      </c>
      <c r="E86" s="144">
        <v>43189.773657407408</v>
      </c>
      <c r="F86" s="89">
        <f t="shared" si="15"/>
        <v>43189.773657407408</v>
      </c>
      <c r="G86" s="90" t="str">
        <f t="shared" si="16"/>
        <v>18:34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6">
      <c r="A87">
        <v>9286</v>
      </c>
      <c r="B87" t="s">
        <v>94</v>
      </c>
      <c r="C87" t="s">
        <v>39</v>
      </c>
      <c r="D87" s="143" t="s">
        <v>6</v>
      </c>
      <c r="E87" s="144">
        <v>43190.361967592595</v>
      </c>
      <c r="F87" s="89">
        <f t="shared" si="15"/>
        <v>43190.361967592595</v>
      </c>
      <c r="G87" s="90" t="str">
        <f t="shared" si="16"/>
        <v>8:41</v>
      </c>
      <c r="H87" s="91">
        <f t="shared" si="17"/>
        <v>9.6499999999999986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6">
      <c r="A88">
        <v>9293</v>
      </c>
      <c r="B88" t="s">
        <v>39</v>
      </c>
      <c r="C88" t="s">
        <v>39</v>
      </c>
      <c r="D88" s="143" t="s">
        <v>5</v>
      </c>
      <c r="E88" s="144">
        <v>43190.764513888891</v>
      </c>
      <c r="F88" s="89">
        <f t="shared" si="15"/>
        <v>43190.764513888891</v>
      </c>
      <c r="G88" s="90" t="str">
        <f t="shared" si="16"/>
        <v>18:20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91" spans="1:16">
      <c r="D91" s="9" t="s">
        <v>37</v>
      </c>
    </row>
    <row r="92" spans="1:16">
      <c r="D92" s="9" t="s">
        <v>36</v>
      </c>
    </row>
    <row r="93" spans="1:16">
      <c r="D93" s="172" t="s">
        <v>64</v>
      </c>
    </row>
    <row r="94" spans="1:16">
      <c r="D94" t="s">
        <v>67</v>
      </c>
    </row>
    <row r="95" spans="1:16">
      <c r="D95" t="s">
        <v>65</v>
      </c>
    </row>
    <row r="96" spans="1:16">
      <c r="D96" t="s">
        <v>69</v>
      </c>
    </row>
    <row r="97" spans="4:4">
      <c r="D97" t="s">
        <v>70</v>
      </c>
    </row>
    <row r="98" spans="4:4">
      <c r="D98" t="s">
        <v>66</v>
      </c>
    </row>
    <row r="99" spans="4:4">
      <c r="D99" t="s">
        <v>68</v>
      </c>
    </row>
  </sheetData>
  <phoneticPr fontId="18" type="noConversion"/>
  <printOptions horizontalCentered="1"/>
  <pageMargins left="0.23622047244094491" right="0.23622047244094491" top="0.35433070866141736" bottom="0.35433070866141736" header="0.31496062992125984" footer="0.31496062992125984"/>
  <pageSetup paperSize="9" scale="69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>
    <pageSetUpPr fitToPage="1"/>
  </sheetPr>
  <dimension ref="A1:U111"/>
  <sheetViews>
    <sheetView view="pageBreakPreview" zoomScaleNormal="100" zoomScaleSheetLayoutView="100" workbookViewId="0">
      <selection activeCell="J13" sqref="J13"/>
    </sheetView>
  </sheetViews>
  <sheetFormatPr baseColWidth="10" defaultColWidth="8.83203125" defaultRowHeight="15" outlineLevelCol="1"/>
  <cols>
    <col min="1" max="1" width="5.6640625" customWidth="1" outlineLevel="1"/>
    <col min="2" max="2" width="6.83203125" customWidth="1" outlineLevel="1"/>
    <col min="3" max="3" width="6.5" style="3" customWidth="1" outlineLevel="1"/>
    <col min="4" max="4" width="9" style="3"/>
    <col min="5" max="5" width="15.1640625" style="3" customWidth="1"/>
    <col min="6" max="6" width="6.1640625" style="16" customWidth="1"/>
    <col min="7" max="7" width="8.6640625" style="17" customWidth="1" outlineLevel="1"/>
    <col min="8" max="8" width="11.1640625" style="51" customWidth="1" outlineLevel="1"/>
    <col min="9" max="9" width="10.1640625" style="21" customWidth="1"/>
    <col min="10" max="10" width="10" style="21" customWidth="1"/>
    <col min="11" max="11" width="8.33203125" style="22" customWidth="1" outlineLevel="1"/>
    <col min="12" max="12" width="8.33203125" style="22" customWidth="1"/>
    <col min="13" max="13" width="10.5" style="22" customWidth="1"/>
    <col min="14" max="14" width="9.1640625" style="22" customWidth="1"/>
    <col min="15" max="15" width="18.16406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" thickBot="1">
      <c r="C1" s="5"/>
      <c r="D1" s="6"/>
      <c r="E1" s="6"/>
      <c r="F1" s="10"/>
      <c r="G1" s="11"/>
      <c r="H1" s="12"/>
      <c r="I1" s="13" t="str">
        <f>B7</f>
        <v>nick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v>56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SUM(K7:K74)</f>
        <v>43.133333333333333</v>
      </c>
      <c r="L3" s="53">
        <f>J3</f>
        <v>0</v>
      </c>
      <c r="M3" s="53">
        <f>M6-J3</f>
        <v>37.1</v>
      </c>
      <c r="N3" s="53">
        <f>N6</f>
        <v>16.916666666666664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0.33760416666666665</v>
      </c>
    </row>
    <row r="6" spans="1:21" ht="16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184</v>
      </c>
      <c r="J6" s="78">
        <f t="shared" ref="J6:N6" si="0">SUM(J7:J150)</f>
        <v>0</v>
      </c>
      <c r="K6" s="78">
        <f t="shared" si="0"/>
        <v>54.100000000000009</v>
      </c>
      <c r="L6" s="78">
        <f t="shared" si="0"/>
        <v>0</v>
      </c>
      <c r="M6" s="78">
        <f t="shared" si="0"/>
        <v>37.1</v>
      </c>
      <c r="N6" s="78">
        <f t="shared" si="0"/>
        <v>16.916666666666664</v>
      </c>
      <c r="O6" s="45"/>
      <c r="Q6" s="47"/>
    </row>
    <row r="7" spans="1:21" s="2" customFormat="1">
      <c r="A7" s="140">
        <v>8491</v>
      </c>
      <c r="B7" s="140" t="s">
        <v>72</v>
      </c>
      <c r="C7" s="140" t="s">
        <v>72</v>
      </c>
      <c r="D7" s="143" t="s">
        <v>6</v>
      </c>
      <c r="E7" s="144">
        <v>43160.362291666665</v>
      </c>
      <c r="F7" s="89">
        <f t="shared" ref="F7" si="1">E7</f>
        <v>43160.362291666665</v>
      </c>
      <c r="G7" s="90" t="str">
        <f t="shared" ref="G7" si="2">HOUR(E7)&amp;":"&amp;MINUTE(E7)</f>
        <v>8:41</v>
      </c>
      <c r="H7" s="91">
        <f t="shared" ref="H7" si="3">IF(D7="上班",(G8-G7)*24,"-")</f>
        <v>10.15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8">
        <v>1</v>
      </c>
      <c r="Q7" s="8"/>
      <c r="R7" s="8"/>
      <c r="S7" s="8"/>
    </row>
    <row r="8" spans="1:21">
      <c r="A8" s="140">
        <v>8509</v>
      </c>
      <c r="B8" s="140" t="s">
        <v>71</v>
      </c>
      <c r="C8" s="140" t="s">
        <v>72</v>
      </c>
      <c r="D8" s="143" t="s">
        <v>5</v>
      </c>
      <c r="E8" s="144">
        <v>43160.785150462965</v>
      </c>
      <c r="F8" s="89">
        <f t="shared" ref="F8:F71" si="9">E8</f>
        <v>43160.785150462965</v>
      </c>
      <c r="G8" s="90" t="str">
        <f t="shared" ref="G8:G71" si="10">HOUR(E8)&amp;":"&amp;MINUTE(E8)</f>
        <v>18:50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9">
        <v>2</v>
      </c>
    </row>
    <row r="9" spans="1:21" s="63" customFormat="1">
      <c r="A9" s="140">
        <v>8511</v>
      </c>
      <c r="B9" s="140" t="s">
        <v>71</v>
      </c>
      <c r="C9" s="140" t="s">
        <v>72</v>
      </c>
      <c r="D9" s="143" t="s">
        <v>7</v>
      </c>
      <c r="E9" s="144">
        <v>43160.785185185188</v>
      </c>
      <c r="F9" s="89">
        <f t="shared" si="9"/>
        <v>43160.785185185188</v>
      </c>
      <c r="G9" s="90" t="str">
        <f t="shared" si="10"/>
        <v>18:50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1.2666666666666675</v>
      </c>
      <c r="L9" s="93"/>
      <c r="M9" s="94">
        <f t="shared" si="15"/>
        <v>1.2666666666666675</v>
      </c>
      <c r="N9" s="94">
        <f t="shared" si="16"/>
        <v>0</v>
      </c>
      <c r="O9" s="20"/>
      <c r="P9" s="18">
        <v>3</v>
      </c>
      <c r="Q9" s="18"/>
      <c r="R9" s="18"/>
      <c r="S9" s="18"/>
    </row>
    <row r="10" spans="1:21" s="63" customFormat="1">
      <c r="A10" s="140">
        <v>8517</v>
      </c>
      <c r="B10" s="140" t="s">
        <v>71</v>
      </c>
      <c r="C10" s="140" t="s">
        <v>72</v>
      </c>
      <c r="D10" s="143" t="s">
        <v>8</v>
      </c>
      <c r="E10" s="144">
        <v>43160.837962962964</v>
      </c>
      <c r="F10" s="89">
        <f t="shared" si="9"/>
        <v>43160.837962962964</v>
      </c>
      <c r="G10" s="90" t="str">
        <f t="shared" si="10"/>
        <v>20:6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18">
        <v>4</v>
      </c>
      <c r="Q10" s="18"/>
      <c r="R10" s="18"/>
      <c r="S10" s="18"/>
    </row>
    <row r="11" spans="1:21" s="2" customFormat="1">
      <c r="A11" s="140">
        <v>8525</v>
      </c>
      <c r="B11" s="140" t="s">
        <v>71</v>
      </c>
      <c r="C11" s="140" t="s">
        <v>72</v>
      </c>
      <c r="D11" s="143" t="s">
        <v>6</v>
      </c>
      <c r="E11" s="144">
        <v>43161.365624999999</v>
      </c>
      <c r="F11" s="89">
        <f t="shared" si="9"/>
        <v>43161.365624999999</v>
      </c>
      <c r="G11" s="90" t="str">
        <f t="shared" si="10"/>
        <v>8:46</v>
      </c>
      <c r="H11" s="91">
        <f t="shared" si="11"/>
        <v>9.966666666666665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8">
        <v>5</v>
      </c>
      <c r="Q11" s="8"/>
      <c r="R11" s="8"/>
      <c r="S11" s="8"/>
    </row>
    <row r="12" spans="1:21">
      <c r="A12" s="140">
        <v>8540</v>
      </c>
      <c r="B12" s="140" t="s">
        <v>71</v>
      </c>
      <c r="C12" s="140" t="s">
        <v>72</v>
      </c>
      <c r="D12" s="143" t="s">
        <v>5</v>
      </c>
      <c r="E12" s="144">
        <v>43161.780821759261</v>
      </c>
      <c r="F12" s="89">
        <f t="shared" si="9"/>
        <v>43161.780821759261</v>
      </c>
      <c r="G12" s="90" t="str">
        <f t="shared" si="10"/>
        <v>18:44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9">
        <v>6</v>
      </c>
    </row>
    <row r="13" spans="1:21" s="63" customFormat="1">
      <c r="A13" s="140">
        <v>8560</v>
      </c>
      <c r="B13" s="140" t="s">
        <v>72</v>
      </c>
      <c r="C13" s="140" t="s">
        <v>72</v>
      </c>
      <c r="D13" s="143" t="s">
        <v>6</v>
      </c>
      <c r="E13" s="144">
        <v>43164.364525462966</v>
      </c>
      <c r="F13" s="89">
        <f t="shared" si="9"/>
        <v>43164.364525462966</v>
      </c>
      <c r="G13" s="90" t="str">
        <f t="shared" si="10"/>
        <v>8:44</v>
      </c>
      <c r="H13" s="91">
        <f t="shared" si="11"/>
        <v>10.066666666666666</v>
      </c>
      <c r="I13" s="92">
        <f t="shared" si="12"/>
        <v>8</v>
      </c>
      <c r="J13" s="92" t="str">
        <f t="shared" si="13"/>
        <v>-</v>
      </c>
      <c r="K13" s="93">
        <f t="shared" si="14"/>
        <v>0</v>
      </c>
      <c r="L13" s="93"/>
      <c r="M13" s="94">
        <f t="shared" si="15"/>
        <v>0</v>
      </c>
      <c r="N13" s="94">
        <f t="shared" si="16"/>
        <v>0</v>
      </c>
      <c r="O13" s="20"/>
      <c r="P13" s="18">
        <v>7</v>
      </c>
      <c r="Q13" s="18"/>
      <c r="R13" s="18"/>
      <c r="S13" s="18"/>
    </row>
    <row r="14" spans="1:21" s="63" customFormat="1">
      <c r="A14" s="140">
        <v>8582</v>
      </c>
      <c r="B14" s="140" t="s">
        <v>71</v>
      </c>
      <c r="C14" s="140" t="s">
        <v>72</v>
      </c>
      <c r="D14" s="143" t="s">
        <v>5</v>
      </c>
      <c r="E14" s="144">
        <v>43164.783391203702</v>
      </c>
      <c r="F14" s="89">
        <f t="shared" si="9"/>
        <v>43164.783391203702</v>
      </c>
      <c r="G14" s="90" t="str">
        <f t="shared" si="10"/>
        <v>18:48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8">
        <v>8</v>
      </c>
      <c r="Q14" s="18"/>
      <c r="R14" s="18"/>
      <c r="S14" s="18"/>
    </row>
    <row r="15" spans="1:21" s="2" customFormat="1">
      <c r="A15" s="140">
        <v>8583</v>
      </c>
      <c r="B15" s="140" t="s">
        <v>71</v>
      </c>
      <c r="C15" s="140" t="s">
        <v>72</v>
      </c>
      <c r="D15" s="143" t="s">
        <v>7</v>
      </c>
      <c r="E15" s="144">
        <v>43164.783425925925</v>
      </c>
      <c r="F15" s="89">
        <f t="shared" si="9"/>
        <v>43164.783425925925</v>
      </c>
      <c r="G15" s="90" t="str">
        <f t="shared" si="10"/>
        <v>18:48</v>
      </c>
      <c r="H15" s="91" t="str">
        <f t="shared" si="11"/>
        <v>-</v>
      </c>
      <c r="I15" s="92" t="str">
        <f t="shared" si="12"/>
        <v>-</v>
      </c>
      <c r="J15" s="92" t="str">
        <f t="shared" si="13"/>
        <v>-</v>
      </c>
      <c r="K15" s="93">
        <f t="shared" si="14"/>
        <v>1.7166666666666659</v>
      </c>
      <c r="L15" s="93"/>
      <c r="M15" s="94">
        <f t="shared" si="15"/>
        <v>1.7166666666666659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8588</v>
      </c>
      <c r="B16" s="140" t="s">
        <v>71</v>
      </c>
      <c r="C16" s="140" t="s">
        <v>72</v>
      </c>
      <c r="D16" s="143" t="s">
        <v>8</v>
      </c>
      <c r="E16" s="144">
        <v>43164.855034722219</v>
      </c>
      <c r="F16" s="89">
        <f t="shared" si="9"/>
        <v>43164.855034722219</v>
      </c>
      <c r="G16" s="90" t="str">
        <f t="shared" si="10"/>
        <v>20:31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63" customFormat="1">
      <c r="A17" s="140">
        <v>8596</v>
      </c>
      <c r="B17" s="140" t="s">
        <v>72</v>
      </c>
      <c r="C17" s="140" t="s">
        <v>72</v>
      </c>
      <c r="D17" s="143" t="s">
        <v>6</v>
      </c>
      <c r="E17" s="144">
        <v>43165.363182870373</v>
      </c>
      <c r="F17" s="89">
        <f t="shared" si="9"/>
        <v>43165.363182870373</v>
      </c>
      <c r="G17" s="90" t="str">
        <f t="shared" si="10"/>
        <v>8:42</v>
      </c>
      <c r="H17" s="91">
        <f t="shared" si="11"/>
        <v>9.9166666666666679</v>
      </c>
      <c r="I17" s="92">
        <f t="shared" si="12"/>
        <v>8</v>
      </c>
      <c r="J17" s="92" t="str">
        <f t="shared" si="13"/>
        <v>-</v>
      </c>
      <c r="K17" s="93">
        <f t="shared" si="14"/>
        <v>0</v>
      </c>
      <c r="L17" s="93"/>
      <c r="M17" s="94">
        <f t="shared" si="15"/>
        <v>0</v>
      </c>
      <c r="N17" s="94">
        <f t="shared" si="16"/>
        <v>0</v>
      </c>
      <c r="O17" s="20"/>
      <c r="P17" s="18">
        <v>9</v>
      </c>
      <c r="Q17" s="18"/>
      <c r="R17" s="18"/>
      <c r="S17" s="18"/>
    </row>
    <row r="18" spans="1:19" s="63" customFormat="1">
      <c r="A18" s="140">
        <v>8614</v>
      </c>
      <c r="B18" s="140" t="s">
        <v>72</v>
      </c>
      <c r="C18" s="140" t="s">
        <v>72</v>
      </c>
      <c r="D18" s="143" t="s">
        <v>5</v>
      </c>
      <c r="E18" s="144">
        <v>43165.776226851849</v>
      </c>
      <c r="F18" s="89">
        <f t="shared" si="9"/>
        <v>43165.776226851849</v>
      </c>
      <c r="G18" s="90" t="str">
        <f t="shared" si="10"/>
        <v>18:37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8">
        <v>10</v>
      </c>
      <c r="Q18" s="18"/>
      <c r="R18" s="18"/>
      <c r="S18" s="18"/>
    </row>
    <row r="19" spans="1:19" s="2" customFormat="1">
      <c r="A19" s="140">
        <v>8615</v>
      </c>
      <c r="B19" s="140" t="s">
        <v>72</v>
      </c>
      <c r="C19" s="140" t="s">
        <v>72</v>
      </c>
      <c r="D19" s="143" t="s">
        <v>7</v>
      </c>
      <c r="E19" s="144">
        <v>43165.776261574072</v>
      </c>
      <c r="F19" s="89">
        <f t="shared" si="9"/>
        <v>43165.776261574072</v>
      </c>
      <c r="G19" s="90" t="str">
        <f t="shared" si="10"/>
        <v>18:37</v>
      </c>
      <c r="H19" s="91" t="str">
        <f t="shared" si="11"/>
        <v>-</v>
      </c>
      <c r="I19" s="92" t="str">
        <f t="shared" si="12"/>
        <v>-</v>
      </c>
      <c r="J19" s="92" t="str">
        <f t="shared" si="13"/>
        <v>-</v>
      </c>
      <c r="K19" s="93">
        <f t="shared" si="14"/>
        <v>3.0333333333333306</v>
      </c>
      <c r="L19" s="93"/>
      <c r="M19" s="94">
        <f t="shared" si="15"/>
        <v>2</v>
      </c>
      <c r="N19" s="94">
        <f t="shared" si="16"/>
        <v>1.0333333333333306</v>
      </c>
      <c r="O19" s="20"/>
      <c r="P19" s="8">
        <v>11</v>
      </c>
      <c r="Q19" s="8"/>
      <c r="R19" s="8"/>
      <c r="S19" s="8"/>
    </row>
    <row r="20" spans="1:19">
      <c r="A20" s="140">
        <v>8623</v>
      </c>
      <c r="B20" s="140" t="s">
        <v>72</v>
      </c>
      <c r="C20" s="140" t="s">
        <v>72</v>
      </c>
      <c r="D20" s="143" t="s">
        <v>8</v>
      </c>
      <c r="E20" s="144">
        <v>43165.902118055557</v>
      </c>
      <c r="F20" s="89">
        <f t="shared" si="9"/>
        <v>43165.902118055557</v>
      </c>
      <c r="G20" s="90" t="str">
        <f t="shared" si="10"/>
        <v>21:39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9">
        <v>12</v>
      </c>
    </row>
    <row r="21" spans="1:19" s="2" customFormat="1">
      <c r="A21" s="140">
        <v>8628</v>
      </c>
      <c r="B21" s="140" t="s">
        <v>72</v>
      </c>
      <c r="C21" s="140" t="s">
        <v>72</v>
      </c>
      <c r="D21" s="143" t="s">
        <v>6</v>
      </c>
      <c r="E21" s="144">
        <v>43166.364398148151</v>
      </c>
      <c r="F21" s="89">
        <f t="shared" si="9"/>
        <v>43166.364398148151</v>
      </c>
      <c r="G21" s="90" t="str">
        <f t="shared" si="10"/>
        <v>8:44</v>
      </c>
      <c r="H21" s="91">
        <f t="shared" si="11"/>
        <v>9.9</v>
      </c>
      <c r="I21" s="92">
        <f t="shared" si="12"/>
        <v>8</v>
      </c>
      <c r="J21" s="92" t="str">
        <f t="shared" si="13"/>
        <v>-</v>
      </c>
      <c r="K21" s="93">
        <f t="shared" si="14"/>
        <v>0</v>
      </c>
      <c r="L21" s="93"/>
      <c r="M21" s="94">
        <f t="shared" si="15"/>
        <v>0</v>
      </c>
      <c r="N21" s="94">
        <f t="shared" si="16"/>
        <v>0</v>
      </c>
      <c r="O21" s="20"/>
      <c r="P21" s="8">
        <v>13</v>
      </c>
      <c r="Q21" s="8"/>
      <c r="R21" s="8"/>
      <c r="S21" s="8"/>
    </row>
    <row r="22" spans="1:19">
      <c r="A22" s="140">
        <v>8647</v>
      </c>
      <c r="B22" s="140" t="s">
        <v>71</v>
      </c>
      <c r="C22" s="140" t="s">
        <v>72</v>
      </c>
      <c r="D22" s="143" t="s">
        <v>5</v>
      </c>
      <c r="E22" s="144">
        <v>43166.776412037034</v>
      </c>
      <c r="F22" s="89">
        <f t="shared" si="9"/>
        <v>43166.776412037034</v>
      </c>
      <c r="G22" s="90" t="str">
        <f t="shared" si="10"/>
        <v>18:38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9">
        <v>14</v>
      </c>
    </row>
    <row r="23" spans="1:19" s="2" customFormat="1">
      <c r="A23" s="140">
        <v>8648</v>
      </c>
      <c r="B23" s="140" t="s">
        <v>71</v>
      </c>
      <c r="C23" s="140" t="s">
        <v>72</v>
      </c>
      <c r="D23" s="143" t="s">
        <v>7</v>
      </c>
      <c r="E23" s="144">
        <v>43166.77648148148</v>
      </c>
      <c r="F23" s="89">
        <f t="shared" si="9"/>
        <v>43166.77648148148</v>
      </c>
      <c r="G23" s="90" t="str">
        <f t="shared" si="10"/>
        <v>18:38</v>
      </c>
      <c r="H23" s="91" t="str">
        <f t="shared" si="11"/>
        <v>-</v>
      </c>
      <c r="I23" s="92" t="str">
        <f t="shared" si="12"/>
        <v>-</v>
      </c>
      <c r="J23" s="92" t="str">
        <f t="shared" si="13"/>
        <v>-</v>
      </c>
      <c r="K23" s="93">
        <f t="shared" si="14"/>
        <v>1.7333333333333325</v>
      </c>
      <c r="L23" s="93"/>
      <c r="M23" s="94">
        <f t="shared" si="15"/>
        <v>1.7333333333333325</v>
      </c>
      <c r="N23" s="94">
        <f t="shared" si="16"/>
        <v>0</v>
      </c>
      <c r="O23" s="20"/>
      <c r="P23" s="8">
        <v>15</v>
      </c>
      <c r="Q23" s="8"/>
      <c r="R23" s="8"/>
      <c r="S23" s="8"/>
    </row>
    <row r="24" spans="1:19">
      <c r="A24" s="140">
        <v>8655</v>
      </c>
      <c r="B24" s="140" t="s">
        <v>72</v>
      </c>
      <c r="C24" s="140" t="s">
        <v>72</v>
      </c>
      <c r="D24" s="143" t="s">
        <v>8</v>
      </c>
      <c r="E24" s="144">
        <v>43166.848969907405</v>
      </c>
      <c r="F24" s="89">
        <f t="shared" si="9"/>
        <v>43166.848969907405</v>
      </c>
      <c r="G24" s="90" t="str">
        <f t="shared" si="10"/>
        <v>20:22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9">
        <v>16</v>
      </c>
    </row>
    <row r="25" spans="1:19" s="2" customFormat="1">
      <c r="A25" s="140">
        <v>8670</v>
      </c>
      <c r="B25" s="140" t="s">
        <v>71</v>
      </c>
      <c r="C25" s="140" t="s">
        <v>72</v>
      </c>
      <c r="D25" s="143" t="s">
        <v>6</v>
      </c>
      <c r="E25" s="144">
        <v>43167.371180555558</v>
      </c>
      <c r="F25" s="89">
        <f t="shared" si="9"/>
        <v>43167.371180555558</v>
      </c>
      <c r="G25" s="90" t="str">
        <f t="shared" si="10"/>
        <v>8:54</v>
      </c>
      <c r="H25" s="91">
        <f t="shared" si="11"/>
        <v>9.6666666666666679</v>
      </c>
      <c r="I25" s="92">
        <f t="shared" si="12"/>
        <v>8</v>
      </c>
      <c r="J25" s="92" t="str">
        <f t="shared" si="13"/>
        <v>-</v>
      </c>
      <c r="K25" s="93">
        <f t="shared" si="14"/>
        <v>0</v>
      </c>
      <c r="L25" s="93"/>
      <c r="M25" s="94">
        <f t="shared" si="15"/>
        <v>0</v>
      </c>
      <c r="N25" s="94">
        <f t="shared" si="16"/>
        <v>0</v>
      </c>
      <c r="O25" s="20"/>
      <c r="P25" s="8">
        <v>17</v>
      </c>
      <c r="Q25" s="8"/>
      <c r="R25" s="8"/>
      <c r="S25" s="8"/>
    </row>
    <row r="26" spans="1:19">
      <c r="A26" s="140">
        <v>8681</v>
      </c>
      <c r="B26" s="140" t="s">
        <v>71</v>
      </c>
      <c r="C26" s="140" t="s">
        <v>72</v>
      </c>
      <c r="D26" s="143" t="s">
        <v>5</v>
      </c>
      <c r="E26" s="144">
        <v>43167.773796296293</v>
      </c>
      <c r="F26" s="89">
        <f t="shared" si="9"/>
        <v>43167.773796296293</v>
      </c>
      <c r="G26" s="90" t="str">
        <f t="shared" si="10"/>
        <v>18:34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18</v>
      </c>
    </row>
    <row r="27" spans="1:19" s="2" customFormat="1">
      <c r="A27" s="140">
        <v>8682</v>
      </c>
      <c r="B27" s="140" t="s">
        <v>71</v>
      </c>
      <c r="C27" s="140" t="s">
        <v>72</v>
      </c>
      <c r="D27" s="143" t="s">
        <v>7</v>
      </c>
      <c r="E27" s="144">
        <v>43167.773854166669</v>
      </c>
      <c r="F27" s="89">
        <f t="shared" si="9"/>
        <v>43167.773854166669</v>
      </c>
      <c r="G27" s="90" t="str">
        <f t="shared" si="10"/>
        <v>18:34</v>
      </c>
      <c r="H27" s="91" t="str">
        <f t="shared" si="11"/>
        <v>-</v>
      </c>
      <c r="I27" s="92" t="str">
        <f t="shared" si="12"/>
        <v>-</v>
      </c>
      <c r="J27" s="92" t="str">
        <f t="shared" si="13"/>
        <v>-</v>
      </c>
      <c r="K27" s="93">
        <f t="shared" si="14"/>
        <v>1.5833333333333304</v>
      </c>
      <c r="L27" s="93"/>
      <c r="M27" s="94">
        <f t="shared" si="15"/>
        <v>1.5833333333333304</v>
      </c>
      <c r="N27" s="94">
        <f t="shared" si="16"/>
        <v>0</v>
      </c>
      <c r="O27" s="20"/>
      <c r="P27" s="8">
        <v>19</v>
      </c>
      <c r="Q27" s="8"/>
      <c r="R27" s="8"/>
      <c r="S27" s="8"/>
    </row>
    <row r="28" spans="1:19">
      <c r="A28" s="140">
        <v>8690</v>
      </c>
      <c r="B28" s="140" t="s">
        <v>72</v>
      </c>
      <c r="C28" s="140" t="s">
        <v>72</v>
      </c>
      <c r="D28" s="143" t="s">
        <v>8</v>
      </c>
      <c r="E28" s="144">
        <v>43167.839675925927</v>
      </c>
      <c r="F28" s="89">
        <f t="shared" si="9"/>
        <v>43167.839675925927</v>
      </c>
      <c r="G28" s="90" t="str">
        <f t="shared" si="10"/>
        <v>20:9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20</v>
      </c>
    </row>
    <row r="29" spans="1:19" s="2" customFormat="1">
      <c r="A29" s="140">
        <v>8692</v>
      </c>
      <c r="B29" s="140" t="s">
        <v>71</v>
      </c>
      <c r="C29" s="140" t="s">
        <v>72</v>
      </c>
      <c r="D29" s="143" t="s">
        <v>6</v>
      </c>
      <c r="E29" s="144">
        <v>43168.362662037034</v>
      </c>
      <c r="F29" s="89">
        <f t="shared" si="9"/>
        <v>43168.362662037034</v>
      </c>
      <c r="G29" s="90" t="str">
        <f t="shared" si="10"/>
        <v>8:42</v>
      </c>
      <c r="H29" s="91">
        <f t="shared" si="11"/>
        <v>9.7166666666666686</v>
      </c>
      <c r="I29" s="92">
        <f t="shared" si="12"/>
        <v>8</v>
      </c>
      <c r="J29" s="92" t="str">
        <f t="shared" si="13"/>
        <v>-</v>
      </c>
      <c r="K29" s="93">
        <f t="shared" si="14"/>
        <v>0</v>
      </c>
      <c r="L29" s="93"/>
      <c r="M29" s="94">
        <f t="shared" si="15"/>
        <v>0</v>
      </c>
      <c r="N29" s="94">
        <f t="shared" si="16"/>
        <v>0</v>
      </c>
      <c r="O29" s="20"/>
      <c r="P29" s="8">
        <v>21</v>
      </c>
      <c r="Q29" s="8"/>
      <c r="R29" s="8"/>
      <c r="S29" s="8"/>
    </row>
    <row r="30" spans="1:19" s="63" customFormat="1">
      <c r="A30" s="140">
        <v>8705</v>
      </c>
      <c r="B30" s="140" t="s">
        <v>72</v>
      </c>
      <c r="C30" s="140" t="s">
        <v>72</v>
      </c>
      <c r="D30" s="143" t="s">
        <v>5</v>
      </c>
      <c r="E30" s="144">
        <v>43168.767766203702</v>
      </c>
      <c r="F30" s="89">
        <f t="shared" si="9"/>
        <v>43168.767766203702</v>
      </c>
      <c r="G30" s="90" t="str">
        <f t="shared" si="10"/>
        <v>18:25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18">
        <v>22</v>
      </c>
      <c r="Q30" s="18"/>
      <c r="R30" s="18"/>
      <c r="S30" s="18"/>
    </row>
    <row r="31" spans="1:19" s="63" customFormat="1">
      <c r="A31" s="140">
        <v>8729</v>
      </c>
      <c r="B31" s="140" t="s">
        <v>71</v>
      </c>
      <c r="C31" s="140" t="s">
        <v>72</v>
      </c>
      <c r="D31" s="143" t="s">
        <v>7</v>
      </c>
      <c r="E31" s="144">
        <v>43170.422361111108</v>
      </c>
      <c r="F31" s="89">
        <f t="shared" si="9"/>
        <v>43170.422361111108</v>
      </c>
      <c r="G31" s="90" t="str">
        <f t="shared" si="10"/>
        <v>10:8</v>
      </c>
      <c r="H31" s="91" t="str">
        <f t="shared" si="11"/>
        <v>-</v>
      </c>
      <c r="I31" s="92" t="str">
        <f t="shared" si="12"/>
        <v>-</v>
      </c>
      <c r="J31" s="92" t="str">
        <f t="shared" si="13"/>
        <v>-</v>
      </c>
      <c r="K31" s="93">
        <f t="shared" si="14"/>
        <v>3.0500000000000012</v>
      </c>
      <c r="L31" s="93"/>
      <c r="M31" s="94">
        <f t="shared" si="15"/>
        <v>2</v>
      </c>
      <c r="N31" s="94">
        <f t="shared" si="16"/>
        <v>1.0500000000000012</v>
      </c>
      <c r="O31" s="20"/>
      <c r="P31" s="18">
        <v>23</v>
      </c>
      <c r="Q31" s="18"/>
      <c r="R31" s="18"/>
      <c r="S31" s="18"/>
    </row>
    <row r="32" spans="1:19" s="63" customFormat="1">
      <c r="A32" s="140">
        <v>8735</v>
      </c>
      <c r="B32" s="140" t="s">
        <v>71</v>
      </c>
      <c r="C32" s="140" t="s">
        <v>72</v>
      </c>
      <c r="D32" s="143" t="s">
        <v>8</v>
      </c>
      <c r="E32" s="144">
        <v>43170.549699074072</v>
      </c>
      <c r="F32" s="89">
        <f t="shared" si="9"/>
        <v>43170.549699074072</v>
      </c>
      <c r="G32" s="90" t="str">
        <f t="shared" si="10"/>
        <v>13:11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18">
        <v>24</v>
      </c>
      <c r="Q32" s="18"/>
      <c r="R32" s="18"/>
      <c r="S32" s="18"/>
    </row>
    <row r="33" spans="1:19" s="2" customFormat="1">
      <c r="A33" s="140">
        <v>8741</v>
      </c>
      <c r="B33" s="140" t="s">
        <v>72</v>
      </c>
      <c r="C33" s="140" t="s">
        <v>72</v>
      </c>
      <c r="D33" s="143" t="s">
        <v>7</v>
      </c>
      <c r="E33" s="144">
        <v>43170.572708333333</v>
      </c>
      <c r="F33" s="89">
        <f t="shared" si="9"/>
        <v>43170.572708333333</v>
      </c>
      <c r="G33" s="90" t="str">
        <f t="shared" si="10"/>
        <v>13:44</v>
      </c>
      <c r="H33" s="91" t="str">
        <f t="shared" si="11"/>
        <v>-</v>
      </c>
      <c r="I33" s="92" t="str">
        <f t="shared" si="12"/>
        <v>-</v>
      </c>
      <c r="J33" s="92" t="str">
        <f t="shared" si="13"/>
        <v>-</v>
      </c>
      <c r="K33" s="93">
        <f t="shared" si="14"/>
        <v>4.0833333333333348</v>
      </c>
      <c r="L33" s="93"/>
      <c r="M33" s="94"/>
      <c r="N33" s="94">
        <v>4</v>
      </c>
      <c r="O33" s="20"/>
      <c r="P33" s="8">
        <v>25</v>
      </c>
      <c r="Q33" s="8"/>
      <c r="R33" s="8"/>
      <c r="S33" s="8"/>
    </row>
    <row r="34" spans="1:19">
      <c r="A34" s="140">
        <v>8746</v>
      </c>
      <c r="B34" s="140" t="s">
        <v>72</v>
      </c>
      <c r="C34" s="140" t="s">
        <v>72</v>
      </c>
      <c r="D34" s="143" t="s">
        <v>8</v>
      </c>
      <c r="E34" s="144">
        <v>43170.742708333331</v>
      </c>
      <c r="F34" s="89">
        <f t="shared" si="9"/>
        <v>43170.742708333331</v>
      </c>
      <c r="G34" s="90" t="str">
        <f t="shared" si="10"/>
        <v>17:49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26</v>
      </c>
    </row>
    <row r="35" spans="1:19" s="63" customFormat="1">
      <c r="A35" s="140">
        <v>8764</v>
      </c>
      <c r="B35" s="140" t="s">
        <v>71</v>
      </c>
      <c r="C35" s="140" t="s">
        <v>72</v>
      </c>
      <c r="D35" s="143" t="s">
        <v>6</v>
      </c>
      <c r="E35" s="144">
        <v>43171.366435185184</v>
      </c>
      <c r="F35" s="89">
        <f t="shared" si="9"/>
        <v>43171.366435185184</v>
      </c>
      <c r="G35" s="90" t="str">
        <f t="shared" si="10"/>
        <v>8:47</v>
      </c>
      <c r="H35" s="91">
        <f t="shared" si="11"/>
        <v>9.6666666666666661</v>
      </c>
      <c r="I35" s="92">
        <f t="shared" si="12"/>
        <v>8</v>
      </c>
      <c r="J35" s="92" t="str">
        <f t="shared" si="13"/>
        <v>-</v>
      </c>
      <c r="K35" s="93">
        <f t="shared" si="14"/>
        <v>0</v>
      </c>
      <c r="L35" s="93"/>
      <c r="M35" s="94">
        <f t="shared" si="15"/>
        <v>0</v>
      </c>
      <c r="N35" s="94">
        <f t="shared" si="16"/>
        <v>0</v>
      </c>
      <c r="O35" s="20"/>
      <c r="P35" s="18">
        <v>27</v>
      </c>
      <c r="Q35" s="18"/>
      <c r="R35" s="18"/>
      <c r="S35" s="18"/>
    </row>
    <row r="36" spans="1:19" s="63" customFormat="1">
      <c r="A36" s="140">
        <v>8777</v>
      </c>
      <c r="B36" s="140" t="s">
        <v>72</v>
      </c>
      <c r="C36" s="140" t="s">
        <v>72</v>
      </c>
      <c r="D36" s="143" t="s">
        <v>5</v>
      </c>
      <c r="E36" s="144">
        <v>43171.769074074073</v>
      </c>
      <c r="F36" s="89">
        <f t="shared" si="9"/>
        <v>43171.769074074073</v>
      </c>
      <c r="G36" s="90" t="str">
        <f t="shared" si="10"/>
        <v>18:27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18">
        <v>28</v>
      </c>
      <c r="Q36" s="18"/>
      <c r="R36" s="18"/>
      <c r="S36" s="18"/>
    </row>
    <row r="37" spans="1:19" s="63" customFormat="1">
      <c r="A37" s="140">
        <v>8778</v>
      </c>
      <c r="B37" s="140" t="s">
        <v>72</v>
      </c>
      <c r="C37" s="140" t="s">
        <v>72</v>
      </c>
      <c r="D37" s="141" t="s">
        <v>7</v>
      </c>
      <c r="E37" s="142">
        <v>43171.769131944442</v>
      </c>
      <c r="F37" s="89">
        <f t="shared" si="9"/>
        <v>43171.769131944442</v>
      </c>
      <c r="G37" s="90" t="str">
        <f t="shared" si="10"/>
        <v>18:27</v>
      </c>
      <c r="H37" s="91" t="str">
        <f t="shared" si="11"/>
        <v>-</v>
      </c>
      <c r="I37" s="92" t="str">
        <f t="shared" si="12"/>
        <v>-</v>
      </c>
      <c r="J37" s="92" t="str">
        <f t="shared" si="13"/>
        <v>-</v>
      </c>
      <c r="K37" s="93">
        <f t="shared" si="14"/>
        <v>3.3500000000000014</v>
      </c>
      <c r="L37" s="93"/>
      <c r="M37" s="94">
        <f t="shared" si="15"/>
        <v>2</v>
      </c>
      <c r="N37" s="94">
        <f t="shared" si="16"/>
        <v>1.3500000000000014</v>
      </c>
      <c r="O37" s="20"/>
      <c r="P37" s="18"/>
      <c r="Q37" s="18"/>
      <c r="R37" s="18"/>
      <c r="S37" s="18"/>
    </row>
    <row r="38" spans="1:19" s="63" customFormat="1">
      <c r="A38" s="140">
        <v>8796</v>
      </c>
      <c r="B38" s="140" t="s">
        <v>72</v>
      </c>
      <c r="C38" s="140" t="s">
        <v>72</v>
      </c>
      <c r="D38" s="143" t="s">
        <v>8</v>
      </c>
      <c r="E38" s="144">
        <v>43171.909016203703</v>
      </c>
      <c r="F38" s="89">
        <f t="shared" si="9"/>
        <v>43171.909016203703</v>
      </c>
      <c r="G38" s="90" t="str">
        <f t="shared" si="10"/>
        <v>21:48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18"/>
      <c r="Q38" s="18"/>
      <c r="R38" s="18"/>
      <c r="S38" s="18"/>
    </row>
    <row r="39" spans="1:19" s="63" customFormat="1">
      <c r="A39" s="140">
        <v>8804</v>
      </c>
      <c r="B39" s="140" t="s">
        <v>71</v>
      </c>
      <c r="C39" s="140" t="s">
        <v>72</v>
      </c>
      <c r="D39" s="143" t="s">
        <v>6</v>
      </c>
      <c r="E39" s="144">
        <v>43172.366342592592</v>
      </c>
      <c r="F39" s="89">
        <f t="shared" si="9"/>
        <v>43172.366342592592</v>
      </c>
      <c r="G39" s="90" t="str">
        <f t="shared" si="10"/>
        <v>8:47</v>
      </c>
      <c r="H39" s="91">
        <f t="shared" si="11"/>
        <v>9.7666666666666675</v>
      </c>
      <c r="I39" s="92">
        <f t="shared" si="12"/>
        <v>8</v>
      </c>
      <c r="J39" s="92" t="str">
        <f t="shared" si="13"/>
        <v>-</v>
      </c>
      <c r="K39" s="93">
        <f t="shared" si="14"/>
        <v>0</v>
      </c>
      <c r="L39" s="93"/>
      <c r="M39" s="94">
        <f t="shared" si="15"/>
        <v>0</v>
      </c>
      <c r="N39" s="94">
        <f t="shared" si="16"/>
        <v>0</v>
      </c>
      <c r="O39" s="20"/>
      <c r="P39" s="18"/>
      <c r="Q39" s="18"/>
      <c r="R39" s="18"/>
      <c r="S39" s="18"/>
    </row>
    <row r="40" spans="1:19" s="63" customFormat="1">
      <c r="A40" s="140">
        <v>8821</v>
      </c>
      <c r="B40" s="140" t="s">
        <v>72</v>
      </c>
      <c r="C40" s="140" t="s">
        <v>72</v>
      </c>
      <c r="D40" s="143" t="s">
        <v>5</v>
      </c>
      <c r="E40" s="144">
        <v>43172.773298611108</v>
      </c>
      <c r="F40" s="89">
        <f t="shared" si="9"/>
        <v>43172.773298611108</v>
      </c>
      <c r="G40" s="90" t="str">
        <f t="shared" si="10"/>
        <v>18:33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18"/>
      <c r="Q40" s="18"/>
      <c r="R40" s="18"/>
      <c r="S40" s="18"/>
    </row>
    <row r="41" spans="1:19" s="2" customFormat="1">
      <c r="A41" s="140">
        <v>8822</v>
      </c>
      <c r="B41" s="140" t="s">
        <v>72</v>
      </c>
      <c r="C41" s="140" t="s">
        <v>72</v>
      </c>
      <c r="D41" s="143" t="s">
        <v>7</v>
      </c>
      <c r="E41" s="144">
        <v>43172.773344907408</v>
      </c>
      <c r="F41" s="89">
        <f t="shared" si="9"/>
        <v>43172.773344907408</v>
      </c>
      <c r="G41" s="90" t="str">
        <f t="shared" si="10"/>
        <v>18:33</v>
      </c>
      <c r="H41" s="91" t="str">
        <f t="shared" si="11"/>
        <v>-</v>
      </c>
      <c r="I41" s="92" t="str">
        <f t="shared" si="12"/>
        <v>-</v>
      </c>
      <c r="J41" s="92" t="str">
        <f t="shared" si="13"/>
        <v>-</v>
      </c>
      <c r="K41" s="93">
        <f t="shared" si="14"/>
        <v>2.3666666666666663</v>
      </c>
      <c r="L41" s="93"/>
      <c r="M41" s="94">
        <f t="shared" si="15"/>
        <v>2</v>
      </c>
      <c r="N41" s="94">
        <f t="shared" si="16"/>
        <v>0.36666666666666625</v>
      </c>
      <c r="O41" s="20"/>
      <c r="P41" s="8"/>
      <c r="Q41" s="8"/>
      <c r="R41" s="8"/>
      <c r="S41" s="8"/>
    </row>
    <row r="42" spans="1:19">
      <c r="A42" s="140">
        <v>8832</v>
      </c>
      <c r="B42" s="140" t="s">
        <v>71</v>
      </c>
      <c r="C42" s="140" t="s">
        <v>72</v>
      </c>
      <c r="D42" s="143" t="s">
        <v>8</v>
      </c>
      <c r="E42" s="144">
        <v>43172.872094907405</v>
      </c>
      <c r="F42" s="89">
        <f t="shared" si="9"/>
        <v>43172.872094907405</v>
      </c>
      <c r="G42" s="90" t="str">
        <f t="shared" si="10"/>
        <v>20:55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</row>
    <row r="43" spans="1:19" s="16" customFormat="1">
      <c r="A43" s="140">
        <v>8838</v>
      </c>
      <c r="B43" s="140" t="s">
        <v>72</v>
      </c>
      <c r="C43" s="140" t="s">
        <v>72</v>
      </c>
      <c r="D43" s="143" t="s">
        <v>6</v>
      </c>
      <c r="E43" s="144">
        <v>43173.363634259258</v>
      </c>
      <c r="F43" s="89">
        <f t="shared" si="9"/>
        <v>43173.363634259258</v>
      </c>
      <c r="G43" s="90" t="str">
        <f t="shared" si="10"/>
        <v>8:43</v>
      </c>
      <c r="H43" s="91">
        <f t="shared" si="11"/>
        <v>9.783333333333335</v>
      </c>
      <c r="I43" s="92">
        <f t="shared" si="12"/>
        <v>8</v>
      </c>
      <c r="J43" s="92" t="str">
        <f t="shared" si="13"/>
        <v>-</v>
      </c>
      <c r="K43" s="93">
        <f t="shared" si="14"/>
        <v>0</v>
      </c>
      <c r="L43" s="93"/>
      <c r="M43" s="94">
        <f t="shared" si="15"/>
        <v>0</v>
      </c>
      <c r="N43" s="94">
        <f t="shared" si="16"/>
        <v>0</v>
      </c>
      <c r="O43" s="20"/>
      <c r="P43" s="137"/>
      <c r="Q43" s="137"/>
      <c r="R43" s="137"/>
      <c r="S43" s="137"/>
    </row>
    <row r="44" spans="1:19" s="63" customFormat="1">
      <c r="A44" s="422">
        <v>8821</v>
      </c>
      <c r="B44" s="422" t="s">
        <v>72</v>
      </c>
      <c r="C44" s="422" t="s">
        <v>72</v>
      </c>
      <c r="D44" s="181" t="s">
        <v>5</v>
      </c>
      <c r="E44" s="180">
        <v>43173.771215277775</v>
      </c>
      <c r="F44" s="135">
        <f t="shared" si="9"/>
        <v>43173.771215277775</v>
      </c>
      <c r="G44" s="67" t="str">
        <f t="shared" si="10"/>
        <v>18:30</v>
      </c>
      <c r="H44" s="64" t="str">
        <f t="shared" si="11"/>
        <v>-</v>
      </c>
      <c r="I44" s="66" t="str">
        <f t="shared" si="12"/>
        <v>-</v>
      </c>
      <c r="J44" s="66" t="str">
        <f t="shared" si="13"/>
        <v>-</v>
      </c>
      <c r="K44" s="68">
        <f t="shared" si="14"/>
        <v>0</v>
      </c>
      <c r="L44" s="68"/>
      <c r="M44" s="65">
        <f t="shared" si="15"/>
        <v>0</v>
      </c>
      <c r="N44" s="65">
        <f t="shared" si="16"/>
        <v>0</v>
      </c>
      <c r="O44" s="147"/>
      <c r="P44" s="18"/>
      <c r="Q44" s="18"/>
      <c r="R44" s="18"/>
      <c r="S44" s="18"/>
    </row>
    <row r="45" spans="1:19" s="63" customFormat="1">
      <c r="A45" s="422">
        <v>8822</v>
      </c>
      <c r="B45" s="422" t="s">
        <v>72</v>
      </c>
      <c r="C45" s="422" t="s">
        <v>72</v>
      </c>
      <c r="D45" s="181" t="s">
        <v>7</v>
      </c>
      <c r="E45" s="180">
        <v>43173.771261574075</v>
      </c>
      <c r="F45" s="135">
        <f t="shared" si="9"/>
        <v>43173.771261574075</v>
      </c>
      <c r="G45" s="67" t="str">
        <f t="shared" si="10"/>
        <v>18:30</v>
      </c>
      <c r="H45" s="64" t="str">
        <f t="shared" si="11"/>
        <v>-</v>
      </c>
      <c r="I45" s="66" t="str">
        <f t="shared" si="12"/>
        <v>-</v>
      </c>
      <c r="J45" s="66" t="str">
        <f t="shared" si="13"/>
        <v>-</v>
      </c>
      <c r="K45" s="68">
        <f t="shared" si="14"/>
        <v>2.1833333333333336</v>
      </c>
      <c r="L45" s="68"/>
      <c r="M45" s="65">
        <f t="shared" si="15"/>
        <v>2</v>
      </c>
      <c r="N45" s="65">
        <f t="shared" si="16"/>
        <v>0.18333333333333357</v>
      </c>
      <c r="O45" s="147" t="s">
        <v>115</v>
      </c>
      <c r="P45" s="18"/>
      <c r="Q45" s="18"/>
      <c r="R45" s="18"/>
      <c r="S45" s="18"/>
    </row>
    <row r="46" spans="1:19">
      <c r="A46" s="140">
        <v>8867</v>
      </c>
      <c r="B46" s="140" t="s">
        <v>71</v>
      </c>
      <c r="C46" s="140" t="s">
        <v>72</v>
      </c>
      <c r="D46" s="143" t="s">
        <v>8</v>
      </c>
      <c r="E46" s="144">
        <v>43173.862118055556</v>
      </c>
      <c r="F46" s="89">
        <f t="shared" si="9"/>
        <v>43173.862118055556</v>
      </c>
      <c r="G46" s="90" t="str">
        <f t="shared" si="10"/>
        <v>20:41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</row>
    <row r="47" spans="1:19">
      <c r="A47" s="140">
        <v>8872</v>
      </c>
      <c r="B47" s="140" t="s">
        <v>71</v>
      </c>
      <c r="C47" s="140" t="s">
        <v>72</v>
      </c>
      <c r="D47" s="143" t="s">
        <v>6</v>
      </c>
      <c r="E47" s="144">
        <v>43174.363125000003</v>
      </c>
      <c r="F47" s="89">
        <f t="shared" si="9"/>
        <v>43174.363125000003</v>
      </c>
      <c r="G47" s="90" t="str">
        <f t="shared" si="10"/>
        <v>8:42</v>
      </c>
      <c r="H47" s="91">
        <f t="shared" si="11"/>
        <v>9.8000000000000007</v>
      </c>
      <c r="I47" s="92">
        <f t="shared" si="12"/>
        <v>8</v>
      </c>
      <c r="J47" s="92" t="str">
        <f t="shared" si="13"/>
        <v>-</v>
      </c>
      <c r="K47" s="93">
        <f t="shared" si="14"/>
        <v>0</v>
      </c>
      <c r="L47" s="93"/>
      <c r="M47" s="94">
        <f t="shared" si="15"/>
        <v>0</v>
      </c>
      <c r="N47" s="94">
        <f t="shared" si="16"/>
        <v>0</v>
      </c>
      <c r="O47" s="20"/>
    </row>
    <row r="48" spans="1:19" s="2" customFormat="1">
      <c r="A48" s="140">
        <v>8889</v>
      </c>
      <c r="B48" s="140" t="s">
        <v>72</v>
      </c>
      <c r="C48" s="140" t="s">
        <v>72</v>
      </c>
      <c r="D48" s="143" t="s">
        <v>5</v>
      </c>
      <c r="E48" s="144">
        <v>43174.771412037036</v>
      </c>
      <c r="F48" s="89">
        <f t="shared" si="9"/>
        <v>43174.771412037036</v>
      </c>
      <c r="G48" s="90" t="str">
        <f t="shared" si="10"/>
        <v>18:30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8"/>
      <c r="Q48" s="8"/>
      <c r="R48" s="8"/>
      <c r="S48" s="8"/>
    </row>
    <row r="49" spans="1:21">
      <c r="A49" s="140">
        <v>8890</v>
      </c>
      <c r="B49" s="140" t="s">
        <v>72</v>
      </c>
      <c r="C49" s="140" t="s">
        <v>72</v>
      </c>
      <c r="D49" s="143" t="s">
        <v>7</v>
      </c>
      <c r="E49" s="144">
        <v>43174.771469907406</v>
      </c>
      <c r="F49" s="89">
        <f t="shared" si="9"/>
        <v>43174.771469907406</v>
      </c>
      <c r="G49" s="90" t="str">
        <f t="shared" si="10"/>
        <v>18:30</v>
      </c>
      <c r="H49" s="91" t="str">
        <f t="shared" si="11"/>
        <v>-</v>
      </c>
      <c r="I49" s="92" t="str">
        <f t="shared" si="12"/>
        <v>-</v>
      </c>
      <c r="J49" s="92" t="str">
        <f t="shared" si="13"/>
        <v>-</v>
      </c>
      <c r="K49" s="93">
        <f t="shared" si="14"/>
        <v>2.2333333333333334</v>
      </c>
      <c r="L49" s="93"/>
      <c r="M49" s="94">
        <f t="shared" si="15"/>
        <v>2</v>
      </c>
      <c r="N49" s="94">
        <f t="shared" si="16"/>
        <v>0.23333333333333339</v>
      </c>
      <c r="O49" s="20"/>
    </row>
    <row r="50" spans="1:21">
      <c r="A50" s="140">
        <v>8903</v>
      </c>
      <c r="B50" s="140" t="s">
        <v>71</v>
      </c>
      <c r="C50" s="140" t="s">
        <v>72</v>
      </c>
      <c r="D50" s="143" t="s">
        <v>8</v>
      </c>
      <c r="E50" s="144">
        <v>43174.864120370374</v>
      </c>
      <c r="F50" s="89">
        <f t="shared" si="9"/>
        <v>43174.864120370374</v>
      </c>
      <c r="G50" s="90" t="str">
        <f t="shared" si="10"/>
        <v>20:44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</row>
    <row r="51" spans="1:21">
      <c r="A51" s="140">
        <v>8910</v>
      </c>
      <c r="B51" s="140" t="s">
        <v>72</v>
      </c>
      <c r="C51" s="140" t="s">
        <v>72</v>
      </c>
      <c r="D51" s="143" t="s">
        <v>6</v>
      </c>
      <c r="E51" s="144">
        <v>43175.363020833334</v>
      </c>
      <c r="F51" s="89">
        <f t="shared" si="9"/>
        <v>43175.363020833334</v>
      </c>
      <c r="G51" s="90" t="str">
        <f t="shared" si="10"/>
        <v>8:42</v>
      </c>
      <c r="H51" s="91">
        <f t="shared" si="11"/>
        <v>9.7333333333333343</v>
      </c>
      <c r="I51" s="92">
        <f t="shared" si="12"/>
        <v>8</v>
      </c>
      <c r="J51" s="92" t="str">
        <f t="shared" si="13"/>
        <v>-</v>
      </c>
      <c r="K51" s="93">
        <f t="shared" si="14"/>
        <v>0</v>
      </c>
      <c r="L51" s="93"/>
      <c r="M51" s="94">
        <f t="shared" si="15"/>
        <v>0</v>
      </c>
      <c r="N51" s="94">
        <f t="shared" si="16"/>
        <v>0</v>
      </c>
      <c r="O51" s="20"/>
    </row>
    <row r="52" spans="1:21">
      <c r="A52" s="140">
        <v>8920</v>
      </c>
      <c r="B52" s="140" t="s">
        <v>72</v>
      </c>
      <c r="C52" s="140" t="s">
        <v>72</v>
      </c>
      <c r="D52" s="143" t="s">
        <v>5</v>
      </c>
      <c r="E52" s="144">
        <v>43175.768587962964</v>
      </c>
      <c r="F52" s="89">
        <f t="shared" si="9"/>
        <v>43175.768587962964</v>
      </c>
      <c r="G52" s="90" t="str">
        <f t="shared" si="10"/>
        <v>18:26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</row>
    <row r="53" spans="1:21" s="137" customFormat="1">
      <c r="A53" s="140">
        <v>8921</v>
      </c>
      <c r="B53" s="140" t="s">
        <v>72</v>
      </c>
      <c r="C53" s="140" t="s">
        <v>72</v>
      </c>
      <c r="D53" s="143" t="s">
        <v>7</v>
      </c>
      <c r="E53" s="144">
        <v>43175.768645833334</v>
      </c>
      <c r="F53" s="89">
        <f t="shared" si="9"/>
        <v>43175.768645833334</v>
      </c>
      <c r="G53" s="90" t="str">
        <f t="shared" si="10"/>
        <v>18:26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3.2999999999999989</v>
      </c>
      <c r="L53" s="93"/>
      <c r="M53" s="94">
        <f t="shared" si="15"/>
        <v>2</v>
      </c>
      <c r="N53" s="94">
        <f t="shared" si="16"/>
        <v>1.2999999999999989</v>
      </c>
      <c r="O53" s="20"/>
      <c r="T53" s="16"/>
      <c r="U53" s="16"/>
    </row>
    <row r="54" spans="1:21" s="137" customFormat="1">
      <c r="A54" s="140">
        <v>8938</v>
      </c>
      <c r="B54" s="140" t="s">
        <v>71</v>
      </c>
      <c r="C54" s="140" t="s">
        <v>72</v>
      </c>
      <c r="D54" s="143" t="s">
        <v>8</v>
      </c>
      <c r="E54" s="144">
        <v>43175.905868055554</v>
      </c>
      <c r="F54" s="89">
        <f t="shared" si="9"/>
        <v>43175.905868055554</v>
      </c>
      <c r="G54" s="90" t="str">
        <f t="shared" si="10"/>
        <v>21:44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94">
        <f t="shared" si="15"/>
        <v>0</v>
      </c>
      <c r="N54" s="94">
        <f t="shared" si="16"/>
        <v>0</v>
      </c>
      <c r="O54" s="20"/>
      <c r="T54" s="16"/>
      <c r="U54" s="16"/>
    </row>
    <row r="55" spans="1:21" s="18" customFormat="1">
      <c r="A55" s="140">
        <v>8942</v>
      </c>
      <c r="B55" s="140" t="s">
        <v>71</v>
      </c>
      <c r="C55" s="140" t="s">
        <v>72</v>
      </c>
      <c r="D55" s="143" t="s">
        <v>7</v>
      </c>
      <c r="E55" s="144">
        <v>43176.417395833334</v>
      </c>
      <c r="F55" s="89">
        <f t="shared" si="9"/>
        <v>43176.417395833334</v>
      </c>
      <c r="G55" s="90" t="str">
        <f t="shared" si="10"/>
        <v>10:1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3.5833333333333326</v>
      </c>
      <c r="L55" s="93"/>
      <c r="M55" s="94">
        <f t="shared" si="15"/>
        <v>2</v>
      </c>
      <c r="N55" s="94">
        <f t="shared" si="16"/>
        <v>1.5833333333333326</v>
      </c>
      <c r="O55" s="20"/>
      <c r="T55" s="63"/>
      <c r="U55" s="63"/>
    </row>
    <row r="56" spans="1:21" s="18" customFormat="1">
      <c r="A56" s="140">
        <v>8956</v>
      </c>
      <c r="B56" s="140" t="s">
        <v>71</v>
      </c>
      <c r="C56" s="140" t="s">
        <v>72</v>
      </c>
      <c r="D56" s="143" t="s">
        <v>8</v>
      </c>
      <c r="E56" s="144">
        <v>43176.567013888889</v>
      </c>
      <c r="F56" s="89">
        <f t="shared" si="9"/>
        <v>43176.567013888889</v>
      </c>
      <c r="G56" s="90" t="str">
        <f t="shared" si="10"/>
        <v>13:36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  <c r="T56" s="63"/>
      <c r="U56" s="63"/>
    </row>
    <row r="57" spans="1:21" s="9" customFormat="1">
      <c r="A57" s="140">
        <v>8958</v>
      </c>
      <c r="B57" s="140" t="s">
        <v>71</v>
      </c>
      <c r="C57" s="140" t="s">
        <v>72</v>
      </c>
      <c r="D57" s="143" t="s">
        <v>7</v>
      </c>
      <c r="E57" s="144">
        <v>43176.573819444442</v>
      </c>
      <c r="F57" s="89">
        <f t="shared" si="9"/>
        <v>43176.573819444442</v>
      </c>
      <c r="G57" s="90" t="str">
        <f t="shared" si="10"/>
        <v>13:46</v>
      </c>
      <c r="H57" s="91" t="str">
        <f t="shared" si="11"/>
        <v>-</v>
      </c>
      <c r="I57" s="92" t="str">
        <f t="shared" si="12"/>
        <v>-</v>
      </c>
      <c r="J57" s="92" t="str">
        <f t="shared" si="13"/>
        <v>-</v>
      </c>
      <c r="K57" s="93">
        <f t="shared" si="14"/>
        <v>2.8833333333333311</v>
      </c>
      <c r="L57" s="93"/>
      <c r="M57" s="94"/>
      <c r="N57" s="94">
        <f>K57</f>
        <v>2.8833333333333311</v>
      </c>
      <c r="O57" s="20"/>
      <c r="T57"/>
      <c r="U57"/>
    </row>
    <row r="58" spans="1:21" s="9" customFormat="1">
      <c r="A58" s="140">
        <v>8965</v>
      </c>
      <c r="B58" s="140" t="s">
        <v>72</v>
      </c>
      <c r="C58" s="140" t="s">
        <v>72</v>
      </c>
      <c r="D58" s="143" t="s">
        <v>8</v>
      </c>
      <c r="E58" s="144">
        <v>43176.693854166668</v>
      </c>
      <c r="F58" s="89">
        <f t="shared" si="9"/>
        <v>43176.693854166668</v>
      </c>
      <c r="G58" s="90" t="str">
        <f t="shared" si="10"/>
        <v>16:39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  <c r="T58"/>
      <c r="U58"/>
    </row>
    <row r="59" spans="1:21" s="9" customFormat="1">
      <c r="A59" s="140">
        <v>8975</v>
      </c>
      <c r="B59" s="140" t="s">
        <v>72</v>
      </c>
      <c r="C59" s="140" t="s">
        <v>72</v>
      </c>
      <c r="D59" s="143" t="s">
        <v>6</v>
      </c>
      <c r="E59" s="144">
        <v>43178.364583333336</v>
      </c>
      <c r="F59" s="89">
        <f t="shared" si="9"/>
        <v>43178.364583333336</v>
      </c>
      <c r="G59" s="90" t="str">
        <f t="shared" si="10"/>
        <v>8:45</v>
      </c>
      <c r="H59" s="91">
        <f t="shared" si="11"/>
        <v>9.6833333333333353</v>
      </c>
      <c r="I59" s="92">
        <f t="shared" si="12"/>
        <v>8</v>
      </c>
      <c r="J59" s="92" t="str">
        <f t="shared" si="13"/>
        <v>-</v>
      </c>
      <c r="K59" s="93">
        <f t="shared" si="14"/>
        <v>0</v>
      </c>
      <c r="L59" s="93"/>
      <c r="M59" s="94">
        <f t="shared" si="15"/>
        <v>0</v>
      </c>
      <c r="N59" s="94">
        <f t="shared" si="16"/>
        <v>0</v>
      </c>
      <c r="O59" s="20"/>
      <c r="T59"/>
      <c r="U59"/>
    </row>
    <row r="60" spans="1:21" s="18" customFormat="1">
      <c r="A60" s="140">
        <v>8989</v>
      </c>
      <c r="B60" s="140" t="s">
        <v>72</v>
      </c>
      <c r="C60" s="140" t="s">
        <v>72</v>
      </c>
      <c r="D60" s="143" t="s">
        <v>5</v>
      </c>
      <c r="E60" s="144">
        <v>43178.768275462964</v>
      </c>
      <c r="F60" s="89">
        <f t="shared" si="9"/>
        <v>43178.768275462964</v>
      </c>
      <c r="G60" s="90" t="str">
        <f t="shared" si="10"/>
        <v>18:26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  <c r="T60" s="63"/>
      <c r="U60" s="63"/>
    </row>
    <row r="61" spans="1:21" s="9" customFormat="1">
      <c r="A61" s="140">
        <v>8990</v>
      </c>
      <c r="B61" s="140" t="s">
        <v>72</v>
      </c>
      <c r="C61" s="140" t="s">
        <v>72</v>
      </c>
      <c r="D61" s="143" t="s">
        <v>7</v>
      </c>
      <c r="E61" s="144">
        <v>43178.768321759257</v>
      </c>
      <c r="F61" s="89">
        <f t="shared" si="9"/>
        <v>43178.768321759257</v>
      </c>
      <c r="G61" s="90" t="str">
        <f t="shared" si="10"/>
        <v>18:26</v>
      </c>
      <c r="H61" s="91" t="str">
        <f t="shared" si="11"/>
        <v>-</v>
      </c>
      <c r="I61" s="92" t="str">
        <f t="shared" si="12"/>
        <v>-</v>
      </c>
      <c r="J61" s="92" t="str">
        <f t="shared" si="13"/>
        <v>-</v>
      </c>
      <c r="K61" s="93">
        <f t="shared" si="14"/>
        <v>2.3666666666666663</v>
      </c>
      <c r="L61" s="93"/>
      <c r="M61" s="94">
        <f t="shared" si="15"/>
        <v>2</v>
      </c>
      <c r="N61" s="94">
        <f t="shared" si="16"/>
        <v>0.36666666666666625</v>
      </c>
      <c r="O61" s="20"/>
      <c r="T61"/>
      <c r="U61"/>
    </row>
    <row r="62" spans="1:21" s="9" customFormat="1">
      <c r="A62" s="140">
        <v>9003</v>
      </c>
      <c r="B62" s="140" t="s">
        <v>71</v>
      </c>
      <c r="C62" s="140" t="s">
        <v>72</v>
      </c>
      <c r="D62" s="143" t="s">
        <v>8</v>
      </c>
      <c r="E62" s="144">
        <v>43178.8672337963</v>
      </c>
      <c r="F62" s="89">
        <f t="shared" si="9"/>
        <v>43178.8672337963</v>
      </c>
      <c r="G62" s="90" t="str">
        <f t="shared" si="10"/>
        <v>20:48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  <c r="T62"/>
      <c r="U62"/>
    </row>
    <row r="63" spans="1:21">
      <c r="A63" s="140">
        <v>9012</v>
      </c>
      <c r="B63" s="140" t="s">
        <v>72</v>
      </c>
      <c r="C63" s="140" t="s">
        <v>72</v>
      </c>
      <c r="D63" s="143" t="s">
        <v>6</v>
      </c>
      <c r="E63" s="144">
        <v>43179.366030092591</v>
      </c>
      <c r="F63" s="89">
        <f t="shared" si="9"/>
        <v>43179.366030092591</v>
      </c>
      <c r="G63" s="90" t="str">
        <f t="shared" si="10"/>
        <v>8:47</v>
      </c>
      <c r="H63" s="91">
        <f t="shared" si="11"/>
        <v>9.6833333333333318</v>
      </c>
      <c r="I63" s="92">
        <f t="shared" si="12"/>
        <v>8</v>
      </c>
      <c r="J63" s="92" t="str">
        <f t="shared" si="13"/>
        <v>-</v>
      </c>
      <c r="K63" s="93">
        <f t="shared" si="14"/>
        <v>0</v>
      </c>
      <c r="L63" s="93"/>
      <c r="M63" s="94">
        <f t="shared" si="15"/>
        <v>0</v>
      </c>
      <c r="N63" s="94">
        <f t="shared" si="16"/>
        <v>0</v>
      </c>
      <c r="O63" s="20"/>
    </row>
    <row r="64" spans="1:21">
      <c r="A64" s="140">
        <v>9025</v>
      </c>
      <c r="B64" s="140" t="s">
        <v>72</v>
      </c>
      <c r="C64" s="140" t="s">
        <v>72</v>
      </c>
      <c r="D64" s="143" t="s">
        <v>5</v>
      </c>
      <c r="E64" s="144">
        <v>43179.76971064815</v>
      </c>
      <c r="F64" s="89">
        <f t="shared" si="9"/>
        <v>43179.76971064815</v>
      </c>
      <c r="G64" s="90" t="str">
        <f t="shared" si="10"/>
        <v>18:28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</row>
    <row r="65" spans="1:19">
      <c r="A65">
        <v>9026</v>
      </c>
      <c r="B65" t="s">
        <v>72</v>
      </c>
      <c r="C65" t="s">
        <v>72</v>
      </c>
      <c r="D65" s="143" t="s">
        <v>7</v>
      </c>
      <c r="E65" s="144">
        <v>43179.769756944443</v>
      </c>
      <c r="F65" s="89">
        <f t="shared" si="9"/>
        <v>43179.769756944443</v>
      </c>
      <c r="G65" s="90" t="str">
        <f t="shared" si="10"/>
        <v>18:28</v>
      </c>
      <c r="H65" s="91" t="str">
        <f t="shared" si="11"/>
        <v>-</v>
      </c>
      <c r="I65" s="92" t="str">
        <f t="shared" si="12"/>
        <v>-</v>
      </c>
      <c r="J65" s="92" t="str">
        <f t="shared" si="13"/>
        <v>-</v>
      </c>
      <c r="K65" s="93">
        <f t="shared" si="14"/>
        <v>3.3333333333335879E-2</v>
      </c>
      <c r="L65" s="93"/>
      <c r="N65" s="94">
        <f>IF(K65&gt;2,2,K65)</f>
        <v>3.3333333333335879E-2</v>
      </c>
      <c r="O65" s="20"/>
    </row>
    <row r="66" spans="1:19">
      <c r="A66">
        <v>9030</v>
      </c>
      <c r="B66" t="s">
        <v>72</v>
      </c>
      <c r="C66" t="s">
        <v>72</v>
      </c>
      <c r="D66" s="143" t="s">
        <v>8</v>
      </c>
      <c r="E66" s="144">
        <v>43179.771481481483</v>
      </c>
      <c r="F66" s="89">
        <f t="shared" si="9"/>
        <v>43179.771481481483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</row>
    <row r="67" spans="1:19">
      <c r="A67">
        <v>9037</v>
      </c>
      <c r="B67" t="s">
        <v>71</v>
      </c>
      <c r="C67" t="s">
        <v>72</v>
      </c>
      <c r="D67" s="143" t="s">
        <v>7</v>
      </c>
      <c r="E67" s="144">
        <v>43179.791238425925</v>
      </c>
      <c r="F67" s="89">
        <f t="shared" si="9"/>
        <v>43179.791238425925</v>
      </c>
      <c r="G67" s="90" t="str">
        <f t="shared" si="10"/>
        <v>18:59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2.2166666666666641</v>
      </c>
      <c r="L67" s="93"/>
      <c r="M67" s="94">
        <f t="shared" si="15"/>
        <v>2</v>
      </c>
      <c r="N67" s="94">
        <f t="shared" si="16"/>
        <v>0.21666666666666412</v>
      </c>
      <c r="O67" s="20"/>
    </row>
    <row r="68" spans="1:19">
      <c r="A68">
        <v>9043</v>
      </c>
      <c r="B68" t="s">
        <v>71</v>
      </c>
      <c r="C68" t="s">
        <v>72</v>
      </c>
      <c r="D68" s="143" t="s">
        <v>8</v>
      </c>
      <c r="E68" s="144">
        <v>43179.883935185186</v>
      </c>
      <c r="F68" s="89">
        <f t="shared" si="9"/>
        <v>43179.883935185186</v>
      </c>
      <c r="G68" s="90" t="str">
        <f t="shared" si="10"/>
        <v>21:12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9047</v>
      </c>
      <c r="B69" t="s">
        <v>72</v>
      </c>
      <c r="C69" t="s">
        <v>72</v>
      </c>
      <c r="D69" s="143" t="s">
        <v>6</v>
      </c>
      <c r="E69" s="144">
        <v>43180.364814814813</v>
      </c>
      <c r="F69" s="89">
        <f t="shared" si="9"/>
        <v>43180.364814814813</v>
      </c>
      <c r="G69" s="90" t="str">
        <f t="shared" si="10"/>
        <v>8:45</v>
      </c>
      <c r="H69" s="91">
        <f t="shared" si="11"/>
        <v>9.7500000000000018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9064</v>
      </c>
      <c r="B70" t="s">
        <v>72</v>
      </c>
      <c r="C70" t="s">
        <v>72</v>
      </c>
      <c r="D70" s="143" t="s">
        <v>5</v>
      </c>
      <c r="E70" s="144">
        <v>43180.770972222221</v>
      </c>
      <c r="F70" s="89">
        <f t="shared" si="9"/>
        <v>43180.770972222221</v>
      </c>
      <c r="G70" s="90" t="str">
        <f t="shared" si="10"/>
        <v>18:30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9065</v>
      </c>
      <c r="B71" t="s">
        <v>72</v>
      </c>
      <c r="C71" t="s">
        <v>72</v>
      </c>
      <c r="D71" s="143" t="s">
        <v>7</v>
      </c>
      <c r="E71" s="144">
        <v>43180.771018518521</v>
      </c>
      <c r="F71" s="89">
        <f t="shared" si="9"/>
        <v>43180.771018518521</v>
      </c>
      <c r="G71" s="90" t="str">
        <f t="shared" si="10"/>
        <v>18:30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2.1499999999999977</v>
      </c>
      <c r="L71" s="93"/>
      <c r="M71" s="94">
        <f t="shared" si="15"/>
        <v>2</v>
      </c>
      <c r="N71" s="94">
        <f t="shared" si="16"/>
        <v>0.14999999999999769</v>
      </c>
      <c r="O71" s="20"/>
    </row>
    <row r="72" spans="1:19">
      <c r="A72">
        <v>9078</v>
      </c>
      <c r="B72" t="s">
        <v>71</v>
      </c>
      <c r="C72" t="s">
        <v>72</v>
      </c>
      <c r="D72" s="143" t="s">
        <v>8</v>
      </c>
      <c r="E72" s="144">
        <v>43180.860636574071</v>
      </c>
      <c r="F72" s="89">
        <f t="shared" ref="F72:F100" si="17">E72</f>
        <v>43180.860636574071</v>
      </c>
      <c r="G72" s="90" t="str">
        <f t="shared" ref="G72:G100" si="18">HOUR(E72)&amp;":"&amp;MINUTE(E72)</f>
        <v>20:39</v>
      </c>
      <c r="H72" s="91" t="str">
        <f t="shared" ref="H72:H100" si="19">IF(D72="上班",(G73-G72)*24,"-")</f>
        <v>-</v>
      </c>
      <c r="I72" s="92" t="str">
        <f t="shared" ref="I72:I100" si="20">IF(D72="上班",IF(H72-1.5&gt;8,8,H72-1.5),"-")</f>
        <v>-</v>
      </c>
      <c r="J72" s="92" t="str">
        <f t="shared" ref="J72:J100" si="21">IF(I72&lt;8,8-I72,"-")</f>
        <v>-</v>
      </c>
      <c r="K72" s="93">
        <f t="shared" ref="K72:K100" si="22">IF(D72="加班",(G73-G72)*24,0)</f>
        <v>0</v>
      </c>
      <c r="L72" s="93"/>
      <c r="M72" s="94">
        <f t="shared" ref="M72:M100" si="23">IF(K72&gt;2,2,K72)</f>
        <v>0</v>
      </c>
      <c r="N72" s="94">
        <f t="shared" ref="N72:N100" si="24">IF(K72&gt;2,K72-2,0)</f>
        <v>0</v>
      </c>
      <c r="O72" s="20"/>
    </row>
    <row r="73" spans="1:19">
      <c r="A73">
        <v>9084</v>
      </c>
      <c r="B73" t="s">
        <v>72</v>
      </c>
      <c r="C73" t="s">
        <v>72</v>
      </c>
      <c r="D73" s="143" t="s">
        <v>6</v>
      </c>
      <c r="E73" s="144">
        <v>43181.36414351852</v>
      </c>
      <c r="F73" s="89">
        <f t="shared" si="17"/>
        <v>43181.36414351852</v>
      </c>
      <c r="G73" s="90" t="str">
        <f t="shared" si="18"/>
        <v>8:44</v>
      </c>
      <c r="H73" s="91">
        <f t="shared" si="19"/>
        <v>9.6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9096</v>
      </c>
      <c r="B74" t="s">
        <v>72</v>
      </c>
      <c r="C74" t="s">
        <v>72</v>
      </c>
      <c r="D74" s="143" t="s">
        <v>5</v>
      </c>
      <c r="E74" s="144">
        <v>43181.764143518521</v>
      </c>
      <c r="F74" s="89">
        <f t="shared" si="17"/>
        <v>43181.764143518521</v>
      </c>
      <c r="G74" s="90" t="str">
        <f t="shared" si="18"/>
        <v>18:20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9097</v>
      </c>
      <c r="B75" t="s">
        <v>72</v>
      </c>
      <c r="C75" t="s">
        <v>72</v>
      </c>
      <c r="D75" s="143" t="s">
        <v>7</v>
      </c>
      <c r="E75" s="144">
        <v>43181.764189814814</v>
      </c>
      <c r="F75" s="89">
        <f t="shared" si="17"/>
        <v>43181.764189814814</v>
      </c>
      <c r="G75" s="90" t="str">
        <f t="shared" si="18"/>
        <v>18:20</v>
      </c>
      <c r="H75" s="91" t="str">
        <f t="shared" si="19"/>
        <v>-</v>
      </c>
      <c r="I75" s="92" t="str">
        <f t="shared" si="20"/>
        <v>-</v>
      </c>
      <c r="J75" s="92" t="str">
        <f t="shared" si="21"/>
        <v>-</v>
      </c>
      <c r="K75" s="93">
        <f t="shared" si="22"/>
        <v>0.76666666666666927</v>
      </c>
      <c r="L75" s="93"/>
      <c r="N75" s="94">
        <f>IF(K75&gt;2,2,K75)</f>
        <v>0.76666666666666927</v>
      </c>
      <c r="O75" s="20"/>
    </row>
    <row r="76" spans="1:19">
      <c r="A76">
        <v>9104</v>
      </c>
      <c r="B76" t="s">
        <v>71</v>
      </c>
      <c r="C76" t="s">
        <v>72</v>
      </c>
      <c r="D76" s="143" t="s">
        <v>8</v>
      </c>
      <c r="E76" s="144">
        <v>43181.796226851853</v>
      </c>
      <c r="F76" s="89">
        <f t="shared" si="17"/>
        <v>43181.796226851853</v>
      </c>
      <c r="G76" s="90" t="str">
        <f t="shared" si="18"/>
        <v>19:6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 s="16" customFormat="1">
      <c r="A77" s="16">
        <v>9097</v>
      </c>
      <c r="B77" s="16" t="s">
        <v>72</v>
      </c>
      <c r="C77" s="16" t="s">
        <v>72</v>
      </c>
      <c r="D77" s="138" t="s">
        <v>7</v>
      </c>
      <c r="E77" s="146">
        <v>43181.805856481478</v>
      </c>
      <c r="F77" s="31">
        <f t="shared" si="17"/>
        <v>43181.805856481478</v>
      </c>
      <c r="G77" s="32" t="str">
        <f t="shared" si="18"/>
        <v>19:20</v>
      </c>
      <c r="H77" s="33" t="str">
        <f t="shared" si="19"/>
        <v>-</v>
      </c>
      <c r="I77" s="58" t="str">
        <f t="shared" si="20"/>
        <v>-</v>
      </c>
      <c r="J77" s="58" t="str">
        <f t="shared" si="21"/>
        <v>-</v>
      </c>
      <c r="K77" s="34">
        <f t="shared" si="22"/>
        <v>3.1000000000000023</v>
      </c>
      <c r="L77" s="34"/>
      <c r="M77" s="35">
        <f t="shared" si="23"/>
        <v>2</v>
      </c>
      <c r="N77" s="35">
        <f t="shared" si="24"/>
        <v>1.1000000000000023</v>
      </c>
      <c r="O77" s="147" t="s">
        <v>115</v>
      </c>
      <c r="P77" s="137"/>
      <c r="Q77" s="137"/>
      <c r="R77" s="137"/>
      <c r="S77" s="137"/>
    </row>
    <row r="78" spans="1:19">
      <c r="A78">
        <v>9113</v>
      </c>
      <c r="B78" t="s">
        <v>71</v>
      </c>
      <c r="C78" t="s">
        <v>72</v>
      </c>
      <c r="D78" s="143" t="s">
        <v>8</v>
      </c>
      <c r="E78" s="144">
        <v>43181.934814814813</v>
      </c>
      <c r="F78" s="89">
        <f t="shared" si="17"/>
        <v>43181.934814814813</v>
      </c>
      <c r="G78" s="90" t="str">
        <f t="shared" si="18"/>
        <v>22:26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9121</v>
      </c>
      <c r="B79" t="s">
        <v>72</v>
      </c>
      <c r="C79" t="s">
        <v>72</v>
      </c>
      <c r="D79" s="143" t="s">
        <v>6</v>
      </c>
      <c r="E79" s="144">
        <v>43182.365787037037</v>
      </c>
      <c r="F79" s="89">
        <f t="shared" si="17"/>
        <v>43182.365787037037</v>
      </c>
      <c r="G79" s="90" t="str">
        <f t="shared" si="18"/>
        <v>8:46</v>
      </c>
      <c r="H79" s="91">
        <f t="shared" si="19"/>
        <v>9.6666666666666679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9130</v>
      </c>
      <c r="B80" t="s">
        <v>72</v>
      </c>
      <c r="C80" t="s">
        <v>72</v>
      </c>
      <c r="D80" s="143" t="s">
        <v>5</v>
      </c>
      <c r="E80" s="144">
        <v>43182.768171296295</v>
      </c>
      <c r="F80" s="89">
        <f t="shared" si="17"/>
        <v>43182.768171296295</v>
      </c>
      <c r="G80" s="90" t="str">
        <f t="shared" si="18"/>
        <v>18:26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9140</v>
      </c>
      <c r="B81" t="s">
        <v>72</v>
      </c>
      <c r="C81" t="s">
        <v>72</v>
      </c>
      <c r="D81" s="143" t="s">
        <v>6</v>
      </c>
      <c r="E81" s="144">
        <v>43185.364085648151</v>
      </c>
      <c r="F81" s="89">
        <f t="shared" si="17"/>
        <v>43185.364085648151</v>
      </c>
      <c r="G81" s="90" t="str">
        <f t="shared" si="18"/>
        <v>8:44</v>
      </c>
      <c r="H81" s="91">
        <f t="shared" si="19"/>
        <v>9.6833333333333353</v>
      </c>
      <c r="I81" s="92">
        <f t="shared" si="20"/>
        <v>8</v>
      </c>
      <c r="J81" s="92" t="str">
        <f t="shared" si="21"/>
        <v>-</v>
      </c>
      <c r="K81" s="93">
        <f t="shared" si="22"/>
        <v>0</v>
      </c>
      <c r="L81" s="93"/>
      <c r="M81" s="94">
        <f t="shared" si="23"/>
        <v>0</v>
      </c>
      <c r="N81" s="94">
        <f t="shared" si="24"/>
        <v>0</v>
      </c>
      <c r="O81" s="20"/>
    </row>
    <row r="82" spans="1:15">
      <c r="A82">
        <v>9147</v>
      </c>
      <c r="B82" t="s">
        <v>72</v>
      </c>
      <c r="C82" t="s">
        <v>72</v>
      </c>
      <c r="D82" s="143" t="s">
        <v>5</v>
      </c>
      <c r="E82" s="144">
        <v>43185.767766203702</v>
      </c>
      <c r="F82" s="89">
        <f t="shared" si="17"/>
        <v>43185.767766203702</v>
      </c>
      <c r="G82" s="90" t="str">
        <f t="shared" si="18"/>
        <v>18:25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9148</v>
      </c>
      <c r="B83" t="s">
        <v>72</v>
      </c>
      <c r="C83" t="s">
        <v>72</v>
      </c>
      <c r="D83" s="143" t="s">
        <v>7</v>
      </c>
      <c r="E83" s="144">
        <v>43185.767824074072</v>
      </c>
      <c r="F83" s="89">
        <f t="shared" si="17"/>
        <v>43185.767824074072</v>
      </c>
      <c r="G83" s="90" t="str">
        <f t="shared" si="18"/>
        <v>18:25</v>
      </c>
      <c r="H83" s="91" t="str">
        <f t="shared" si="19"/>
        <v>-</v>
      </c>
      <c r="I83" s="92" t="str">
        <f t="shared" si="20"/>
        <v>-</v>
      </c>
      <c r="J83" s="92" t="str">
        <f t="shared" si="21"/>
        <v>-</v>
      </c>
      <c r="K83" s="93">
        <f t="shared" si="22"/>
        <v>1.5333333333333306</v>
      </c>
      <c r="L83" s="93"/>
      <c r="M83" s="94">
        <f t="shared" si="23"/>
        <v>1.5333333333333306</v>
      </c>
      <c r="N83" s="94">
        <f t="shared" si="24"/>
        <v>0</v>
      </c>
      <c r="O83" s="20"/>
    </row>
    <row r="84" spans="1:15">
      <c r="A84">
        <v>9158</v>
      </c>
      <c r="B84" t="s">
        <v>72</v>
      </c>
      <c r="C84" t="s">
        <v>72</v>
      </c>
      <c r="D84" s="143" t="s">
        <v>8</v>
      </c>
      <c r="E84" s="144">
        <v>43185.831458333334</v>
      </c>
      <c r="F84" s="89">
        <f t="shared" si="17"/>
        <v>43185.831458333334</v>
      </c>
      <c r="G84" s="90" t="str">
        <f t="shared" si="18"/>
        <v>19:57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9166</v>
      </c>
      <c r="B85" t="s">
        <v>72</v>
      </c>
      <c r="C85" t="s">
        <v>72</v>
      </c>
      <c r="D85" s="143" t="s">
        <v>6</v>
      </c>
      <c r="E85" s="144">
        <v>43186.364432870374</v>
      </c>
      <c r="F85" s="89">
        <f t="shared" si="17"/>
        <v>43186.364432870374</v>
      </c>
      <c r="G85" s="90" t="str">
        <f t="shared" si="18"/>
        <v>8:44</v>
      </c>
      <c r="H85" s="91">
        <f t="shared" si="19"/>
        <v>9.8166666666666682</v>
      </c>
      <c r="I85" s="92">
        <f t="shared" si="20"/>
        <v>8</v>
      </c>
      <c r="J85" s="92" t="str">
        <f t="shared" si="21"/>
        <v>-</v>
      </c>
      <c r="K85" s="93">
        <f t="shared" si="22"/>
        <v>0</v>
      </c>
      <c r="L85" s="93"/>
      <c r="M85" s="94">
        <f t="shared" si="23"/>
        <v>0</v>
      </c>
      <c r="N85" s="94">
        <f t="shared" si="24"/>
        <v>0</v>
      </c>
      <c r="O85" s="20"/>
    </row>
    <row r="86" spans="1:15">
      <c r="A86">
        <v>9176</v>
      </c>
      <c r="B86" t="s">
        <v>71</v>
      </c>
      <c r="C86" t="s">
        <v>72</v>
      </c>
      <c r="D86" s="143" t="s">
        <v>5</v>
      </c>
      <c r="E86" s="144">
        <v>43186.773310185185</v>
      </c>
      <c r="F86" s="89">
        <f t="shared" si="17"/>
        <v>43186.773310185185</v>
      </c>
      <c r="G86" s="90" t="str">
        <f t="shared" si="18"/>
        <v>18:33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9177</v>
      </c>
      <c r="B87" t="s">
        <v>71</v>
      </c>
      <c r="C87" t="s">
        <v>72</v>
      </c>
      <c r="D87" s="143" t="s">
        <v>7</v>
      </c>
      <c r="E87" s="144">
        <v>43186.773344907408</v>
      </c>
      <c r="F87" s="89">
        <f t="shared" si="17"/>
        <v>43186.773344907408</v>
      </c>
      <c r="G87" s="90" t="str">
        <f t="shared" si="18"/>
        <v>18:33</v>
      </c>
      <c r="H87" s="91" t="str">
        <f t="shared" si="19"/>
        <v>-</v>
      </c>
      <c r="I87" s="92" t="str">
        <f t="shared" si="20"/>
        <v>-</v>
      </c>
      <c r="J87" s="92" t="str">
        <f t="shared" si="21"/>
        <v>-</v>
      </c>
      <c r="K87" s="93">
        <f t="shared" si="22"/>
        <v>1.4500000000000002</v>
      </c>
      <c r="L87" s="93"/>
      <c r="M87" s="94">
        <f t="shared" si="23"/>
        <v>1.4500000000000002</v>
      </c>
      <c r="N87" s="94">
        <f t="shared" si="24"/>
        <v>0</v>
      </c>
      <c r="O87" s="20"/>
    </row>
    <row r="88" spans="1:15">
      <c r="A88">
        <v>9185</v>
      </c>
      <c r="B88" t="s">
        <v>71</v>
      </c>
      <c r="C88" t="s">
        <v>72</v>
      </c>
      <c r="D88" s="143" t="s">
        <v>8</v>
      </c>
      <c r="E88" s="144">
        <v>43186.833564814813</v>
      </c>
      <c r="F88" s="89">
        <f t="shared" si="17"/>
        <v>43186.833564814813</v>
      </c>
      <c r="G88" s="90" t="str">
        <f t="shared" si="18"/>
        <v>20:0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9195</v>
      </c>
      <c r="B89" t="s">
        <v>72</v>
      </c>
      <c r="C89" t="s">
        <v>72</v>
      </c>
      <c r="D89" s="143" t="s">
        <v>6</v>
      </c>
      <c r="E89" s="144">
        <v>43187.364629629628</v>
      </c>
      <c r="F89" s="89">
        <f t="shared" si="17"/>
        <v>43187.364629629628</v>
      </c>
      <c r="G89" s="90" t="str">
        <f t="shared" si="18"/>
        <v>8:45</v>
      </c>
      <c r="H89" s="91">
        <f t="shared" si="19"/>
        <v>9.7500000000000018</v>
      </c>
      <c r="I89" s="92">
        <f t="shared" si="20"/>
        <v>8</v>
      </c>
      <c r="J89" s="92" t="str">
        <f t="shared" si="21"/>
        <v>-</v>
      </c>
      <c r="K89" s="93">
        <f t="shared" si="22"/>
        <v>0</v>
      </c>
      <c r="L89" s="93"/>
      <c r="M89" s="94">
        <f t="shared" si="23"/>
        <v>0</v>
      </c>
      <c r="N89" s="94">
        <f t="shared" si="24"/>
        <v>0</v>
      </c>
      <c r="O89" s="20"/>
    </row>
    <row r="90" spans="1:15">
      <c r="A90">
        <v>9205</v>
      </c>
      <c r="B90" t="s">
        <v>72</v>
      </c>
      <c r="C90" t="s">
        <v>72</v>
      </c>
      <c r="D90" s="143" t="s">
        <v>5</v>
      </c>
      <c r="E90" s="144">
        <v>43187.771296296298</v>
      </c>
      <c r="F90" s="89">
        <f t="shared" si="17"/>
        <v>43187.771296296298</v>
      </c>
      <c r="G90" s="90" t="str">
        <f t="shared" si="18"/>
        <v>18:30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9206</v>
      </c>
      <c r="B91" t="s">
        <v>72</v>
      </c>
      <c r="C91" t="s">
        <v>72</v>
      </c>
      <c r="D91" s="143" t="s">
        <v>7</v>
      </c>
      <c r="E91" s="144">
        <v>43187.771377314813</v>
      </c>
      <c r="F91" s="89">
        <f t="shared" si="17"/>
        <v>43187.771377314813</v>
      </c>
      <c r="G91" s="90" t="str">
        <f t="shared" si="18"/>
        <v>18:30</v>
      </c>
      <c r="H91" s="91" t="str">
        <f t="shared" si="19"/>
        <v>-</v>
      </c>
      <c r="I91" s="92" t="str">
        <f t="shared" si="20"/>
        <v>-</v>
      </c>
      <c r="J91" s="92" t="str">
        <f t="shared" si="21"/>
        <v>-</v>
      </c>
      <c r="K91" s="93">
        <f t="shared" si="22"/>
        <v>2.2999999999999998</v>
      </c>
      <c r="L91" s="93"/>
      <c r="M91" s="94">
        <f t="shared" si="23"/>
        <v>2</v>
      </c>
      <c r="N91" s="94">
        <f t="shared" si="24"/>
        <v>0.29999999999999982</v>
      </c>
      <c r="O91" s="20"/>
    </row>
    <row r="92" spans="1:15">
      <c r="A92">
        <v>9222</v>
      </c>
      <c r="B92" t="s">
        <v>97</v>
      </c>
      <c r="C92" t="s">
        <v>72</v>
      </c>
      <c r="D92" s="143" t="s">
        <v>8</v>
      </c>
      <c r="E92" s="144">
        <v>43187.866747685184</v>
      </c>
      <c r="F92" s="89">
        <f t="shared" si="17"/>
        <v>43187.866747685184</v>
      </c>
      <c r="G92" s="90" t="str">
        <f t="shared" si="18"/>
        <v>20:48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9229</v>
      </c>
      <c r="B93" t="s">
        <v>72</v>
      </c>
      <c r="C93" t="s">
        <v>72</v>
      </c>
      <c r="D93" s="143" t="s">
        <v>6</v>
      </c>
      <c r="E93" s="144">
        <v>43188.364247685182</v>
      </c>
      <c r="F93" s="89">
        <f t="shared" si="17"/>
        <v>43188.364247685182</v>
      </c>
      <c r="G93" s="90" t="str">
        <f t="shared" si="18"/>
        <v>8:44</v>
      </c>
      <c r="H93" s="91">
        <f t="shared" si="19"/>
        <v>9.8000000000000007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9243</v>
      </c>
      <c r="B94" t="s">
        <v>71</v>
      </c>
      <c r="C94" t="s">
        <v>72</v>
      </c>
      <c r="D94" s="143" t="s">
        <v>5</v>
      </c>
      <c r="E94" s="144">
        <v>43188.772650462961</v>
      </c>
      <c r="F94" s="89">
        <f t="shared" si="17"/>
        <v>43188.772650462961</v>
      </c>
      <c r="G94" s="90" t="str">
        <f t="shared" si="18"/>
        <v>18:32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9244</v>
      </c>
      <c r="B95" t="s">
        <v>71</v>
      </c>
      <c r="C95" t="s">
        <v>72</v>
      </c>
      <c r="D95" s="143" t="s">
        <v>7</v>
      </c>
      <c r="E95" s="144">
        <v>43188.772685185184</v>
      </c>
      <c r="F95" s="89">
        <f t="shared" si="17"/>
        <v>43188.772685185184</v>
      </c>
      <c r="G95" s="90" t="str">
        <f t="shared" si="18"/>
        <v>18:32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1.8166666666666682</v>
      </c>
      <c r="L95" s="93"/>
      <c r="M95" s="94">
        <f t="shared" si="23"/>
        <v>1.8166666666666682</v>
      </c>
      <c r="N95" s="94">
        <f t="shared" si="24"/>
        <v>0</v>
      </c>
      <c r="O95" s="20"/>
    </row>
    <row r="96" spans="1:15">
      <c r="A96">
        <v>9256</v>
      </c>
      <c r="B96" t="s">
        <v>71</v>
      </c>
      <c r="C96" t="s">
        <v>72</v>
      </c>
      <c r="D96" s="143" t="s">
        <v>8</v>
      </c>
      <c r="E96" s="144">
        <v>43188.848252314812</v>
      </c>
      <c r="F96" s="89">
        <f t="shared" si="17"/>
        <v>43188.848252314812</v>
      </c>
      <c r="G96" s="90" t="str">
        <f t="shared" si="18"/>
        <v>20:21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7" spans="1:15">
      <c r="A97">
        <v>9261</v>
      </c>
      <c r="B97" t="s">
        <v>71</v>
      </c>
      <c r="C97" t="s">
        <v>72</v>
      </c>
      <c r="D97" s="143" t="s">
        <v>6</v>
      </c>
      <c r="E97" s="144">
        <v>43189.364664351851</v>
      </c>
      <c r="F97" s="89">
        <f t="shared" si="17"/>
        <v>43189.364664351851</v>
      </c>
      <c r="G97" s="90" t="str">
        <f t="shared" si="18"/>
        <v>8:45</v>
      </c>
      <c r="H97" s="91">
        <f t="shared" si="19"/>
        <v>9.8666666666666671</v>
      </c>
      <c r="I97" s="92">
        <f t="shared" si="20"/>
        <v>8</v>
      </c>
      <c r="J97" s="92" t="str">
        <f t="shared" si="21"/>
        <v>-</v>
      </c>
      <c r="K97" s="93">
        <f t="shared" si="22"/>
        <v>0</v>
      </c>
      <c r="L97" s="93"/>
      <c r="M97" s="94">
        <f t="shared" si="23"/>
        <v>0</v>
      </c>
      <c r="N97" s="94">
        <f t="shared" si="24"/>
        <v>0</v>
      </c>
      <c r="O97" s="20"/>
    </row>
    <row r="98" spans="1:15">
      <c r="A98">
        <v>9276</v>
      </c>
      <c r="B98" t="s">
        <v>72</v>
      </c>
      <c r="C98" t="s">
        <v>72</v>
      </c>
      <c r="D98" s="143" t="s">
        <v>5</v>
      </c>
      <c r="E98" s="144">
        <v>43189.775706018518</v>
      </c>
      <c r="F98" s="89">
        <f t="shared" si="17"/>
        <v>43189.775706018518</v>
      </c>
      <c r="G98" s="90" t="str">
        <f t="shared" si="18"/>
        <v>18:37</v>
      </c>
      <c r="H98" s="91" t="str">
        <f t="shared" si="19"/>
        <v>-</v>
      </c>
      <c r="I98" s="92" t="str">
        <f t="shared" si="20"/>
        <v>-</v>
      </c>
      <c r="J98" s="92" t="str">
        <f t="shared" si="21"/>
        <v>-</v>
      </c>
      <c r="K98" s="93">
        <f t="shared" si="22"/>
        <v>0</v>
      </c>
      <c r="L98" s="93"/>
      <c r="M98" s="94">
        <f t="shared" si="23"/>
        <v>0</v>
      </c>
      <c r="N98" s="94">
        <f t="shared" si="24"/>
        <v>0</v>
      </c>
      <c r="O98" s="20"/>
    </row>
    <row r="99" spans="1:15">
      <c r="A99">
        <v>9283</v>
      </c>
      <c r="B99" t="s">
        <v>71</v>
      </c>
      <c r="C99" t="s">
        <v>72</v>
      </c>
      <c r="D99" s="143" t="s">
        <v>6</v>
      </c>
      <c r="E99" s="144">
        <v>43190.361689814818</v>
      </c>
      <c r="F99" s="89">
        <f t="shared" si="17"/>
        <v>43190.361689814818</v>
      </c>
      <c r="G99" s="90" t="str">
        <f t="shared" si="18"/>
        <v>8:40</v>
      </c>
      <c r="H99" s="91">
        <f t="shared" si="19"/>
        <v>9.716666666666665</v>
      </c>
      <c r="I99" s="92">
        <f t="shared" si="20"/>
        <v>8</v>
      </c>
      <c r="J99" s="92" t="str">
        <f t="shared" si="21"/>
        <v>-</v>
      </c>
      <c r="K99" s="93">
        <f t="shared" si="22"/>
        <v>0</v>
      </c>
      <c r="L99" s="93"/>
      <c r="M99" s="94">
        <f t="shared" si="23"/>
        <v>0</v>
      </c>
      <c r="N99" s="94">
        <f t="shared" si="24"/>
        <v>0</v>
      </c>
      <c r="O99" s="20"/>
    </row>
    <row r="100" spans="1:15">
      <c r="A100">
        <v>9294</v>
      </c>
      <c r="B100" t="s">
        <v>71</v>
      </c>
      <c r="C100" t="s">
        <v>72</v>
      </c>
      <c r="D100" s="143" t="s">
        <v>5</v>
      </c>
      <c r="E100" s="144">
        <v>43190.766122685185</v>
      </c>
      <c r="F100" s="89">
        <f t="shared" si="17"/>
        <v>43190.766122685185</v>
      </c>
      <c r="G100" s="90" t="str">
        <f t="shared" si="18"/>
        <v>18:23</v>
      </c>
      <c r="H100" s="91" t="str">
        <f t="shared" si="19"/>
        <v>-</v>
      </c>
      <c r="I100" s="92" t="str">
        <f t="shared" si="20"/>
        <v>-</v>
      </c>
      <c r="J100" s="92" t="str">
        <f t="shared" si="21"/>
        <v>-</v>
      </c>
      <c r="K100" s="93">
        <f t="shared" si="22"/>
        <v>0</v>
      </c>
      <c r="L100" s="93"/>
      <c r="M100" s="94">
        <f t="shared" si="23"/>
        <v>0</v>
      </c>
      <c r="N100" s="94">
        <f t="shared" si="24"/>
        <v>0</v>
      </c>
      <c r="O100" s="20"/>
    </row>
    <row r="103" spans="1:15">
      <c r="D103" s="9" t="s">
        <v>37</v>
      </c>
    </row>
    <row r="104" spans="1:15">
      <c r="D104" s="9" t="s">
        <v>36</v>
      </c>
    </row>
    <row r="105" spans="1:15">
      <c r="D105" s="172" t="s">
        <v>64</v>
      </c>
    </row>
    <row r="106" spans="1:15">
      <c r="D106" t="s">
        <v>67</v>
      </c>
    </row>
    <row r="107" spans="1:15">
      <c r="D107" t="s">
        <v>65</v>
      </c>
    </row>
    <row r="108" spans="1:15">
      <c r="D108" t="s">
        <v>69</v>
      </c>
    </row>
    <row r="109" spans="1:15">
      <c r="D109" t="s">
        <v>70</v>
      </c>
    </row>
    <row r="110" spans="1:15">
      <c r="D110" t="s">
        <v>66</v>
      </c>
    </row>
    <row r="111" spans="1:15">
      <c r="D111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5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>
    <pageSetUpPr fitToPage="1"/>
  </sheetPr>
  <dimension ref="A1:U107"/>
  <sheetViews>
    <sheetView view="pageBreakPreview" topLeftCell="D1" zoomScaleNormal="100" zoomScaleSheetLayoutView="100" workbookViewId="0">
      <selection activeCell="N20" sqref="N20"/>
    </sheetView>
  </sheetViews>
  <sheetFormatPr baseColWidth="10" defaultColWidth="8.83203125" defaultRowHeight="15" outlineLevelCol="1"/>
  <cols>
    <col min="1" max="1" width="5.6640625" hidden="1" customWidth="1" outlineLevel="1"/>
    <col min="2" max="2" width="6.83203125" hidden="1" customWidth="1" outlineLevel="1"/>
    <col min="3" max="3" width="6.5" style="3" hidden="1" customWidth="1" outlineLevel="1"/>
    <col min="4" max="4" width="9" style="3" collapsed="1"/>
    <col min="5" max="5" width="15.1640625" style="3" customWidth="1"/>
    <col min="6" max="6" width="6.1640625" style="16" customWidth="1"/>
    <col min="7" max="7" width="8.6640625" style="17" hidden="1" customWidth="1" outlineLevel="1"/>
    <col min="8" max="8" width="11.1640625" style="51" hidden="1" customWidth="1" outlineLevel="1"/>
    <col min="9" max="9" width="10.164062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10.5" style="22" customWidth="1"/>
    <col min="14" max="14" width="8.6640625" style="22" customWidth="1"/>
    <col min="15" max="15" width="16.332031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" thickBot="1">
      <c r="C1" s="5"/>
      <c r="D1" s="6"/>
      <c r="E1" s="6"/>
      <c r="F1" s="10"/>
      <c r="G1" s="11"/>
      <c r="H1" s="12"/>
      <c r="I1" s="13" t="str">
        <f>B29</f>
        <v>jason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/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SUM(K7:K72)</f>
        <v>30.033333333333342</v>
      </c>
      <c r="L3" s="53">
        <f>J3</f>
        <v>0</v>
      </c>
      <c r="M3" s="53">
        <f>M6-J3</f>
        <v>31.300000000000004</v>
      </c>
      <c r="N3" s="53">
        <f>N6</f>
        <v>8.2666666666666657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0.24729166666666669</v>
      </c>
    </row>
    <row r="6" spans="1:21" ht="16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184</v>
      </c>
      <c r="J6" s="78">
        <f t="shared" ref="J6:N6" si="0">SUM(J7:J150)</f>
        <v>0</v>
      </c>
      <c r="K6" s="78">
        <f t="shared" si="0"/>
        <v>39.56666666666667</v>
      </c>
      <c r="L6" s="78">
        <f t="shared" si="0"/>
        <v>0</v>
      </c>
      <c r="M6" s="78">
        <f t="shared" si="0"/>
        <v>31.300000000000004</v>
      </c>
      <c r="N6" s="78">
        <f t="shared" si="0"/>
        <v>8.2666666666666657</v>
      </c>
      <c r="O6" s="45"/>
      <c r="Q6" s="47"/>
    </row>
    <row r="7" spans="1:21" s="16" customFormat="1">
      <c r="A7" s="140">
        <v>8495</v>
      </c>
      <c r="B7" s="140" t="s">
        <v>73</v>
      </c>
      <c r="C7" s="140" t="s">
        <v>73</v>
      </c>
      <c r="D7" s="141" t="s">
        <v>6</v>
      </c>
      <c r="E7" s="142">
        <v>43160.370567129627</v>
      </c>
      <c r="F7" s="89">
        <f t="shared" ref="F7" si="1">E7</f>
        <v>43160.370567129627</v>
      </c>
      <c r="G7" s="90" t="str">
        <f t="shared" ref="G7" si="2">HOUR(E7)&amp;":"&amp;MINUTE(E7)</f>
        <v>8:53</v>
      </c>
      <c r="H7" s="91">
        <f t="shared" ref="H7" si="3">IF(D7="上班",(G8-G7)*24,"-")</f>
        <v>9.6166666666666689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137">
        <v>1</v>
      </c>
      <c r="Q7" s="137"/>
      <c r="R7" s="137"/>
      <c r="S7" s="137"/>
    </row>
    <row r="8" spans="1:21" s="16" customFormat="1">
      <c r="A8" s="140">
        <v>8501</v>
      </c>
      <c r="B8" s="140" t="s">
        <v>73</v>
      </c>
      <c r="C8" s="140" t="s">
        <v>73</v>
      </c>
      <c r="D8" s="143" t="s">
        <v>5</v>
      </c>
      <c r="E8" s="144">
        <v>43160.770902777775</v>
      </c>
      <c r="F8" s="89">
        <f t="shared" ref="F8:F71" si="9">E8</f>
        <v>43160.770902777775</v>
      </c>
      <c r="G8" s="90" t="str">
        <f t="shared" ref="G8:G71" si="10">HOUR(E8)&amp;":"&amp;MINUTE(E8)</f>
        <v>18:30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137">
        <v>2</v>
      </c>
      <c r="Q8" s="137"/>
      <c r="R8" s="137"/>
      <c r="S8" s="137"/>
    </row>
    <row r="9" spans="1:21" s="2" customFormat="1">
      <c r="A9" s="140">
        <v>8503</v>
      </c>
      <c r="B9" s="140" t="s">
        <v>73</v>
      </c>
      <c r="C9" s="140" t="s">
        <v>73</v>
      </c>
      <c r="D9" s="143" t="s">
        <v>7</v>
      </c>
      <c r="E9" s="144">
        <v>43160.770983796298</v>
      </c>
      <c r="F9" s="89">
        <f t="shared" si="9"/>
        <v>43160.770983796298</v>
      </c>
      <c r="G9" s="90" t="str">
        <f t="shared" si="10"/>
        <v>18:30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1.033333333333335</v>
      </c>
      <c r="L9" s="93"/>
      <c r="M9" s="94">
        <f t="shared" si="15"/>
        <v>1.033333333333335</v>
      </c>
      <c r="N9" s="94">
        <f t="shared" si="16"/>
        <v>0</v>
      </c>
      <c r="O9" s="20"/>
      <c r="P9" s="8">
        <v>3</v>
      </c>
      <c r="Q9" s="8"/>
      <c r="R9" s="8"/>
      <c r="S9" s="8"/>
    </row>
    <row r="10" spans="1:21">
      <c r="A10" s="140">
        <v>8515</v>
      </c>
      <c r="B10" s="140" t="s">
        <v>73</v>
      </c>
      <c r="C10" s="140" t="s">
        <v>73</v>
      </c>
      <c r="D10" s="143" t="s">
        <v>8</v>
      </c>
      <c r="E10" s="144">
        <v>43160.814201388886</v>
      </c>
      <c r="F10" s="89">
        <f t="shared" si="9"/>
        <v>43160.814201388886</v>
      </c>
      <c r="G10" s="90" t="str">
        <f t="shared" si="10"/>
        <v>19:32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9">
        <v>4</v>
      </c>
    </row>
    <row r="11" spans="1:21" s="394" customFormat="1">
      <c r="A11" s="140">
        <v>8528</v>
      </c>
      <c r="B11" s="140" t="s">
        <v>73</v>
      </c>
      <c r="C11" s="140" t="s">
        <v>73</v>
      </c>
      <c r="D11" s="143" t="s">
        <v>6</v>
      </c>
      <c r="E11" s="144">
        <v>43161.370648148149</v>
      </c>
      <c r="F11" s="89">
        <f t="shared" si="9"/>
        <v>43161.370648148149</v>
      </c>
      <c r="G11" s="90" t="str">
        <f t="shared" si="10"/>
        <v>8:53</v>
      </c>
      <c r="H11" s="91">
        <f t="shared" si="11"/>
        <v>9.6166666666666689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394">
        <v>5</v>
      </c>
    </row>
    <row r="12" spans="1:21" s="394" customFormat="1">
      <c r="A12" s="140">
        <v>8501</v>
      </c>
      <c r="B12" s="140" t="s">
        <v>73</v>
      </c>
      <c r="C12" s="140" t="s">
        <v>73</v>
      </c>
      <c r="D12" s="143" t="s">
        <v>5</v>
      </c>
      <c r="E12" s="144">
        <v>43161.770902777775</v>
      </c>
      <c r="F12" s="89">
        <f t="shared" si="9"/>
        <v>43161.770902777775</v>
      </c>
      <c r="G12" s="90" t="str">
        <f t="shared" si="10"/>
        <v>18:30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394">
        <v>6</v>
      </c>
    </row>
    <row r="13" spans="1:21" s="16" customFormat="1">
      <c r="A13" s="140">
        <v>8503</v>
      </c>
      <c r="B13" s="140" t="s">
        <v>73</v>
      </c>
      <c r="C13" s="140" t="s">
        <v>73</v>
      </c>
      <c r="D13" s="143" t="s">
        <v>7</v>
      </c>
      <c r="E13" s="144">
        <v>43161.770983796298</v>
      </c>
      <c r="F13" s="89">
        <f t="shared" si="9"/>
        <v>43161.770983796298</v>
      </c>
      <c r="G13" s="90" t="str">
        <f t="shared" si="10"/>
        <v>18:30</v>
      </c>
      <c r="H13" s="91" t="str">
        <f t="shared" si="11"/>
        <v>-</v>
      </c>
      <c r="I13" s="92" t="str">
        <f t="shared" si="12"/>
        <v>-</v>
      </c>
      <c r="J13" s="92" t="str">
        <f t="shared" si="13"/>
        <v>-</v>
      </c>
      <c r="K13" s="93">
        <f t="shared" si="14"/>
        <v>0.73333333333333339</v>
      </c>
      <c r="L13" s="93"/>
      <c r="M13" s="94">
        <f t="shared" si="15"/>
        <v>0.73333333333333339</v>
      </c>
      <c r="N13" s="94">
        <f t="shared" si="16"/>
        <v>0</v>
      </c>
      <c r="O13" s="20"/>
      <c r="P13" s="137">
        <v>7</v>
      </c>
      <c r="Q13" s="137"/>
      <c r="R13" s="137"/>
      <c r="S13" s="137"/>
    </row>
    <row r="14" spans="1:21" s="16" customFormat="1">
      <c r="A14" s="140">
        <v>8543</v>
      </c>
      <c r="B14" s="140" t="s">
        <v>73</v>
      </c>
      <c r="C14" s="140" t="s">
        <v>73</v>
      </c>
      <c r="D14" s="143" t="s">
        <v>8</v>
      </c>
      <c r="E14" s="144">
        <v>43161.801782407405</v>
      </c>
      <c r="F14" s="89">
        <f t="shared" si="9"/>
        <v>43161.801782407405</v>
      </c>
      <c r="G14" s="90" t="str">
        <f t="shared" si="10"/>
        <v>19:14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37">
        <v>8</v>
      </c>
      <c r="Q14" s="137"/>
      <c r="R14" s="137"/>
      <c r="S14" s="137"/>
    </row>
    <row r="15" spans="1:21" s="2" customFormat="1">
      <c r="A15" s="140">
        <v>8564</v>
      </c>
      <c r="B15" s="140" t="s">
        <v>73</v>
      </c>
      <c r="C15" s="140" t="s">
        <v>73</v>
      </c>
      <c r="D15" s="143" t="s">
        <v>6</v>
      </c>
      <c r="E15" s="144">
        <v>43164.36991898148</v>
      </c>
      <c r="F15" s="89">
        <f t="shared" si="9"/>
        <v>43164.36991898148</v>
      </c>
      <c r="G15" s="90" t="str">
        <f t="shared" si="10"/>
        <v>8:52</v>
      </c>
      <c r="H15" s="91">
        <f t="shared" si="11"/>
        <v>9.6666666666666679</v>
      </c>
      <c r="I15" s="92">
        <f t="shared" si="12"/>
        <v>8</v>
      </c>
      <c r="J15" s="92" t="str">
        <f t="shared" si="13"/>
        <v>-</v>
      </c>
      <c r="K15" s="93">
        <f t="shared" si="14"/>
        <v>0</v>
      </c>
      <c r="L15" s="93"/>
      <c r="M15" s="94">
        <f t="shared" si="15"/>
        <v>0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8579</v>
      </c>
      <c r="B16" s="140" t="s">
        <v>73</v>
      </c>
      <c r="C16" s="140" t="s">
        <v>73</v>
      </c>
      <c r="D16" s="143" t="s">
        <v>5</v>
      </c>
      <c r="E16" s="144">
        <v>43164.772824074076</v>
      </c>
      <c r="F16" s="89">
        <f t="shared" si="9"/>
        <v>43164.772824074076</v>
      </c>
      <c r="G16" s="90" t="str">
        <f t="shared" si="10"/>
        <v>18:32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16" customFormat="1">
      <c r="A17" s="140">
        <v>8580</v>
      </c>
      <c r="B17" s="140" t="s">
        <v>73</v>
      </c>
      <c r="C17" s="140" t="s">
        <v>73</v>
      </c>
      <c r="D17" s="143" t="s">
        <v>7</v>
      </c>
      <c r="E17" s="144">
        <v>43164.772986111115</v>
      </c>
      <c r="F17" s="89">
        <f t="shared" si="9"/>
        <v>43164.772986111115</v>
      </c>
      <c r="G17" s="90" t="str">
        <f t="shared" si="10"/>
        <v>18:33</v>
      </c>
      <c r="H17" s="91" t="str">
        <f t="shared" si="11"/>
        <v>-</v>
      </c>
      <c r="I17" s="92" t="str">
        <f t="shared" si="12"/>
        <v>-</v>
      </c>
      <c r="J17" s="92" t="str">
        <f t="shared" si="13"/>
        <v>-</v>
      </c>
      <c r="K17" s="93">
        <f t="shared" si="14"/>
        <v>1.4833333333333334</v>
      </c>
      <c r="L17" s="93"/>
      <c r="M17" s="94">
        <f t="shared" si="15"/>
        <v>1.4833333333333334</v>
      </c>
      <c r="N17" s="94">
        <f t="shared" si="16"/>
        <v>0</v>
      </c>
      <c r="O17" s="20"/>
      <c r="P17" s="137">
        <v>11</v>
      </c>
      <c r="Q17" s="137"/>
      <c r="R17" s="137"/>
      <c r="S17" s="137"/>
    </row>
    <row r="18" spans="1:19" s="16" customFormat="1">
      <c r="A18" s="140">
        <v>8585</v>
      </c>
      <c r="B18" s="140" t="s">
        <v>73</v>
      </c>
      <c r="C18" s="140" t="s">
        <v>73</v>
      </c>
      <c r="D18" s="143" t="s">
        <v>8</v>
      </c>
      <c r="E18" s="144">
        <v>43164.834791666668</v>
      </c>
      <c r="F18" s="89">
        <f t="shared" si="9"/>
        <v>43164.834791666668</v>
      </c>
      <c r="G18" s="90" t="str">
        <f t="shared" si="10"/>
        <v>20:2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37">
        <v>12</v>
      </c>
      <c r="Q18" s="137"/>
      <c r="R18" s="137"/>
      <c r="S18" s="137"/>
    </row>
    <row r="19" spans="1:19" s="63" customFormat="1">
      <c r="A19" s="140">
        <v>8598</v>
      </c>
      <c r="B19" s="140" t="s">
        <v>73</v>
      </c>
      <c r="C19" s="140" t="s">
        <v>73</v>
      </c>
      <c r="D19" s="143" t="s">
        <v>6</v>
      </c>
      <c r="E19" s="144">
        <v>43165.369328703702</v>
      </c>
      <c r="F19" s="89">
        <f t="shared" si="9"/>
        <v>43165.369328703702</v>
      </c>
      <c r="G19" s="90" t="str">
        <f t="shared" si="10"/>
        <v>8:51</v>
      </c>
      <c r="H19" s="91">
        <f t="shared" si="11"/>
        <v>9.5499999999999989</v>
      </c>
      <c r="I19" s="92">
        <f t="shared" si="12"/>
        <v>8</v>
      </c>
      <c r="J19" s="92" t="str">
        <f t="shared" si="13"/>
        <v>-</v>
      </c>
      <c r="K19" s="93">
        <f t="shared" si="14"/>
        <v>0</v>
      </c>
      <c r="L19" s="93"/>
      <c r="M19" s="94">
        <f t="shared" si="15"/>
        <v>0</v>
      </c>
      <c r="N19" s="94">
        <f t="shared" si="16"/>
        <v>0</v>
      </c>
      <c r="O19" s="20"/>
      <c r="P19" s="18">
        <v>13</v>
      </c>
      <c r="Q19" s="18"/>
      <c r="R19" s="18"/>
      <c r="S19" s="18"/>
    </row>
    <row r="20" spans="1:19" s="63" customFormat="1">
      <c r="A20" s="140">
        <v>8608</v>
      </c>
      <c r="B20" s="140" t="s">
        <v>73</v>
      </c>
      <c r="C20" s="140" t="s">
        <v>73</v>
      </c>
      <c r="D20" s="143" t="s">
        <v>5</v>
      </c>
      <c r="E20" s="144">
        <v>43165.766770833332</v>
      </c>
      <c r="F20" s="89">
        <f t="shared" si="9"/>
        <v>43165.766770833332</v>
      </c>
      <c r="G20" s="90" t="str">
        <f t="shared" si="10"/>
        <v>18:24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18">
        <v>14</v>
      </c>
      <c r="Q20" s="18"/>
      <c r="R20" s="18"/>
      <c r="S20" s="18"/>
    </row>
    <row r="21" spans="1:19" s="323" customFormat="1">
      <c r="A21" s="140">
        <v>8618</v>
      </c>
      <c r="B21" s="140" t="s">
        <v>73</v>
      </c>
      <c r="C21" s="140" t="s">
        <v>73</v>
      </c>
      <c r="D21" s="143" t="s">
        <v>7</v>
      </c>
      <c r="E21" s="144">
        <v>43165.78702546296</v>
      </c>
      <c r="F21" s="89">
        <f t="shared" si="9"/>
        <v>43165.78702546296</v>
      </c>
      <c r="G21" s="90" t="str">
        <f t="shared" si="10"/>
        <v>18:53</v>
      </c>
      <c r="H21" s="91" t="str">
        <f t="shared" si="11"/>
        <v>-</v>
      </c>
      <c r="I21" s="92" t="str">
        <f t="shared" si="12"/>
        <v>-</v>
      </c>
      <c r="J21" s="92" t="str">
        <f t="shared" si="13"/>
        <v>-</v>
      </c>
      <c r="K21" s="93">
        <f t="shared" si="14"/>
        <v>2.1333333333333337</v>
      </c>
      <c r="L21" s="93"/>
      <c r="M21" s="94">
        <f t="shared" si="15"/>
        <v>2</v>
      </c>
      <c r="N21" s="94">
        <f t="shared" si="16"/>
        <v>0.13333333333333375</v>
      </c>
      <c r="O21" s="20"/>
      <c r="P21" s="323">
        <v>15</v>
      </c>
    </row>
    <row r="22" spans="1:19" s="63" customFormat="1">
      <c r="A22" s="140">
        <v>8620</v>
      </c>
      <c r="B22" s="140" t="s">
        <v>73</v>
      </c>
      <c r="C22" s="140" t="s">
        <v>73</v>
      </c>
      <c r="D22" s="143" t="s">
        <v>8</v>
      </c>
      <c r="E22" s="144">
        <v>43165.876226851855</v>
      </c>
      <c r="F22" s="89">
        <f t="shared" si="9"/>
        <v>43165.876226851855</v>
      </c>
      <c r="G22" s="90" t="str">
        <f t="shared" si="10"/>
        <v>21:1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18">
        <v>16</v>
      </c>
      <c r="Q22" s="18"/>
      <c r="R22" s="18"/>
      <c r="S22" s="18"/>
    </row>
    <row r="23" spans="1:19" s="63" customFormat="1">
      <c r="A23" s="140">
        <v>8633</v>
      </c>
      <c r="B23" s="140" t="s">
        <v>73</v>
      </c>
      <c r="C23" s="140" t="s">
        <v>73</v>
      </c>
      <c r="D23" s="143" t="s">
        <v>6</v>
      </c>
      <c r="E23" s="144">
        <v>43166.370625000003</v>
      </c>
      <c r="F23" s="89">
        <f t="shared" si="9"/>
        <v>43166.370625000003</v>
      </c>
      <c r="G23" s="90" t="str">
        <f t="shared" si="10"/>
        <v>8:53</v>
      </c>
      <c r="H23" s="91">
        <f t="shared" si="11"/>
        <v>9.6000000000000014</v>
      </c>
      <c r="I23" s="92">
        <f t="shared" si="12"/>
        <v>8</v>
      </c>
      <c r="J23" s="92" t="str">
        <f t="shared" si="13"/>
        <v>-</v>
      </c>
      <c r="K23" s="93">
        <f t="shared" si="14"/>
        <v>0</v>
      </c>
      <c r="L23" s="93"/>
      <c r="M23" s="94">
        <f t="shared" si="15"/>
        <v>0</v>
      </c>
      <c r="N23" s="94">
        <f t="shared" si="16"/>
        <v>0</v>
      </c>
      <c r="O23" s="20"/>
      <c r="P23" s="18">
        <v>17</v>
      </c>
      <c r="Q23" s="18"/>
      <c r="R23" s="18"/>
      <c r="S23" s="18"/>
    </row>
    <row r="24" spans="1:19" s="63" customFormat="1">
      <c r="A24" s="140">
        <v>8642</v>
      </c>
      <c r="B24" s="140" t="s">
        <v>73</v>
      </c>
      <c r="C24" s="140" t="s">
        <v>73</v>
      </c>
      <c r="D24" s="143" t="s">
        <v>5</v>
      </c>
      <c r="E24" s="144">
        <v>43166.770324074074</v>
      </c>
      <c r="F24" s="89">
        <f t="shared" si="9"/>
        <v>43166.770324074074</v>
      </c>
      <c r="G24" s="90" t="str">
        <f t="shared" si="10"/>
        <v>18:29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18">
        <v>18</v>
      </c>
      <c r="Q24" s="18"/>
      <c r="R24" s="18"/>
      <c r="S24" s="18"/>
    </row>
    <row r="25" spans="1:19" s="2" customFormat="1">
      <c r="A25" s="140">
        <v>8643</v>
      </c>
      <c r="B25" s="140" t="s">
        <v>73</v>
      </c>
      <c r="C25" s="140" t="s">
        <v>73</v>
      </c>
      <c r="D25" s="143" t="s">
        <v>7</v>
      </c>
      <c r="E25" s="144">
        <v>43166.770335648151</v>
      </c>
      <c r="F25" s="89">
        <f t="shared" si="9"/>
        <v>43166.770335648151</v>
      </c>
      <c r="G25" s="90" t="str">
        <f t="shared" si="10"/>
        <v>18:29</v>
      </c>
      <c r="H25" s="91" t="str">
        <f t="shared" si="11"/>
        <v>-</v>
      </c>
      <c r="I25" s="92" t="str">
        <f t="shared" si="12"/>
        <v>-</v>
      </c>
      <c r="J25" s="92" t="str">
        <f t="shared" si="13"/>
        <v>-</v>
      </c>
      <c r="K25" s="93">
        <f t="shared" si="14"/>
        <v>2.0500000000000007</v>
      </c>
      <c r="L25" s="93"/>
      <c r="M25" s="94">
        <f t="shared" si="15"/>
        <v>2</v>
      </c>
      <c r="N25" s="94">
        <f t="shared" si="16"/>
        <v>5.0000000000000711E-2</v>
      </c>
      <c r="O25" s="20"/>
      <c r="P25" s="8">
        <v>19</v>
      </c>
      <c r="Q25" s="8"/>
      <c r="R25" s="8"/>
      <c r="S25" s="8"/>
    </row>
    <row r="26" spans="1:19">
      <c r="A26" s="140">
        <v>8657</v>
      </c>
      <c r="B26" s="140" t="s">
        <v>73</v>
      </c>
      <c r="C26" s="140" t="s">
        <v>73</v>
      </c>
      <c r="D26" s="143" t="s">
        <v>8</v>
      </c>
      <c r="E26" s="144">
        <v>43166.855914351851</v>
      </c>
      <c r="F26" s="89">
        <f t="shared" si="9"/>
        <v>43166.855914351851</v>
      </c>
      <c r="G26" s="90" t="str">
        <f t="shared" si="10"/>
        <v>20:32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20</v>
      </c>
    </row>
    <row r="27" spans="1:19" s="2" customFormat="1">
      <c r="A27" s="140">
        <v>8671</v>
      </c>
      <c r="B27" s="140" t="s">
        <v>73</v>
      </c>
      <c r="C27" s="140" t="s">
        <v>73</v>
      </c>
      <c r="D27" s="143" t="s">
        <v>6</v>
      </c>
      <c r="E27" s="144">
        <v>43167.371261574073</v>
      </c>
      <c r="F27" s="89">
        <f t="shared" si="9"/>
        <v>43167.371261574073</v>
      </c>
      <c r="G27" s="90" t="str">
        <f t="shared" si="10"/>
        <v>8:54</v>
      </c>
      <c r="H27" s="91">
        <f t="shared" si="11"/>
        <v>9.6000000000000014</v>
      </c>
      <c r="I27" s="92">
        <f t="shared" si="12"/>
        <v>8</v>
      </c>
      <c r="J27" s="92" t="str">
        <f t="shared" si="13"/>
        <v>-</v>
      </c>
      <c r="K27" s="93">
        <f t="shared" si="14"/>
        <v>0</v>
      </c>
      <c r="L27" s="93"/>
      <c r="M27" s="94">
        <f t="shared" si="15"/>
        <v>0</v>
      </c>
      <c r="N27" s="94">
        <f t="shared" si="16"/>
        <v>0</v>
      </c>
      <c r="O27" s="20"/>
      <c r="P27" s="8">
        <v>1</v>
      </c>
      <c r="Q27" s="8"/>
      <c r="R27" s="8"/>
      <c r="S27" s="8"/>
    </row>
    <row r="28" spans="1:19">
      <c r="A28" s="140">
        <v>8677</v>
      </c>
      <c r="B28" s="140" t="s">
        <v>73</v>
      </c>
      <c r="C28" s="140" t="s">
        <v>73</v>
      </c>
      <c r="D28" s="143" t="s">
        <v>5</v>
      </c>
      <c r="E28" s="144">
        <v>43167.770868055559</v>
      </c>
      <c r="F28" s="89">
        <f t="shared" si="9"/>
        <v>43167.770868055559</v>
      </c>
      <c r="G28" s="90" t="str">
        <f t="shared" si="10"/>
        <v>18:30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</v>
      </c>
    </row>
    <row r="29" spans="1:19" s="2" customFormat="1">
      <c r="A29" s="140">
        <v>8685</v>
      </c>
      <c r="B29" s="140" t="s">
        <v>73</v>
      </c>
      <c r="C29" s="140" t="s">
        <v>73</v>
      </c>
      <c r="D29" s="143" t="s">
        <v>7</v>
      </c>
      <c r="E29" s="144">
        <v>43167.781597222223</v>
      </c>
      <c r="F29" s="89">
        <f t="shared" si="9"/>
        <v>43167.781597222223</v>
      </c>
      <c r="G29" s="90" t="str">
        <f t="shared" si="10"/>
        <v>18:45</v>
      </c>
      <c r="H29" s="91" t="str">
        <f t="shared" si="11"/>
        <v>-</v>
      </c>
      <c r="I29" s="92" t="str">
        <f t="shared" si="12"/>
        <v>-</v>
      </c>
      <c r="J29" s="92" t="str">
        <f t="shared" si="13"/>
        <v>-</v>
      </c>
      <c r="K29" s="93">
        <f t="shared" si="14"/>
        <v>0.35000000000000142</v>
      </c>
      <c r="L29" s="93"/>
      <c r="M29" s="94">
        <f t="shared" si="15"/>
        <v>0.35000000000000142</v>
      </c>
      <c r="N29" s="94">
        <f t="shared" si="16"/>
        <v>0</v>
      </c>
      <c r="O29" s="20"/>
      <c r="P29" s="8">
        <v>3</v>
      </c>
      <c r="Q29" s="8"/>
      <c r="R29" s="8"/>
      <c r="S29" s="8"/>
    </row>
    <row r="30" spans="1:19">
      <c r="A30" s="140">
        <v>8686</v>
      </c>
      <c r="B30" s="140" t="s">
        <v>73</v>
      </c>
      <c r="C30" s="140" t="s">
        <v>73</v>
      </c>
      <c r="D30" s="143" t="s">
        <v>8</v>
      </c>
      <c r="E30" s="144">
        <v>43167.795949074076</v>
      </c>
      <c r="F30" s="89">
        <f t="shared" si="9"/>
        <v>43167.795949074076</v>
      </c>
      <c r="G30" s="90" t="str">
        <f t="shared" si="10"/>
        <v>19:6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9">
        <v>4</v>
      </c>
    </row>
    <row r="31" spans="1:19" s="63" customFormat="1">
      <c r="A31" s="140">
        <v>8700</v>
      </c>
      <c r="B31" s="140" t="s">
        <v>73</v>
      </c>
      <c r="C31" s="140" t="s">
        <v>73</v>
      </c>
      <c r="D31" s="143" t="s">
        <v>6</v>
      </c>
      <c r="E31" s="144">
        <v>43168.37295138889</v>
      </c>
      <c r="F31" s="89">
        <f t="shared" si="9"/>
        <v>43168.37295138889</v>
      </c>
      <c r="G31" s="90" t="str">
        <f t="shared" si="10"/>
        <v>8:57</v>
      </c>
      <c r="H31" s="91">
        <f t="shared" si="11"/>
        <v>9.5500000000000025</v>
      </c>
      <c r="I31" s="92">
        <f t="shared" si="12"/>
        <v>8</v>
      </c>
      <c r="J31" s="92" t="str">
        <f t="shared" si="13"/>
        <v>-</v>
      </c>
      <c r="K31" s="93">
        <f t="shared" si="14"/>
        <v>0</v>
      </c>
      <c r="L31" s="93"/>
      <c r="M31" s="94">
        <f t="shared" si="15"/>
        <v>0</v>
      </c>
      <c r="N31" s="94">
        <f t="shared" si="16"/>
        <v>0</v>
      </c>
      <c r="O31" s="20"/>
      <c r="P31" s="18">
        <v>5</v>
      </c>
      <c r="Q31" s="18"/>
      <c r="R31" s="18"/>
      <c r="S31" s="18"/>
    </row>
    <row r="32" spans="1:19">
      <c r="A32" s="140">
        <v>8709</v>
      </c>
      <c r="B32" s="140" t="s">
        <v>73</v>
      </c>
      <c r="C32" s="140" t="s">
        <v>73</v>
      </c>
      <c r="D32" s="143" t="s">
        <v>5</v>
      </c>
      <c r="E32" s="144">
        <v>43168.771168981482</v>
      </c>
      <c r="F32" s="89">
        <f t="shared" si="9"/>
        <v>43168.771168981482</v>
      </c>
      <c r="G32" s="90" t="str">
        <f t="shared" si="10"/>
        <v>18:30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9">
        <v>6</v>
      </c>
    </row>
    <row r="33" spans="1:19" s="2" customFormat="1">
      <c r="A33" s="140">
        <v>8769</v>
      </c>
      <c r="B33" s="140" t="s">
        <v>73</v>
      </c>
      <c r="C33" s="140" t="s">
        <v>73</v>
      </c>
      <c r="D33" s="143" t="s">
        <v>6</v>
      </c>
      <c r="E33" s="144">
        <v>43171.371828703705</v>
      </c>
      <c r="F33" s="89">
        <f t="shared" si="9"/>
        <v>43171.371828703705</v>
      </c>
      <c r="G33" s="90" t="str">
        <f t="shared" si="10"/>
        <v>8:55</v>
      </c>
      <c r="H33" s="91">
        <f t="shared" si="11"/>
        <v>9.5666666666666682</v>
      </c>
      <c r="I33" s="92">
        <f t="shared" si="12"/>
        <v>8</v>
      </c>
      <c r="J33" s="92" t="str">
        <f t="shared" si="13"/>
        <v>-</v>
      </c>
      <c r="K33" s="93">
        <f t="shared" si="14"/>
        <v>0</v>
      </c>
      <c r="L33" s="93"/>
      <c r="M33" s="94">
        <f t="shared" si="15"/>
        <v>0</v>
      </c>
      <c r="N33" s="94">
        <f t="shared" si="16"/>
        <v>0</v>
      </c>
      <c r="O33" s="20"/>
      <c r="P33" s="8">
        <v>7</v>
      </c>
      <c r="Q33" s="8"/>
      <c r="R33" s="8"/>
      <c r="S33" s="8"/>
    </row>
    <row r="34" spans="1:19">
      <c r="A34" s="140">
        <v>8780</v>
      </c>
      <c r="B34" s="140" t="s">
        <v>87</v>
      </c>
      <c r="C34" s="140" t="s">
        <v>73</v>
      </c>
      <c r="D34" s="143" t="s">
        <v>5</v>
      </c>
      <c r="E34" s="144">
        <v>43171.77070601852</v>
      </c>
      <c r="F34" s="89">
        <f t="shared" si="9"/>
        <v>43171.77070601852</v>
      </c>
      <c r="G34" s="90" t="str">
        <f t="shared" si="10"/>
        <v>18:29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8</v>
      </c>
    </row>
    <row r="35" spans="1:19" s="2" customFormat="1">
      <c r="A35" s="140">
        <v>8789</v>
      </c>
      <c r="B35" s="140" t="s">
        <v>87</v>
      </c>
      <c r="C35" s="140" t="s">
        <v>73</v>
      </c>
      <c r="D35" s="143" t="s">
        <v>7</v>
      </c>
      <c r="E35" s="144">
        <v>43171.798321759263</v>
      </c>
      <c r="F35" s="89">
        <f t="shared" si="9"/>
        <v>43171.798321759263</v>
      </c>
      <c r="G35" s="90" t="str">
        <f t="shared" si="10"/>
        <v>19:9</v>
      </c>
      <c r="H35" s="91" t="str">
        <f t="shared" si="11"/>
        <v>-</v>
      </c>
      <c r="I35" s="92" t="str">
        <f t="shared" si="12"/>
        <v>-</v>
      </c>
      <c r="J35" s="92" t="str">
        <f t="shared" si="13"/>
        <v>-</v>
      </c>
      <c r="K35" s="93">
        <f t="shared" si="14"/>
        <v>2.6000000000000014</v>
      </c>
      <c r="L35" s="93"/>
      <c r="M35" s="94">
        <f t="shared" si="15"/>
        <v>2</v>
      </c>
      <c r="N35" s="94">
        <f t="shared" si="16"/>
        <v>0.60000000000000142</v>
      </c>
      <c r="O35" s="20"/>
      <c r="P35" s="8">
        <v>9</v>
      </c>
      <c r="Q35" s="8"/>
      <c r="R35" s="8"/>
      <c r="S35" s="8"/>
    </row>
    <row r="36" spans="1:19">
      <c r="A36" s="140">
        <v>8794</v>
      </c>
      <c r="B36" s="140" t="s">
        <v>73</v>
      </c>
      <c r="C36" s="140" t="s">
        <v>73</v>
      </c>
      <c r="D36" s="143" t="s">
        <v>8</v>
      </c>
      <c r="E36" s="144">
        <v>43171.9062962963</v>
      </c>
      <c r="F36" s="89">
        <f t="shared" si="9"/>
        <v>43171.9062962963</v>
      </c>
      <c r="G36" s="90" t="str">
        <f t="shared" si="10"/>
        <v>21:45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9">
        <v>10</v>
      </c>
    </row>
    <row r="37" spans="1:19" s="2" customFormat="1">
      <c r="A37" s="140">
        <v>8808</v>
      </c>
      <c r="B37" s="140" t="s">
        <v>73</v>
      </c>
      <c r="C37" s="140" t="s">
        <v>73</v>
      </c>
      <c r="D37" s="143" t="s">
        <v>6</v>
      </c>
      <c r="E37" s="144">
        <v>43172.369884259257</v>
      </c>
      <c r="F37" s="89">
        <f t="shared" si="9"/>
        <v>43172.369884259257</v>
      </c>
      <c r="G37" s="90" t="str">
        <f t="shared" si="10"/>
        <v>8:52</v>
      </c>
      <c r="H37" s="91">
        <f t="shared" si="11"/>
        <v>9.6499999999999986</v>
      </c>
      <c r="I37" s="92">
        <f t="shared" si="12"/>
        <v>8</v>
      </c>
      <c r="J37" s="92" t="str">
        <f t="shared" si="13"/>
        <v>-</v>
      </c>
      <c r="K37" s="93">
        <f t="shared" si="14"/>
        <v>0</v>
      </c>
      <c r="L37" s="93"/>
      <c r="M37" s="94">
        <f t="shared" si="15"/>
        <v>0</v>
      </c>
      <c r="N37" s="94">
        <f t="shared" si="16"/>
        <v>0</v>
      </c>
      <c r="O37" s="20"/>
      <c r="P37" s="8">
        <v>11</v>
      </c>
      <c r="Q37" s="8"/>
      <c r="R37" s="8"/>
      <c r="S37" s="8"/>
    </row>
    <row r="38" spans="1:19">
      <c r="A38" s="140">
        <v>8816</v>
      </c>
      <c r="B38" s="140" t="s">
        <v>73</v>
      </c>
      <c r="C38" s="140" t="s">
        <v>73</v>
      </c>
      <c r="D38" s="143" t="s">
        <v>5</v>
      </c>
      <c r="E38" s="144">
        <v>43172.772013888891</v>
      </c>
      <c r="F38" s="89">
        <f t="shared" si="9"/>
        <v>43172.772013888891</v>
      </c>
      <c r="G38" s="90" t="str">
        <f t="shared" si="10"/>
        <v>18:31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9">
        <v>12</v>
      </c>
    </row>
    <row r="39" spans="1:19" s="2" customFormat="1">
      <c r="A39" s="140">
        <v>8824</v>
      </c>
      <c r="B39" s="140" t="s">
        <v>73</v>
      </c>
      <c r="C39" s="140" t="s">
        <v>73</v>
      </c>
      <c r="D39" s="143" t="s">
        <v>7</v>
      </c>
      <c r="E39" s="144">
        <v>43172.775231481479</v>
      </c>
      <c r="F39" s="89">
        <f t="shared" si="9"/>
        <v>43172.775231481479</v>
      </c>
      <c r="G39" s="90" t="str">
        <f t="shared" si="10"/>
        <v>18:36</v>
      </c>
      <c r="H39" s="91" t="str">
        <f t="shared" si="11"/>
        <v>-</v>
      </c>
      <c r="I39" s="92" t="str">
        <f t="shared" si="12"/>
        <v>-</v>
      </c>
      <c r="J39" s="92" t="str">
        <f t="shared" si="13"/>
        <v>-</v>
      </c>
      <c r="K39" s="93">
        <f t="shared" si="14"/>
        <v>3.2166666666666659</v>
      </c>
      <c r="L39" s="93"/>
      <c r="M39" s="94">
        <f t="shared" si="15"/>
        <v>2</v>
      </c>
      <c r="N39" s="94">
        <f t="shared" si="16"/>
        <v>1.2166666666666659</v>
      </c>
      <c r="O39" s="20"/>
      <c r="P39" s="8">
        <v>13</v>
      </c>
      <c r="Q39" s="8"/>
      <c r="R39" s="8"/>
      <c r="S39" s="8"/>
    </row>
    <row r="40" spans="1:19">
      <c r="A40" s="140">
        <v>8835</v>
      </c>
      <c r="B40" s="140" t="s">
        <v>73</v>
      </c>
      <c r="C40" s="140" t="s">
        <v>73</v>
      </c>
      <c r="D40" s="143" t="s">
        <v>8</v>
      </c>
      <c r="E40" s="144">
        <v>43172.909479166665</v>
      </c>
      <c r="F40" s="89">
        <f t="shared" si="9"/>
        <v>43172.909479166665</v>
      </c>
      <c r="G40" s="90" t="str">
        <f t="shared" si="10"/>
        <v>21:49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9">
        <v>14</v>
      </c>
    </row>
    <row r="41" spans="1:19" s="2" customFormat="1">
      <c r="A41" s="140">
        <v>8844</v>
      </c>
      <c r="B41" s="140" t="s">
        <v>73</v>
      </c>
      <c r="C41" s="140" t="s">
        <v>73</v>
      </c>
      <c r="D41" s="143" t="s">
        <v>6</v>
      </c>
      <c r="E41" s="144">
        <v>43173.371423611112</v>
      </c>
      <c r="F41" s="89">
        <f t="shared" si="9"/>
        <v>43173.371423611112</v>
      </c>
      <c r="G41" s="90" t="str">
        <f t="shared" si="10"/>
        <v>8:54</v>
      </c>
      <c r="H41" s="91">
        <f t="shared" si="11"/>
        <v>9.6166666666666636</v>
      </c>
      <c r="I41" s="92">
        <f t="shared" si="12"/>
        <v>8</v>
      </c>
      <c r="J41" s="92" t="str">
        <f t="shared" si="13"/>
        <v>-</v>
      </c>
      <c r="K41" s="93">
        <f t="shared" si="14"/>
        <v>0</v>
      </c>
      <c r="L41" s="93"/>
      <c r="M41" s="94">
        <f t="shared" si="15"/>
        <v>0</v>
      </c>
      <c r="N41" s="94">
        <f t="shared" si="16"/>
        <v>0</v>
      </c>
      <c r="O41" s="20"/>
      <c r="P41" s="8">
        <v>15</v>
      </c>
      <c r="Q41" s="8"/>
      <c r="R41" s="8"/>
      <c r="S41" s="8"/>
    </row>
    <row r="42" spans="1:19">
      <c r="A42" s="140">
        <v>8853</v>
      </c>
      <c r="B42" s="140" t="s">
        <v>87</v>
      </c>
      <c r="C42" s="140" t="s">
        <v>73</v>
      </c>
      <c r="D42" s="143" t="s">
        <v>5</v>
      </c>
      <c r="E42" s="144">
        <v>43173.771828703706</v>
      </c>
      <c r="F42" s="89">
        <f t="shared" si="9"/>
        <v>43173.771828703706</v>
      </c>
      <c r="G42" s="90" t="str">
        <f t="shared" si="10"/>
        <v>18:31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  <c r="P42" s="9">
        <v>16</v>
      </c>
    </row>
    <row r="43" spans="1:19" s="2" customFormat="1">
      <c r="A43" s="140">
        <v>8854</v>
      </c>
      <c r="B43" s="140" t="s">
        <v>87</v>
      </c>
      <c r="C43" s="140" t="s">
        <v>73</v>
      </c>
      <c r="D43" s="143" t="s">
        <v>7</v>
      </c>
      <c r="E43" s="144">
        <v>43173.771863425929</v>
      </c>
      <c r="F43" s="89">
        <f t="shared" si="9"/>
        <v>43173.771863425929</v>
      </c>
      <c r="G43" s="90" t="str">
        <f t="shared" si="10"/>
        <v>18:31</v>
      </c>
      <c r="H43" s="91" t="str">
        <f t="shared" si="11"/>
        <v>-</v>
      </c>
      <c r="I43" s="92" t="str">
        <f t="shared" si="12"/>
        <v>-</v>
      </c>
      <c r="J43" s="92" t="str">
        <f t="shared" si="13"/>
        <v>-</v>
      </c>
      <c r="K43" s="93">
        <f t="shared" si="14"/>
        <v>1.9666666666666703</v>
      </c>
      <c r="L43" s="93"/>
      <c r="M43" s="94">
        <f t="shared" si="15"/>
        <v>1.9666666666666703</v>
      </c>
      <c r="N43" s="94">
        <f t="shared" si="16"/>
        <v>0</v>
      </c>
      <c r="O43" s="20"/>
      <c r="P43" s="8">
        <v>17</v>
      </c>
      <c r="Q43" s="8"/>
      <c r="R43" s="8"/>
      <c r="S43" s="8"/>
    </row>
    <row r="44" spans="1:19" s="63" customFormat="1">
      <c r="A44" s="140">
        <v>8863</v>
      </c>
      <c r="B44" s="140" t="s">
        <v>73</v>
      </c>
      <c r="C44" s="140" t="s">
        <v>73</v>
      </c>
      <c r="D44" s="143" t="s">
        <v>8</v>
      </c>
      <c r="E44" s="144">
        <v>43173.854097222225</v>
      </c>
      <c r="F44" s="89">
        <f t="shared" si="9"/>
        <v>43173.854097222225</v>
      </c>
      <c r="G44" s="90" t="str">
        <f t="shared" si="10"/>
        <v>20:29</v>
      </c>
      <c r="H44" s="91" t="str">
        <f t="shared" si="11"/>
        <v>-</v>
      </c>
      <c r="I44" s="92" t="str">
        <f t="shared" si="12"/>
        <v>-</v>
      </c>
      <c r="J44" s="92" t="str">
        <f t="shared" si="13"/>
        <v>-</v>
      </c>
      <c r="K44" s="93">
        <f t="shared" si="14"/>
        <v>0</v>
      </c>
      <c r="L44" s="93"/>
      <c r="M44" s="94">
        <f t="shared" si="15"/>
        <v>0</v>
      </c>
      <c r="N44" s="94">
        <f t="shared" si="16"/>
        <v>0</v>
      </c>
      <c r="O44" s="20"/>
      <c r="P44" s="18">
        <v>18</v>
      </c>
      <c r="Q44" s="18"/>
      <c r="R44" s="18"/>
      <c r="S44" s="18"/>
    </row>
    <row r="45" spans="1:19" s="2" customFormat="1">
      <c r="A45" s="140">
        <v>8878</v>
      </c>
      <c r="B45" s="140" t="s">
        <v>73</v>
      </c>
      <c r="C45" s="140" t="s">
        <v>73</v>
      </c>
      <c r="D45" s="143" t="s">
        <v>6</v>
      </c>
      <c r="E45" s="144">
        <v>43174.369722222225</v>
      </c>
      <c r="F45" s="89">
        <f t="shared" si="9"/>
        <v>43174.369722222225</v>
      </c>
      <c r="G45" s="90" t="str">
        <f t="shared" si="10"/>
        <v>8:52</v>
      </c>
      <c r="H45" s="91">
        <f t="shared" si="11"/>
        <v>9.6666666666666679</v>
      </c>
      <c r="I45" s="92">
        <f t="shared" si="12"/>
        <v>8</v>
      </c>
      <c r="J45" s="92" t="str">
        <f t="shared" si="13"/>
        <v>-</v>
      </c>
      <c r="K45" s="93">
        <f t="shared" si="14"/>
        <v>0</v>
      </c>
      <c r="L45" s="93"/>
      <c r="M45" s="94">
        <f t="shared" si="15"/>
        <v>0</v>
      </c>
      <c r="N45" s="94">
        <f t="shared" si="16"/>
        <v>0</v>
      </c>
      <c r="O45" s="20"/>
      <c r="P45" s="8">
        <v>19</v>
      </c>
      <c r="Q45" s="8"/>
      <c r="R45" s="8"/>
      <c r="S45" s="8"/>
    </row>
    <row r="46" spans="1:19">
      <c r="A46" s="140">
        <v>8894</v>
      </c>
      <c r="B46" s="140" t="s">
        <v>87</v>
      </c>
      <c r="C46" s="140" t="s">
        <v>73</v>
      </c>
      <c r="D46" s="143" t="s">
        <v>5</v>
      </c>
      <c r="E46" s="144">
        <v>43174.772534722222</v>
      </c>
      <c r="F46" s="89">
        <f t="shared" si="9"/>
        <v>43174.772534722222</v>
      </c>
      <c r="G46" s="90" t="str">
        <f t="shared" si="10"/>
        <v>18:32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  <c r="P46" s="9">
        <v>20</v>
      </c>
    </row>
    <row r="47" spans="1:19" s="2" customFormat="1">
      <c r="A47" s="140">
        <v>8896</v>
      </c>
      <c r="B47" s="140" t="s">
        <v>87</v>
      </c>
      <c r="C47" s="140" t="s">
        <v>73</v>
      </c>
      <c r="D47" s="143" t="s">
        <v>7</v>
      </c>
      <c r="E47" s="144">
        <v>43174.775324074071</v>
      </c>
      <c r="F47" s="89">
        <f t="shared" si="9"/>
        <v>43174.775324074071</v>
      </c>
      <c r="G47" s="90" t="str">
        <f t="shared" si="10"/>
        <v>18:36</v>
      </c>
      <c r="H47" s="91" t="str">
        <f t="shared" si="11"/>
        <v>-</v>
      </c>
      <c r="I47" s="92" t="str">
        <f t="shared" si="12"/>
        <v>-</v>
      </c>
      <c r="J47" s="92" t="str">
        <f t="shared" si="13"/>
        <v>-</v>
      </c>
      <c r="K47" s="93">
        <f t="shared" si="14"/>
        <v>1.7833333333333323</v>
      </c>
      <c r="L47" s="93"/>
      <c r="M47" s="94">
        <f t="shared" si="15"/>
        <v>1.7833333333333323</v>
      </c>
      <c r="N47" s="94">
        <f t="shared" si="16"/>
        <v>0</v>
      </c>
      <c r="O47" s="20"/>
      <c r="P47" s="8">
        <v>21</v>
      </c>
      <c r="Q47" s="8"/>
      <c r="R47" s="8"/>
      <c r="S47" s="8"/>
    </row>
    <row r="48" spans="1:19">
      <c r="A48" s="140">
        <v>8900</v>
      </c>
      <c r="B48" s="140" t="s">
        <v>73</v>
      </c>
      <c r="C48" s="140" t="s">
        <v>73</v>
      </c>
      <c r="D48" s="143" t="s">
        <v>8</v>
      </c>
      <c r="E48" s="144">
        <v>43174.849930555552</v>
      </c>
      <c r="F48" s="89">
        <f t="shared" si="9"/>
        <v>43174.849930555552</v>
      </c>
      <c r="G48" s="90" t="str">
        <f t="shared" si="10"/>
        <v>20:23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9">
        <v>22</v>
      </c>
    </row>
    <row r="49" spans="1:21" s="63" customFormat="1">
      <c r="A49" s="140">
        <v>8914</v>
      </c>
      <c r="B49" s="140" t="s">
        <v>73</v>
      </c>
      <c r="C49" s="140" t="s">
        <v>73</v>
      </c>
      <c r="D49" s="143" t="s">
        <v>6</v>
      </c>
      <c r="E49" s="144">
        <v>43175.370972222219</v>
      </c>
      <c r="F49" s="89">
        <f t="shared" si="9"/>
        <v>43175.370972222219</v>
      </c>
      <c r="G49" s="90" t="str">
        <f t="shared" si="10"/>
        <v>8:54</v>
      </c>
      <c r="H49" s="91">
        <f t="shared" si="11"/>
        <v>9.68333333333333</v>
      </c>
      <c r="I49" s="92">
        <f t="shared" si="12"/>
        <v>8</v>
      </c>
      <c r="J49" s="92" t="str">
        <f t="shared" si="13"/>
        <v>-</v>
      </c>
      <c r="K49" s="93">
        <f t="shared" si="14"/>
        <v>0</v>
      </c>
      <c r="L49" s="93"/>
      <c r="M49" s="94">
        <f t="shared" si="15"/>
        <v>0</v>
      </c>
      <c r="N49" s="94">
        <f t="shared" si="16"/>
        <v>0</v>
      </c>
      <c r="O49" s="20"/>
      <c r="P49" s="18">
        <v>23</v>
      </c>
      <c r="Q49" s="18"/>
      <c r="R49" s="18"/>
      <c r="S49" s="18"/>
    </row>
    <row r="50" spans="1:21">
      <c r="A50" s="140">
        <v>8929</v>
      </c>
      <c r="B50" s="140" t="s">
        <v>73</v>
      </c>
      <c r="C50" s="140" t="s">
        <v>73</v>
      </c>
      <c r="D50" s="143" t="s">
        <v>5</v>
      </c>
      <c r="E50" s="144">
        <v>43175.774571759262</v>
      </c>
      <c r="F50" s="89">
        <f t="shared" si="9"/>
        <v>43175.774571759262</v>
      </c>
      <c r="G50" s="90" t="str">
        <f t="shared" si="10"/>
        <v>18:35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  <c r="P50" s="9">
        <v>24</v>
      </c>
    </row>
    <row r="51" spans="1:21" s="9" customFormat="1">
      <c r="A51" s="140">
        <v>8930</v>
      </c>
      <c r="B51" s="140" t="s">
        <v>73</v>
      </c>
      <c r="C51" s="140" t="s">
        <v>73</v>
      </c>
      <c r="D51" s="143" t="s">
        <v>7</v>
      </c>
      <c r="E51" s="144">
        <v>43175.774606481478</v>
      </c>
      <c r="F51" s="89">
        <f t="shared" si="9"/>
        <v>43175.774606481478</v>
      </c>
      <c r="G51" s="90" t="str">
        <f t="shared" si="10"/>
        <v>18:35</v>
      </c>
      <c r="H51" s="91" t="str">
        <f t="shared" si="11"/>
        <v>-</v>
      </c>
      <c r="I51" s="92" t="str">
        <f t="shared" si="12"/>
        <v>-</v>
      </c>
      <c r="J51" s="92" t="str">
        <f t="shared" si="13"/>
        <v>-</v>
      </c>
      <c r="K51" s="93">
        <f t="shared" si="14"/>
        <v>0.75</v>
      </c>
      <c r="L51" s="93"/>
      <c r="M51" s="94">
        <f t="shared" si="15"/>
        <v>0.75</v>
      </c>
      <c r="N51" s="94">
        <f t="shared" si="16"/>
        <v>0</v>
      </c>
      <c r="O51" s="20"/>
      <c r="T51"/>
      <c r="U51"/>
    </row>
    <row r="52" spans="1:21" s="9" customFormat="1">
      <c r="A52" s="140">
        <v>8934</v>
      </c>
      <c r="B52" s="140" t="s">
        <v>73</v>
      </c>
      <c r="C52" s="140" t="s">
        <v>73</v>
      </c>
      <c r="D52" s="143" t="s">
        <v>8</v>
      </c>
      <c r="E52" s="144">
        <v>43175.806134259263</v>
      </c>
      <c r="F52" s="89">
        <f t="shared" si="9"/>
        <v>43175.806134259263</v>
      </c>
      <c r="G52" s="90" t="str">
        <f t="shared" si="10"/>
        <v>19:20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  <c r="T52"/>
      <c r="U52"/>
    </row>
    <row r="53" spans="1:21" s="9" customFormat="1">
      <c r="A53" s="140">
        <v>8944</v>
      </c>
      <c r="B53" s="140" t="s">
        <v>73</v>
      </c>
      <c r="C53" s="140" t="s">
        <v>73</v>
      </c>
      <c r="D53" s="143" t="s">
        <v>7</v>
      </c>
      <c r="E53" s="144">
        <v>43176.426030092596</v>
      </c>
      <c r="F53" s="89">
        <f t="shared" si="9"/>
        <v>43176.426030092596</v>
      </c>
      <c r="G53" s="90" t="str">
        <f t="shared" si="10"/>
        <v>10:13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1.8666666666666667</v>
      </c>
      <c r="L53" s="93"/>
      <c r="M53" s="447"/>
      <c r="N53" s="94">
        <f>IF(K53&gt;2,2,K53)</f>
        <v>1.8666666666666667</v>
      </c>
      <c r="O53" s="20"/>
      <c r="T53"/>
      <c r="U53"/>
    </row>
    <row r="54" spans="1:21" s="18" customFormat="1">
      <c r="A54" s="140">
        <v>8952</v>
      </c>
      <c r="B54" s="140" t="s">
        <v>73</v>
      </c>
      <c r="C54" s="140" t="s">
        <v>73</v>
      </c>
      <c r="D54" s="143" t="s">
        <v>8</v>
      </c>
      <c r="E54" s="144">
        <v>43176.503946759258</v>
      </c>
      <c r="F54" s="89">
        <f t="shared" si="9"/>
        <v>43176.503946759258</v>
      </c>
      <c r="G54" s="90" t="str">
        <f t="shared" si="10"/>
        <v>12:5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463">
        <f t="shared" si="15"/>
        <v>0</v>
      </c>
      <c r="N54" s="94">
        <f t="shared" si="16"/>
        <v>0</v>
      </c>
      <c r="O54" s="20"/>
      <c r="T54" s="63"/>
      <c r="U54" s="63"/>
    </row>
    <row r="55" spans="1:21" s="18" customFormat="1">
      <c r="A55" s="140">
        <v>8957</v>
      </c>
      <c r="B55" s="140" t="s">
        <v>73</v>
      </c>
      <c r="C55" s="140" t="s">
        <v>73</v>
      </c>
      <c r="D55" s="143" t="s">
        <v>7</v>
      </c>
      <c r="E55" s="144">
        <v>43176.567928240744</v>
      </c>
      <c r="F55" s="89">
        <f t="shared" si="9"/>
        <v>43176.567928240744</v>
      </c>
      <c r="G55" s="90" t="str">
        <f t="shared" si="10"/>
        <v>13:37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2.8000000000000007</v>
      </c>
      <c r="L55" s="93"/>
      <c r="M55" s="94">
        <f t="shared" si="15"/>
        <v>2</v>
      </c>
      <c r="N55" s="94">
        <f t="shared" si="16"/>
        <v>0.80000000000000071</v>
      </c>
      <c r="O55" s="20"/>
      <c r="T55" s="63"/>
      <c r="U55" s="63"/>
    </row>
    <row r="56" spans="1:21">
      <c r="A56" s="140">
        <v>8964</v>
      </c>
      <c r="B56" s="140" t="s">
        <v>87</v>
      </c>
      <c r="C56" s="140" t="s">
        <v>73</v>
      </c>
      <c r="D56" s="143" t="s">
        <v>8</v>
      </c>
      <c r="E56" s="144">
        <v>43176.684062499997</v>
      </c>
      <c r="F56" s="89">
        <f t="shared" si="9"/>
        <v>43176.684062499997</v>
      </c>
      <c r="G56" s="90" t="str">
        <f t="shared" si="10"/>
        <v>16:25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</row>
    <row r="57" spans="1:21">
      <c r="A57" s="140">
        <v>8979</v>
      </c>
      <c r="B57" s="140" t="s">
        <v>73</v>
      </c>
      <c r="C57" s="140" t="s">
        <v>73</v>
      </c>
      <c r="D57" s="143" t="s">
        <v>6</v>
      </c>
      <c r="E57" s="144">
        <v>43178.370821759258</v>
      </c>
      <c r="F57" s="89">
        <f t="shared" si="9"/>
        <v>43178.370821759258</v>
      </c>
      <c r="G57" s="90" t="str">
        <f t="shared" si="10"/>
        <v>8:53</v>
      </c>
      <c r="H57" s="91">
        <f t="shared" si="11"/>
        <v>9.5666666666666664</v>
      </c>
      <c r="I57" s="92">
        <f t="shared" si="12"/>
        <v>8</v>
      </c>
      <c r="J57" s="92" t="str">
        <f t="shared" si="13"/>
        <v>-</v>
      </c>
      <c r="K57" s="93">
        <f t="shared" si="14"/>
        <v>0</v>
      </c>
      <c r="L57" s="93"/>
      <c r="M57" s="94">
        <f t="shared" si="15"/>
        <v>0</v>
      </c>
      <c r="N57" s="94">
        <f t="shared" si="16"/>
        <v>0</v>
      </c>
      <c r="O57" s="20"/>
    </row>
    <row r="58" spans="1:21">
      <c r="A58" s="140">
        <v>8991</v>
      </c>
      <c r="B58" s="140" t="s">
        <v>87</v>
      </c>
      <c r="C58" s="140" t="s">
        <v>73</v>
      </c>
      <c r="D58" s="143" t="s">
        <v>5</v>
      </c>
      <c r="E58" s="144">
        <v>43178.769166666665</v>
      </c>
      <c r="F58" s="89">
        <f t="shared" si="9"/>
        <v>43178.769166666665</v>
      </c>
      <c r="G58" s="90" t="str">
        <f t="shared" si="10"/>
        <v>18:27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</row>
    <row r="59" spans="1:21">
      <c r="A59" s="140">
        <v>8997</v>
      </c>
      <c r="B59" s="140" t="s">
        <v>87</v>
      </c>
      <c r="C59" s="140" t="s">
        <v>73</v>
      </c>
      <c r="D59" s="143" t="s">
        <v>7</v>
      </c>
      <c r="E59" s="144">
        <v>43178.793032407404</v>
      </c>
      <c r="F59" s="89">
        <f t="shared" si="9"/>
        <v>43178.793032407404</v>
      </c>
      <c r="G59" s="90" t="str">
        <f t="shared" si="10"/>
        <v>19:1</v>
      </c>
      <c r="H59" s="91" t="str">
        <f t="shared" si="11"/>
        <v>-</v>
      </c>
      <c r="I59" s="92" t="str">
        <f t="shared" si="12"/>
        <v>-</v>
      </c>
      <c r="J59" s="92" t="str">
        <f t="shared" si="13"/>
        <v>-</v>
      </c>
      <c r="K59" s="93">
        <f t="shared" si="14"/>
        <v>1.5499999999999998</v>
      </c>
      <c r="L59" s="93"/>
      <c r="M59" s="94">
        <f t="shared" si="15"/>
        <v>1.5499999999999998</v>
      </c>
      <c r="N59" s="94">
        <f t="shared" si="16"/>
        <v>0</v>
      </c>
      <c r="O59" s="20"/>
    </row>
    <row r="60" spans="1:21">
      <c r="A60" s="140">
        <v>9001</v>
      </c>
      <c r="B60" s="140" t="s">
        <v>73</v>
      </c>
      <c r="C60" s="140" t="s">
        <v>73</v>
      </c>
      <c r="D60" s="143" t="s">
        <v>8</v>
      </c>
      <c r="E60" s="144">
        <v>43178.857222222221</v>
      </c>
      <c r="F60" s="89">
        <f t="shared" si="9"/>
        <v>43178.857222222221</v>
      </c>
      <c r="G60" s="90" t="str">
        <f t="shared" si="10"/>
        <v>20:34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</row>
    <row r="61" spans="1:21">
      <c r="A61" s="140">
        <v>9015</v>
      </c>
      <c r="B61" s="140" t="s">
        <v>73</v>
      </c>
      <c r="C61" s="140" t="s">
        <v>73</v>
      </c>
      <c r="D61" s="143" t="s">
        <v>6</v>
      </c>
      <c r="E61" s="144">
        <v>43179.370300925926</v>
      </c>
      <c r="F61" s="89">
        <f t="shared" si="9"/>
        <v>43179.370300925926</v>
      </c>
      <c r="G61" s="90" t="str">
        <f t="shared" si="10"/>
        <v>8:53</v>
      </c>
      <c r="H61" s="91">
        <f t="shared" si="11"/>
        <v>9.5166666666666657</v>
      </c>
      <c r="I61" s="92">
        <f t="shared" si="12"/>
        <v>8</v>
      </c>
      <c r="J61" s="92" t="str">
        <f t="shared" si="13"/>
        <v>-</v>
      </c>
      <c r="K61" s="93">
        <f t="shared" si="14"/>
        <v>0</v>
      </c>
      <c r="L61" s="93"/>
      <c r="M61" s="94">
        <f t="shared" si="15"/>
        <v>0</v>
      </c>
      <c r="N61" s="94">
        <f t="shared" si="16"/>
        <v>0</v>
      </c>
      <c r="O61" s="20"/>
    </row>
    <row r="62" spans="1:21">
      <c r="A62" s="140">
        <v>9022</v>
      </c>
      <c r="B62" s="140" t="s">
        <v>87</v>
      </c>
      <c r="C62" s="140" t="s">
        <v>73</v>
      </c>
      <c r="D62" s="143" t="s">
        <v>5</v>
      </c>
      <c r="E62" s="144">
        <v>43179.766759259262</v>
      </c>
      <c r="F62" s="89">
        <f t="shared" si="9"/>
        <v>43179.766759259262</v>
      </c>
      <c r="G62" s="90" t="str">
        <f t="shared" si="10"/>
        <v>18:24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</row>
    <row r="63" spans="1:21">
      <c r="A63" s="140">
        <v>9038</v>
      </c>
      <c r="B63" s="140" t="s">
        <v>87</v>
      </c>
      <c r="C63" s="140" t="s">
        <v>73</v>
      </c>
      <c r="D63" s="143" t="s">
        <v>7</v>
      </c>
      <c r="E63" s="144">
        <v>43179.795983796299</v>
      </c>
      <c r="F63" s="89">
        <f t="shared" si="9"/>
        <v>43179.795983796299</v>
      </c>
      <c r="G63" s="90" t="str">
        <f t="shared" si="10"/>
        <v>19:6</v>
      </c>
      <c r="H63" s="91" t="str">
        <f t="shared" si="11"/>
        <v>-</v>
      </c>
      <c r="I63" s="92" t="str">
        <f t="shared" si="12"/>
        <v>-</v>
      </c>
      <c r="J63" s="92" t="str">
        <f t="shared" si="13"/>
        <v>-</v>
      </c>
      <c r="K63" s="93">
        <f t="shared" si="14"/>
        <v>2.0666666666666673</v>
      </c>
      <c r="L63" s="93"/>
      <c r="M63" s="94">
        <f t="shared" si="15"/>
        <v>2</v>
      </c>
      <c r="N63" s="94">
        <f t="shared" si="16"/>
        <v>6.6666666666667318E-2</v>
      </c>
      <c r="O63" s="20"/>
    </row>
    <row r="64" spans="1:21" s="63" customFormat="1">
      <c r="A64" s="140">
        <v>9042</v>
      </c>
      <c r="B64" s="140" t="s">
        <v>73</v>
      </c>
      <c r="C64" s="140" t="s">
        <v>73</v>
      </c>
      <c r="D64" s="143" t="s">
        <v>8</v>
      </c>
      <c r="E64" s="144">
        <v>43179.882395833331</v>
      </c>
      <c r="F64" s="89">
        <f t="shared" si="9"/>
        <v>43179.882395833331</v>
      </c>
      <c r="G64" s="90" t="str">
        <f t="shared" si="10"/>
        <v>21:10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  <c r="P64" s="18"/>
      <c r="Q64" s="18"/>
      <c r="R64" s="18"/>
      <c r="S64" s="18"/>
    </row>
    <row r="65" spans="1:19" s="63" customFormat="1">
      <c r="A65" s="140">
        <v>9052</v>
      </c>
      <c r="B65" s="140" t="s">
        <v>73</v>
      </c>
      <c r="C65" s="140" t="s">
        <v>73</v>
      </c>
      <c r="D65" s="143" t="s">
        <v>6</v>
      </c>
      <c r="E65" s="144">
        <v>43180.370254629626</v>
      </c>
      <c r="F65" s="89">
        <f t="shared" si="9"/>
        <v>43180.370254629626</v>
      </c>
      <c r="G65" s="90" t="str">
        <f t="shared" si="10"/>
        <v>8:53</v>
      </c>
      <c r="H65" s="91">
        <f t="shared" si="11"/>
        <v>9.6166666666666689</v>
      </c>
      <c r="I65" s="92">
        <f t="shared" si="12"/>
        <v>8</v>
      </c>
      <c r="J65" s="92" t="str">
        <f t="shared" si="13"/>
        <v>-</v>
      </c>
      <c r="K65" s="93">
        <f t="shared" si="14"/>
        <v>0</v>
      </c>
      <c r="L65" s="93"/>
      <c r="M65" s="94">
        <f t="shared" si="15"/>
        <v>0</v>
      </c>
      <c r="N65" s="94">
        <f t="shared" si="16"/>
        <v>0</v>
      </c>
      <c r="O65" s="20"/>
      <c r="P65" s="18"/>
      <c r="Q65" s="18"/>
      <c r="R65" s="18"/>
      <c r="S65" s="18"/>
    </row>
    <row r="66" spans="1:19" s="63" customFormat="1">
      <c r="A66" s="140">
        <v>9067</v>
      </c>
      <c r="B66" s="140" t="s">
        <v>73</v>
      </c>
      <c r="C66" s="140" t="s">
        <v>73</v>
      </c>
      <c r="D66" s="143" t="s">
        <v>5</v>
      </c>
      <c r="E66" s="144">
        <v>43180.771261574075</v>
      </c>
      <c r="F66" s="89">
        <f t="shared" si="9"/>
        <v>43180.771261574075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  <c r="P66" s="18"/>
      <c r="Q66" s="18"/>
      <c r="R66" s="18"/>
      <c r="S66" s="18"/>
    </row>
    <row r="67" spans="1:19" s="63" customFormat="1">
      <c r="A67" s="140">
        <v>9068</v>
      </c>
      <c r="B67" s="140" t="s">
        <v>73</v>
      </c>
      <c r="C67" s="140" t="s">
        <v>73</v>
      </c>
      <c r="D67" s="143" t="s">
        <v>7</v>
      </c>
      <c r="E67" s="144">
        <v>43180.77134259259</v>
      </c>
      <c r="F67" s="89">
        <f t="shared" si="9"/>
        <v>43180.77134259259</v>
      </c>
      <c r="G67" s="90" t="str">
        <f t="shared" si="10"/>
        <v>18:30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0.75</v>
      </c>
      <c r="L67" s="93"/>
      <c r="M67" s="94">
        <f t="shared" si="15"/>
        <v>0.75</v>
      </c>
      <c r="N67" s="94">
        <f t="shared" si="16"/>
        <v>0</v>
      </c>
      <c r="O67" s="20"/>
      <c r="P67" s="18"/>
      <c r="Q67" s="18"/>
      <c r="R67" s="18"/>
      <c r="S67" s="18"/>
    </row>
    <row r="68" spans="1:19">
      <c r="A68" s="140">
        <v>9073</v>
      </c>
      <c r="B68" s="140" t="s">
        <v>73</v>
      </c>
      <c r="C68" s="140" t="s">
        <v>73</v>
      </c>
      <c r="D68" s="143" t="s">
        <v>8</v>
      </c>
      <c r="E68" s="144">
        <v>43180.802083333336</v>
      </c>
      <c r="F68" s="89">
        <f t="shared" si="9"/>
        <v>43180.802083333336</v>
      </c>
      <c r="G68" s="90" t="str">
        <f t="shared" si="10"/>
        <v>19:15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9087</v>
      </c>
      <c r="B69" t="s">
        <v>73</v>
      </c>
      <c r="C69" t="s">
        <v>73</v>
      </c>
      <c r="D69" s="143" t="s">
        <v>6</v>
      </c>
      <c r="E69" s="144">
        <v>43181.370266203703</v>
      </c>
      <c r="F69" s="89">
        <f t="shared" si="9"/>
        <v>43181.370266203703</v>
      </c>
      <c r="G69" s="90" t="str">
        <f t="shared" si="10"/>
        <v>8:53</v>
      </c>
      <c r="H69" s="91">
        <f t="shared" si="11"/>
        <v>9.5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9098</v>
      </c>
      <c r="B70" t="s">
        <v>73</v>
      </c>
      <c r="C70" t="s">
        <v>73</v>
      </c>
      <c r="D70" s="143" t="s">
        <v>5</v>
      </c>
      <c r="E70" s="144">
        <v>43181.766435185185</v>
      </c>
      <c r="F70" s="89">
        <f t="shared" si="9"/>
        <v>43181.766435185185</v>
      </c>
      <c r="G70" s="90" t="str">
        <f t="shared" si="10"/>
        <v>18:23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9108</v>
      </c>
      <c r="B71" t="s">
        <v>73</v>
      </c>
      <c r="C71" t="s">
        <v>73</v>
      </c>
      <c r="D71" s="143" t="s">
        <v>7</v>
      </c>
      <c r="E71" s="144">
        <v>43181.810185185182</v>
      </c>
      <c r="F71" s="89">
        <f t="shared" si="9"/>
        <v>43181.810185185182</v>
      </c>
      <c r="G71" s="90" t="str">
        <f t="shared" si="10"/>
        <v>19:26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2.8999999999999977</v>
      </c>
      <c r="L71" s="93"/>
      <c r="M71" s="94">
        <f t="shared" si="15"/>
        <v>2</v>
      </c>
      <c r="N71" s="94">
        <f t="shared" si="16"/>
        <v>0.89999999999999769</v>
      </c>
      <c r="O71" s="20"/>
    </row>
    <row r="72" spans="1:19">
      <c r="A72">
        <v>9112</v>
      </c>
      <c r="B72" t="s">
        <v>73</v>
      </c>
      <c r="C72" t="s">
        <v>73</v>
      </c>
      <c r="D72" s="143" t="s">
        <v>8</v>
      </c>
      <c r="E72" s="144">
        <v>43181.93105324074</v>
      </c>
      <c r="F72" s="89">
        <f t="shared" ref="F72:F96" si="17">E72</f>
        <v>43181.93105324074</v>
      </c>
      <c r="G72" s="90" t="str">
        <f t="shared" ref="G72:G96" si="18">HOUR(E72)&amp;":"&amp;MINUTE(E72)</f>
        <v>22:20</v>
      </c>
      <c r="H72" s="91" t="str">
        <f t="shared" ref="H72:H96" si="19">IF(D72="上班",(G73-G72)*24,"-")</f>
        <v>-</v>
      </c>
      <c r="I72" s="92" t="str">
        <f t="shared" ref="I72:I96" si="20">IF(D72="上班",IF(H72-1.5&gt;8,8,H72-1.5),"-")</f>
        <v>-</v>
      </c>
      <c r="J72" s="92" t="str">
        <f t="shared" ref="J72:J96" si="21">IF(I72&lt;8,8-I72,"-")</f>
        <v>-</v>
      </c>
      <c r="K72" s="93">
        <f t="shared" ref="K72:K96" si="22">IF(D72="加班",(G73-G72)*24,0)</f>
        <v>0</v>
      </c>
      <c r="L72" s="93"/>
      <c r="M72" s="94">
        <f t="shared" ref="M72:M96" si="23">IF(K72&gt;2,2,K72)</f>
        <v>0</v>
      </c>
      <c r="N72" s="94">
        <f t="shared" ref="N72:N96" si="24">IF(K72&gt;2,K72-2,0)</f>
        <v>0</v>
      </c>
      <c r="O72" s="20"/>
    </row>
    <row r="73" spans="1:19">
      <c r="A73">
        <v>9122</v>
      </c>
      <c r="B73" t="s">
        <v>87</v>
      </c>
      <c r="C73" t="s">
        <v>73</v>
      </c>
      <c r="D73" s="143" t="s">
        <v>6</v>
      </c>
      <c r="E73" s="144">
        <v>43182.372523148151</v>
      </c>
      <c r="F73" s="89">
        <f t="shared" si="17"/>
        <v>43182.372523148151</v>
      </c>
      <c r="G73" s="90" t="str">
        <f t="shared" si="18"/>
        <v>8:56</v>
      </c>
      <c r="H73" s="91">
        <f t="shared" si="19"/>
        <v>9.5166666666666657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9131</v>
      </c>
      <c r="B74" t="s">
        <v>73</v>
      </c>
      <c r="C74" t="s">
        <v>73</v>
      </c>
      <c r="D74" s="143" t="s">
        <v>5</v>
      </c>
      <c r="E74" s="144">
        <v>43182.769016203703</v>
      </c>
      <c r="F74" s="89">
        <f t="shared" si="17"/>
        <v>43182.769016203703</v>
      </c>
      <c r="G74" s="90" t="str">
        <f t="shared" si="18"/>
        <v>18:27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9142</v>
      </c>
      <c r="B75" t="s">
        <v>73</v>
      </c>
      <c r="C75" t="s">
        <v>73</v>
      </c>
      <c r="D75" s="143" t="s">
        <v>6</v>
      </c>
      <c r="E75" s="144">
        <v>43185.369583333333</v>
      </c>
      <c r="F75" s="89">
        <f t="shared" si="17"/>
        <v>43185.369583333333</v>
      </c>
      <c r="G75" s="90" t="str">
        <f t="shared" si="18"/>
        <v>8:52</v>
      </c>
      <c r="H75" s="91">
        <f t="shared" si="19"/>
        <v>9.8999999999999986</v>
      </c>
      <c r="I75" s="92">
        <f t="shared" si="20"/>
        <v>8</v>
      </c>
      <c r="J75" s="92" t="str">
        <f t="shared" si="21"/>
        <v>-</v>
      </c>
      <c r="K75" s="93">
        <f t="shared" si="22"/>
        <v>0</v>
      </c>
      <c r="L75" s="93"/>
      <c r="M75" s="94">
        <f t="shared" si="23"/>
        <v>0</v>
      </c>
      <c r="N75" s="94">
        <f t="shared" si="24"/>
        <v>0</v>
      </c>
      <c r="O75" s="20"/>
    </row>
    <row r="76" spans="1:19">
      <c r="A76">
        <v>9155</v>
      </c>
      <c r="B76" t="s">
        <v>87</v>
      </c>
      <c r="C76" t="s">
        <v>73</v>
      </c>
      <c r="D76" s="143" t="s">
        <v>5</v>
      </c>
      <c r="E76" s="144">
        <v>43185.78229166667</v>
      </c>
      <c r="F76" s="89">
        <f t="shared" si="17"/>
        <v>43185.78229166667</v>
      </c>
      <c r="G76" s="90" t="str">
        <f t="shared" si="18"/>
        <v>18:46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>
      <c r="A77">
        <v>9156</v>
      </c>
      <c r="B77" t="s">
        <v>87</v>
      </c>
      <c r="C77" t="s">
        <v>73</v>
      </c>
      <c r="D77" s="143" t="s">
        <v>7</v>
      </c>
      <c r="E77" s="144">
        <v>43185.782337962963</v>
      </c>
      <c r="F77" s="89">
        <f t="shared" si="17"/>
        <v>43185.782337962963</v>
      </c>
      <c r="G77" s="90" t="str">
        <f t="shared" si="18"/>
        <v>18:46</v>
      </c>
      <c r="H77" s="91" t="str">
        <f t="shared" si="19"/>
        <v>-</v>
      </c>
      <c r="I77" s="92" t="str">
        <f t="shared" si="20"/>
        <v>-</v>
      </c>
      <c r="J77" s="92" t="str">
        <f t="shared" si="21"/>
        <v>-</v>
      </c>
      <c r="K77" s="93">
        <f t="shared" si="22"/>
        <v>1.6999999999999993</v>
      </c>
      <c r="L77" s="93"/>
      <c r="M77" s="94">
        <f t="shared" si="23"/>
        <v>1.6999999999999993</v>
      </c>
      <c r="N77" s="94">
        <f t="shared" si="24"/>
        <v>0</v>
      </c>
      <c r="O77" s="20"/>
    </row>
    <row r="78" spans="1:19">
      <c r="A78">
        <v>9161</v>
      </c>
      <c r="B78" t="s">
        <v>73</v>
      </c>
      <c r="C78" t="s">
        <v>73</v>
      </c>
      <c r="D78" s="143" t="s">
        <v>8</v>
      </c>
      <c r="E78" s="144">
        <v>43185.853217592594</v>
      </c>
      <c r="F78" s="89">
        <f t="shared" si="17"/>
        <v>43185.853217592594</v>
      </c>
      <c r="G78" s="90" t="str">
        <f t="shared" si="18"/>
        <v>20:28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9169</v>
      </c>
      <c r="B79" t="s">
        <v>73</v>
      </c>
      <c r="C79" t="s">
        <v>73</v>
      </c>
      <c r="D79" s="143" t="s">
        <v>6</v>
      </c>
      <c r="E79" s="144">
        <v>43186.372106481482</v>
      </c>
      <c r="F79" s="89">
        <f t="shared" si="17"/>
        <v>43186.372106481482</v>
      </c>
      <c r="G79" s="90" t="str">
        <f t="shared" si="18"/>
        <v>8:55</v>
      </c>
      <c r="H79" s="91">
        <f t="shared" si="19"/>
        <v>9.6833333333333353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9179</v>
      </c>
      <c r="B80" t="s">
        <v>73</v>
      </c>
      <c r="C80" t="s">
        <v>73</v>
      </c>
      <c r="D80" s="143" t="s">
        <v>5</v>
      </c>
      <c r="E80" s="144">
        <v>43186.77511574074</v>
      </c>
      <c r="F80" s="89">
        <f t="shared" si="17"/>
        <v>43186.77511574074</v>
      </c>
      <c r="G80" s="90" t="str">
        <f t="shared" si="18"/>
        <v>18:36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9180</v>
      </c>
      <c r="B81" t="s">
        <v>73</v>
      </c>
      <c r="C81" t="s">
        <v>73</v>
      </c>
      <c r="D81" s="143" t="s">
        <v>7</v>
      </c>
      <c r="E81" s="144">
        <v>43186.780092592591</v>
      </c>
      <c r="F81" s="89">
        <f t="shared" si="17"/>
        <v>43186.780092592591</v>
      </c>
      <c r="G81" s="90" t="str">
        <f t="shared" si="18"/>
        <v>18:43</v>
      </c>
      <c r="H81" s="91" t="str">
        <f t="shared" si="19"/>
        <v>-</v>
      </c>
      <c r="I81" s="92" t="str">
        <f t="shared" si="20"/>
        <v>-</v>
      </c>
      <c r="J81" s="92" t="str">
        <f t="shared" si="21"/>
        <v>-</v>
      </c>
      <c r="K81" s="93">
        <f t="shared" si="22"/>
        <v>0.23333333333333517</v>
      </c>
      <c r="L81" s="93"/>
      <c r="M81" s="94">
        <f t="shared" si="23"/>
        <v>0.23333333333333517</v>
      </c>
      <c r="N81" s="94">
        <f t="shared" si="24"/>
        <v>0</v>
      </c>
      <c r="O81" s="20"/>
    </row>
    <row r="82" spans="1:15">
      <c r="A82">
        <v>9183</v>
      </c>
      <c r="B82" t="s">
        <v>73</v>
      </c>
      <c r="C82" t="s">
        <v>73</v>
      </c>
      <c r="D82" s="143" t="s">
        <v>8</v>
      </c>
      <c r="E82" s="144">
        <v>43186.790196759262</v>
      </c>
      <c r="F82" s="89">
        <f t="shared" si="17"/>
        <v>43186.790196759262</v>
      </c>
      <c r="G82" s="90" t="str">
        <f t="shared" si="18"/>
        <v>18:57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9198</v>
      </c>
      <c r="B83" t="s">
        <v>73</v>
      </c>
      <c r="C83" t="s">
        <v>73</v>
      </c>
      <c r="D83" s="143" t="s">
        <v>6</v>
      </c>
      <c r="E83" s="144">
        <v>43187.372523148151</v>
      </c>
      <c r="F83" s="89">
        <f t="shared" si="17"/>
        <v>43187.372523148151</v>
      </c>
      <c r="G83" s="90" t="str">
        <f t="shared" si="18"/>
        <v>8:56</v>
      </c>
      <c r="H83" s="91">
        <f t="shared" si="19"/>
        <v>9.6333333333333329</v>
      </c>
      <c r="I83" s="92">
        <f t="shared" si="20"/>
        <v>8</v>
      </c>
      <c r="J83" s="92" t="str">
        <f t="shared" si="21"/>
        <v>-</v>
      </c>
      <c r="K83" s="93">
        <f t="shared" si="22"/>
        <v>0</v>
      </c>
      <c r="L83" s="93"/>
      <c r="M83" s="94">
        <f t="shared" si="23"/>
        <v>0</v>
      </c>
      <c r="N83" s="94">
        <f t="shared" si="24"/>
        <v>0</v>
      </c>
      <c r="O83" s="20"/>
    </row>
    <row r="84" spans="1:15">
      <c r="A84">
        <v>9215</v>
      </c>
      <c r="B84" t="s">
        <v>87</v>
      </c>
      <c r="C84" t="s">
        <v>73</v>
      </c>
      <c r="D84" s="143" t="s">
        <v>5</v>
      </c>
      <c r="E84" s="144">
        <v>43187.773645833331</v>
      </c>
      <c r="F84" s="89">
        <f t="shared" si="17"/>
        <v>43187.773645833331</v>
      </c>
      <c r="G84" s="90" t="str">
        <f t="shared" si="18"/>
        <v>18:34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9216</v>
      </c>
      <c r="B85" t="s">
        <v>87</v>
      </c>
      <c r="C85" t="s">
        <v>73</v>
      </c>
      <c r="D85" s="143" t="s">
        <v>7</v>
      </c>
      <c r="E85" s="144">
        <v>43187.773692129631</v>
      </c>
      <c r="F85" s="89">
        <f t="shared" si="17"/>
        <v>43187.773692129631</v>
      </c>
      <c r="G85" s="90" t="str">
        <f t="shared" si="18"/>
        <v>18:34</v>
      </c>
      <c r="H85" s="91" t="str">
        <f t="shared" si="19"/>
        <v>-</v>
      </c>
      <c r="I85" s="92" t="str">
        <f t="shared" si="20"/>
        <v>-</v>
      </c>
      <c r="J85" s="92" t="str">
        <f t="shared" si="21"/>
        <v>-</v>
      </c>
      <c r="K85" s="93">
        <f t="shared" si="22"/>
        <v>3.7166666666666668</v>
      </c>
      <c r="L85" s="93"/>
      <c r="M85" s="94">
        <f t="shared" si="23"/>
        <v>2</v>
      </c>
      <c r="N85" s="94">
        <f t="shared" si="24"/>
        <v>1.7166666666666668</v>
      </c>
      <c r="O85" s="20"/>
    </row>
    <row r="86" spans="1:15">
      <c r="A86">
        <v>9224</v>
      </c>
      <c r="B86" t="s">
        <v>73</v>
      </c>
      <c r="C86" t="s">
        <v>73</v>
      </c>
      <c r="D86" s="143" t="s">
        <v>8</v>
      </c>
      <c r="E86" s="144">
        <v>43187.928969907407</v>
      </c>
      <c r="F86" s="89">
        <f t="shared" si="17"/>
        <v>43187.928969907407</v>
      </c>
      <c r="G86" s="90" t="str">
        <f t="shared" si="18"/>
        <v>22:17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9233</v>
      </c>
      <c r="B87" t="s">
        <v>73</v>
      </c>
      <c r="C87" t="s">
        <v>73</v>
      </c>
      <c r="D87" s="143" t="s">
        <v>6</v>
      </c>
      <c r="E87" s="144">
        <v>43188.371481481481</v>
      </c>
      <c r="F87" s="89">
        <f t="shared" si="17"/>
        <v>43188.371481481481</v>
      </c>
      <c r="G87" s="90" t="str">
        <f t="shared" si="18"/>
        <v>8:54</v>
      </c>
      <c r="H87" s="91">
        <f t="shared" si="19"/>
        <v>9.6000000000000014</v>
      </c>
      <c r="I87" s="92">
        <f t="shared" si="20"/>
        <v>8</v>
      </c>
      <c r="J87" s="92" t="str">
        <f t="shared" si="21"/>
        <v>-</v>
      </c>
      <c r="K87" s="93">
        <f t="shared" si="22"/>
        <v>0</v>
      </c>
      <c r="L87" s="93"/>
      <c r="M87" s="94">
        <f t="shared" si="23"/>
        <v>0</v>
      </c>
      <c r="N87" s="94">
        <f t="shared" si="24"/>
        <v>0</v>
      </c>
      <c r="O87" s="20"/>
    </row>
    <row r="88" spans="1:15">
      <c r="A88">
        <v>9239</v>
      </c>
      <c r="B88" t="s">
        <v>73</v>
      </c>
      <c r="C88" t="s">
        <v>73</v>
      </c>
      <c r="D88" s="143" t="s">
        <v>5</v>
      </c>
      <c r="E88" s="144">
        <v>43188.771087962959</v>
      </c>
      <c r="F88" s="89">
        <f t="shared" si="17"/>
        <v>43188.771087962959</v>
      </c>
      <c r="G88" s="90" t="str">
        <f t="shared" si="18"/>
        <v>18:30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9242</v>
      </c>
      <c r="B89" t="s">
        <v>73</v>
      </c>
      <c r="C89" t="s">
        <v>73</v>
      </c>
      <c r="D89" s="143" t="s">
        <v>7</v>
      </c>
      <c r="E89" s="144">
        <v>43188.771192129629</v>
      </c>
      <c r="F89" s="89">
        <f t="shared" si="17"/>
        <v>43188.771192129629</v>
      </c>
      <c r="G89" s="90" t="str">
        <f t="shared" si="18"/>
        <v>18:30</v>
      </c>
      <c r="H89" s="91" t="str">
        <f t="shared" si="19"/>
        <v>-</v>
      </c>
      <c r="I89" s="92" t="str">
        <f t="shared" si="20"/>
        <v>-</v>
      </c>
      <c r="J89" s="92" t="str">
        <f t="shared" si="21"/>
        <v>-</v>
      </c>
      <c r="K89" s="93">
        <f t="shared" si="22"/>
        <v>0.96666666666666323</v>
      </c>
      <c r="L89" s="93"/>
      <c r="M89" s="94">
        <f t="shared" si="23"/>
        <v>0.96666666666666323</v>
      </c>
      <c r="N89" s="94">
        <f t="shared" si="24"/>
        <v>0</v>
      </c>
      <c r="O89" s="20"/>
    </row>
    <row r="90" spans="1:15">
      <c r="A90">
        <v>9253</v>
      </c>
      <c r="B90" t="s">
        <v>73</v>
      </c>
      <c r="C90" t="s">
        <v>73</v>
      </c>
      <c r="D90" s="143" t="s">
        <v>8</v>
      </c>
      <c r="E90" s="144">
        <v>43188.811759259261</v>
      </c>
      <c r="F90" s="89">
        <f t="shared" si="17"/>
        <v>43188.811759259261</v>
      </c>
      <c r="G90" s="90" t="str">
        <f t="shared" si="18"/>
        <v>19:28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9267</v>
      </c>
      <c r="B91" t="s">
        <v>73</v>
      </c>
      <c r="C91" t="s">
        <v>73</v>
      </c>
      <c r="D91" s="143" t="s">
        <v>6</v>
      </c>
      <c r="E91" s="144">
        <v>43189.375243055554</v>
      </c>
      <c r="F91" s="89">
        <f t="shared" si="17"/>
        <v>43189.375243055554</v>
      </c>
      <c r="G91" s="90" t="str">
        <f t="shared" si="18"/>
        <v>9:0</v>
      </c>
      <c r="H91" s="91">
        <f t="shared" si="19"/>
        <v>9.5166666666666657</v>
      </c>
      <c r="I91" s="92">
        <f t="shared" si="20"/>
        <v>8</v>
      </c>
      <c r="J91" s="92" t="str">
        <f t="shared" si="21"/>
        <v>-</v>
      </c>
      <c r="K91" s="93">
        <f t="shared" si="22"/>
        <v>0</v>
      </c>
      <c r="L91" s="93"/>
      <c r="M91" s="94">
        <f t="shared" si="23"/>
        <v>0</v>
      </c>
      <c r="N91" s="94">
        <f t="shared" si="24"/>
        <v>0</v>
      </c>
      <c r="O91" s="20"/>
    </row>
    <row r="92" spans="1:15">
      <c r="A92">
        <v>9273</v>
      </c>
      <c r="B92" t="s">
        <v>73</v>
      </c>
      <c r="C92" t="s">
        <v>73</v>
      </c>
      <c r="D92" s="143" t="s">
        <v>5</v>
      </c>
      <c r="E92" s="144">
        <v>43189.772175925929</v>
      </c>
      <c r="F92" s="89">
        <f t="shared" si="17"/>
        <v>43189.772175925929</v>
      </c>
      <c r="G92" s="90" t="str">
        <f t="shared" si="18"/>
        <v>18:31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9291</v>
      </c>
      <c r="B93" t="s">
        <v>73</v>
      </c>
      <c r="C93" t="s">
        <v>73</v>
      </c>
      <c r="D93" s="143" t="s">
        <v>6</v>
      </c>
      <c r="E93" s="144">
        <v>43190.37226851852</v>
      </c>
      <c r="F93" s="89">
        <f t="shared" si="17"/>
        <v>43190.37226851852</v>
      </c>
      <c r="G93" s="90" t="str">
        <f t="shared" si="18"/>
        <v>8:56</v>
      </c>
      <c r="H93" s="91">
        <f t="shared" si="19"/>
        <v>9.5500000000000007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9297</v>
      </c>
      <c r="B94" t="s">
        <v>87</v>
      </c>
      <c r="C94" t="s">
        <v>73</v>
      </c>
      <c r="D94" s="143" t="s">
        <v>5</v>
      </c>
      <c r="E94" s="144">
        <v>43190.770416666666</v>
      </c>
      <c r="F94" s="89">
        <f t="shared" si="17"/>
        <v>43190.770416666666</v>
      </c>
      <c r="G94" s="90" t="str">
        <f t="shared" si="18"/>
        <v>18:29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9298</v>
      </c>
      <c r="B95" t="s">
        <v>87</v>
      </c>
      <c r="C95" t="s">
        <v>73</v>
      </c>
      <c r="D95" s="143" t="s">
        <v>7</v>
      </c>
      <c r="E95" s="144">
        <v>43190.770474537036</v>
      </c>
      <c r="F95" s="89">
        <f t="shared" si="17"/>
        <v>43190.770474537036</v>
      </c>
      <c r="G95" s="90" t="str">
        <f t="shared" si="18"/>
        <v>18:29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2.9166666666666643</v>
      </c>
      <c r="L95" s="93"/>
      <c r="M95" s="94">
        <f t="shared" si="23"/>
        <v>2</v>
      </c>
      <c r="N95" s="94">
        <f t="shared" si="24"/>
        <v>0.9166666666666643</v>
      </c>
      <c r="O95" s="20"/>
    </row>
    <row r="96" spans="1:15">
      <c r="A96">
        <v>9308</v>
      </c>
      <c r="B96" t="s">
        <v>73</v>
      </c>
      <c r="C96" t="s">
        <v>73</v>
      </c>
      <c r="D96" s="143" t="s">
        <v>8</v>
      </c>
      <c r="E96" s="144">
        <v>43190.891689814816</v>
      </c>
      <c r="F96" s="89">
        <f t="shared" si="17"/>
        <v>43190.891689814816</v>
      </c>
      <c r="G96" s="90" t="str">
        <f t="shared" si="18"/>
        <v>21:24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9" spans="4:4">
      <c r="D99" s="9" t="s">
        <v>37</v>
      </c>
    </row>
    <row r="100" spans="4:4">
      <c r="D100" s="9" t="s">
        <v>36</v>
      </c>
    </row>
    <row r="101" spans="4:4">
      <c r="D101" s="172" t="s">
        <v>64</v>
      </c>
    </row>
    <row r="102" spans="4:4">
      <c r="D102" t="s">
        <v>67</v>
      </c>
    </row>
    <row r="103" spans="4:4">
      <c r="D103" t="s">
        <v>65</v>
      </c>
    </row>
    <row r="104" spans="4:4">
      <c r="D104" t="s">
        <v>69</v>
      </c>
    </row>
    <row r="105" spans="4:4">
      <c r="D105" t="s">
        <v>70</v>
      </c>
    </row>
    <row r="106" spans="4:4">
      <c r="D106" t="s">
        <v>66</v>
      </c>
    </row>
    <row r="107" spans="4:4">
      <c r="D107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6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>
    <pageSetUpPr fitToPage="1"/>
  </sheetPr>
  <dimension ref="A1:U81"/>
  <sheetViews>
    <sheetView view="pageBreakPreview" topLeftCell="D1" zoomScaleNormal="100" zoomScaleSheetLayoutView="100" workbookViewId="0">
      <selection activeCell="O18" sqref="N18:O18"/>
    </sheetView>
  </sheetViews>
  <sheetFormatPr baseColWidth="10" defaultColWidth="8.83203125" defaultRowHeight="15" outlineLevelCol="1"/>
  <cols>
    <col min="1" max="1" width="5.6640625" hidden="1" customWidth="1" outlineLevel="1"/>
    <col min="2" max="2" width="6.83203125" hidden="1" customWidth="1" outlineLevel="1"/>
    <col min="3" max="3" width="6.5" style="3" hidden="1" customWidth="1" outlineLevel="1"/>
    <col min="4" max="4" width="9" style="3" collapsed="1"/>
    <col min="5" max="5" width="15.1640625" style="3" customWidth="1"/>
    <col min="6" max="6" width="6.1640625" style="16" customWidth="1"/>
    <col min="7" max="7" width="8.6640625" style="17" hidden="1" customWidth="1" outlineLevel="1"/>
    <col min="8" max="8" width="11.1640625" style="51" hidden="1" customWidth="1" outlineLevel="1"/>
    <col min="9" max="9" width="10.164062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10.5" style="22" customWidth="1"/>
    <col min="14" max="14" width="8.6640625" style="22" customWidth="1"/>
    <col min="15" max="15" width="15.16406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" thickBot="1">
      <c r="C1" s="5"/>
      <c r="D1" s="6"/>
      <c r="E1" s="6"/>
      <c r="F1" s="10"/>
      <c r="G1" s="11"/>
      <c r="H1" s="12"/>
      <c r="I1" s="13" t="str">
        <f>B51</f>
        <v>owen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11.5-3.5</f>
        <v>8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SUM(K7:K66)</f>
        <v>14.016666666666676</v>
      </c>
      <c r="L3" s="53">
        <f>D5</f>
        <v>0</v>
      </c>
      <c r="M3" s="53">
        <f>M6-L3</f>
        <v>11.350000000000007</v>
      </c>
      <c r="N3" s="53">
        <f>N6</f>
        <v>2.6666666666666679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136">
        <f>J6</f>
        <v>3.5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8.7604166666666719E-2</v>
      </c>
    </row>
    <row r="6" spans="1:21" ht="16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180.5</v>
      </c>
      <c r="J6" s="78">
        <f>SUM(J7:J150)</f>
        <v>3.5</v>
      </c>
      <c r="K6" s="78">
        <f>SUM(K7:K66)</f>
        <v>14.016666666666676</v>
      </c>
      <c r="L6" s="78">
        <f>SUM(L29:L150)</f>
        <v>0</v>
      </c>
      <c r="M6" s="78">
        <f>SUM(M7:M150)</f>
        <v>11.350000000000007</v>
      </c>
      <c r="N6" s="78">
        <f>SUM(N7:N150)</f>
        <v>2.6666666666666679</v>
      </c>
      <c r="O6" s="45"/>
      <c r="Q6" s="47"/>
    </row>
    <row r="7" spans="1:21" s="63" customFormat="1">
      <c r="A7" s="140">
        <v>8494</v>
      </c>
      <c r="B7" s="140" t="s">
        <v>88</v>
      </c>
      <c r="C7" s="140" t="s">
        <v>88</v>
      </c>
      <c r="D7" s="141" t="s">
        <v>6</v>
      </c>
      <c r="E7" s="142">
        <v>43160.368009259262</v>
      </c>
      <c r="F7" s="89">
        <f t="shared" ref="F7" si="0">E7</f>
        <v>43160.368009259262</v>
      </c>
      <c r="G7" s="90" t="str">
        <f t="shared" ref="G7" si="1">HOUR(E7)&amp;":"&amp;MINUTE(E7)</f>
        <v>8:49</v>
      </c>
      <c r="H7" s="91">
        <f t="shared" ref="H7" si="2">IF(D7="上班",(G8-G7)*24,"-")</f>
        <v>9.6833333333333353</v>
      </c>
      <c r="I7" s="92">
        <f t="shared" ref="I7" si="3">IF(D7="上班",IF(H7-1.5&gt;8,8,H7-1.5),"-")</f>
        <v>8</v>
      </c>
      <c r="J7" s="92" t="str">
        <f t="shared" ref="J7" si="4">IF(I7&lt;8,8-I7,"-")</f>
        <v>-</v>
      </c>
      <c r="K7" s="93">
        <f t="shared" ref="K7" si="5">IF(D7="加班",(G8-G7)*24,0)</f>
        <v>0</v>
      </c>
      <c r="L7" s="93"/>
      <c r="M7" s="94">
        <f t="shared" ref="M7" si="6">IF(K7&gt;2,2,K7)</f>
        <v>0</v>
      </c>
      <c r="N7" s="94">
        <f t="shared" ref="N7" si="7">IF(K7&gt;2,K7-2,0)</f>
        <v>0</v>
      </c>
      <c r="O7" s="36"/>
      <c r="P7" s="18"/>
      <c r="Q7" s="18"/>
      <c r="R7" s="18"/>
      <c r="S7" s="18"/>
    </row>
    <row r="8" spans="1:21" s="63" customFormat="1">
      <c r="A8" s="140">
        <v>8505</v>
      </c>
      <c r="B8" s="140" t="s">
        <v>88</v>
      </c>
      <c r="C8" s="140" t="s">
        <v>88</v>
      </c>
      <c r="D8" s="143" t="s">
        <v>5</v>
      </c>
      <c r="E8" s="144">
        <v>43160.771053240744</v>
      </c>
      <c r="F8" s="89">
        <f t="shared" ref="F8:F70" si="8">E8</f>
        <v>43160.771053240744</v>
      </c>
      <c r="G8" s="90" t="str">
        <f t="shared" ref="G8:G70" si="9">HOUR(E8)&amp;":"&amp;MINUTE(E8)</f>
        <v>18:30</v>
      </c>
      <c r="H8" s="91" t="str">
        <f t="shared" ref="H8:H70" si="10">IF(D8="上班",(G9-G8)*24,"-")</f>
        <v>-</v>
      </c>
      <c r="I8" s="92" t="str">
        <f t="shared" ref="I8:I70" si="11">IF(D8="上班",IF(H8-1.5&gt;8,8,H8-1.5),"-")</f>
        <v>-</v>
      </c>
      <c r="J8" s="92" t="str">
        <f t="shared" ref="J8:J70" si="12">IF(I8&lt;8,8-I8,"-")</f>
        <v>-</v>
      </c>
      <c r="K8" s="93">
        <f t="shared" ref="K8:K70" si="13">IF(D8="加班",(G9-G8)*24,0)</f>
        <v>0</v>
      </c>
      <c r="L8" s="93"/>
      <c r="M8" s="94">
        <f t="shared" ref="M8:M70" si="14">IF(K8&gt;2,2,K8)</f>
        <v>0</v>
      </c>
      <c r="N8" s="94">
        <f t="shared" ref="N8:N70" si="15">IF(K8&gt;2,K8-2,0)</f>
        <v>0</v>
      </c>
      <c r="O8" s="20"/>
      <c r="P8" s="18"/>
      <c r="Q8" s="18"/>
      <c r="R8" s="18"/>
      <c r="S8" s="18"/>
    </row>
    <row r="9" spans="1:21" s="63" customFormat="1">
      <c r="A9" s="140">
        <v>8527</v>
      </c>
      <c r="B9" s="140" t="s">
        <v>88</v>
      </c>
      <c r="C9" s="140" t="s">
        <v>88</v>
      </c>
      <c r="D9" s="143" t="s">
        <v>6</v>
      </c>
      <c r="E9" s="144">
        <v>43161.369259259256</v>
      </c>
      <c r="F9" s="89">
        <f t="shared" si="8"/>
        <v>43161.369259259256</v>
      </c>
      <c r="G9" s="90" t="str">
        <f t="shared" si="9"/>
        <v>8:51</v>
      </c>
      <c r="H9" s="91">
        <f t="shared" si="10"/>
        <v>9.5499999999999989</v>
      </c>
      <c r="I9" s="92">
        <f t="shared" si="11"/>
        <v>8</v>
      </c>
      <c r="J9" s="92" t="str">
        <f t="shared" si="12"/>
        <v>-</v>
      </c>
      <c r="K9" s="93">
        <f t="shared" si="13"/>
        <v>0</v>
      </c>
      <c r="L9" s="93"/>
      <c r="M9" s="94">
        <f t="shared" si="14"/>
        <v>0</v>
      </c>
      <c r="N9" s="94">
        <f t="shared" si="15"/>
        <v>0</v>
      </c>
      <c r="O9" s="20"/>
      <c r="P9" s="18"/>
      <c r="Q9" s="18"/>
      <c r="R9" s="18"/>
      <c r="S9" s="18"/>
    </row>
    <row r="10" spans="1:21" s="63" customFormat="1">
      <c r="A10" s="140">
        <v>8535</v>
      </c>
      <c r="B10" s="140" t="s">
        <v>88</v>
      </c>
      <c r="C10" s="140" t="s">
        <v>88</v>
      </c>
      <c r="D10" s="143" t="s">
        <v>5</v>
      </c>
      <c r="E10" s="144">
        <v>43161.767060185186</v>
      </c>
      <c r="F10" s="89">
        <f t="shared" si="8"/>
        <v>43161.767060185186</v>
      </c>
      <c r="G10" s="90" t="str">
        <f t="shared" si="9"/>
        <v>18:24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  <c r="P10" s="18"/>
      <c r="Q10" s="18"/>
      <c r="R10" s="18"/>
      <c r="S10" s="18"/>
    </row>
    <row r="11" spans="1:21" s="16" customFormat="1">
      <c r="A11" s="426">
        <v>8568</v>
      </c>
      <c r="B11" s="426" t="s">
        <v>88</v>
      </c>
      <c r="C11" s="426" t="s">
        <v>88</v>
      </c>
      <c r="D11" s="138" t="s">
        <v>6</v>
      </c>
      <c r="E11" s="146">
        <v>43164.550879629627</v>
      </c>
      <c r="F11" s="31">
        <f t="shared" si="8"/>
        <v>43164.550879629627</v>
      </c>
      <c r="G11" s="32" t="str">
        <f t="shared" si="9"/>
        <v>13:13</v>
      </c>
      <c r="H11" s="33">
        <f t="shared" si="10"/>
        <v>5.1333333333333337</v>
      </c>
      <c r="I11" s="58">
        <v>4.5</v>
      </c>
      <c r="J11" s="58">
        <f t="shared" si="12"/>
        <v>3.5</v>
      </c>
      <c r="K11" s="34">
        <f t="shared" si="13"/>
        <v>0</v>
      </c>
      <c r="L11" s="34"/>
      <c r="M11" s="35">
        <f t="shared" si="14"/>
        <v>0</v>
      </c>
      <c r="N11" s="35">
        <f t="shared" si="15"/>
        <v>0</v>
      </c>
      <c r="O11" s="20" t="s">
        <v>47</v>
      </c>
      <c r="P11" s="137"/>
      <c r="Q11" s="137"/>
      <c r="R11" s="137"/>
      <c r="S11" s="137"/>
    </row>
    <row r="12" spans="1:21" s="63" customFormat="1">
      <c r="A12" s="140">
        <v>8575</v>
      </c>
      <c r="B12" s="140" t="s">
        <v>89</v>
      </c>
      <c r="C12" s="140" t="s">
        <v>88</v>
      </c>
      <c r="D12" s="143" t="s">
        <v>5</v>
      </c>
      <c r="E12" s="144">
        <v>43164.765069444446</v>
      </c>
      <c r="F12" s="89">
        <f t="shared" si="8"/>
        <v>43164.765069444446</v>
      </c>
      <c r="G12" s="90" t="str">
        <f t="shared" si="9"/>
        <v>18:21</v>
      </c>
      <c r="H12" s="91" t="str">
        <f t="shared" si="10"/>
        <v>-</v>
      </c>
      <c r="I12" s="92" t="str">
        <f t="shared" si="11"/>
        <v>-</v>
      </c>
      <c r="J12" s="92" t="str">
        <f t="shared" si="12"/>
        <v>-</v>
      </c>
      <c r="K12" s="93">
        <f t="shared" si="13"/>
        <v>0</v>
      </c>
      <c r="L12" s="93"/>
      <c r="M12" s="94">
        <f t="shared" si="14"/>
        <v>0</v>
      </c>
      <c r="N12" s="94">
        <f t="shared" si="15"/>
        <v>0</v>
      </c>
      <c r="O12" s="20"/>
      <c r="P12" s="18"/>
      <c r="Q12" s="18"/>
      <c r="R12" s="18"/>
      <c r="S12" s="18"/>
    </row>
    <row r="13" spans="1:21" s="187" customFormat="1">
      <c r="A13" s="140">
        <v>8601</v>
      </c>
      <c r="B13" s="140" t="s">
        <v>88</v>
      </c>
      <c r="C13" s="140" t="s">
        <v>88</v>
      </c>
      <c r="D13" s="143" t="s">
        <v>6</v>
      </c>
      <c r="E13" s="144">
        <v>43165.369756944441</v>
      </c>
      <c r="F13" s="89">
        <f t="shared" si="8"/>
        <v>43165.369756944441</v>
      </c>
      <c r="G13" s="90" t="str">
        <f t="shared" si="9"/>
        <v>8:52</v>
      </c>
      <c r="H13" s="91">
        <f t="shared" si="10"/>
        <v>9.6833333333333336</v>
      </c>
      <c r="I13" s="92">
        <f t="shared" si="11"/>
        <v>8</v>
      </c>
      <c r="J13" s="92" t="str">
        <f t="shared" si="12"/>
        <v>-</v>
      </c>
      <c r="K13" s="93">
        <f t="shared" si="13"/>
        <v>0</v>
      </c>
      <c r="L13" s="93"/>
      <c r="M13" s="94">
        <f t="shared" si="14"/>
        <v>0</v>
      </c>
      <c r="N13" s="94">
        <f t="shared" si="15"/>
        <v>0</v>
      </c>
      <c r="O13" s="20"/>
    </row>
    <row r="14" spans="1:21" s="63" customFormat="1">
      <c r="A14" s="140">
        <v>8610</v>
      </c>
      <c r="B14" s="140" t="s">
        <v>89</v>
      </c>
      <c r="C14" s="140" t="s">
        <v>88</v>
      </c>
      <c r="D14" s="143" t="s">
        <v>5</v>
      </c>
      <c r="E14" s="144">
        <v>43165.773113425923</v>
      </c>
      <c r="F14" s="89">
        <f t="shared" si="8"/>
        <v>43165.773113425923</v>
      </c>
      <c r="G14" s="90" t="str">
        <f t="shared" si="9"/>
        <v>18:33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20"/>
      <c r="P14" s="18"/>
      <c r="Q14" s="18"/>
      <c r="R14" s="18"/>
      <c r="S14" s="18"/>
    </row>
    <row r="15" spans="1:21">
      <c r="A15" s="140">
        <v>8611</v>
      </c>
      <c r="B15" s="140" t="s">
        <v>89</v>
      </c>
      <c r="C15" s="140" t="s">
        <v>88</v>
      </c>
      <c r="D15" s="143" t="s">
        <v>7</v>
      </c>
      <c r="E15" s="144">
        <v>43165.773194444446</v>
      </c>
      <c r="F15" s="89">
        <f t="shared" si="8"/>
        <v>43165.773194444446</v>
      </c>
      <c r="G15" s="90" t="str">
        <f t="shared" si="9"/>
        <v>18:33</v>
      </c>
      <c r="H15" s="91" t="str">
        <f t="shared" si="10"/>
        <v>-</v>
      </c>
      <c r="I15" s="92" t="str">
        <f t="shared" si="11"/>
        <v>-</v>
      </c>
      <c r="J15" s="92" t="str">
        <f t="shared" si="12"/>
        <v>-</v>
      </c>
      <c r="K15" s="93">
        <f t="shared" si="13"/>
        <v>0.2166666666666659</v>
      </c>
      <c r="L15" s="93"/>
      <c r="M15" s="94">
        <f t="shared" si="14"/>
        <v>0.2166666666666659</v>
      </c>
      <c r="N15" s="94">
        <f t="shared" si="15"/>
        <v>0</v>
      </c>
      <c r="O15" s="20"/>
    </row>
    <row r="16" spans="1:21">
      <c r="A16" s="140">
        <v>8616</v>
      </c>
      <c r="B16" s="140" t="s">
        <v>89</v>
      </c>
      <c r="C16" s="140" t="s">
        <v>88</v>
      </c>
      <c r="D16" s="143" t="s">
        <v>8</v>
      </c>
      <c r="E16" s="144">
        <v>43165.78229166667</v>
      </c>
      <c r="F16" s="89">
        <f t="shared" si="8"/>
        <v>43165.78229166667</v>
      </c>
      <c r="G16" s="90" t="str">
        <f t="shared" si="9"/>
        <v>18:46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20"/>
    </row>
    <row r="17" spans="1:19" s="2" customFormat="1">
      <c r="A17" s="140">
        <v>8631</v>
      </c>
      <c r="B17" s="140" t="s">
        <v>88</v>
      </c>
      <c r="C17" s="140" t="s">
        <v>88</v>
      </c>
      <c r="D17" s="143" t="s">
        <v>6</v>
      </c>
      <c r="E17" s="144">
        <v>43166.367650462962</v>
      </c>
      <c r="F17" s="89">
        <f t="shared" si="8"/>
        <v>43166.367650462962</v>
      </c>
      <c r="G17" s="90" t="str">
        <f t="shared" si="9"/>
        <v>8:49</v>
      </c>
      <c r="H17" s="91">
        <f t="shared" si="10"/>
        <v>9.6666666666666679</v>
      </c>
      <c r="I17" s="92">
        <f t="shared" si="11"/>
        <v>8</v>
      </c>
      <c r="J17" s="92" t="str">
        <f t="shared" si="12"/>
        <v>-</v>
      </c>
      <c r="K17" s="93">
        <f t="shared" si="13"/>
        <v>0</v>
      </c>
      <c r="L17" s="93"/>
      <c r="M17" s="94">
        <f t="shared" si="14"/>
        <v>0</v>
      </c>
      <c r="N17" s="94">
        <f t="shared" si="15"/>
        <v>0</v>
      </c>
      <c r="O17" s="20"/>
      <c r="P17" s="8"/>
      <c r="Q17" s="8"/>
      <c r="R17" s="8"/>
      <c r="S17" s="8"/>
    </row>
    <row r="18" spans="1:19">
      <c r="A18" s="140">
        <v>8641</v>
      </c>
      <c r="B18" s="140" t="s">
        <v>89</v>
      </c>
      <c r="C18" s="140" t="s">
        <v>88</v>
      </c>
      <c r="D18" s="143" t="s">
        <v>5</v>
      </c>
      <c r="E18" s="144">
        <v>43166.770243055558</v>
      </c>
      <c r="F18" s="89">
        <f t="shared" si="8"/>
        <v>43166.770243055558</v>
      </c>
      <c r="G18" s="90" t="str">
        <f t="shared" si="9"/>
        <v>18:29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20"/>
    </row>
    <row r="19" spans="1:19" s="2" customFormat="1">
      <c r="A19" s="140">
        <v>8645</v>
      </c>
      <c r="B19" s="140" t="s">
        <v>89</v>
      </c>
      <c r="C19" s="140" t="s">
        <v>88</v>
      </c>
      <c r="D19" s="143" t="s">
        <v>7</v>
      </c>
      <c r="E19" s="144">
        <v>43166.770949074074</v>
      </c>
      <c r="F19" s="89">
        <f t="shared" si="8"/>
        <v>43166.770949074074</v>
      </c>
      <c r="G19" s="90" t="str">
        <f t="shared" si="9"/>
        <v>18:30</v>
      </c>
      <c r="H19" s="91" t="str">
        <f t="shared" si="10"/>
        <v>-</v>
      </c>
      <c r="I19" s="92" t="str">
        <f t="shared" si="11"/>
        <v>-</v>
      </c>
      <c r="J19" s="92" t="str">
        <f t="shared" si="12"/>
        <v>-</v>
      </c>
      <c r="K19" s="93">
        <f t="shared" si="13"/>
        <v>0.66666666666666696</v>
      </c>
      <c r="L19" s="93"/>
      <c r="M19" s="94">
        <f t="shared" si="14"/>
        <v>0.66666666666666696</v>
      </c>
      <c r="N19" s="94">
        <f t="shared" si="15"/>
        <v>0</v>
      </c>
      <c r="O19" s="20"/>
      <c r="P19" s="8"/>
      <c r="Q19" s="8"/>
      <c r="R19" s="8"/>
      <c r="S19" s="8"/>
    </row>
    <row r="20" spans="1:19">
      <c r="A20" s="140">
        <v>8653</v>
      </c>
      <c r="B20" s="140" t="s">
        <v>89</v>
      </c>
      <c r="C20" s="140" t="s">
        <v>88</v>
      </c>
      <c r="D20" s="143" t="s">
        <v>8</v>
      </c>
      <c r="E20" s="144">
        <v>43166.798622685186</v>
      </c>
      <c r="F20" s="89">
        <f t="shared" si="8"/>
        <v>43166.798622685186</v>
      </c>
      <c r="G20" s="90" t="str">
        <f t="shared" si="9"/>
        <v>19:10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20"/>
    </row>
    <row r="21" spans="1:19" s="63" customFormat="1">
      <c r="A21" s="140">
        <v>8669</v>
      </c>
      <c r="B21" s="140" t="s">
        <v>88</v>
      </c>
      <c r="C21" s="140" t="s">
        <v>88</v>
      </c>
      <c r="D21" s="143" t="s">
        <v>6</v>
      </c>
      <c r="E21" s="144">
        <v>43167.369953703703</v>
      </c>
      <c r="F21" s="89">
        <f t="shared" si="8"/>
        <v>43167.369953703703</v>
      </c>
      <c r="G21" s="90" t="str">
        <f t="shared" si="9"/>
        <v>8:52</v>
      </c>
      <c r="H21" s="91">
        <f t="shared" si="10"/>
        <v>9.5333333333333314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20"/>
      <c r="P21" s="18"/>
      <c r="Q21" s="18"/>
      <c r="R21" s="18"/>
      <c r="S21" s="18"/>
    </row>
    <row r="22" spans="1:19" s="63" customFormat="1">
      <c r="A22" s="140">
        <v>8674</v>
      </c>
      <c r="B22" s="140" t="s">
        <v>89</v>
      </c>
      <c r="C22" s="140" t="s">
        <v>88</v>
      </c>
      <c r="D22" s="143" t="s">
        <v>5</v>
      </c>
      <c r="E22" s="144">
        <v>43167.76667824074</v>
      </c>
      <c r="F22" s="89">
        <f t="shared" si="8"/>
        <v>43167.76667824074</v>
      </c>
      <c r="G22" s="90" t="str">
        <f t="shared" si="9"/>
        <v>18:24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20"/>
      <c r="P22" s="18"/>
      <c r="Q22" s="18"/>
      <c r="R22" s="18"/>
      <c r="S22" s="18"/>
    </row>
    <row r="23" spans="1:19" s="2" customFormat="1">
      <c r="A23" s="140">
        <v>8697</v>
      </c>
      <c r="B23" s="140" t="s">
        <v>88</v>
      </c>
      <c r="C23" s="140" t="s">
        <v>88</v>
      </c>
      <c r="D23" s="143" t="s">
        <v>6</v>
      </c>
      <c r="E23" s="144">
        <v>43168.36922453704</v>
      </c>
      <c r="F23" s="89">
        <f t="shared" si="8"/>
        <v>43168.36922453704</v>
      </c>
      <c r="G23" s="90" t="str">
        <f t="shared" si="9"/>
        <v>8:51</v>
      </c>
      <c r="H23" s="91">
        <f t="shared" si="10"/>
        <v>9.7999999999999989</v>
      </c>
      <c r="I23" s="92">
        <f t="shared" si="11"/>
        <v>8</v>
      </c>
      <c r="J23" s="92" t="str">
        <f t="shared" si="12"/>
        <v>-</v>
      </c>
      <c r="K23" s="93">
        <f t="shared" si="13"/>
        <v>0</v>
      </c>
      <c r="L23" s="93"/>
      <c r="M23" s="94">
        <f t="shared" si="14"/>
        <v>0</v>
      </c>
      <c r="N23" s="94">
        <f t="shared" si="15"/>
        <v>0</v>
      </c>
      <c r="O23" s="20"/>
      <c r="P23" s="8"/>
      <c r="Q23" s="8"/>
      <c r="R23" s="8"/>
      <c r="S23" s="8"/>
    </row>
    <row r="24" spans="1:19">
      <c r="A24" s="140">
        <v>8713</v>
      </c>
      <c r="B24" s="140" t="s">
        <v>88</v>
      </c>
      <c r="C24" s="140" t="s">
        <v>88</v>
      </c>
      <c r="D24" s="143" t="s">
        <v>5</v>
      </c>
      <c r="E24" s="144">
        <v>43168.777488425927</v>
      </c>
      <c r="F24" s="89">
        <f t="shared" si="8"/>
        <v>43168.777488425927</v>
      </c>
      <c r="G24" s="90" t="str">
        <f t="shared" si="9"/>
        <v>18:39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20"/>
    </row>
    <row r="25" spans="1:19" s="2" customFormat="1">
      <c r="A25" s="140">
        <v>8745</v>
      </c>
      <c r="B25" s="140" t="s">
        <v>88</v>
      </c>
      <c r="C25" s="140" t="s">
        <v>88</v>
      </c>
      <c r="D25" s="143" t="s">
        <v>7</v>
      </c>
      <c r="E25" s="144">
        <v>43170.653912037036</v>
      </c>
      <c r="F25" s="89">
        <f t="shared" si="8"/>
        <v>43170.653912037036</v>
      </c>
      <c r="G25" s="90" t="str">
        <f t="shared" si="9"/>
        <v>15:41</v>
      </c>
      <c r="H25" s="91" t="str">
        <f t="shared" si="10"/>
        <v>-</v>
      </c>
      <c r="I25" s="92" t="str">
        <f t="shared" si="11"/>
        <v>-</v>
      </c>
      <c r="J25" s="92" t="str">
        <f t="shared" si="12"/>
        <v>-</v>
      </c>
      <c r="K25" s="93">
        <f t="shared" si="13"/>
        <v>3.1999999999999993</v>
      </c>
      <c r="L25" s="93"/>
      <c r="M25" s="94">
        <f t="shared" si="14"/>
        <v>2</v>
      </c>
      <c r="N25" s="94">
        <f t="shared" si="15"/>
        <v>1.1999999999999993</v>
      </c>
      <c r="O25" s="20"/>
      <c r="P25" s="8"/>
      <c r="Q25" s="8"/>
      <c r="R25" s="8"/>
      <c r="S25" s="8"/>
    </row>
    <row r="26" spans="1:19">
      <c r="A26" s="140">
        <v>8758</v>
      </c>
      <c r="B26" s="140" t="s">
        <v>88</v>
      </c>
      <c r="C26" s="140" t="s">
        <v>88</v>
      </c>
      <c r="D26" s="143" t="s">
        <v>8</v>
      </c>
      <c r="E26" s="144">
        <v>43170.787361111114</v>
      </c>
      <c r="F26" s="89">
        <f t="shared" si="8"/>
        <v>43170.787361111114</v>
      </c>
      <c r="G26" s="90" t="str">
        <f t="shared" si="9"/>
        <v>18:53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20"/>
    </row>
    <row r="27" spans="1:19" s="63" customFormat="1">
      <c r="A27" s="140">
        <v>8768</v>
      </c>
      <c r="B27" s="140" t="s">
        <v>88</v>
      </c>
      <c r="C27" s="140" t="s">
        <v>88</v>
      </c>
      <c r="D27" s="143" t="s">
        <v>6</v>
      </c>
      <c r="E27" s="144">
        <v>43171.371006944442</v>
      </c>
      <c r="F27" s="89">
        <f t="shared" si="8"/>
        <v>43171.371006944442</v>
      </c>
      <c r="G27" s="90" t="str">
        <f t="shared" si="9"/>
        <v>8:54</v>
      </c>
      <c r="H27" s="91">
        <f t="shared" si="10"/>
        <v>9.6000000000000014</v>
      </c>
      <c r="I27" s="92">
        <f t="shared" si="11"/>
        <v>8</v>
      </c>
      <c r="J27" s="92" t="str">
        <f t="shared" si="12"/>
        <v>-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20"/>
      <c r="P27" s="18"/>
      <c r="Q27" s="18"/>
      <c r="R27" s="18"/>
      <c r="S27" s="18"/>
    </row>
    <row r="28" spans="1:19">
      <c r="A28" s="140">
        <v>8781</v>
      </c>
      <c r="B28" s="140" t="s">
        <v>89</v>
      </c>
      <c r="C28" s="140" t="s">
        <v>88</v>
      </c>
      <c r="D28" s="143" t="s">
        <v>5</v>
      </c>
      <c r="E28" s="144">
        <v>43171.771099537036</v>
      </c>
      <c r="F28" s="89">
        <f t="shared" si="8"/>
        <v>43171.771099537036</v>
      </c>
      <c r="G28" s="90" t="str">
        <f t="shared" si="9"/>
        <v>18:30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20"/>
    </row>
    <row r="29" spans="1:19" s="63" customFormat="1">
      <c r="A29" s="140">
        <v>8782</v>
      </c>
      <c r="B29" s="140" t="s">
        <v>89</v>
      </c>
      <c r="C29" s="140" t="s">
        <v>88</v>
      </c>
      <c r="D29" s="143" t="s">
        <v>7</v>
      </c>
      <c r="E29" s="144">
        <v>43171.771180555559</v>
      </c>
      <c r="F29" s="89">
        <f t="shared" si="8"/>
        <v>43171.771180555559</v>
      </c>
      <c r="G29" s="90" t="str">
        <f t="shared" si="9"/>
        <v>18:30</v>
      </c>
      <c r="H29" s="91" t="str">
        <f t="shared" si="10"/>
        <v>-</v>
      </c>
      <c r="I29" s="92" t="str">
        <f t="shared" si="11"/>
        <v>-</v>
      </c>
      <c r="J29" s="92" t="str">
        <f t="shared" si="12"/>
        <v>-</v>
      </c>
      <c r="K29" s="93">
        <f t="shared" si="13"/>
        <v>0.79999999999999982</v>
      </c>
      <c r="L29" s="93"/>
      <c r="M29" s="94">
        <f t="shared" si="14"/>
        <v>0.79999999999999982</v>
      </c>
      <c r="N29" s="94">
        <f t="shared" si="15"/>
        <v>0</v>
      </c>
      <c r="O29" s="20"/>
      <c r="P29" s="18"/>
      <c r="Q29" s="18"/>
      <c r="R29" s="18"/>
      <c r="S29" s="18"/>
    </row>
    <row r="30" spans="1:19" s="63" customFormat="1">
      <c r="A30" s="140">
        <v>8791</v>
      </c>
      <c r="B30" s="140" t="s">
        <v>89</v>
      </c>
      <c r="C30" s="140" t="s">
        <v>88</v>
      </c>
      <c r="D30" s="143" t="s">
        <v>8</v>
      </c>
      <c r="E30" s="144">
        <v>43171.804340277777</v>
      </c>
      <c r="F30" s="89">
        <f t="shared" si="8"/>
        <v>43171.804340277777</v>
      </c>
      <c r="G30" s="90" t="str">
        <f t="shared" si="9"/>
        <v>19:18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20"/>
      <c r="P30" s="18"/>
      <c r="Q30" s="18"/>
      <c r="R30" s="18"/>
      <c r="S30" s="18"/>
    </row>
    <row r="31" spans="1:19" s="2" customFormat="1">
      <c r="A31" s="140">
        <v>8809</v>
      </c>
      <c r="B31" s="140" t="s">
        <v>88</v>
      </c>
      <c r="C31" s="140" t="s">
        <v>88</v>
      </c>
      <c r="D31" s="143" t="s">
        <v>6</v>
      </c>
      <c r="E31" s="144">
        <v>43172.36991898148</v>
      </c>
      <c r="F31" s="89">
        <f t="shared" si="8"/>
        <v>43172.36991898148</v>
      </c>
      <c r="G31" s="90" t="str">
        <f t="shared" si="9"/>
        <v>8:52</v>
      </c>
      <c r="H31" s="91">
        <f t="shared" si="10"/>
        <v>9.6499999999999986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20"/>
      <c r="P31" s="8"/>
      <c r="Q31" s="8"/>
      <c r="R31" s="8"/>
      <c r="S31" s="8"/>
    </row>
    <row r="32" spans="1:19">
      <c r="A32" s="140">
        <v>8814</v>
      </c>
      <c r="B32" s="140" t="s">
        <v>89</v>
      </c>
      <c r="C32" s="140" t="s">
        <v>88</v>
      </c>
      <c r="D32" s="143" t="s">
        <v>5</v>
      </c>
      <c r="E32" s="144">
        <v>43172.771678240744</v>
      </c>
      <c r="F32" s="89">
        <f t="shared" si="8"/>
        <v>43172.771678240744</v>
      </c>
      <c r="G32" s="90" t="str">
        <f t="shared" si="9"/>
        <v>18:31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20"/>
    </row>
    <row r="33" spans="1:19" s="63" customFormat="1">
      <c r="A33" s="140">
        <v>8815</v>
      </c>
      <c r="B33" s="140" t="s">
        <v>89</v>
      </c>
      <c r="C33" s="140" t="s">
        <v>88</v>
      </c>
      <c r="D33" s="143" t="s">
        <v>7</v>
      </c>
      <c r="E33" s="144">
        <v>43172.771886574075</v>
      </c>
      <c r="F33" s="89">
        <f t="shared" si="8"/>
        <v>43172.771886574075</v>
      </c>
      <c r="G33" s="90" t="str">
        <f t="shared" si="9"/>
        <v>18:31</v>
      </c>
      <c r="H33" s="91" t="str">
        <f t="shared" si="10"/>
        <v>-</v>
      </c>
      <c r="I33" s="92" t="str">
        <f t="shared" si="11"/>
        <v>-</v>
      </c>
      <c r="J33" s="92" t="str">
        <f t="shared" si="12"/>
        <v>-</v>
      </c>
      <c r="K33" s="93">
        <f t="shared" si="13"/>
        <v>1.5500000000000025</v>
      </c>
      <c r="L33" s="93"/>
      <c r="M33" s="94">
        <f t="shared" si="14"/>
        <v>1.5500000000000025</v>
      </c>
      <c r="N33" s="94">
        <f t="shared" si="15"/>
        <v>0</v>
      </c>
      <c r="O33" s="20"/>
      <c r="P33" s="18"/>
      <c r="Q33" s="18"/>
      <c r="R33" s="18"/>
      <c r="S33" s="18"/>
    </row>
    <row r="34" spans="1:19">
      <c r="A34" s="140">
        <v>8828</v>
      </c>
      <c r="B34" s="140" t="s">
        <v>89</v>
      </c>
      <c r="C34" s="140" t="s">
        <v>88</v>
      </c>
      <c r="D34" s="143" t="s">
        <v>8</v>
      </c>
      <c r="E34" s="144">
        <v>43172.836226851854</v>
      </c>
      <c r="F34" s="89">
        <f t="shared" si="8"/>
        <v>43172.836226851854</v>
      </c>
      <c r="G34" s="90" t="str">
        <f t="shared" si="9"/>
        <v>20:4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20"/>
    </row>
    <row r="35" spans="1:19" s="63" customFormat="1" ht="18" customHeight="1">
      <c r="A35" s="140">
        <v>8843</v>
      </c>
      <c r="B35" s="140" t="s">
        <v>88</v>
      </c>
      <c r="C35" s="140" t="s">
        <v>88</v>
      </c>
      <c r="D35" s="143" t="s">
        <v>6</v>
      </c>
      <c r="E35" s="144">
        <v>43173.371018518519</v>
      </c>
      <c r="F35" s="89">
        <f t="shared" si="8"/>
        <v>43173.371018518519</v>
      </c>
      <c r="G35" s="90" t="str">
        <f t="shared" si="9"/>
        <v>8:54</v>
      </c>
      <c r="H35" s="91">
        <f t="shared" si="10"/>
        <v>9.6166666666666636</v>
      </c>
      <c r="I35" s="92">
        <f t="shared" si="11"/>
        <v>8</v>
      </c>
      <c r="J35" s="92" t="str">
        <f t="shared" si="12"/>
        <v>-</v>
      </c>
      <c r="K35" s="93">
        <f t="shared" si="13"/>
        <v>0</v>
      </c>
      <c r="L35" s="93"/>
      <c r="M35" s="94">
        <f t="shared" si="14"/>
        <v>0</v>
      </c>
      <c r="N35" s="94">
        <f t="shared" si="15"/>
        <v>0</v>
      </c>
      <c r="O35" s="20"/>
      <c r="P35" s="18"/>
      <c r="Q35" s="18"/>
      <c r="R35" s="18"/>
      <c r="S35" s="18"/>
    </row>
    <row r="36" spans="1:19" s="63" customFormat="1">
      <c r="A36" s="140">
        <v>8852</v>
      </c>
      <c r="B36" s="140" t="s">
        <v>89</v>
      </c>
      <c r="C36" s="140" t="s">
        <v>88</v>
      </c>
      <c r="D36" s="143" t="s">
        <v>5</v>
      </c>
      <c r="E36" s="144">
        <v>43173.77175925926</v>
      </c>
      <c r="F36" s="89">
        <f t="shared" si="8"/>
        <v>43173.77175925926</v>
      </c>
      <c r="G36" s="90" t="str">
        <f t="shared" si="9"/>
        <v>18:31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20"/>
      <c r="P36" s="18"/>
      <c r="Q36" s="18"/>
      <c r="R36" s="18"/>
      <c r="S36" s="18"/>
    </row>
    <row r="37" spans="1:19" s="63" customFormat="1">
      <c r="A37" s="140">
        <v>8855</v>
      </c>
      <c r="B37" s="140" t="s">
        <v>89</v>
      </c>
      <c r="C37" s="140" t="s">
        <v>88</v>
      </c>
      <c r="D37" s="143" t="s">
        <v>7</v>
      </c>
      <c r="E37" s="144">
        <v>43173.771898148145</v>
      </c>
      <c r="F37" s="89">
        <f t="shared" si="8"/>
        <v>43173.771898148145</v>
      </c>
      <c r="G37" s="90" t="str">
        <f t="shared" si="9"/>
        <v>18:31</v>
      </c>
      <c r="H37" s="91" t="str">
        <f t="shared" si="10"/>
        <v>-</v>
      </c>
      <c r="I37" s="92" t="str">
        <f t="shared" si="11"/>
        <v>-</v>
      </c>
      <c r="J37" s="92" t="str">
        <f t="shared" si="12"/>
        <v>-</v>
      </c>
      <c r="K37" s="93">
        <f t="shared" si="13"/>
        <v>2.1666666666666696</v>
      </c>
      <c r="L37" s="93"/>
      <c r="M37" s="94">
        <f t="shared" si="14"/>
        <v>2</v>
      </c>
      <c r="N37" s="94">
        <f t="shared" si="15"/>
        <v>0.16666666666666963</v>
      </c>
      <c r="O37" s="20"/>
      <c r="P37" s="18"/>
      <c r="Q37" s="18"/>
      <c r="R37" s="18"/>
      <c r="S37" s="18"/>
    </row>
    <row r="38" spans="1:19" s="63" customFormat="1">
      <c r="A38" s="140">
        <v>8866</v>
      </c>
      <c r="B38" s="140" t="s">
        <v>89</v>
      </c>
      <c r="C38" s="140" t="s">
        <v>88</v>
      </c>
      <c r="D38" s="143" t="s">
        <v>8</v>
      </c>
      <c r="E38" s="144">
        <v>43173.861967592595</v>
      </c>
      <c r="F38" s="89">
        <f t="shared" si="8"/>
        <v>43173.861967592595</v>
      </c>
      <c r="G38" s="90" t="str">
        <f t="shared" si="9"/>
        <v>20:41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20"/>
      <c r="P38" s="18"/>
      <c r="Q38" s="18"/>
      <c r="R38" s="18"/>
      <c r="S38" s="18"/>
    </row>
    <row r="39" spans="1:19" s="63" customFormat="1">
      <c r="A39" s="140">
        <v>8879</v>
      </c>
      <c r="B39" s="140" t="s">
        <v>88</v>
      </c>
      <c r="C39" s="140" t="s">
        <v>88</v>
      </c>
      <c r="D39" s="143" t="s">
        <v>6</v>
      </c>
      <c r="E39" s="144">
        <v>43174.371828703705</v>
      </c>
      <c r="F39" s="89">
        <f t="shared" si="8"/>
        <v>43174.371828703705</v>
      </c>
      <c r="G39" s="90" t="str">
        <f t="shared" si="9"/>
        <v>8:55</v>
      </c>
      <c r="H39" s="91">
        <f t="shared" si="10"/>
        <v>9.7500000000000018</v>
      </c>
      <c r="I39" s="92">
        <f t="shared" si="11"/>
        <v>8</v>
      </c>
      <c r="J39" s="92" t="str">
        <f t="shared" si="12"/>
        <v>-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20"/>
      <c r="P39" s="18"/>
      <c r="Q39" s="18"/>
      <c r="R39" s="18"/>
      <c r="S39" s="18"/>
    </row>
    <row r="40" spans="1:19" s="63" customFormat="1">
      <c r="A40" s="140">
        <v>8897</v>
      </c>
      <c r="B40" s="140" t="s">
        <v>89</v>
      </c>
      <c r="C40" s="140" t="s">
        <v>88</v>
      </c>
      <c r="D40" s="143" t="s">
        <v>5</v>
      </c>
      <c r="E40" s="144">
        <v>43174.777789351851</v>
      </c>
      <c r="F40" s="89">
        <f t="shared" si="8"/>
        <v>43174.777789351851</v>
      </c>
      <c r="G40" s="90" t="str">
        <f t="shared" si="9"/>
        <v>18:40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20"/>
      <c r="P40" s="18"/>
      <c r="Q40" s="18"/>
      <c r="R40" s="18"/>
      <c r="S40" s="18"/>
    </row>
    <row r="41" spans="1:19" s="63" customFormat="1">
      <c r="A41" s="140">
        <v>8913</v>
      </c>
      <c r="B41" s="140" t="s">
        <v>88</v>
      </c>
      <c r="C41" s="140" t="s">
        <v>88</v>
      </c>
      <c r="D41" s="143" t="s">
        <v>6</v>
      </c>
      <c r="E41" s="144">
        <v>43175.367476851854</v>
      </c>
      <c r="F41" s="89">
        <f t="shared" si="8"/>
        <v>43175.367476851854</v>
      </c>
      <c r="G41" s="90" t="str">
        <f t="shared" si="9"/>
        <v>8:49</v>
      </c>
      <c r="H41" s="91">
        <f t="shared" si="10"/>
        <v>10.16666666666667</v>
      </c>
      <c r="I41" s="92">
        <f t="shared" si="11"/>
        <v>8</v>
      </c>
      <c r="J41" s="92" t="str">
        <f t="shared" si="12"/>
        <v>-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20"/>
      <c r="P41" s="18"/>
      <c r="Q41" s="18"/>
      <c r="R41" s="18"/>
      <c r="S41" s="18"/>
    </row>
    <row r="42" spans="1:19" s="63" customFormat="1">
      <c r="A42" s="140">
        <v>8932</v>
      </c>
      <c r="B42" s="140" t="s">
        <v>89</v>
      </c>
      <c r="C42" s="140" t="s">
        <v>88</v>
      </c>
      <c r="D42" s="143" t="s">
        <v>5</v>
      </c>
      <c r="E42" s="144">
        <v>43175.791076388887</v>
      </c>
      <c r="F42" s="89">
        <f t="shared" si="8"/>
        <v>43175.791076388887</v>
      </c>
      <c r="G42" s="90" t="str">
        <f t="shared" si="9"/>
        <v>18:59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20"/>
      <c r="P42" s="18"/>
      <c r="Q42" s="18"/>
      <c r="R42" s="18"/>
      <c r="S42" s="18"/>
    </row>
    <row r="43" spans="1:19" s="323" customFormat="1">
      <c r="A43" s="140">
        <v>8978</v>
      </c>
      <c r="B43" s="140" t="s">
        <v>88</v>
      </c>
      <c r="C43" s="140" t="s">
        <v>88</v>
      </c>
      <c r="D43" s="143" t="s">
        <v>6</v>
      </c>
      <c r="E43" s="144">
        <v>43178.369305555556</v>
      </c>
      <c r="F43" s="89">
        <f t="shared" si="8"/>
        <v>43178.369305555556</v>
      </c>
      <c r="G43" s="90" t="str">
        <f t="shared" si="9"/>
        <v>8:51</v>
      </c>
      <c r="H43" s="91">
        <f t="shared" si="10"/>
        <v>9.5333333333333332</v>
      </c>
      <c r="I43" s="92">
        <f t="shared" si="11"/>
        <v>8</v>
      </c>
      <c r="J43" s="92" t="str">
        <f t="shared" si="12"/>
        <v>-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20"/>
    </row>
    <row r="44" spans="1:19" s="63" customFormat="1">
      <c r="A44" s="140">
        <v>8985</v>
      </c>
      <c r="B44" s="140" t="s">
        <v>88</v>
      </c>
      <c r="C44" s="140" t="s">
        <v>88</v>
      </c>
      <c r="D44" s="143" t="s">
        <v>5</v>
      </c>
      <c r="E44" s="144">
        <v>43178.766215277778</v>
      </c>
      <c r="F44" s="89">
        <f t="shared" si="8"/>
        <v>43178.766215277778</v>
      </c>
      <c r="G44" s="90" t="str">
        <f t="shared" si="9"/>
        <v>18:23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20"/>
      <c r="P44" s="18"/>
      <c r="Q44" s="18"/>
      <c r="R44" s="18"/>
      <c r="S44" s="18"/>
    </row>
    <row r="45" spans="1:19" s="63" customFormat="1">
      <c r="A45" s="140">
        <v>8994</v>
      </c>
      <c r="B45" s="140" t="s">
        <v>88</v>
      </c>
      <c r="C45" s="140" t="s">
        <v>88</v>
      </c>
      <c r="D45" s="143" t="s">
        <v>7</v>
      </c>
      <c r="E45" s="144">
        <v>43178.780497685184</v>
      </c>
      <c r="F45" s="89">
        <f t="shared" si="8"/>
        <v>43178.780497685184</v>
      </c>
      <c r="G45" s="90" t="str">
        <f t="shared" si="9"/>
        <v>18:43</v>
      </c>
      <c r="H45" s="91" t="str">
        <f t="shared" si="10"/>
        <v>-</v>
      </c>
      <c r="I45" s="92" t="str">
        <f t="shared" si="11"/>
        <v>-</v>
      </c>
      <c r="J45" s="92" t="str">
        <f t="shared" si="12"/>
        <v>-</v>
      </c>
      <c r="K45" s="93">
        <f t="shared" si="13"/>
        <v>1.7166666666666686</v>
      </c>
      <c r="L45" s="93"/>
      <c r="M45" s="94">
        <f t="shared" si="14"/>
        <v>1.7166666666666686</v>
      </c>
      <c r="N45" s="94">
        <f t="shared" si="15"/>
        <v>0</v>
      </c>
      <c r="O45" s="20"/>
      <c r="P45" s="18"/>
      <c r="Q45" s="18"/>
      <c r="R45" s="18"/>
      <c r="S45" s="18"/>
    </row>
    <row r="46" spans="1:19" s="63" customFormat="1">
      <c r="A46" s="140">
        <v>8999</v>
      </c>
      <c r="B46" s="140" t="s">
        <v>89</v>
      </c>
      <c r="C46" s="140" t="s">
        <v>88</v>
      </c>
      <c r="D46" s="143" t="s">
        <v>8</v>
      </c>
      <c r="E46" s="144">
        <v>43178.851469907408</v>
      </c>
      <c r="F46" s="89">
        <f t="shared" si="8"/>
        <v>43178.851469907408</v>
      </c>
      <c r="G46" s="90" t="str">
        <f t="shared" si="9"/>
        <v>20:26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20"/>
      <c r="P46" s="18"/>
      <c r="Q46" s="18"/>
      <c r="R46" s="18"/>
      <c r="S46" s="18"/>
    </row>
    <row r="47" spans="1:19" s="2" customFormat="1">
      <c r="A47" s="140">
        <v>9016</v>
      </c>
      <c r="B47" s="140" t="s">
        <v>88</v>
      </c>
      <c r="C47" s="140" t="s">
        <v>88</v>
      </c>
      <c r="D47" s="143" t="s">
        <v>6</v>
      </c>
      <c r="E47" s="144">
        <v>43179.37054398148</v>
      </c>
      <c r="F47" s="89">
        <f t="shared" si="8"/>
        <v>43179.37054398148</v>
      </c>
      <c r="G47" s="90" t="str">
        <f t="shared" si="9"/>
        <v>8:53</v>
      </c>
      <c r="H47" s="91">
        <f t="shared" si="10"/>
        <v>9.6333333333333329</v>
      </c>
      <c r="I47" s="92">
        <f t="shared" si="11"/>
        <v>8</v>
      </c>
      <c r="J47" s="92" t="str">
        <f t="shared" si="12"/>
        <v>-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20"/>
      <c r="P47" s="8"/>
      <c r="Q47" s="8"/>
      <c r="R47" s="8"/>
      <c r="S47" s="8"/>
    </row>
    <row r="48" spans="1:19">
      <c r="A48" s="140">
        <v>9031</v>
      </c>
      <c r="B48" s="140" t="s">
        <v>89</v>
      </c>
      <c r="C48" s="140" t="s">
        <v>88</v>
      </c>
      <c r="D48" s="143" t="s">
        <v>5</v>
      </c>
      <c r="E48" s="144">
        <v>43179.771666666667</v>
      </c>
      <c r="F48" s="89">
        <f t="shared" si="8"/>
        <v>43179.771666666667</v>
      </c>
      <c r="G48" s="90" t="str">
        <f t="shared" si="9"/>
        <v>18:31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20"/>
    </row>
    <row r="49" spans="1:19" s="63" customFormat="1">
      <c r="A49" s="140">
        <v>9032</v>
      </c>
      <c r="B49" s="140" t="s">
        <v>89</v>
      </c>
      <c r="C49" s="140" t="s">
        <v>88</v>
      </c>
      <c r="D49" s="143" t="s">
        <v>7</v>
      </c>
      <c r="E49" s="144">
        <v>43179.771701388891</v>
      </c>
      <c r="F49" s="89">
        <f t="shared" si="8"/>
        <v>43179.771701388891</v>
      </c>
      <c r="G49" s="90" t="str">
        <f t="shared" si="9"/>
        <v>18:31</v>
      </c>
      <c r="H49" s="91" t="str">
        <f t="shared" si="10"/>
        <v>-</v>
      </c>
      <c r="I49" s="92" t="str">
        <f t="shared" si="11"/>
        <v>-</v>
      </c>
      <c r="J49" s="92" t="str">
        <f t="shared" si="12"/>
        <v>-</v>
      </c>
      <c r="K49" s="93">
        <f t="shared" si="13"/>
        <v>0.40000000000000391</v>
      </c>
      <c r="L49" s="93"/>
      <c r="M49" s="94">
        <f t="shared" si="14"/>
        <v>0.40000000000000391</v>
      </c>
      <c r="N49" s="94">
        <f t="shared" si="15"/>
        <v>0</v>
      </c>
      <c r="O49" s="20"/>
      <c r="P49" s="18"/>
      <c r="Q49" s="18"/>
      <c r="R49" s="18"/>
      <c r="S49" s="18"/>
    </row>
    <row r="50" spans="1:19" s="63" customFormat="1">
      <c r="A50" s="140">
        <v>9036</v>
      </c>
      <c r="B50" s="140" t="s">
        <v>89</v>
      </c>
      <c r="C50" s="140" t="s">
        <v>88</v>
      </c>
      <c r="D50" s="143" t="s">
        <v>8</v>
      </c>
      <c r="E50" s="144">
        <v>43179.788703703707</v>
      </c>
      <c r="F50" s="89">
        <f t="shared" si="8"/>
        <v>43179.788703703707</v>
      </c>
      <c r="G50" s="90" t="str">
        <f t="shared" si="9"/>
        <v>18:55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20"/>
      <c r="P50" s="18"/>
      <c r="Q50" s="18"/>
      <c r="R50" s="18"/>
      <c r="S50" s="18"/>
    </row>
    <row r="51" spans="1:19" s="2" customFormat="1">
      <c r="A51" s="140">
        <v>9053</v>
      </c>
      <c r="B51" s="140" t="s">
        <v>88</v>
      </c>
      <c r="C51" s="140" t="s">
        <v>88</v>
      </c>
      <c r="D51" s="143" t="s">
        <v>6</v>
      </c>
      <c r="E51" s="144">
        <v>43180.370289351849</v>
      </c>
      <c r="F51" s="89">
        <f t="shared" si="8"/>
        <v>43180.370289351849</v>
      </c>
      <c r="G51" s="90" t="str">
        <f t="shared" si="9"/>
        <v>8:53</v>
      </c>
      <c r="H51" s="91">
        <f t="shared" si="10"/>
        <v>9.8666666666666671</v>
      </c>
      <c r="I51" s="92">
        <f t="shared" si="11"/>
        <v>8</v>
      </c>
      <c r="J51" s="92" t="str">
        <f t="shared" si="12"/>
        <v>-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20"/>
      <c r="P51" s="8"/>
      <c r="Q51" s="8"/>
      <c r="R51" s="8"/>
      <c r="S51" s="8"/>
    </row>
    <row r="52" spans="1:19">
      <c r="A52" s="140">
        <v>9069</v>
      </c>
      <c r="B52" s="140" t="s">
        <v>88</v>
      </c>
      <c r="C52" s="140" t="s">
        <v>88</v>
      </c>
      <c r="D52" s="143" t="s">
        <v>5</v>
      </c>
      <c r="E52" s="144">
        <v>43180.781828703701</v>
      </c>
      <c r="F52" s="89">
        <f t="shared" si="8"/>
        <v>43180.781828703701</v>
      </c>
      <c r="G52" s="90" t="str">
        <f t="shared" si="9"/>
        <v>18:45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20"/>
    </row>
    <row r="53" spans="1:19" s="63" customFormat="1">
      <c r="A53" s="140">
        <v>9088</v>
      </c>
      <c r="B53" s="140" t="s">
        <v>88</v>
      </c>
      <c r="C53" s="140" t="s">
        <v>88</v>
      </c>
      <c r="D53" s="143" t="s">
        <v>6</v>
      </c>
      <c r="E53" s="144">
        <v>43181.370983796296</v>
      </c>
      <c r="F53" s="89">
        <f t="shared" si="8"/>
        <v>43181.370983796296</v>
      </c>
      <c r="G53" s="90" t="str">
        <f t="shared" si="9"/>
        <v>8:54</v>
      </c>
      <c r="H53" s="91">
        <f t="shared" si="10"/>
        <v>9.6000000000000014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20"/>
      <c r="P53" s="18"/>
      <c r="Q53" s="18"/>
      <c r="R53" s="18"/>
      <c r="S53" s="18"/>
    </row>
    <row r="54" spans="1:19" s="63" customFormat="1">
      <c r="A54" s="140">
        <v>9099</v>
      </c>
      <c r="B54" s="140" t="s">
        <v>89</v>
      </c>
      <c r="C54" s="140" t="s">
        <v>88</v>
      </c>
      <c r="D54" s="143" t="s">
        <v>5</v>
      </c>
      <c r="E54" s="144">
        <v>43181.770856481482</v>
      </c>
      <c r="F54" s="89">
        <f t="shared" si="8"/>
        <v>43181.770856481482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20"/>
      <c r="P54" s="18"/>
      <c r="Q54" s="18"/>
      <c r="R54" s="18"/>
      <c r="S54" s="18"/>
    </row>
    <row r="55" spans="1:19" s="2" customFormat="1">
      <c r="A55" s="140">
        <v>9102</v>
      </c>
      <c r="B55" s="140" t="s">
        <v>89</v>
      </c>
      <c r="C55" s="140" t="s">
        <v>88</v>
      </c>
      <c r="D55" s="143" t="s">
        <v>7</v>
      </c>
      <c r="E55" s="144">
        <v>43181.791145833333</v>
      </c>
      <c r="F55" s="89">
        <f t="shared" si="8"/>
        <v>43181.791145833333</v>
      </c>
      <c r="G55" s="90" t="str">
        <f t="shared" si="9"/>
        <v>18:59</v>
      </c>
      <c r="H55" s="91" t="str">
        <f t="shared" si="10"/>
        <v>-</v>
      </c>
      <c r="I55" s="92" t="str">
        <f t="shared" si="11"/>
        <v>-</v>
      </c>
      <c r="J55" s="92" t="str">
        <f t="shared" si="12"/>
        <v>-</v>
      </c>
      <c r="K55" s="93">
        <f t="shared" si="13"/>
        <v>3.2999999999999989</v>
      </c>
      <c r="L55" s="93"/>
      <c r="M55" s="94">
        <f t="shared" si="14"/>
        <v>2</v>
      </c>
      <c r="N55" s="94">
        <f t="shared" si="15"/>
        <v>1.2999999999999989</v>
      </c>
      <c r="O55" s="20"/>
      <c r="P55" s="8"/>
      <c r="Q55" s="8"/>
      <c r="R55" s="8"/>
      <c r="S55" s="8"/>
    </row>
    <row r="56" spans="1:19">
      <c r="A56" s="140">
        <v>9111</v>
      </c>
      <c r="B56" s="140" t="s">
        <v>88</v>
      </c>
      <c r="C56" s="140" t="s">
        <v>88</v>
      </c>
      <c r="D56" s="143" t="s">
        <v>8</v>
      </c>
      <c r="E56" s="144">
        <v>43181.928819444445</v>
      </c>
      <c r="F56" s="89">
        <f t="shared" si="8"/>
        <v>43181.928819444445</v>
      </c>
      <c r="G56" s="90" t="str">
        <f t="shared" si="9"/>
        <v>22:17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20"/>
    </row>
    <row r="57" spans="1:19">
      <c r="A57" s="140">
        <v>9123</v>
      </c>
      <c r="B57" s="140" t="s">
        <v>88</v>
      </c>
      <c r="C57" s="140" t="s">
        <v>88</v>
      </c>
      <c r="D57" s="143" t="s">
        <v>6</v>
      </c>
      <c r="E57" s="144">
        <v>43182.372719907406</v>
      </c>
      <c r="F57" s="89">
        <f t="shared" si="8"/>
        <v>43182.372719907406</v>
      </c>
      <c r="G57" s="90" t="str">
        <f t="shared" si="9"/>
        <v>8:56</v>
      </c>
      <c r="H57" s="91">
        <f t="shared" si="10"/>
        <v>9.5166666666666657</v>
      </c>
      <c r="I57" s="92">
        <f t="shared" si="11"/>
        <v>8</v>
      </c>
      <c r="J57" s="92" t="str">
        <f t="shared" si="12"/>
        <v>-</v>
      </c>
      <c r="K57" s="93">
        <f t="shared" si="13"/>
        <v>0</v>
      </c>
      <c r="L57" s="93"/>
      <c r="M57" s="94">
        <f t="shared" si="14"/>
        <v>0</v>
      </c>
      <c r="N57" s="94">
        <f t="shared" si="15"/>
        <v>0</v>
      </c>
      <c r="O57" s="20"/>
    </row>
    <row r="58" spans="1:19">
      <c r="A58" s="140">
        <v>9132</v>
      </c>
      <c r="B58" s="140" t="s">
        <v>88</v>
      </c>
      <c r="C58" s="140" t="s">
        <v>88</v>
      </c>
      <c r="D58" s="143" t="s">
        <v>5</v>
      </c>
      <c r="E58" s="144">
        <v>43182.769293981481</v>
      </c>
      <c r="F58" s="89">
        <f t="shared" si="8"/>
        <v>43182.769293981481</v>
      </c>
      <c r="G58" s="90" t="str">
        <f t="shared" si="9"/>
        <v>18:27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20"/>
    </row>
    <row r="59" spans="1:19">
      <c r="A59" s="140">
        <v>9141</v>
      </c>
      <c r="B59" s="140" t="s">
        <v>88</v>
      </c>
      <c r="C59" s="140" t="s">
        <v>88</v>
      </c>
      <c r="D59" s="143" t="s">
        <v>6</v>
      </c>
      <c r="E59" s="144">
        <v>43185.368750000001</v>
      </c>
      <c r="F59" s="89">
        <f t="shared" si="8"/>
        <v>43185.368750000001</v>
      </c>
      <c r="G59" s="90" t="str">
        <f t="shared" si="9"/>
        <v>8:51</v>
      </c>
      <c r="H59" s="91">
        <f t="shared" si="10"/>
        <v>9.8333333333333339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20"/>
    </row>
    <row r="60" spans="1:19">
      <c r="A60" s="140">
        <v>9154</v>
      </c>
      <c r="B60" s="140" t="s">
        <v>89</v>
      </c>
      <c r="C60" s="140" t="s">
        <v>88</v>
      </c>
      <c r="D60" s="143" t="s">
        <v>5</v>
      </c>
      <c r="E60" s="144">
        <v>43185.778981481482</v>
      </c>
      <c r="F60" s="89">
        <f t="shared" si="8"/>
        <v>43185.778981481482</v>
      </c>
      <c r="G60" s="90" t="str">
        <f t="shared" si="9"/>
        <v>18:41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20"/>
    </row>
    <row r="61" spans="1:19">
      <c r="A61">
        <v>9168</v>
      </c>
      <c r="B61" t="s">
        <v>88</v>
      </c>
      <c r="C61" t="s">
        <v>88</v>
      </c>
      <c r="D61" s="143" t="s">
        <v>6</v>
      </c>
      <c r="E61" s="144">
        <v>43186.369687500002</v>
      </c>
      <c r="F61" s="89">
        <f t="shared" si="8"/>
        <v>43186.369687500002</v>
      </c>
      <c r="G61" s="90" t="str">
        <f t="shared" si="9"/>
        <v>8:52</v>
      </c>
      <c r="H61" s="91">
        <f t="shared" si="10"/>
        <v>9.966666666666665</v>
      </c>
      <c r="I61" s="92">
        <f t="shared" si="11"/>
        <v>8</v>
      </c>
      <c r="J61" s="92" t="str">
        <f t="shared" si="12"/>
        <v>-</v>
      </c>
      <c r="K61" s="93">
        <f t="shared" si="13"/>
        <v>0</v>
      </c>
      <c r="L61" s="93"/>
      <c r="M61" s="94">
        <f t="shared" si="14"/>
        <v>0</v>
      </c>
      <c r="N61" s="94">
        <f t="shared" si="15"/>
        <v>0</v>
      </c>
      <c r="O61" s="20"/>
    </row>
    <row r="62" spans="1:19">
      <c r="A62">
        <v>9182</v>
      </c>
      <c r="B62" t="s">
        <v>88</v>
      </c>
      <c r="C62" t="s">
        <v>88</v>
      </c>
      <c r="D62" s="143" t="s">
        <v>5</v>
      </c>
      <c r="E62" s="144">
        <v>43186.785162037035</v>
      </c>
      <c r="F62" s="89">
        <f t="shared" si="8"/>
        <v>43186.785162037035</v>
      </c>
      <c r="G62" s="90" t="str">
        <f t="shared" si="9"/>
        <v>18:50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20"/>
    </row>
    <row r="63" spans="1:19">
      <c r="A63">
        <v>9196</v>
      </c>
      <c r="B63" t="s">
        <v>88</v>
      </c>
      <c r="C63" t="s">
        <v>88</v>
      </c>
      <c r="D63" s="143" t="s">
        <v>6</v>
      </c>
      <c r="E63" s="144">
        <v>43187.365277777775</v>
      </c>
      <c r="F63" s="89">
        <f t="shared" si="8"/>
        <v>43187.365277777775</v>
      </c>
      <c r="G63" s="90" t="str">
        <f t="shared" si="9"/>
        <v>8:46</v>
      </c>
      <c r="H63" s="91">
        <f t="shared" si="10"/>
        <v>9.6666666666666679</v>
      </c>
      <c r="I63" s="92">
        <f t="shared" si="11"/>
        <v>8</v>
      </c>
      <c r="J63" s="92" t="str">
        <f t="shared" si="12"/>
        <v>-</v>
      </c>
      <c r="K63" s="93">
        <f t="shared" si="13"/>
        <v>0</v>
      </c>
      <c r="L63" s="93"/>
      <c r="M63" s="94">
        <f t="shared" si="14"/>
        <v>0</v>
      </c>
      <c r="N63" s="94">
        <f t="shared" si="15"/>
        <v>0</v>
      </c>
      <c r="O63" s="20"/>
    </row>
    <row r="64" spans="1:19">
      <c r="A64">
        <v>9202</v>
      </c>
      <c r="B64" t="s">
        <v>89</v>
      </c>
      <c r="C64" t="s">
        <v>88</v>
      </c>
      <c r="D64" s="143" t="s">
        <v>5</v>
      </c>
      <c r="E64" s="144">
        <v>43187.768645833334</v>
      </c>
      <c r="F64" s="89">
        <f t="shared" si="8"/>
        <v>43187.768645833334</v>
      </c>
      <c r="G64" s="90" t="str">
        <f t="shared" si="9"/>
        <v>18:26</v>
      </c>
      <c r="H64" s="91" t="str">
        <f t="shared" si="10"/>
        <v>-</v>
      </c>
      <c r="I64" s="92" t="str">
        <f t="shared" si="11"/>
        <v>-</v>
      </c>
      <c r="J64" s="92" t="str">
        <f t="shared" si="12"/>
        <v>-</v>
      </c>
      <c r="K64" s="93">
        <f t="shared" si="13"/>
        <v>0</v>
      </c>
      <c r="L64" s="93"/>
      <c r="M64" s="94">
        <f t="shared" si="14"/>
        <v>0</v>
      </c>
      <c r="N64" s="94">
        <f t="shared" si="15"/>
        <v>0</v>
      </c>
      <c r="O64" s="20"/>
    </row>
    <row r="65" spans="1:15">
      <c r="A65">
        <v>9232</v>
      </c>
      <c r="B65" t="s">
        <v>88</v>
      </c>
      <c r="C65" t="s">
        <v>88</v>
      </c>
      <c r="D65" s="143" t="s">
        <v>6</v>
      </c>
      <c r="E65" s="144">
        <v>43188.369687500002</v>
      </c>
      <c r="F65" s="89">
        <f t="shared" si="8"/>
        <v>43188.369687500002</v>
      </c>
      <c r="G65" s="90" t="str">
        <f t="shared" si="9"/>
        <v>8:52</v>
      </c>
      <c r="H65" s="91">
        <f t="shared" si="10"/>
        <v>9.8833333333333329</v>
      </c>
      <c r="I65" s="92">
        <f t="shared" si="11"/>
        <v>8</v>
      </c>
      <c r="J65" s="92" t="str">
        <f t="shared" si="12"/>
        <v>-</v>
      </c>
      <c r="K65" s="93">
        <f t="shared" si="13"/>
        <v>0</v>
      </c>
      <c r="L65" s="93"/>
      <c r="M65" s="94">
        <f t="shared" si="14"/>
        <v>0</v>
      </c>
      <c r="N65" s="94">
        <f t="shared" si="15"/>
        <v>0</v>
      </c>
      <c r="O65" s="20"/>
    </row>
    <row r="66" spans="1:15">
      <c r="A66">
        <v>9249</v>
      </c>
      <c r="B66" t="s">
        <v>88</v>
      </c>
      <c r="C66" t="s">
        <v>88</v>
      </c>
      <c r="D66" s="143" t="s">
        <v>5</v>
      </c>
      <c r="E66" s="144">
        <v>43188.781307870369</v>
      </c>
      <c r="F66" s="89">
        <f t="shared" si="8"/>
        <v>43188.781307870369</v>
      </c>
      <c r="G66" s="90" t="str">
        <f t="shared" si="9"/>
        <v>18:45</v>
      </c>
      <c r="H66" s="91" t="str">
        <f t="shared" si="10"/>
        <v>-</v>
      </c>
      <c r="I66" s="92" t="str">
        <f t="shared" si="11"/>
        <v>-</v>
      </c>
      <c r="J66" s="92" t="str">
        <f t="shared" si="12"/>
        <v>-</v>
      </c>
      <c r="K66" s="93">
        <f t="shared" si="13"/>
        <v>0</v>
      </c>
      <c r="L66" s="93"/>
      <c r="M66" s="94">
        <f t="shared" si="14"/>
        <v>0</v>
      </c>
      <c r="N66" s="94">
        <f t="shared" si="15"/>
        <v>0</v>
      </c>
      <c r="O66" s="20"/>
    </row>
    <row r="67" spans="1:15">
      <c r="A67">
        <v>9264</v>
      </c>
      <c r="B67" t="s">
        <v>88</v>
      </c>
      <c r="C67" t="s">
        <v>88</v>
      </c>
      <c r="D67" s="143" t="s">
        <v>6</v>
      </c>
      <c r="E67" s="144">
        <v>43189.369467592594</v>
      </c>
      <c r="F67" s="89">
        <f t="shared" si="8"/>
        <v>43189.369467592594</v>
      </c>
      <c r="G67" s="90" t="str">
        <f t="shared" si="9"/>
        <v>8:52</v>
      </c>
      <c r="H67" s="91">
        <f t="shared" si="10"/>
        <v>9.7333333333333343</v>
      </c>
      <c r="I67" s="92">
        <f t="shared" si="11"/>
        <v>8</v>
      </c>
      <c r="J67" s="92" t="str">
        <f t="shared" si="12"/>
        <v>-</v>
      </c>
      <c r="K67" s="93">
        <f t="shared" si="13"/>
        <v>0</v>
      </c>
      <c r="L67" s="93"/>
      <c r="M67" s="94">
        <f t="shared" si="14"/>
        <v>0</v>
      </c>
      <c r="N67" s="94">
        <f t="shared" si="15"/>
        <v>0</v>
      </c>
      <c r="O67" s="20"/>
    </row>
    <row r="68" spans="1:15">
      <c r="A68">
        <v>9275</v>
      </c>
      <c r="B68" t="s">
        <v>88</v>
      </c>
      <c r="C68" t="s">
        <v>88</v>
      </c>
      <c r="D68" s="143" t="s">
        <v>5</v>
      </c>
      <c r="E68" s="144">
        <v>43189.775196759256</v>
      </c>
      <c r="F68" s="89">
        <f t="shared" si="8"/>
        <v>43189.775196759256</v>
      </c>
      <c r="G68" s="90" t="str">
        <f t="shared" si="9"/>
        <v>18:36</v>
      </c>
      <c r="H68" s="91" t="str">
        <f t="shared" si="10"/>
        <v>-</v>
      </c>
      <c r="I68" s="92" t="str">
        <f t="shared" si="11"/>
        <v>-</v>
      </c>
      <c r="J68" s="92" t="str">
        <f t="shared" si="12"/>
        <v>-</v>
      </c>
      <c r="K68" s="93">
        <f t="shared" si="13"/>
        <v>0</v>
      </c>
      <c r="L68" s="93"/>
      <c r="M68" s="94">
        <f t="shared" si="14"/>
        <v>0</v>
      </c>
      <c r="N68" s="94">
        <f t="shared" si="15"/>
        <v>0</v>
      </c>
      <c r="O68" s="20"/>
    </row>
    <row r="69" spans="1:15">
      <c r="A69">
        <v>9289</v>
      </c>
      <c r="B69" t="s">
        <v>88</v>
      </c>
      <c r="C69" t="s">
        <v>88</v>
      </c>
      <c r="D69" s="143" t="s">
        <v>6</v>
      </c>
      <c r="E69" s="144">
        <v>43190.368402777778</v>
      </c>
      <c r="F69" s="89">
        <f t="shared" si="8"/>
        <v>43190.368402777778</v>
      </c>
      <c r="G69" s="90" t="str">
        <f t="shared" si="9"/>
        <v>8:50</v>
      </c>
      <c r="H69" s="91">
        <f t="shared" si="10"/>
        <v>9.7499999999999964</v>
      </c>
      <c r="I69" s="92">
        <f t="shared" si="11"/>
        <v>8</v>
      </c>
      <c r="J69" s="92" t="str">
        <f t="shared" si="12"/>
        <v>-</v>
      </c>
      <c r="K69" s="93">
        <f t="shared" si="13"/>
        <v>0</v>
      </c>
      <c r="L69" s="93"/>
      <c r="M69" s="94">
        <f t="shared" si="14"/>
        <v>0</v>
      </c>
      <c r="N69" s="94">
        <f t="shared" si="15"/>
        <v>0</v>
      </c>
      <c r="O69" s="20"/>
    </row>
    <row r="70" spans="1:15">
      <c r="A70">
        <v>9301</v>
      </c>
      <c r="B70" t="s">
        <v>88</v>
      </c>
      <c r="C70" t="s">
        <v>88</v>
      </c>
      <c r="D70" s="143" t="s">
        <v>5</v>
      </c>
      <c r="E70" s="144">
        <v>43190.774594907409</v>
      </c>
      <c r="F70" s="89">
        <f t="shared" si="8"/>
        <v>43190.774594907409</v>
      </c>
      <c r="G70" s="90" t="str">
        <f t="shared" si="9"/>
        <v>18:35</v>
      </c>
      <c r="H70" s="91" t="str">
        <f t="shared" si="10"/>
        <v>-</v>
      </c>
      <c r="I70" s="92" t="str">
        <f t="shared" si="11"/>
        <v>-</v>
      </c>
      <c r="J70" s="92" t="str">
        <f t="shared" si="12"/>
        <v>-</v>
      </c>
      <c r="K70" s="93">
        <f t="shared" si="13"/>
        <v>0</v>
      </c>
      <c r="L70" s="93"/>
      <c r="M70" s="94">
        <f t="shared" si="14"/>
        <v>0</v>
      </c>
      <c r="N70" s="94">
        <f t="shared" si="15"/>
        <v>0</v>
      </c>
      <c r="O70" s="20"/>
    </row>
    <row r="71" spans="1:15">
      <c r="D71"/>
      <c r="O71" s="22"/>
    </row>
    <row r="73" spans="1:15">
      <c r="D73" s="9" t="s">
        <v>37</v>
      </c>
    </row>
    <row r="74" spans="1:15">
      <c r="D74" s="9" t="s">
        <v>36</v>
      </c>
    </row>
    <row r="75" spans="1:15">
      <c r="D75" s="172" t="s">
        <v>64</v>
      </c>
    </row>
    <row r="76" spans="1:15">
      <c r="D76" t="s">
        <v>67</v>
      </c>
    </row>
    <row r="77" spans="1:15">
      <c r="D77" t="s">
        <v>65</v>
      </c>
    </row>
    <row r="78" spans="1:15">
      <c r="D78" t="s">
        <v>69</v>
      </c>
    </row>
    <row r="79" spans="1:15">
      <c r="D79" t="s">
        <v>70</v>
      </c>
    </row>
    <row r="80" spans="1:15">
      <c r="D80" t="s">
        <v>66</v>
      </c>
    </row>
    <row r="81" spans="4:4">
      <c r="D81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69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Z113"/>
  <sheetViews>
    <sheetView view="pageBreakPreview" topLeftCell="D1" zoomScaleNormal="100" zoomScaleSheetLayoutView="100" workbookViewId="0">
      <selection activeCell="O22" sqref="O22"/>
    </sheetView>
  </sheetViews>
  <sheetFormatPr baseColWidth="10" defaultColWidth="9" defaultRowHeight="15" outlineLevelCol="1"/>
  <cols>
    <col min="1" max="1" width="5.83203125" style="261" hidden="1" customWidth="1" outlineLevel="1"/>
    <col min="2" max="2" width="6.83203125" style="261" hidden="1" customWidth="1" outlineLevel="1"/>
    <col min="3" max="3" width="6.5" style="262" hidden="1" customWidth="1" outlineLevel="1"/>
    <col min="4" max="4" width="10.1640625" style="262" customWidth="1" collapsed="1"/>
    <col min="5" max="5" width="15.1640625" style="262" customWidth="1"/>
    <col min="6" max="6" width="6.1640625" style="303" customWidth="1"/>
    <col min="7" max="7" width="8.6640625" style="309" hidden="1" customWidth="1" outlineLevel="1"/>
    <col min="8" max="8" width="10.6640625" style="310" hidden="1" customWidth="1" outlineLevel="1"/>
    <col min="9" max="9" width="10.5" style="311" customWidth="1" collapsed="1"/>
    <col min="10" max="10" width="9" style="311" customWidth="1"/>
    <col min="11" max="11" width="8.33203125" style="307" hidden="1" customWidth="1" outlineLevel="1"/>
    <col min="12" max="12" width="8.33203125" style="307" customWidth="1" collapsed="1"/>
    <col min="13" max="13" width="10.5" style="307" customWidth="1"/>
    <col min="14" max="14" width="10.1640625" style="307" customWidth="1"/>
    <col min="15" max="15" width="16.6640625" style="308" customWidth="1"/>
    <col min="16" max="16" width="9" style="9"/>
    <col min="17" max="17" width="9.83203125" style="9" customWidth="1"/>
    <col min="18" max="18" width="2.5" style="9" bestFit="1" customWidth="1"/>
    <col min="19" max="19" width="9" style="9"/>
    <col min="20" max="20" width="3" customWidth="1"/>
    <col min="21" max="21" width="7.5" customWidth="1"/>
    <col min="22" max="23" width="8.83203125" customWidth="1"/>
    <col min="24" max="25" width="9" style="396"/>
    <col min="26" max="16384" width="9" style="261"/>
  </cols>
  <sheetData>
    <row r="1" spans="1:25" s="251" customFormat="1" ht="28" thickBot="1">
      <c r="C1" s="252"/>
      <c r="D1" s="253"/>
      <c r="E1" s="253"/>
      <c r="F1" s="254"/>
      <c r="G1" s="255"/>
      <c r="H1" s="256"/>
      <c r="I1" s="257" t="str">
        <f>B7</f>
        <v>leo</v>
      </c>
      <c r="J1" s="258" t="s">
        <v>30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75</v>
      </c>
      <c r="E2" s="264">
        <v>0</v>
      </c>
      <c r="F2" s="265" t="s">
        <v>76</v>
      </c>
      <c r="G2" s="266"/>
      <c r="H2" s="266"/>
      <c r="I2" s="267"/>
      <c r="J2" s="267" t="s">
        <v>35</v>
      </c>
      <c r="K2" s="268"/>
      <c r="L2" s="269" t="s">
        <v>21</v>
      </c>
      <c r="M2" s="270" t="s">
        <v>18</v>
      </c>
      <c r="N2" s="270" t="s">
        <v>19</v>
      </c>
      <c r="O2" s="271" t="s">
        <v>28</v>
      </c>
    </row>
    <row r="3" spans="1:25" ht="16" thickBot="1">
      <c r="D3" s="272" t="s">
        <v>77</v>
      </c>
      <c r="E3" s="273">
        <v>800</v>
      </c>
      <c r="F3" s="274"/>
      <c r="G3" s="275"/>
      <c r="H3" s="275"/>
      <c r="I3" s="276"/>
      <c r="J3" s="277">
        <f>D5+E5</f>
        <v>1.9999999999999982</v>
      </c>
      <c r="K3" s="278">
        <f>SUM(K16:K41)</f>
        <v>19.100000000000001</v>
      </c>
      <c r="L3" s="278">
        <f>J3</f>
        <v>1.9999999999999982</v>
      </c>
      <c r="M3" s="278">
        <f>M6-L3</f>
        <v>34.566666666666663</v>
      </c>
      <c r="N3" s="278">
        <f t="shared" ref="N3" si="0">N6</f>
        <v>22.816666666666666</v>
      </c>
      <c r="O3" s="279"/>
    </row>
    <row r="4" spans="1:25">
      <c r="D4" s="280" t="s">
        <v>44</v>
      </c>
      <c r="E4" s="281" t="s">
        <v>45</v>
      </c>
      <c r="F4" s="281" t="s">
        <v>47</v>
      </c>
      <c r="G4" s="282"/>
      <c r="H4" s="282"/>
      <c r="I4" s="283" t="s">
        <v>34</v>
      </c>
      <c r="J4" s="283" t="s">
        <v>26</v>
      </c>
      <c r="K4" s="283"/>
      <c r="L4" s="283" t="s">
        <v>13</v>
      </c>
      <c r="M4" s="283" t="s">
        <v>13</v>
      </c>
      <c r="N4" s="283" t="s">
        <v>13</v>
      </c>
      <c r="O4" s="284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5">
      <c r="D5" s="462">
        <f>J6</f>
        <v>1.9999999999999982</v>
      </c>
      <c r="E5" s="286">
        <v>0</v>
      </c>
      <c r="F5" s="287">
        <v>0</v>
      </c>
      <c r="G5" s="288"/>
      <c r="H5" s="288"/>
      <c r="I5" s="289" t="s">
        <v>48</v>
      </c>
      <c r="J5" s="289" t="s">
        <v>48</v>
      </c>
      <c r="K5" s="289" t="s">
        <v>17</v>
      </c>
      <c r="L5" s="289" t="s">
        <v>21</v>
      </c>
      <c r="M5" s="289" t="s">
        <v>18</v>
      </c>
      <c r="N5" s="289" t="s">
        <v>19</v>
      </c>
      <c r="O5" s="290"/>
      <c r="Q5" s="9" t="s">
        <v>41</v>
      </c>
      <c r="S5" s="57">
        <f>(L6+M6+N6)/160</f>
        <v>0.37114583333333329</v>
      </c>
    </row>
    <row r="6" spans="1:25" ht="16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23</v>
      </c>
      <c r="I6" s="295">
        <f>SUM(I7:I147)</f>
        <v>182</v>
      </c>
      <c r="J6" s="295">
        <f>SUM(J7:J147)</f>
        <v>1.9999999999999982</v>
      </c>
      <c r="K6" s="295">
        <f>SUM(K7:K76)</f>
        <v>49</v>
      </c>
      <c r="L6" s="295">
        <f>SUM(L7:L147)</f>
        <v>0</v>
      </c>
      <c r="M6" s="295">
        <f>SUM(M7:M147)</f>
        <v>36.566666666666663</v>
      </c>
      <c r="N6" s="295">
        <f>SUM(N7:N147)</f>
        <v>22.816666666666666</v>
      </c>
      <c r="O6" s="296"/>
      <c r="Q6" s="386"/>
      <c r="R6" s="8"/>
      <c r="S6" s="8"/>
      <c r="U6" s="49"/>
      <c r="V6" s="386"/>
      <c r="W6" s="8"/>
    </row>
    <row r="7" spans="1:25" s="303" customFormat="1">
      <c r="A7" s="140">
        <v>8498</v>
      </c>
      <c r="B7" s="140" t="s">
        <v>99</v>
      </c>
      <c r="C7" s="140" t="s">
        <v>99</v>
      </c>
      <c r="D7" s="141" t="s">
        <v>6</v>
      </c>
      <c r="E7" s="142">
        <v>43160.379236111112</v>
      </c>
      <c r="F7" s="297">
        <f>E7</f>
        <v>43160.379236111112</v>
      </c>
      <c r="G7" s="298" t="str">
        <f>HOUR(E7)&amp;":"&amp;MINUTE(E7)</f>
        <v>9:6</v>
      </c>
      <c r="H7" s="299">
        <f>IF(D7="上班",(G8-G7)*24,"-")</f>
        <v>9.9333333333333353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 t="shared" ref="K7" si="3">IF(D7="加班",(G8-G7)*24,0)</f>
        <v>0</v>
      </c>
      <c r="L7" s="301"/>
      <c r="M7" s="302">
        <f t="shared" ref="M7" si="4">IF(K7&gt;2,2,K7)</f>
        <v>0</v>
      </c>
      <c r="N7" s="302">
        <f t="shared" ref="N7" si="5">IF(K7&gt;2,K7-2,0)</f>
        <v>0</v>
      </c>
      <c r="O7" s="393"/>
      <c r="P7" s="137"/>
      <c r="Q7" s="387"/>
      <c r="R7" s="137"/>
      <c r="S7" s="16"/>
      <c r="T7" s="16"/>
      <c r="U7" s="16"/>
      <c r="V7" s="387"/>
      <c r="W7" s="16"/>
      <c r="X7" s="16"/>
      <c r="Y7" s="16"/>
    </row>
    <row r="8" spans="1:25" s="303" customFormat="1">
      <c r="A8" s="140">
        <v>8513</v>
      </c>
      <c r="B8" s="140" t="s">
        <v>99</v>
      </c>
      <c r="C8" s="140" t="s">
        <v>99</v>
      </c>
      <c r="D8" s="143" t="s">
        <v>5</v>
      </c>
      <c r="E8" s="144">
        <v>43160.793622685182</v>
      </c>
      <c r="F8" s="297">
        <f t="shared" ref="F8:F68" si="6">E8</f>
        <v>43160.793622685182</v>
      </c>
      <c r="G8" s="298" t="str">
        <f t="shared" ref="G8:G68" si="7">HOUR(E8)&amp;":"&amp;MINUTE(E8)</f>
        <v>19:2</v>
      </c>
      <c r="H8" s="299" t="str">
        <f t="shared" ref="H8:H68" si="8">IF(D8="上班",(G9-G8)*24,"-")</f>
        <v>-</v>
      </c>
      <c r="I8" s="300" t="str">
        <f t="shared" ref="I8:I68" si="9">IF(D8="上班",IF(H8-1.5&gt;8,8,H8-1.5),"-")</f>
        <v>-</v>
      </c>
      <c r="J8" s="300" t="str">
        <f t="shared" ref="J8:J68" si="10">IF(I8&lt;8,8-I8,"-")</f>
        <v>-</v>
      </c>
      <c r="K8" s="301">
        <f t="shared" ref="K8:K68" si="11">IF(D8="加班",(G9-G8)*24,0)</f>
        <v>0</v>
      </c>
      <c r="L8" s="301"/>
      <c r="M8" s="302">
        <f t="shared" ref="M8:M66" si="12">IF(K8&gt;2,2,K8)</f>
        <v>0</v>
      </c>
      <c r="N8" s="302">
        <f t="shared" ref="N8:N68" si="13">IF(K8&gt;2,K8-2,0)</f>
        <v>0</v>
      </c>
      <c r="O8" s="393"/>
      <c r="P8" s="137"/>
      <c r="Q8" s="387"/>
      <c r="R8" s="137"/>
      <c r="S8" s="16"/>
      <c r="T8" s="16"/>
      <c r="U8" s="16"/>
      <c r="V8" s="387"/>
      <c r="W8" s="16"/>
      <c r="X8" s="16"/>
      <c r="Y8" s="16"/>
    </row>
    <row r="9" spans="1:25" s="303" customFormat="1">
      <c r="A9" s="140">
        <v>8520</v>
      </c>
      <c r="B9" s="140" t="s">
        <v>99</v>
      </c>
      <c r="C9" s="140" t="s">
        <v>99</v>
      </c>
      <c r="D9" s="143" t="s">
        <v>6</v>
      </c>
      <c r="E9" s="144">
        <v>43161.358206018522</v>
      </c>
      <c r="F9" s="297">
        <f t="shared" si="6"/>
        <v>43161.358206018522</v>
      </c>
      <c r="G9" s="298" t="str">
        <f t="shared" si="7"/>
        <v>8:35</v>
      </c>
      <c r="H9" s="299">
        <f t="shared" si="8"/>
        <v>9.8666666666666654</v>
      </c>
      <c r="I9" s="300">
        <f t="shared" si="9"/>
        <v>8</v>
      </c>
      <c r="J9" s="300" t="str">
        <f t="shared" si="10"/>
        <v>-</v>
      </c>
      <c r="K9" s="301">
        <f t="shared" si="11"/>
        <v>0</v>
      </c>
      <c r="L9" s="301"/>
      <c r="M9" s="302">
        <f t="shared" si="12"/>
        <v>0</v>
      </c>
      <c r="N9" s="302">
        <f t="shared" si="13"/>
        <v>0</v>
      </c>
      <c r="O9" s="393"/>
      <c r="P9" s="137"/>
      <c r="Q9" s="387"/>
      <c r="R9" s="137"/>
      <c r="S9" s="16"/>
      <c r="T9" s="16"/>
      <c r="U9" s="16"/>
      <c r="V9" s="387"/>
      <c r="W9" s="16"/>
      <c r="X9" s="16"/>
      <c r="Y9" s="16"/>
    </row>
    <row r="10" spans="1:25" s="303" customFormat="1">
      <c r="A10" s="145">
        <v>8537</v>
      </c>
      <c r="B10" s="145" t="s">
        <v>99</v>
      </c>
      <c r="C10" s="145" t="s">
        <v>99</v>
      </c>
      <c r="D10" s="424" t="s">
        <v>106</v>
      </c>
      <c r="E10" s="146">
        <v>43161.769212962965</v>
      </c>
      <c r="F10" s="297">
        <f t="shared" si="6"/>
        <v>43161.769212962965</v>
      </c>
      <c r="G10" s="298" t="str">
        <f t="shared" si="7"/>
        <v>18:27</v>
      </c>
      <c r="H10" s="299" t="str">
        <f t="shared" si="8"/>
        <v>-</v>
      </c>
      <c r="I10" s="300" t="str">
        <f t="shared" si="9"/>
        <v>-</v>
      </c>
      <c r="J10" s="300" t="str">
        <f t="shared" si="10"/>
        <v>-</v>
      </c>
      <c r="K10" s="301">
        <f t="shared" si="11"/>
        <v>0</v>
      </c>
      <c r="L10" s="301"/>
      <c r="M10" s="302">
        <f t="shared" si="12"/>
        <v>0</v>
      </c>
      <c r="N10" s="302">
        <f t="shared" si="13"/>
        <v>0</v>
      </c>
      <c r="O10" s="393"/>
      <c r="P10" s="137"/>
      <c r="Q10" s="387"/>
      <c r="R10" s="137"/>
      <c r="S10" s="16"/>
      <c r="T10" s="16"/>
      <c r="U10" s="16"/>
      <c r="V10" s="387"/>
      <c r="W10" s="16"/>
      <c r="X10" s="16"/>
      <c r="Y10" s="16"/>
    </row>
    <row r="11" spans="1:25" s="16" customFormat="1">
      <c r="A11" s="145">
        <v>8551</v>
      </c>
      <c r="B11" s="145" t="s">
        <v>99</v>
      </c>
      <c r="C11" s="145" t="s">
        <v>99</v>
      </c>
      <c r="D11" s="424" t="s">
        <v>7</v>
      </c>
      <c r="E11" s="146">
        <v>43161.771157407406</v>
      </c>
      <c r="F11" s="297">
        <f t="shared" si="6"/>
        <v>43161.771157407406</v>
      </c>
      <c r="G11" s="298" t="str">
        <f t="shared" si="7"/>
        <v>18:30</v>
      </c>
      <c r="H11" s="299" t="str">
        <f t="shared" si="8"/>
        <v>-</v>
      </c>
      <c r="I11" s="300" t="str">
        <f t="shared" si="9"/>
        <v>-</v>
      </c>
      <c r="J11" s="300" t="str">
        <f t="shared" si="10"/>
        <v>-</v>
      </c>
      <c r="K11" s="301">
        <f t="shared" si="11"/>
        <v>2.8666666666666671</v>
      </c>
      <c r="L11" s="301"/>
      <c r="M11" s="302">
        <f t="shared" si="12"/>
        <v>2</v>
      </c>
      <c r="N11" s="302">
        <f t="shared" si="13"/>
        <v>0.86666666666666714</v>
      </c>
      <c r="O11" s="393"/>
      <c r="P11" s="137"/>
      <c r="Q11" s="387"/>
      <c r="R11" s="137"/>
      <c r="S11" s="63"/>
      <c r="V11" s="387"/>
      <c r="X11" s="63"/>
    </row>
    <row r="12" spans="1:25" s="16" customFormat="1">
      <c r="A12" s="145">
        <v>8547</v>
      </c>
      <c r="B12" s="145" t="s">
        <v>99</v>
      </c>
      <c r="C12" s="145" t="s">
        <v>99</v>
      </c>
      <c r="D12" s="424" t="s">
        <v>107</v>
      </c>
      <c r="E12" s="146">
        <v>43161.890439814815</v>
      </c>
      <c r="F12" s="297">
        <f t="shared" si="6"/>
        <v>43161.890439814815</v>
      </c>
      <c r="G12" s="298" t="str">
        <f t="shared" si="7"/>
        <v>21:22</v>
      </c>
      <c r="H12" s="299" t="str">
        <f t="shared" si="8"/>
        <v>-</v>
      </c>
      <c r="I12" s="300" t="str">
        <f t="shared" si="9"/>
        <v>-</v>
      </c>
      <c r="J12" s="300" t="str">
        <f t="shared" si="10"/>
        <v>-</v>
      </c>
      <c r="K12" s="301">
        <f t="shared" si="11"/>
        <v>0</v>
      </c>
      <c r="L12" s="301"/>
      <c r="M12" s="302">
        <f t="shared" si="12"/>
        <v>0</v>
      </c>
      <c r="N12" s="302">
        <f t="shared" si="13"/>
        <v>0</v>
      </c>
      <c r="O12" s="393"/>
      <c r="P12" s="137"/>
      <c r="Q12" s="387"/>
      <c r="R12" s="137"/>
      <c r="S12" s="63"/>
      <c r="V12" s="387"/>
      <c r="X12" s="63"/>
    </row>
    <row r="13" spans="1:25" s="63" customFormat="1">
      <c r="A13" s="145">
        <v>8548</v>
      </c>
      <c r="B13" s="145" t="s">
        <v>99</v>
      </c>
      <c r="C13" s="145" t="s">
        <v>99</v>
      </c>
      <c r="D13" s="424" t="s">
        <v>13</v>
      </c>
      <c r="E13" s="146">
        <v>43162.420185185183</v>
      </c>
      <c r="F13" s="297">
        <f t="shared" si="6"/>
        <v>43162.420185185183</v>
      </c>
      <c r="G13" s="298" t="str">
        <f t="shared" si="7"/>
        <v>10:5</v>
      </c>
      <c r="H13" s="299" t="str">
        <f t="shared" si="8"/>
        <v>-</v>
      </c>
      <c r="I13" s="300" t="str">
        <f t="shared" si="9"/>
        <v>-</v>
      </c>
      <c r="J13" s="300" t="str">
        <f t="shared" si="10"/>
        <v>-</v>
      </c>
      <c r="K13" s="301">
        <f t="shared" si="11"/>
        <v>3.2500000000000004</v>
      </c>
      <c r="L13" s="301"/>
      <c r="M13" s="302">
        <f t="shared" si="12"/>
        <v>2</v>
      </c>
      <c r="N13" s="302">
        <f t="shared" si="13"/>
        <v>1.2500000000000004</v>
      </c>
      <c r="O13" s="393"/>
      <c r="P13" s="18"/>
      <c r="Q13" s="387"/>
      <c r="R13" s="137"/>
      <c r="S13" s="16"/>
      <c r="T13" s="16"/>
      <c r="U13" s="16"/>
      <c r="V13" s="387"/>
      <c r="W13" s="16"/>
      <c r="X13" s="16"/>
      <c r="Y13" s="16"/>
    </row>
    <row r="14" spans="1:25" s="63" customFormat="1">
      <c r="A14" s="140">
        <v>8550</v>
      </c>
      <c r="B14" s="140" t="s">
        <v>99</v>
      </c>
      <c r="C14" s="140" t="s">
        <v>99</v>
      </c>
      <c r="D14" s="143" t="s">
        <v>8</v>
      </c>
      <c r="E14" s="144">
        <v>43162.555868055555</v>
      </c>
      <c r="F14" s="297">
        <f t="shared" si="6"/>
        <v>43162.555868055555</v>
      </c>
      <c r="G14" s="298" t="str">
        <f t="shared" si="7"/>
        <v>13:20</v>
      </c>
      <c r="H14" s="299" t="str">
        <f t="shared" si="8"/>
        <v>-</v>
      </c>
      <c r="I14" s="300" t="str">
        <f t="shared" si="9"/>
        <v>-</v>
      </c>
      <c r="J14" s="300" t="str">
        <f t="shared" si="10"/>
        <v>-</v>
      </c>
      <c r="K14" s="301">
        <f t="shared" si="11"/>
        <v>0</v>
      </c>
      <c r="L14" s="301"/>
      <c r="M14" s="302">
        <f t="shared" si="12"/>
        <v>0</v>
      </c>
      <c r="N14" s="302">
        <f t="shared" si="13"/>
        <v>0</v>
      </c>
      <c r="O14" s="393"/>
      <c r="P14" s="18"/>
      <c r="Q14" s="387"/>
      <c r="R14" s="137"/>
      <c r="S14" s="16"/>
      <c r="T14" s="16"/>
      <c r="U14" s="16"/>
      <c r="V14" s="387"/>
      <c r="W14" s="16"/>
      <c r="X14" s="16"/>
      <c r="Y14" s="16"/>
    </row>
    <row r="15" spans="1:25" s="303" customFormat="1">
      <c r="A15" s="140">
        <v>8551</v>
      </c>
      <c r="B15" s="140" t="s">
        <v>99</v>
      </c>
      <c r="C15" s="140" t="s">
        <v>99</v>
      </c>
      <c r="D15" s="143" t="s">
        <v>7</v>
      </c>
      <c r="E15" s="144">
        <v>43162.577407407407</v>
      </c>
      <c r="F15" s="297">
        <f t="shared" si="6"/>
        <v>43162.577407407407</v>
      </c>
      <c r="G15" s="298" t="str">
        <f t="shared" si="7"/>
        <v>13:51</v>
      </c>
      <c r="H15" s="299" t="str">
        <f t="shared" si="8"/>
        <v>-</v>
      </c>
      <c r="I15" s="300" t="str">
        <f t="shared" si="9"/>
        <v>-</v>
      </c>
      <c r="J15" s="300" t="str">
        <f t="shared" si="10"/>
        <v>-</v>
      </c>
      <c r="K15" s="301">
        <f t="shared" si="11"/>
        <v>3.4000000000000012</v>
      </c>
      <c r="L15" s="301"/>
      <c r="M15" s="302"/>
      <c r="N15" s="302">
        <f>K15</f>
        <v>3.4000000000000012</v>
      </c>
      <c r="O15" s="393"/>
      <c r="P15" s="137"/>
      <c r="Q15" s="387"/>
      <c r="R15" s="137"/>
      <c r="S15" s="16"/>
      <c r="T15" s="16"/>
      <c r="U15" s="16"/>
      <c r="V15" s="387"/>
      <c r="W15" s="16"/>
      <c r="X15" s="16"/>
      <c r="Y15" s="16"/>
    </row>
    <row r="16" spans="1:25" s="305" customFormat="1">
      <c r="A16" s="140">
        <v>8554</v>
      </c>
      <c r="B16" s="140" t="s">
        <v>99</v>
      </c>
      <c r="C16" s="140" t="s">
        <v>99</v>
      </c>
      <c r="D16" s="143" t="s">
        <v>8</v>
      </c>
      <c r="E16" s="144">
        <v>43162.718888888892</v>
      </c>
      <c r="F16" s="297">
        <f t="shared" si="6"/>
        <v>43162.718888888892</v>
      </c>
      <c r="G16" s="298" t="str">
        <f t="shared" si="7"/>
        <v>17:15</v>
      </c>
      <c r="H16" s="299" t="str">
        <f t="shared" si="8"/>
        <v>-</v>
      </c>
      <c r="I16" s="300" t="str">
        <f t="shared" si="9"/>
        <v>-</v>
      </c>
      <c r="J16" s="300" t="str">
        <f t="shared" si="10"/>
        <v>-</v>
      </c>
      <c r="K16" s="301">
        <f t="shared" si="11"/>
        <v>0</v>
      </c>
      <c r="L16" s="301"/>
      <c r="M16" s="302">
        <f t="shared" si="12"/>
        <v>0</v>
      </c>
      <c r="N16" s="302">
        <f t="shared" si="13"/>
        <v>0</v>
      </c>
      <c r="O16" s="393"/>
      <c r="P16" s="18"/>
      <c r="Q16" s="387"/>
      <c r="R16" s="18"/>
      <c r="S16" s="63"/>
      <c r="T16" s="63"/>
      <c r="U16" s="63"/>
      <c r="V16" s="387"/>
      <c r="W16" s="63"/>
      <c r="X16" s="63"/>
      <c r="Y16" s="63"/>
    </row>
    <row r="17" spans="1:25">
      <c r="A17" s="140">
        <v>8556</v>
      </c>
      <c r="B17" s="140" t="s">
        <v>99</v>
      </c>
      <c r="C17" s="140" t="s">
        <v>99</v>
      </c>
      <c r="D17" s="143" t="s">
        <v>6</v>
      </c>
      <c r="E17" s="144">
        <v>43164.357928240737</v>
      </c>
      <c r="F17" s="297">
        <f t="shared" si="6"/>
        <v>43164.357928240737</v>
      </c>
      <c r="G17" s="298" t="str">
        <f t="shared" si="7"/>
        <v>8:35</v>
      </c>
      <c r="H17" s="299">
        <f t="shared" si="8"/>
        <v>9.6833333333333318</v>
      </c>
      <c r="I17" s="300">
        <f t="shared" si="9"/>
        <v>8</v>
      </c>
      <c r="J17" s="300" t="str">
        <f t="shared" si="10"/>
        <v>-</v>
      </c>
      <c r="K17" s="301">
        <f t="shared" si="11"/>
        <v>0</v>
      </c>
      <c r="L17" s="301"/>
      <c r="M17" s="302">
        <f t="shared" si="12"/>
        <v>0</v>
      </c>
      <c r="N17" s="302">
        <f t="shared" si="13"/>
        <v>0</v>
      </c>
      <c r="O17" s="393"/>
      <c r="Q17" s="387"/>
      <c r="V17" s="387"/>
    </row>
    <row r="18" spans="1:25" s="63" customFormat="1">
      <c r="A18" s="140">
        <v>8572</v>
      </c>
      <c r="B18" s="140" t="s">
        <v>99</v>
      </c>
      <c r="C18" s="140" t="s">
        <v>99</v>
      </c>
      <c r="D18" s="143" t="s">
        <v>5</v>
      </c>
      <c r="E18" s="144">
        <v>43164.76153935185</v>
      </c>
      <c r="F18" s="297">
        <f t="shared" si="6"/>
        <v>43164.76153935185</v>
      </c>
      <c r="G18" s="298" t="str">
        <f t="shared" si="7"/>
        <v>18:16</v>
      </c>
      <c r="H18" s="299" t="str">
        <f t="shared" si="8"/>
        <v>-</v>
      </c>
      <c r="I18" s="300" t="str">
        <f t="shared" si="9"/>
        <v>-</v>
      </c>
      <c r="J18" s="300" t="str">
        <f t="shared" si="10"/>
        <v>-</v>
      </c>
      <c r="K18" s="301">
        <f t="shared" si="11"/>
        <v>0</v>
      </c>
      <c r="L18" s="301"/>
      <c r="M18" s="302">
        <f t="shared" si="12"/>
        <v>0</v>
      </c>
      <c r="N18" s="302">
        <f t="shared" si="13"/>
        <v>0</v>
      </c>
      <c r="O18" s="393"/>
      <c r="P18" s="18"/>
      <c r="Q18" s="387"/>
      <c r="R18" s="9"/>
      <c r="S18" s="9"/>
      <c r="T18"/>
      <c r="U18"/>
      <c r="V18" s="387"/>
      <c r="W18"/>
      <c r="X18" s="396"/>
    </row>
    <row r="19" spans="1:25">
      <c r="A19" s="140">
        <v>8573</v>
      </c>
      <c r="B19" s="140" t="s">
        <v>99</v>
      </c>
      <c r="C19" s="140" t="s">
        <v>99</v>
      </c>
      <c r="D19" s="143" t="s">
        <v>7</v>
      </c>
      <c r="E19" s="144">
        <v>43164.761574074073</v>
      </c>
      <c r="F19" s="297">
        <f t="shared" si="6"/>
        <v>43164.761574074073</v>
      </c>
      <c r="G19" s="298" t="str">
        <f t="shared" si="7"/>
        <v>18:16</v>
      </c>
      <c r="H19" s="299" t="str">
        <f t="shared" si="8"/>
        <v>-</v>
      </c>
      <c r="I19" s="300" t="str">
        <f t="shared" si="9"/>
        <v>-</v>
      </c>
      <c r="J19" s="300" t="str">
        <f t="shared" si="10"/>
        <v>-</v>
      </c>
      <c r="K19" s="301">
        <f t="shared" si="11"/>
        <v>4.2666666666666702</v>
      </c>
      <c r="L19" s="301"/>
      <c r="M19" s="302">
        <f t="shared" si="12"/>
        <v>2</v>
      </c>
      <c r="N19" s="302">
        <f t="shared" si="13"/>
        <v>2.2666666666666702</v>
      </c>
      <c r="O19" s="393"/>
      <c r="Q19" s="387"/>
      <c r="R19" s="8"/>
      <c r="S19" s="63"/>
      <c r="T19" s="2"/>
      <c r="U19" s="2"/>
      <c r="V19" s="387"/>
      <c r="W19" s="63"/>
      <c r="X19" s="63"/>
    </row>
    <row r="20" spans="1:25">
      <c r="A20" s="140">
        <v>8592</v>
      </c>
      <c r="B20" s="140" t="s">
        <v>99</v>
      </c>
      <c r="C20" s="140" t="s">
        <v>99</v>
      </c>
      <c r="D20" s="143" t="s">
        <v>8</v>
      </c>
      <c r="E20" s="144">
        <v>43164.939097222225</v>
      </c>
      <c r="F20" s="297">
        <f t="shared" si="6"/>
        <v>43164.939097222225</v>
      </c>
      <c r="G20" s="298" t="str">
        <f t="shared" si="7"/>
        <v>22:32</v>
      </c>
      <c r="H20" s="299" t="str">
        <f t="shared" si="8"/>
        <v>-</v>
      </c>
      <c r="I20" s="300" t="str">
        <f t="shared" si="9"/>
        <v>-</v>
      </c>
      <c r="J20" s="300" t="str">
        <f t="shared" si="10"/>
        <v>-</v>
      </c>
      <c r="K20" s="301">
        <f t="shared" si="11"/>
        <v>0</v>
      </c>
      <c r="L20" s="301"/>
      <c r="M20" s="302">
        <f t="shared" si="12"/>
        <v>0</v>
      </c>
      <c r="N20" s="302">
        <f t="shared" si="13"/>
        <v>0</v>
      </c>
      <c r="O20" s="393"/>
      <c r="Q20" s="387"/>
      <c r="V20" s="387"/>
    </row>
    <row r="21" spans="1:25">
      <c r="A21" s="140">
        <v>8597</v>
      </c>
      <c r="B21" s="140" t="s">
        <v>99</v>
      </c>
      <c r="C21" s="140" t="s">
        <v>99</v>
      </c>
      <c r="D21" s="143" t="s">
        <v>6</v>
      </c>
      <c r="E21" s="144">
        <v>43165.363275462965</v>
      </c>
      <c r="F21" s="297">
        <f t="shared" si="6"/>
        <v>43165.363275462965</v>
      </c>
      <c r="G21" s="298" t="str">
        <f t="shared" si="7"/>
        <v>8:43</v>
      </c>
      <c r="H21" s="299">
        <f t="shared" si="8"/>
        <v>9.7166666666666686</v>
      </c>
      <c r="I21" s="300">
        <f t="shared" si="9"/>
        <v>8</v>
      </c>
      <c r="J21" s="300" t="str">
        <f t="shared" si="10"/>
        <v>-</v>
      </c>
      <c r="K21" s="301">
        <f t="shared" si="11"/>
        <v>0</v>
      </c>
      <c r="L21" s="301"/>
      <c r="M21" s="302">
        <f t="shared" si="12"/>
        <v>0</v>
      </c>
      <c r="N21" s="302">
        <f t="shared" si="13"/>
        <v>0</v>
      </c>
      <c r="O21" s="393"/>
      <c r="Q21" s="387"/>
      <c r="V21" s="387"/>
    </row>
    <row r="22" spans="1:25">
      <c r="A22" s="140">
        <v>8609</v>
      </c>
      <c r="B22" s="140" t="s">
        <v>99</v>
      </c>
      <c r="C22" s="140" t="s">
        <v>99</v>
      </c>
      <c r="D22" s="143" t="s">
        <v>5</v>
      </c>
      <c r="E22" s="144">
        <v>43165.768449074072</v>
      </c>
      <c r="F22" s="297">
        <f t="shared" si="6"/>
        <v>43165.768449074072</v>
      </c>
      <c r="G22" s="298" t="str">
        <f t="shared" si="7"/>
        <v>18:26</v>
      </c>
      <c r="H22" s="299" t="str">
        <f>IF(D22="上班",(#REF!-G22)*24,"-")</f>
        <v>-</v>
      </c>
      <c r="I22" s="300" t="str">
        <f t="shared" si="9"/>
        <v>-</v>
      </c>
      <c r="J22" s="300" t="str">
        <f t="shared" si="10"/>
        <v>-</v>
      </c>
      <c r="K22" s="301">
        <f>IF(D22="加班",(#REF!-G22)*24,0)</f>
        <v>0</v>
      </c>
      <c r="L22" s="301"/>
      <c r="M22" s="302">
        <f t="shared" si="12"/>
        <v>0</v>
      </c>
      <c r="N22" s="302">
        <f t="shared" si="13"/>
        <v>0</v>
      </c>
      <c r="O22" s="393"/>
      <c r="Q22" s="387"/>
      <c r="V22" s="387"/>
    </row>
    <row r="23" spans="1:25" s="63" customFormat="1">
      <c r="A23" s="422">
        <v>8637</v>
      </c>
      <c r="B23" s="422" t="s">
        <v>99</v>
      </c>
      <c r="C23" s="422" t="s">
        <v>99</v>
      </c>
      <c r="D23" s="181" t="s">
        <v>6</v>
      </c>
      <c r="E23" s="180">
        <v>43166.463900462964</v>
      </c>
      <c r="F23" s="135">
        <f t="shared" si="6"/>
        <v>43166.463900462964</v>
      </c>
      <c r="G23" s="67" t="str">
        <f t="shared" si="7"/>
        <v>11:8</v>
      </c>
      <c r="H23" s="64">
        <f t="shared" si="8"/>
        <v>7.5000000000000018</v>
      </c>
      <c r="I23" s="66">
        <f t="shared" si="9"/>
        <v>6.0000000000000018</v>
      </c>
      <c r="J23" s="66">
        <f t="shared" si="10"/>
        <v>1.9999999999999982</v>
      </c>
      <c r="K23" s="68">
        <f t="shared" si="11"/>
        <v>0</v>
      </c>
      <c r="L23" s="68"/>
      <c r="M23" s="65">
        <f t="shared" si="12"/>
        <v>0</v>
      </c>
      <c r="N23" s="65">
        <f t="shared" si="13"/>
        <v>0</v>
      </c>
      <c r="O23" s="186" t="s">
        <v>44</v>
      </c>
      <c r="P23" s="18"/>
      <c r="Q23" s="423"/>
      <c r="R23" s="18"/>
      <c r="S23" s="18"/>
      <c r="V23" s="423"/>
    </row>
    <row r="24" spans="1:25" s="63" customFormat="1">
      <c r="A24" s="422">
        <v>8649</v>
      </c>
      <c r="B24" s="422" t="s">
        <v>99</v>
      </c>
      <c r="C24" s="422" t="s">
        <v>99</v>
      </c>
      <c r="D24" s="181" t="s">
        <v>5</v>
      </c>
      <c r="E24" s="180">
        <v>43166.77652777778</v>
      </c>
      <c r="F24" s="135">
        <f t="shared" si="6"/>
        <v>43166.77652777778</v>
      </c>
      <c r="G24" s="67" t="str">
        <f t="shared" si="7"/>
        <v>18:38</v>
      </c>
      <c r="H24" s="64" t="str">
        <f t="shared" si="8"/>
        <v>-</v>
      </c>
      <c r="I24" s="66" t="str">
        <f t="shared" si="9"/>
        <v>-</v>
      </c>
      <c r="J24" s="66" t="str">
        <f t="shared" si="10"/>
        <v>-</v>
      </c>
      <c r="K24" s="68">
        <f t="shared" si="11"/>
        <v>0</v>
      </c>
      <c r="L24" s="68"/>
      <c r="M24" s="65">
        <f t="shared" si="12"/>
        <v>0</v>
      </c>
      <c r="N24" s="65">
        <f t="shared" si="13"/>
        <v>0</v>
      </c>
      <c r="O24" s="186"/>
      <c r="P24" s="18"/>
      <c r="Q24" s="423"/>
      <c r="R24" s="18"/>
      <c r="S24" s="18"/>
      <c r="V24" s="423"/>
    </row>
    <row r="25" spans="1:25" s="305" customFormat="1">
      <c r="A25" s="140">
        <v>8650</v>
      </c>
      <c r="B25" s="140" t="s">
        <v>99</v>
      </c>
      <c r="C25" s="140" t="s">
        <v>99</v>
      </c>
      <c r="D25" s="143" t="s">
        <v>7</v>
      </c>
      <c r="E25" s="144">
        <v>43166.776562500003</v>
      </c>
      <c r="F25" s="297">
        <f t="shared" si="6"/>
        <v>43166.776562500003</v>
      </c>
      <c r="G25" s="298" t="str">
        <f t="shared" si="7"/>
        <v>18:38</v>
      </c>
      <c r="H25" s="299" t="str">
        <f t="shared" si="8"/>
        <v>-</v>
      </c>
      <c r="I25" s="300" t="str">
        <f t="shared" si="9"/>
        <v>-</v>
      </c>
      <c r="J25" s="300" t="str">
        <f t="shared" si="10"/>
        <v>-</v>
      </c>
      <c r="K25" s="301">
        <f t="shared" si="11"/>
        <v>1.7333333333333325</v>
      </c>
      <c r="L25" s="301"/>
      <c r="M25" s="302">
        <f t="shared" si="12"/>
        <v>1.7333333333333325</v>
      </c>
      <c r="N25" s="302">
        <f t="shared" si="13"/>
        <v>0</v>
      </c>
      <c r="O25" s="393"/>
      <c r="P25" s="18"/>
      <c r="Q25" s="387"/>
      <c r="R25" s="18"/>
      <c r="S25" s="63"/>
      <c r="T25" s="63"/>
      <c r="U25" s="63"/>
      <c r="V25" s="387"/>
      <c r="W25" s="63"/>
      <c r="X25" s="63"/>
      <c r="Y25" s="63"/>
    </row>
    <row r="26" spans="1:25">
      <c r="A26" s="140">
        <v>8654</v>
      </c>
      <c r="B26" s="140" t="s">
        <v>99</v>
      </c>
      <c r="C26" s="140" t="s">
        <v>99</v>
      </c>
      <c r="D26" s="143" t="s">
        <v>8</v>
      </c>
      <c r="E26" s="144">
        <v>43166.84888888889</v>
      </c>
      <c r="F26" s="297">
        <f t="shared" si="6"/>
        <v>43166.84888888889</v>
      </c>
      <c r="G26" s="298" t="str">
        <f t="shared" si="7"/>
        <v>20:22</v>
      </c>
      <c r="H26" s="299" t="str">
        <f t="shared" si="8"/>
        <v>-</v>
      </c>
      <c r="I26" s="300" t="str">
        <f t="shared" si="9"/>
        <v>-</v>
      </c>
      <c r="J26" s="300" t="str">
        <f t="shared" si="10"/>
        <v>-</v>
      </c>
      <c r="K26" s="301">
        <f t="shared" si="11"/>
        <v>0</v>
      </c>
      <c r="L26" s="301"/>
      <c r="M26" s="302">
        <f t="shared" si="12"/>
        <v>0</v>
      </c>
      <c r="N26" s="302">
        <f t="shared" si="13"/>
        <v>0</v>
      </c>
      <c r="O26" s="393"/>
      <c r="Q26" s="387"/>
      <c r="R26" s="18"/>
      <c r="S26" s="63"/>
      <c r="T26" s="63"/>
      <c r="U26" s="63"/>
      <c r="V26" s="387"/>
      <c r="W26" s="63"/>
      <c r="X26" s="63"/>
    </row>
    <row r="27" spans="1:25">
      <c r="A27" s="140">
        <v>8663</v>
      </c>
      <c r="B27" s="140" t="s">
        <v>99</v>
      </c>
      <c r="C27" s="140" t="s">
        <v>99</v>
      </c>
      <c r="D27" s="143" t="s">
        <v>6</v>
      </c>
      <c r="E27" s="144">
        <v>43167.359780092593</v>
      </c>
      <c r="F27" s="297">
        <f t="shared" si="6"/>
        <v>43167.359780092593</v>
      </c>
      <c r="G27" s="298" t="str">
        <f t="shared" si="7"/>
        <v>8:38</v>
      </c>
      <c r="H27" s="299">
        <f t="shared" si="8"/>
        <v>9.9333333333333336</v>
      </c>
      <c r="I27" s="300">
        <f t="shared" si="9"/>
        <v>8</v>
      </c>
      <c r="J27" s="300" t="str">
        <f t="shared" si="10"/>
        <v>-</v>
      </c>
      <c r="K27" s="301">
        <f t="shared" si="11"/>
        <v>0</v>
      </c>
      <c r="L27" s="301"/>
      <c r="M27" s="302">
        <f t="shared" si="12"/>
        <v>0</v>
      </c>
      <c r="N27" s="302">
        <f t="shared" si="13"/>
        <v>0</v>
      </c>
      <c r="O27" s="393"/>
      <c r="Q27" s="387"/>
      <c r="V27" s="387"/>
    </row>
    <row r="28" spans="1:25" s="388" customFormat="1">
      <c r="A28" s="140">
        <v>8683</v>
      </c>
      <c r="B28" s="140" t="s">
        <v>99</v>
      </c>
      <c r="C28" s="140" t="s">
        <v>99</v>
      </c>
      <c r="D28" s="143" t="s">
        <v>5</v>
      </c>
      <c r="E28" s="144">
        <v>43167.773865740739</v>
      </c>
      <c r="F28" s="297">
        <f t="shared" si="6"/>
        <v>43167.773865740739</v>
      </c>
      <c r="G28" s="298" t="str">
        <f t="shared" si="7"/>
        <v>18:34</v>
      </c>
      <c r="H28" s="299" t="str">
        <f t="shared" si="8"/>
        <v>-</v>
      </c>
      <c r="I28" s="300" t="str">
        <f t="shared" si="9"/>
        <v>-</v>
      </c>
      <c r="J28" s="300" t="str">
        <f t="shared" si="10"/>
        <v>-</v>
      </c>
      <c r="K28" s="301">
        <f t="shared" si="11"/>
        <v>0</v>
      </c>
      <c r="L28" s="301"/>
      <c r="M28" s="302">
        <f t="shared" si="12"/>
        <v>0</v>
      </c>
      <c r="N28" s="302">
        <f t="shared" si="13"/>
        <v>0</v>
      </c>
      <c r="O28" s="393"/>
      <c r="P28" s="388" t="s">
        <v>20</v>
      </c>
      <c r="Q28" s="387"/>
      <c r="R28" s="9"/>
      <c r="S28" s="9"/>
      <c r="T28"/>
      <c r="U28"/>
      <c r="V28" s="387"/>
      <c r="W28"/>
      <c r="X28" s="396"/>
    </row>
    <row r="29" spans="1:25" s="388" customFormat="1">
      <c r="A29" s="140">
        <v>8684</v>
      </c>
      <c r="B29" s="140" t="s">
        <v>99</v>
      </c>
      <c r="C29" s="140" t="s">
        <v>99</v>
      </c>
      <c r="D29" s="143" t="s">
        <v>7</v>
      </c>
      <c r="E29" s="144">
        <v>43167.773912037039</v>
      </c>
      <c r="F29" s="297">
        <f t="shared" si="6"/>
        <v>43167.773912037039</v>
      </c>
      <c r="G29" s="298" t="str">
        <f t="shared" si="7"/>
        <v>18:34</v>
      </c>
      <c r="H29" s="299" t="str">
        <f t="shared" si="8"/>
        <v>-</v>
      </c>
      <c r="I29" s="300" t="str">
        <f t="shared" si="9"/>
        <v>-</v>
      </c>
      <c r="J29" s="300" t="str">
        <f t="shared" si="10"/>
        <v>-</v>
      </c>
      <c r="K29" s="301">
        <f t="shared" si="11"/>
        <v>1.5833333333333304</v>
      </c>
      <c r="L29" s="301"/>
      <c r="M29" s="302">
        <f t="shared" si="12"/>
        <v>1.5833333333333304</v>
      </c>
      <c r="N29" s="302">
        <f t="shared" si="13"/>
        <v>0</v>
      </c>
      <c r="O29" s="393"/>
      <c r="Q29" s="387"/>
      <c r="V29" s="387"/>
    </row>
    <row r="30" spans="1:25" s="306" customFormat="1">
      <c r="A30" s="140">
        <v>8689</v>
      </c>
      <c r="B30" s="140" t="s">
        <v>99</v>
      </c>
      <c r="C30" s="140" t="s">
        <v>99</v>
      </c>
      <c r="D30" s="143" t="s">
        <v>8</v>
      </c>
      <c r="E30" s="144">
        <v>43167.839606481481</v>
      </c>
      <c r="F30" s="297">
        <f t="shared" si="6"/>
        <v>43167.839606481481</v>
      </c>
      <c r="G30" s="298" t="str">
        <f t="shared" si="7"/>
        <v>20:9</v>
      </c>
      <c r="H30" s="299" t="str">
        <f t="shared" si="8"/>
        <v>-</v>
      </c>
      <c r="I30" s="300" t="str">
        <f t="shared" si="9"/>
        <v>-</v>
      </c>
      <c r="J30" s="300" t="str">
        <f t="shared" si="10"/>
        <v>-</v>
      </c>
      <c r="K30" s="301">
        <f t="shared" si="11"/>
        <v>0</v>
      </c>
      <c r="L30" s="301"/>
      <c r="M30" s="302">
        <f t="shared" si="12"/>
        <v>0</v>
      </c>
      <c r="N30" s="302">
        <f t="shared" si="13"/>
        <v>0</v>
      </c>
      <c r="O30" s="393"/>
      <c r="P30" s="389" t="s">
        <v>20</v>
      </c>
      <c r="Q30" s="387"/>
      <c r="R30" s="388"/>
      <c r="S30" s="388"/>
      <c r="T30" s="388"/>
      <c r="U30" s="388"/>
      <c r="V30" s="387"/>
      <c r="W30" s="388"/>
      <c r="X30" s="388"/>
      <c r="Y30" s="388"/>
    </row>
    <row r="31" spans="1:25" s="306" customFormat="1">
      <c r="A31" s="140">
        <v>8695</v>
      </c>
      <c r="B31" s="140" t="s">
        <v>99</v>
      </c>
      <c r="C31" s="140" t="s">
        <v>99</v>
      </c>
      <c r="D31" s="143" t="s">
        <v>6</v>
      </c>
      <c r="E31" s="144">
        <v>43168.365740740737</v>
      </c>
      <c r="F31" s="297">
        <f t="shared" si="6"/>
        <v>43168.365740740737</v>
      </c>
      <c r="G31" s="298" t="str">
        <f t="shared" si="7"/>
        <v>8:46</v>
      </c>
      <c r="H31" s="299">
        <f t="shared" si="8"/>
        <v>9.6333333333333311</v>
      </c>
      <c r="I31" s="300">
        <f t="shared" si="9"/>
        <v>8</v>
      </c>
      <c r="J31" s="300" t="str">
        <f t="shared" si="10"/>
        <v>-</v>
      </c>
      <c r="K31" s="301">
        <f t="shared" si="11"/>
        <v>0</v>
      </c>
      <c r="L31" s="301"/>
      <c r="M31" s="302">
        <f t="shared" si="12"/>
        <v>0</v>
      </c>
      <c r="N31" s="302">
        <f t="shared" si="13"/>
        <v>0</v>
      </c>
      <c r="O31" s="393"/>
      <c r="P31" s="389"/>
      <c r="Q31" s="387"/>
      <c r="R31" s="389"/>
      <c r="S31" s="388"/>
      <c r="T31" s="389"/>
      <c r="U31" s="389"/>
      <c r="V31" s="387"/>
      <c r="W31" s="389"/>
      <c r="X31" s="388"/>
      <c r="Y31" s="388"/>
    </row>
    <row r="32" spans="1:25" s="305" customFormat="1">
      <c r="A32" s="140">
        <v>8704</v>
      </c>
      <c r="B32" s="140" t="s">
        <v>99</v>
      </c>
      <c r="C32" s="140" t="s">
        <v>99</v>
      </c>
      <c r="D32" s="143" t="s">
        <v>5</v>
      </c>
      <c r="E32" s="144">
        <v>43168.767094907409</v>
      </c>
      <c r="F32" s="297">
        <f t="shared" si="6"/>
        <v>43168.767094907409</v>
      </c>
      <c r="G32" s="298" t="str">
        <f t="shared" si="7"/>
        <v>18:24</v>
      </c>
      <c r="H32" s="299" t="str">
        <f t="shared" si="8"/>
        <v>-</v>
      </c>
      <c r="I32" s="300" t="str">
        <f t="shared" si="9"/>
        <v>-</v>
      </c>
      <c r="J32" s="300" t="str">
        <f t="shared" si="10"/>
        <v>-</v>
      </c>
      <c r="K32" s="301">
        <f t="shared" si="11"/>
        <v>0</v>
      </c>
      <c r="L32" s="301"/>
      <c r="M32" s="302">
        <f t="shared" si="12"/>
        <v>0</v>
      </c>
      <c r="N32" s="302">
        <f t="shared" si="13"/>
        <v>0</v>
      </c>
      <c r="O32" s="393"/>
      <c r="P32" s="18"/>
      <c r="Q32" s="387"/>
      <c r="R32" s="389"/>
      <c r="S32" s="388"/>
      <c r="T32" s="389"/>
      <c r="U32" s="389"/>
      <c r="V32" s="387"/>
      <c r="W32" s="389"/>
      <c r="X32" s="388"/>
      <c r="Y32" s="63"/>
    </row>
    <row r="33" spans="1:26" s="16" customFormat="1">
      <c r="A33" s="140">
        <v>8730</v>
      </c>
      <c r="B33" s="140" t="s">
        <v>99</v>
      </c>
      <c r="C33" s="140" t="s">
        <v>99</v>
      </c>
      <c r="D33" s="143" t="s">
        <v>7</v>
      </c>
      <c r="E33" s="144">
        <v>43170.422500000001</v>
      </c>
      <c r="F33" s="297">
        <f t="shared" si="6"/>
        <v>43170.422500000001</v>
      </c>
      <c r="G33" s="298" t="str">
        <f t="shared" si="7"/>
        <v>10:8</v>
      </c>
      <c r="H33" s="299" t="str">
        <f t="shared" si="8"/>
        <v>-</v>
      </c>
      <c r="I33" s="300" t="str">
        <f t="shared" si="9"/>
        <v>-</v>
      </c>
      <c r="J33" s="300" t="str">
        <f t="shared" si="10"/>
        <v>-</v>
      </c>
      <c r="K33" s="301">
        <f t="shared" si="11"/>
        <v>3.0833333333333344</v>
      </c>
      <c r="L33" s="301"/>
      <c r="M33" s="302">
        <f t="shared" si="12"/>
        <v>2</v>
      </c>
      <c r="N33" s="302">
        <f t="shared" si="13"/>
        <v>1.0833333333333344</v>
      </c>
      <c r="O33" s="393"/>
      <c r="P33" s="137"/>
      <c r="Q33" s="387"/>
      <c r="R33" s="18"/>
      <c r="S33" s="63"/>
      <c r="T33" s="63"/>
      <c r="U33" s="63"/>
      <c r="V33" s="387"/>
      <c r="W33" s="63"/>
      <c r="X33" s="63"/>
    </row>
    <row r="34" spans="1:26" s="16" customFormat="1">
      <c r="A34" s="140">
        <v>8738</v>
      </c>
      <c r="B34" s="140" t="s">
        <v>99</v>
      </c>
      <c r="C34" s="140" t="s">
        <v>99</v>
      </c>
      <c r="D34" s="143" t="s">
        <v>8</v>
      </c>
      <c r="E34" s="144">
        <v>43170.550740740742</v>
      </c>
      <c r="F34" s="297">
        <f t="shared" si="6"/>
        <v>43170.550740740742</v>
      </c>
      <c r="G34" s="298" t="str">
        <f t="shared" si="7"/>
        <v>13:13</v>
      </c>
      <c r="H34" s="299" t="str">
        <f t="shared" si="8"/>
        <v>-</v>
      </c>
      <c r="I34" s="300" t="str">
        <f t="shared" si="9"/>
        <v>-</v>
      </c>
      <c r="J34" s="300" t="str">
        <f t="shared" si="10"/>
        <v>-</v>
      </c>
      <c r="K34" s="301">
        <f t="shared" si="11"/>
        <v>0</v>
      </c>
      <c r="L34" s="301"/>
      <c r="M34" s="302">
        <f t="shared" si="12"/>
        <v>0</v>
      </c>
      <c r="N34" s="302">
        <f t="shared" si="13"/>
        <v>0</v>
      </c>
      <c r="O34" s="393"/>
      <c r="P34" s="137"/>
      <c r="Q34" s="387"/>
      <c r="R34" s="18"/>
      <c r="S34" s="63"/>
      <c r="T34" s="63"/>
      <c r="U34" s="63"/>
      <c r="V34" s="387"/>
      <c r="W34" s="63"/>
      <c r="X34" s="63"/>
    </row>
    <row r="35" spans="1:26" s="63" customFormat="1">
      <c r="A35" s="140">
        <v>8740</v>
      </c>
      <c r="B35" s="140" t="s">
        <v>99</v>
      </c>
      <c r="C35" s="140" t="s">
        <v>99</v>
      </c>
      <c r="D35" s="143" t="s">
        <v>7</v>
      </c>
      <c r="E35" s="144">
        <v>43170.572627314818</v>
      </c>
      <c r="F35" s="297">
        <f t="shared" si="6"/>
        <v>43170.572627314818</v>
      </c>
      <c r="G35" s="298" t="str">
        <f t="shared" si="7"/>
        <v>13:44</v>
      </c>
      <c r="H35" s="299" t="str">
        <f t="shared" si="8"/>
        <v>-</v>
      </c>
      <c r="I35" s="300" t="str">
        <f t="shared" si="9"/>
        <v>-</v>
      </c>
      <c r="J35" s="300" t="str">
        <f t="shared" si="10"/>
        <v>-</v>
      </c>
      <c r="K35" s="301">
        <f t="shared" si="11"/>
        <v>4.2833333333333341</v>
      </c>
      <c r="L35" s="301"/>
      <c r="M35" s="302"/>
      <c r="N35" s="302">
        <v>4</v>
      </c>
      <c r="O35" s="186" t="s">
        <v>117</v>
      </c>
      <c r="P35" s="18"/>
      <c r="Q35" s="423"/>
      <c r="R35" s="18"/>
      <c r="V35" s="423"/>
    </row>
    <row r="36" spans="1:26" s="63" customFormat="1">
      <c r="A36" s="140">
        <v>8752</v>
      </c>
      <c r="B36" s="140" t="s">
        <v>99</v>
      </c>
      <c r="C36" s="140" t="s">
        <v>99</v>
      </c>
      <c r="D36" s="143" t="s">
        <v>8</v>
      </c>
      <c r="E36" s="144">
        <v>43170.751284722224</v>
      </c>
      <c r="F36" s="297">
        <f t="shared" si="6"/>
        <v>43170.751284722224</v>
      </c>
      <c r="G36" s="298" t="str">
        <f t="shared" si="7"/>
        <v>18:1</v>
      </c>
      <c r="H36" s="299" t="str">
        <f t="shared" si="8"/>
        <v>-</v>
      </c>
      <c r="I36" s="300" t="str">
        <f t="shared" si="9"/>
        <v>-</v>
      </c>
      <c r="J36" s="300" t="str">
        <f t="shared" si="10"/>
        <v>-</v>
      </c>
      <c r="K36" s="301">
        <f t="shared" si="11"/>
        <v>0</v>
      </c>
      <c r="L36" s="301"/>
      <c r="M36" s="302">
        <f t="shared" si="12"/>
        <v>0</v>
      </c>
      <c r="N36" s="302">
        <f t="shared" si="13"/>
        <v>0</v>
      </c>
      <c r="O36" s="393"/>
      <c r="P36" s="18"/>
      <c r="Q36" s="423"/>
      <c r="R36" s="18"/>
      <c r="V36" s="423"/>
    </row>
    <row r="37" spans="1:26" s="304" customFormat="1">
      <c r="A37" s="140">
        <v>8754</v>
      </c>
      <c r="B37" s="140" t="s">
        <v>99</v>
      </c>
      <c r="C37" s="140" t="s">
        <v>99</v>
      </c>
      <c r="D37" s="143" t="s">
        <v>7</v>
      </c>
      <c r="E37" s="144">
        <v>43170.751423611109</v>
      </c>
      <c r="F37" s="297">
        <f t="shared" si="6"/>
        <v>43170.751423611109</v>
      </c>
      <c r="G37" s="298" t="str">
        <f t="shared" si="7"/>
        <v>18:2</v>
      </c>
      <c r="H37" s="299" t="str">
        <f t="shared" si="8"/>
        <v>-</v>
      </c>
      <c r="I37" s="300" t="str">
        <f t="shared" si="9"/>
        <v>-</v>
      </c>
      <c r="J37" s="300" t="str">
        <f t="shared" si="10"/>
        <v>-</v>
      </c>
      <c r="K37" s="301">
        <f t="shared" si="11"/>
        <v>0.79999999999999716</v>
      </c>
      <c r="L37" s="301"/>
      <c r="M37" s="301"/>
      <c r="N37" s="302">
        <f>IF(K37&gt;2,2,K37)</f>
        <v>0.79999999999999716</v>
      </c>
      <c r="O37" s="393"/>
      <c r="P37" s="18"/>
      <c r="Q37" s="387"/>
      <c r="R37" s="18"/>
      <c r="S37" s="63"/>
      <c r="T37" s="63"/>
      <c r="U37" s="63"/>
      <c r="V37" s="387"/>
      <c r="W37" s="63"/>
      <c r="X37" s="63"/>
      <c r="Y37" s="63"/>
      <c r="Z37" s="305"/>
    </row>
    <row r="38" spans="1:26" s="304" customFormat="1">
      <c r="A38" s="140">
        <v>8756</v>
      </c>
      <c r="B38" s="140" t="s">
        <v>99</v>
      </c>
      <c r="C38" s="140" t="s">
        <v>99</v>
      </c>
      <c r="D38" s="143" t="s">
        <v>8</v>
      </c>
      <c r="E38" s="144">
        <v>43170.785173611112</v>
      </c>
      <c r="F38" s="297">
        <f t="shared" si="6"/>
        <v>43170.785173611112</v>
      </c>
      <c r="G38" s="298" t="str">
        <f t="shared" si="7"/>
        <v>18:50</v>
      </c>
      <c r="H38" s="299" t="str">
        <f t="shared" si="8"/>
        <v>-</v>
      </c>
      <c r="I38" s="300" t="str">
        <f t="shared" si="9"/>
        <v>-</v>
      </c>
      <c r="J38" s="300" t="str">
        <f t="shared" si="10"/>
        <v>-</v>
      </c>
      <c r="K38" s="301">
        <f t="shared" si="11"/>
        <v>0</v>
      </c>
      <c r="L38" s="301"/>
      <c r="M38" s="301"/>
      <c r="N38" s="302">
        <f t="shared" si="13"/>
        <v>0</v>
      </c>
      <c r="O38" s="393"/>
      <c r="P38" s="18"/>
      <c r="Q38" s="387"/>
      <c r="R38" s="18"/>
      <c r="S38" s="18"/>
      <c r="T38" s="63"/>
      <c r="U38" s="63"/>
      <c r="V38" s="387"/>
      <c r="W38" s="63"/>
      <c r="X38" s="63"/>
      <c r="Y38" s="63"/>
      <c r="Z38" s="305"/>
    </row>
    <row r="39" spans="1:26" s="18" customFormat="1">
      <c r="A39" s="140">
        <v>8763</v>
      </c>
      <c r="B39" s="140" t="s">
        <v>100</v>
      </c>
      <c r="C39" s="140" t="s">
        <v>99</v>
      </c>
      <c r="D39" s="143" t="s">
        <v>6</v>
      </c>
      <c r="E39" s="144">
        <v>43171.366400462961</v>
      </c>
      <c r="F39" s="297">
        <f t="shared" si="6"/>
        <v>43171.366400462961</v>
      </c>
      <c r="G39" s="298" t="str">
        <f t="shared" si="7"/>
        <v>8:47</v>
      </c>
      <c r="H39" s="299">
        <f t="shared" si="8"/>
        <v>9.6666666666666661</v>
      </c>
      <c r="I39" s="300">
        <f t="shared" si="9"/>
        <v>8</v>
      </c>
      <c r="J39" s="300" t="str">
        <f t="shared" si="10"/>
        <v>-</v>
      </c>
      <c r="K39" s="301">
        <f t="shared" si="11"/>
        <v>0</v>
      </c>
      <c r="L39" s="301"/>
      <c r="M39" s="302">
        <f t="shared" si="12"/>
        <v>0</v>
      </c>
      <c r="N39" s="302">
        <f t="shared" si="13"/>
        <v>0</v>
      </c>
      <c r="O39" s="393"/>
      <c r="Q39" s="423"/>
      <c r="U39" s="63"/>
      <c r="V39" s="423"/>
      <c r="W39" s="63"/>
      <c r="X39" s="63"/>
    </row>
    <row r="40" spans="1:26" s="18" customFormat="1">
      <c r="A40" s="140">
        <v>8775</v>
      </c>
      <c r="B40" s="140" t="s">
        <v>99</v>
      </c>
      <c r="C40" s="140" t="s">
        <v>99</v>
      </c>
      <c r="D40" s="143" t="s">
        <v>5</v>
      </c>
      <c r="E40" s="144">
        <v>43171.768958333334</v>
      </c>
      <c r="F40" s="297">
        <f t="shared" si="6"/>
        <v>43171.768958333334</v>
      </c>
      <c r="G40" s="298" t="str">
        <f t="shared" si="7"/>
        <v>18:27</v>
      </c>
      <c r="H40" s="299" t="str">
        <f t="shared" si="8"/>
        <v>-</v>
      </c>
      <c r="I40" s="300" t="str">
        <f t="shared" si="9"/>
        <v>-</v>
      </c>
      <c r="J40" s="300" t="str">
        <f t="shared" si="10"/>
        <v>-</v>
      </c>
      <c r="K40" s="301">
        <f t="shared" si="11"/>
        <v>0</v>
      </c>
      <c r="L40" s="301"/>
      <c r="M40" s="302">
        <f t="shared" si="12"/>
        <v>0</v>
      </c>
      <c r="N40" s="302">
        <f t="shared" si="13"/>
        <v>0</v>
      </c>
      <c r="O40" s="393"/>
      <c r="Q40" s="423"/>
      <c r="U40" s="63"/>
      <c r="V40" s="423"/>
      <c r="W40" s="63"/>
      <c r="X40" s="63"/>
    </row>
    <row r="41" spans="1:26" s="403" customFormat="1">
      <c r="A41" s="140">
        <v>8776</v>
      </c>
      <c r="B41" s="140" t="s">
        <v>99</v>
      </c>
      <c r="C41" s="140" t="s">
        <v>99</v>
      </c>
      <c r="D41" s="143" t="s">
        <v>7</v>
      </c>
      <c r="E41" s="144">
        <v>43171.769004629627</v>
      </c>
      <c r="F41" s="297">
        <f t="shared" si="6"/>
        <v>43171.769004629627</v>
      </c>
      <c r="G41" s="298" t="str">
        <f t="shared" si="7"/>
        <v>18:27</v>
      </c>
      <c r="H41" s="299" t="str">
        <f t="shared" si="8"/>
        <v>-</v>
      </c>
      <c r="I41" s="300" t="str">
        <f t="shared" si="9"/>
        <v>-</v>
      </c>
      <c r="J41" s="300" t="str">
        <f t="shared" si="10"/>
        <v>-</v>
      </c>
      <c r="K41" s="301">
        <f t="shared" si="11"/>
        <v>3.3500000000000014</v>
      </c>
      <c r="L41" s="301"/>
      <c r="M41" s="302">
        <f t="shared" si="12"/>
        <v>2</v>
      </c>
      <c r="N41" s="302">
        <f t="shared" si="13"/>
        <v>1.3500000000000014</v>
      </c>
      <c r="O41" s="393"/>
      <c r="Q41" s="387"/>
      <c r="R41" s="18"/>
      <c r="S41" s="18"/>
      <c r="T41" s="63"/>
      <c r="U41" s="63"/>
      <c r="V41" s="387"/>
      <c r="W41" s="63"/>
      <c r="X41" s="63"/>
    </row>
    <row r="42" spans="1:26" s="403" customFormat="1">
      <c r="A42" s="140">
        <v>8795</v>
      </c>
      <c r="B42" s="140" t="s">
        <v>99</v>
      </c>
      <c r="C42" s="140" t="s">
        <v>99</v>
      </c>
      <c r="D42" s="143" t="s">
        <v>8</v>
      </c>
      <c r="E42" s="144">
        <v>43171.908946759257</v>
      </c>
      <c r="F42" s="297">
        <f t="shared" si="6"/>
        <v>43171.908946759257</v>
      </c>
      <c r="G42" s="298" t="str">
        <f t="shared" si="7"/>
        <v>21:48</v>
      </c>
      <c r="H42" s="299" t="str">
        <f t="shared" si="8"/>
        <v>-</v>
      </c>
      <c r="I42" s="300" t="str">
        <f t="shared" si="9"/>
        <v>-</v>
      </c>
      <c r="J42" s="300" t="str">
        <f t="shared" si="10"/>
        <v>-</v>
      </c>
      <c r="K42" s="301">
        <f t="shared" si="11"/>
        <v>0</v>
      </c>
      <c r="L42" s="301"/>
      <c r="M42" s="302">
        <f t="shared" si="12"/>
        <v>0</v>
      </c>
      <c r="N42" s="302">
        <f t="shared" si="13"/>
        <v>0</v>
      </c>
      <c r="O42" s="393"/>
      <c r="Q42" s="387"/>
      <c r="R42" s="18"/>
      <c r="S42" s="18"/>
      <c r="T42" s="63"/>
      <c r="U42" s="63"/>
      <c r="V42" s="387"/>
      <c r="W42" s="63"/>
      <c r="X42" s="63"/>
    </row>
    <row r="43" spans="1:26" s="16" customFormat="1">
      <c r="A43" s="140">
        <v>8805</v>
      </c>
      <c r="B43" s="140" t="s">
        <v>100</v>
      </c>
      <c r="C43" s="140" t="s">
        <v>99</v>
      </c>
      <c r="D43" s="143" t="s">
        <v>6</v>
      </c>
      <c r="E43" s="144">
        <v>43172.368263888886</v>
      </c>
      <c r="F43" s="297">
        <f t="shared" si="6"/>
        <v>43172.368263888886</v>
      </c>
      <c r="G43" s="298" t="str">
        <f t="shared" si="7"/>
        <v>8:50</v>
      </c>
      <c r="H43" s="299">
        <f t="shared" si="8"/>
        <v>9.7166666666666668</v>
      </c>
      <c r="I43" s="300">
        <f t="shared" si="9"/>
        <v>8</v>
      </c>
      <c r="J43" s="300" t="str">
        <f t="shared" si="10"/>
        <v>-</v>
      </c>
      <c r="K43" s="301">
        <f t="shared" si="11"/>
        <v>0</v>
      </c>
      <c r="L43" s="301"/>
      <c r="M43" s="302">
        <f t="shared" si="12"/>
        <v>0</v>
      </c>
      <c r="N43" s="302">
        <f t="shared" si="13"/>
        <v>0</v>
      </c>
      <c r="O43" s="393"/>
      <c r="P43" s="137"/>
      <c r="Q43" s="387"/>
      <c r="R43" s="9"/>
      <c r="S43" s="63"/>
      <c r="T43"/>
      <c r="U43"/>
      <c r="V43" s="387"/>
      <c r="W43"/>
      <c r="X43" s="396"/>
    </row>
    <row r="44" spans="1:26" s="16" customFormat="1">
      <c r="A44" s="140">
        <v>8817</v>
      </c>
      <c r="B44" s="140" t="s">
        <v>99</v>
      </c>
      <c r="C44" s="140" t="s">
        <v>99</v>
      </c>
      <c r="D44" s="143" t="s">
        <v>5</v>
      </c>
      <c r="E44" s="144">
        <v>43172.773148148146</v>
      </c>
      <c r="F44" s="297">
        <f t="shared" si="6"/>
        <v>43172.773148148146</v>
      </c>
      <c r="G44" s="298" t="str">
        <f t="shared" si="7"/>
        <v>18:33</v>
      </c>
      <c r="H44" s="299" t="str">
        <f t="shared" si="8"/>
        <v>-</v>
      </c>
      <c r="I44" s="300" t="str">
        <f t="shared" si="9"/>
        <v>-</v>
      </c>
      <c r="J44" s="300" t="str">
        <f t="shared" si="10"/>
        <v>-</v>
      </c>
      <c r="K44" s="301">
        <f t="shared" si="11"/>
        <v>0</v>
      </c>
      <c r="L44" s="301"/>
      <c r="M44" s="302">
        <f t="shared" si="12"/>
        <v>0</v>
      </c>
      <c r="N44" s="302">
        <f t="shared" si="13"/>
        <v>0</v>
      </c>
      <c r="O44" s="393"/>
      <c r="P44" s="137"/>
      <c r="Q44" s="387"/>
      <c r="R44" s="9"/>
      <c r="S44" s="63"/>
      <c r="T44"/>
      <c r="U44"/>
      <c r="V44" s="387"/>
      <c r="W44"/>
      <c r="X44" s="396"/>
    </row>
    <row r="45" spans="1:26">
      <c r="A45">
        <v>8820</v>
      </c>
      <c r="B45" t="s">
        <v>99</v>
      </c>
      <c r="C45" t="s">
        <v>99</v>
      </c>
      <c r="D45" s="143" t="s">
        <v>7</v>
      </c>
      <c r="E45" s="144">
        <v>43172.773229166669</v>
      </c>
      <c r="F45" s="297">
        <f t="shared" si="6"/>
        <v>43172.773229166669</v>
      </c>
      <c r="G45" s="298" t="str">
        <f t="shared" si="7"/>
        <v>18:33</v>
      </c>
      <c r="H45" s="299" t="str">
        <f t="shared" si="8"/>
        <v>-</v>
      </c>
      <c r="I45" s="300" t="str">
        <f t="shared" si="9"/>
        <v>-</v>
      </c>
      <c r="J45" s="300" t="str">
        <f t="shared" si="10"/>
        <v>-</v>
      </c>
      <c r="K45" s="301">
        <f t="shared" si="11"/>
        <v>2.3666666666666663</v>
      </c>
      <c r="L45" s="301"/>
      <c r="M45" s="302">
        <f t="shared" si="12"/>
        <v>2</v>
      </c>
      <c r="N45" s="302">
        <f t="shared" si="13"/>
        <v>0.36666666666666625</v>
      </c>
      <c r="O45" s="393"/>
      <c r="P45" s="307"/>
      <c r="Q45" s="387"/>
      <c r="V45" s="387"/>
    </row>
    <row r="46" spans="1:26">
      <c r="A46">
        <v>8833</v>
      </c>
      <c r="B46" t="s">
        <v>99</v>
      </c>
      <c r="C46" t="s">
        <v>99</v>
      </c>
      <c r="D46" s="143" t="s">
        <v>8</v>
      </c>
      <c r="E46" s="144">
        <v>43172.872106481482</v>
      </c>
      <c r="F46" s="297">
        <f t="shared" si="6"/>
        <v>43172.872106481482</v>
      </c>
      <c r="G46" s="298" t="str">
        <f t="shared" si="7"/>
        <v>20:55</v>
      </c>
      <c r="H46" s="299" t="str">
        <f t="shared" si="8"/>
        <v>-</v>
      </c>
      <c r="I46" s="300" t="str">
        <f t="shared" si="9"/>
        <v>-</v>
      </c>
      <c r="J46" s="300" t="str">
        <f t="shared" si="10"/>
        <v>-</v>
      </c>
      <c r="K46" s="301">
        <f t="shared" si="11"/>
        <v>0</v>
      </c>
      <c r="L46" s="301"/>
      <c r="M46" s="302">
        <f t="shared" si="12"/>
        <v>0</v>
      </c>
      <c r="N46" s="302">
        <f t="shared" si="13"/>
        <v>0</v>
      </c>
      <c r="O46" s="393"/>
      <c r="P46" s="307"/>
      <c r="Q46" s="387"/>
      <c r="V46" s="387"/>
    </row>
    <row r="47" spans="1:26" customFormat="1">
      <c r="A47">
        <v>8836</v>
      </c>
      <c r="B47" t="s">
        <v>99</v>
      </c>
      <c r="C47" t="s">
        <v>99</v>
      </c>
      <c r="D47" s="143" t="s">
        <v>6</v>
      </c>
      <c r="E47" s="144">
        <v>43173.356898148151</v>
      </c>
      <c r="F47" s="297">
        <f t="shared" si="6"/>
        <v>43173.356898148151</v>
      </c>
      <c r="G47" s="298" t="str">
        <f t="shared" si="7"/>
        <v>8:33</v>
      </c>
      <c r="H47" s="299">
        <f t="shared" si="8"/>
        <v>9.8833333333333346</v>
      </c>
      <c r="I47" s="300">
        <f t="shared" si="9"/>
        <v>8</v>
      </c>
      <c r="J47" s="300" t="str">
        <f t="shared" si="10"/>
        <v>-</v>
      </c>
      <c r="K47" s="301">
        <f t="shared" si="11"/>
        <v>0</v>
      </c>
      <c r="L47" s="301"/>
      <c r="M47" s="302">
        <f t="shared" si="12"/>
        <v>0</v>
      </c>
      <c r="N47" s="302">
        <f t="shared" si="13"/>
        <v>0</v>
      </c>
      <c r="O47" s="393"/>
      <c r="P47" s="307"/>
      <c r="Q47" s="387"/>
      <c r="R47" s="9"/>
      <c r="S47" s="9"/>
      <c r="V47" s="387"/>
      <c r="X47" s="396"/>
      <c r="Y47" s="396"/>
      <c r="Z47" s="261"/>
    </row>
    <row r="48" spans="1:26" customFormat="1">
      <c r="A48">
        <v>8850</v>
      </c>
      <c r="B48" t="s">
        <v>99</v>
      </c>
      <c r="C48" t="s">
        <v>99</v>
      </c>
      <c r="D48" s="143" t="s">
        <v>5</v>
      </c>
      <c r="E48" s="144">
        <v>43173.768090277779</v>
      </c>
      <c r="F48" s="297">
        <f t="shared" si="6"/>
        <v>43173.768090277779</v>
      </c>
      <c r="G48" s="298" t="str">
        <f t="shared" ref="G48:G50" si="14">HOUR(E48)&amp;":"&amp;MINUTE(E48)</f>
        <v>18:26</v>
      </c>
      <c r="H48" s="299" t="str">
        <f t="shared" ref="H48:H50" si="15">IF(D48="上班",(G49-G48)*24,"-")</f>
        <v>-</v>
      </c>
      <c r="I48" s="300" t="str">
        <f t="shared" ref="I48:I50" si="16">IF(D48="上班",IF(H48-1.5&gt;8,8,H48-1.5),"-")</f>
        <v>-</v>
      </c>
      <c r="J48" s="300" t="str">
        <f t="shared" si="10"/>
        <v>-</v>
      </c>
      <c r="K48" s="301">
        <f>IF(D48="加班",(G50-G48)*24,0)</f>
        <v>0</v>
      </c>
      <c r="L48" s="301"/>
      <c r="M48" s="302">
        <f t="shared" si="12"/>
        <v>0</v>
      </c>
      <c r="N48" s="302">
        <f t="shared" si="13"/>
        <v>0</v>
      </c>
      <c r="O48" s="393"/>
      <c r="P48" s="307"/>
      <c r="Q48" s="387"/>
      <c r="R48" s="9"/>
      <c r="S48" s="9"/>
      <c r="X48" s="396"/>
      <c r="Y48" s="396"/>
      <c r="Z48" s="261"/>
    </row>
    <row r="49" spans="1:26" s="63" customFormat="1">
      <c r="D49" s="407" t="s">
        <v>7</v>
      </c>
      <c r="E49" s="180">
        <v>43173.770833333336</v>
      </c>
      <c r="F49" s="135">
        <f t="shared" ref="F49" si="17">E49</f>
        <v>43173.770833333336</v>
      </c>
      <c r="G49" s="298" t="str">
        <f t="shared" si="14"/>
        <v>18:30</v>
      </c>
      <c r="H49" s="299" t="str">
        <f t="shared" si="15"/>
        <v>-</v>
      </c>
      <c r="I49" s="66" t="str">
        <f t="shared" si="16"/>
        <v>-</v>
      </c>
      <c r="J49" s="66" t="str">
        <f t="shared" ref="J49:J50" si="18">IF(I49&lt;8,8-I49,"-")</f>
        <v>-</v>
      </c>
      <c r="K49" s="68">
        <f t="shared" ref="K49:K50" si="19">IF(D49="加班",(G50-G49)*24,0)</f>
        <v>2.2333333333333334</v>
      </c>
      <c r="L49" s="68"/>
      <c r="M49" s="65">
        <f t="shared" ref="M49:M50" si="20">IF(K49&gt;2,2,K49)</f>
        <v>2</v>
      </c>
      <c r="N49" s="65">
        <f>IF(K49&gt;2,K49-2,0)</f>
        <v>0.23333333333333339</v>
      </c>
      <c r="O49" s="147" t="s">
        <v>115</v>
      </c>
      <c r="P49" s="169"/>
      <c r="Q49" s="423"/>
      <c r="R49" s="18"/>
      <c r="S49" s="18"/>
    </row>
    <row r="50" spans="1:26" s="63" customFormat="1">
      <c r="A50" s="63">
        <v>8868</v>
      </c>
      <c r="B50" s="63" t="s">
        <v>100</v>
      </c>
      <c r="C50" s="63" t="s">
        <v>99</v>
      </c>
      <c r="D50" s="181" t="s">
        <v>8</v>
      </c>
      <c r="E50" s="180">
        <v>43173.864004629628</v>
      </c>
      <c r="F50" s="135">
        <f t="shared" si="6"/>
        <v>43173.864004629628</v>
      </c>
      <c r="G50" s="298" t="str">
        <f t="shared" si="14"/>
        <v>20:44</v>
      </c>
      <c r="H50" s="299" t="str">
        <f t="shared" si="15"/>
        <v>-</v>
      </c>
      <c r="I50" s="66" t="str">
        <f t="shared" si="16"/>
        <v>-</v>
      </c>
      <c r="J50" s="66" t="str">
        <f t="shared" si="18"/>
        <v>-</v>
      </c>
      <c r="K50" s="68">
        <f t="shared" si="19"/>
        <v>0</v>
      </c>
      <c r="L50" s="68"/>
      <c r="M50" s="65">
        <f t="shared" si="20"/>
        <v>0</v>
      </c>
      <c r="N50" s="65">
        <f t="shared" ref="N50" si="21">IF(K50&gt;2,K50-2,0)</f>
        <v>0</v>
      </c>
      <c r="O50" s="186"/>
      <c r="P50" s="169"/>
      <c r="Q50" s="423"/>
      <c r="R50" s="18"/>
      <c r="S50" s="18"/>
    </row>
    <row r="51" spans="1:26" customFormat="1">
      <c r="A51">
        <v>8876</v>
      </c>
      <c r="B51" t="s">
        <v>100</v>
      </c>
      <c r="C51" t="s">
        <v>99</v>
      </c>
      <c r="D51" s="143" t="s">
        <v>6</v>
      </c>
      <c r="E51" s="144">
        <v>43174.36341435185</v>
      </c>
      <c r="F51" s="297">
        <f t="shared" si="6"/>
        <v>43174.36341435185</v>
      </c>
      <c r="G51" s="298" t="str">
        <f t="shared" si="7"/>
        <v>8:43</v>
      </c>
      <c r="H51" s="299">
        <f t="shared" si="8"/>
        <v>9.7000000000000011</v>
      </c>
      <c r="I51" s="300">
        <f t="shared" si="9"/>
        <v>8</v>
      </c>
      <c r="J51" s="300" t="str">
        <f t="shared" si="10"/>
        <v>-</v>
      </c>
      <c r="K51" s="301">
        <f t="shared" si="11"/>
        <v>0</v>
      </c>
      <c r="L51" s="301"/>
      <c r="M51" s="302">
        <f t="shared" si="12"/>
        <v>0</v>
      </c>
      <c r="N51" s="302">
        <f t="shared" si="13"/>
        <v>0</v>
      </c>
      <c r="O51" s="393"/>
      <c r="P51" s="307"/>
      <c r="Q51" s="9"/>
      <c r="R51" s="9"/>
      <c r="S51" s="9"/>
      <c r="X51" s="396"/>
      <c r="Y51" s="396"/>
      <c r="Z51" s="261"/>
    </row>
    <row r="52" spans="1:26" customFormat="1">
      <c r="A52">
        <v>8884</v>
      </c>
      <c r="B52" t="s">
        <v>99</v>
      </c>
      <c r="C52" t="s">
        <v>99</v>
      </c>
      <c r="D52" s="143" t="s">
        <v>5</v>
      </c>
      <c r="E52" s="144">
        <v>43174.767604166664</v>
      </c>
      <c r="F52" s="297">
        <f t="shared" si="6"/>
        <v>43174.767604166664</v>
      </c>
      <c r="G52" s="298" t="str">
        <f t="shared" si="7"/>
        <v>18:25</v>
      </c>
      <c r="H52" s="299" t="str">
        <f t="shared" si="8"/>
        <v>-</v>
      </c>
      <c r="I52" s="300" t="str">
        <f t="shared" si="9"/>
        <v>-</v>
      </c>
      <c r="J52" s="300" t="str">
        <f t="shared" si="10"/>
        <v>-</v>
      </c>
      <c r="K52" s="301">
        <f t="shared" si="11"/>
        <v>0</v>
      </c>
      <c r="L52" s="301"/>
      <c r="M52" s="302">
        <f t="shared" si="12"/>
        <v>0</v>
      </c>
      <c r="N52" s="302">
        <f t="shared" si="13"/>
        <v>0</v>
      </c>
      <c r="O52" s="393"/>
      <c r="P52" s="307"/>
      <c r="Q52" s="9"/>
      <c r="R52" s="9"/>
      <c r="S52" s="9"/>
      <c r="X52" s="396"/>
      <c r="Y52" s="396"/>
      <c r="Z52" s="261"/>
    </row>
    <row r="53" spans="1:26" customFormat="1">
      <c r="A53">
        <v>8885</v>
      </c>
      <c r="B53" t="s">
        <v>99</v>
      </c>
      <c r="C53" t="s">
        <v>99</v>
      </c>
      <c r="D53" s="143" t="s">
        <v>7</v>
      </c>
      <c r="E53" s="144">
        <v>43174.767650462964</v>
      </c>
      <c r="F53" s="297">
        <f t="shared" si="6"/>
        <v>43174.767650462964</v>
      </c>
      <c r="G53" s="298" t="str">
        <f t="shared" si="7"/>
        <v>18:25</v>
      </c>
      <c r="H53" s="299" t="str">
        <f t="shared" si="8"/>
        <v>-</v>
      </c>
      <c r="I53" s="300" t="str">
        <f t="shared" si="9"/>
        <v>-</v>
      </c>
      <c r="J53" s="300" t="str">
        <f t="shared" si="10"/>
        <v>-</v>
      </c>
      <c r="K53" s="301">
        <f t="shared" si="11"/>
        <v>1.9333333333333345</v>
      </c>
      <c r="L53" s="301"/>
      <c r="M53" s="302">
        <f t="shared" si="12"/>
        <v>1.9333333333333345</v>
      </c>
      <c r="N53" s="302">
        <f t="shared" si="13"/>
        <v>0</v>
      </c>
      <c r="O53" s="393"/>
      <c r="P53" s="307"/>
      <c r="Q53" s="9"/>
      <c r="R53" s="9"/>
      <c r="S53" s="9"/>
      <c r="X53" s="396"/>
      <c r="Y53" s="396"/>
      <c r="Z53" s="261"/>
    </row>
    <row r="54" spans="1:26" customFormat="1">
      <c r="A54">
        <v>8899</v>
      </c>
      <c r="B54" t="s">
        <v>99</v>
      </c>
      <c r="C54" t="s">
        <v>99</v>
      </c>
      <c r="D54" s="143" t="s">
        <v>8</v>
      </c>
      <c r="E54" s="144">
        <v>43174.848460648151</v>
      </c>
      <c r="F54" s="297">
        <f t="shared" si="6"/>
        <v>43174.848460648151</v>
      </c>
      <c r="G54" s="298" t="str">
        <f t="shared" si="7"/>
        <v>20:21</v>
      </c>
      <c r="H54" s="299" t="str">
        <f t="shared" si="8"/>
        <v>-</v>
      </c>
      <c r="I54" s="300" t="str">
        <f t="shared" si="9"/>
        <v>-</v>
      </c>
      <c r="J54" s="300" t="str">
        <f t="shared" si="10"/>
        <v>-</v>
      </c>
      <c r="K54" s="301">
        <f t="shared" si="11"/>
        <v>0</v>
      </c>
      <c r="L54" s="301"/>
      <c r="M54" s="302">
        <f t="shared" si="12"/>
        <v>0</v>
      </c>
      <c r="N54" s="302">
        <f t="shared" si="13"/>
        <v>0</v>
      </c>
      <c r="O54" s="393"/>
      <c r="P54" s="307"/>
      <c r="Q54" s="9"/>
      <c r="R54" s="9"/>
      <c r="S54" s="9"/>
      <c r="X54" s="396"/>
      <c r="Y54" s="396"/>
      <c r="Z54" s="261"/>
    </row>
    <row r="55" spans="1:26" customFormat="1">
      <c r="A55">
        <v>8908</v>
      </c>
      <c r="B55" t="s">
        <v>99</v>
      </c>
      <c r="C55" t="s">
        <v>99</v>
      </c>
      <c r="D55" s="143" t="s">
        <v>6</v>
      </c>
      <c r="E55" s="144">
        <v>43175.362615740742</v>
      </c>
      <c r="F55" s="297">
        <f t="shared" si="6"/>
        <v>43175.362615740742</v>
      </c>
      <c r="G55" s="298" t="str">
        <f t="shared" si="7"/>
        <v>8:42</v>
      </c>
      <c r="H55" s="299">
        <f t="shared" si="8"/>
        <v>9.7333333333333343</v>
      </c>
      <c r="I55" s="300">
        <f t="shared" si="9"/>
        <v>8</v>
      </c>
      <c r="J55" s="300" t="str">
        <f t="shared" si="10"/>
        <v>-</v>
      </c>
      <c r="K55" s="301">
        <f t="shared" si="11"/>
        <v>0</v>
      </c>
      <c r="L55" s="301"/>
      <c r="M55" s="302">
        <f t="shared" si="12"/>
        <v>0</v>
      </c>
      <c r="N55" s="302">
        <f t="shared" si="13"/>
        <v>0</v>
      </c>
      <c r="O55" s="393"/>
      <c r="P55" s="307"/>
      <c r="Q55" s="9"/>
      <c r="R55" s="9"/>
      <c r="S55" s="9"/>
      <c r="X55" s="396"/>
      <c r="Y55" s="396"/>
      <c r="Z55" s="261"/>
    </row>
    <row r="56" spans="1:26" customFormat="1">
      <c r="A56">
        <v>8922</v>
      </c>
      <c r="B56" t="s">
        <v>99</v>
      </c>
      <c r="C56" t="s">
        <v>99</v>
      </c>
      <c r="D56" s="143" t="s">
        <v>5</v>
      </c>
      <c r="E56" s="144">
        <v>43175.768692129626</v>
      </c>
      <c r="F56" s="297">
        <f t="shared" si="6"/>
        <v>43175.768692129626</v>
      </c>
      <c r="G56" s="298" t="str">
        <f t="shared" si="7"/>
        <v>18:26</v>
      </c>
      <c r="H56" s="299" t="str">
        <f t="shared" si="8"/>
        <v>-</v>
      </c>
      <c r="I56" s="300" t="str">
        <f t="shared" si="9"/>
        <v>-</v>
      </c>
      <c r="J56" s="300" t="str">
        <f t="shared" si="10"/>
        <v>-</v>
      </c>
      <c r="K56" s="301">
        <f t="shared" si="11"/>
        <v>0</v>
      </c>
      <c r="L56" s="301"/>
      <c r="M56" s="302">
        <f t="shared" si="12"/>
        <v>0</v>
      </c>
      <c r="N56" s="302">
        <f t="shared" si="13"/>
        <v>0</v>
      </c>
      <c r="O56" s="393"/>
      <c r="P56" s="307"/>
      <c r="Q56" s="9"/>
      <c r="R56" s="9"/>
      <c r="S56" s="9"/>
      <c r="X56" s="396"/>
      <c r="Y56" s="396"/>
      <c r="Z56" s="261"/>
    </row>
    <row r="57" spans="1:26" customFormat="1">
      <c r="A57">
        <v>8923</v>
      </c>
      <c r="B57" t="s">
        <v>99</v>
      </c>
      <c r="C57" t="s">
        <v>99</v>
      </c>
      <c r="D57" s="143" t="s">
        <v>7</v>
      </c>
      <c r="E57" s="144">
        <v>43175.76871527778</v>
      </c>
      <c r="F57" s="297">
        <f t="shared" si="6"/>
        <v>43175.76871527778</v>
      </c>
      <c r="G57" s="298" t="str">
        <f t="shared" si="7"/>
        <v>18:26</v>
      </c>
      <c r="H57" s="299" t="str">
        <f t="shared" si="8"/>
        <v>-</v>
      </c>
      <c r="I57" s="300" t="str">
        <f t="shared" si="9"/>
        <v>-</v>
      </c>
      <c r="J57" s="300" t="str">
        <f t="shared" si="10"/>
        <v>-</v>
      </c>
      <c r="K57" s="301">
        <f t="shared" si="11"/>
        <v>3.2999999999999989</v>
      </c>
      <c r="L57" s="301"/>
      <c r="M57" s="302">
        <f t="shared" si="12"/>
        <v>2</v>
      </c>
      <c r="N57" s="302">
        <f t="shared" si="13"/>
        <v>1.2999999999999989</v>
      </c>
      <c r="O57" s="393"/>
      <c r="P57" s="307"/>
      <c r="Q57" s="9"/>
      <c r="R57" s="9"/>
      <c r="S57" s="9"/>
      <c r="X57" s="396"/>
      <c r="Y57" s="396"/>
      <c r="Z57" s="261"/>
    </row>
    <row r="58" spans="1:26" customFormat="1">
      <c r="A58">
        <v>8939</v>
      </c>
      <c r="B58" t="s">
        <v>100</v>
      </c>
      <c r="C58" t="s">
        <v>99</v>
      </c>
      <c r="D58" s="143" t="s">
        <v>8</v>
      </c>
      <c r="E58" s="144">
        <v>43175.905902777777</v>
      </c>
      <c r="F58" s="297">
        <f t="shared" si="6"/>
        <v>43175.905902777777</v>
      </c>
      <c r="G58" s="298" t="str">
        <f t="shared" si="7"/>
        <v>21:44</v>
      </c>
      <c r="H58" s="299" t="str">
        <f>IF(D58="上班",(#REF!-G58)*24,"-")</f>
        <v>-</v>
      </c>
      <c r="I58" s="300" t="str">
        <f t="shared" si="9"/>
        <v>-</v>
      </c>
      <c r="J58" s="300" t="str">
        <f t="shared" si="10"/>
        <v>-</v>
      </c>
      <c r="K58" s="301">
        <f>IF(D58="加班",(#REF!-G58)*24,0)</f>
        <v>0</v>
      </c>
      <c r="L58" s="301"/>
      <c r="M58" s="302">
        <f t="shared" si="12"/>
        <v>0</v>
      </c>
      <c r="N58" s="302">
        <f t="shared" si="13"/>
        <v>0</v>
      </c>
      <c r="O58" s="393"/>
      <c r="P58" s="307"/>
      <c r="Q58" s="9"/>
      <c r="R58" s="9"/>
      <c r="S58" s="9"/>
      <c r="X58" s="396"/>
      <c r="Y58" s="396"/>
      <c r="Z58" s="261"/>
    </row>
    <row r="59" spans="1:26" customFormat="1">
      <c r="A59">
        <v>8949</v>
      </c>
      <c r="B59" t="s">
        <v>99</v>
      </c>
      <c r="C59" t="s">
        <v>99</v>
      </c>
      <c r="D59" s="143" t="s">
        <v>7</v>
      </c>
      <c r="E59" s="144">
        <v>43176.453634259262</v>
      </c>
      <c r="F59" s="297">
        <f t="shared" si="6"/>
        <v>43176.453634259262</v>
      </c>
      <c r="G59" s="298" t="str">
        <f t="shared" si="7"/>
        <v>10:53</v>
      </c>
      <c r="H59" s="299" t="str">
        <f t="shared" si="8"/>
        <v>-</v>
      </c>
      <c r="I59" s="300" t="str">
        <f t="shared" si="9"/>
        <v>-</v>
      </c>
      <c r="J59" s="300" t="str">
        <f t="shared" si="10"/>
        <v>-</v>
      </c>
      <c r="K59" s="301">
        <f t="shared" si="11"/>
        <v>4.2999999999999989</v>
      </c>
      <c r="L59" s="301"/>
      <c r="M59" s="302">
        <f t="shared" si="12"/>
        <v>2</v>
      </c>
      <c r="N59" s="302">
        <f t="shared" si="13"/>
        <v>2.2999999999999989</v>
      </c>
      <c r="O59" s="393"/>
      <c r="P59" s="307"/>
      <c r="Q59" s="9"/>
      <c r="R59" s="9"/>
      <c r="S59" s="9"/>
      <c r="X59" s="396"/>
      <c r="Y59" s="396"/>
      <c r="Z59" s="261"/>
    </row>
    <row r="60" spans="1:26" customFormat="1">
      <c r="A60">
        <v>8962</v>
      </c>
      <c r="B60" t="s">
        <v>99</v>
      </c>
      <c r="C60" t="s">
        <v>99</v>
      </c>
      <c r="D60" s="143" t="s">
        <v>8</v>
      </c>
      <c r="E60" s="144">
        <v>43176.633009259262</v>
      </c>
      <c r="F60" s="297">
        <f t="shared" si="6"/>
        <v>43176.633009259262</v>
      </c>
      <c r="G60" s="298" t="str">
        <f t="shared" si="7"/>
        <v>15:11</v>
      </c>
      <c r="H60" s="299" t="str">
        <f t="shared" si="8"/>
        <v>-</v>
      </c>
      <c r="I60" s="300" t="str">
        <f t="shared" si="9"/>
        <v>-</v>
      </c>
      <c r="J60" s="300" t="str">
        <f t="shared" si="10"/>
        <v>-</v>
      </c>
      <c r="K60" s="301">
        <f t="shared" si="11"/>
        <v>0</v>
      </c>
      <c r="L60" s="301"/>
      <c r="M60" s="302">
        <f t="shared" si="12"/>
        <v>0</v>
      </c>
      <c r="N60" s="302">
        <f t="shared" si="13"/>
        <v>0</v>
      </c>
      <c r="O60" s="393"/>
      <c r="P60" s="307"/>
      <c r="Q60" s="9"/>
      <c r="R60" s="9"/>
      <c r="S60" s="9"/>
      <c r="X60" s="396"/>
      <c r="Y60" s="396"/>
      <c r="Z60" s="261"/>
    </row>
    <row r="61" spans="1:26" customFormat="1">
      <c r="A61">
        <v>8974</v>
      </c>
      <c r="B61" t="s">
        <v>99</v>
      </c>
      <c r="C61" t="s">
        <v>99</v>
      </c>
      <c r="D61" s="143" t="s">
        <v>6</v>
      </c>
      <c r="E61" s="144">
        <v>43178.364537037036</v>
      </c>
      <c r="F61" s="297">
        <f t="shared" si="6"/>
        <v>43178.364537037036</v>
      </c>
      <c r="G61" s="298" t="str">
        <f t="shared" si="7"/>
        <v>8:44</v>
      </c>
      <c r="H61" s="299">
        <f t="shared" si="8"/>
        <v>9.6833333333333353</v>
      </c>
      <c r="I61" s="300">
        <f t="shared" si="9"/>
        <v>8</v>
      </c>
      <c r="J61" s="300" t="str">
        <f t="shared" si="10"/>
        <v>-</v>
      </c>
      <c r="K61" s="301">
        <f t="shared" si="11"/>
        <v>0</v>
      </c>
      <c r="L61" s="301"/>
      <c r="M61" s="302">
        <f t="shared" si="12"/>
        <v>0</v>
      </c>
      <c r="N61" s="302">
        <f t="shared" si="13"/>
        <v>0</v>
      </c>
      <c r="O61" s="393"/>
      <c r="P61" s="307"/>
      <c r="Q61" s="9"/>
      <c r="R61" s="9"/>
      <c r="S61" s="9"/>
      <c r="X61" s="396"/>
      <c r="Y61" s="396"/>
      <c r="Z61" s="261"/>
    </row>
    <row r="62" spans="1:26" s="9" customFormat="1">
      <c r="A62">
        <v>8986</v>
      </c>
      <c r="B62" t="s">
        <v>99</v>
      </c>
      <c r="C62" t="s">
        <v>99</v>
      </c>
      <c r="D62" s="143" t="s">
        <v>5</v>
      </c>
      <c r="E62" s="144">
        <v>43178.767708333333</v>
      </c>
      <c r="F62" s="297">
        <f t="shared" si="6"/>
        <v>43178.767708333333</v>
      </c>
      <c r="G62" s="298" t="str">
        <f t="shared" si="7"/>
        <v>18:25</v>
      </c>
      <c r="H62" s="299" t="str">
        <f t="shared" si="8"/>
        <v>-</v>
      </c>
      <c r="I62" s="300" t="str">
        <f t="shared" si="9"/>
        <v>-</v>
      </c>
      <c r="J62" s="300" t="str">
        <f t="shared" si="10"/>
        <v>-</v>
      </c>
      <c r="K62" s="301">
        <f t="shared" si="11"/>
        <v>0</v>
      </c>
      <c r="L62" s="301"/>
      <c r="M62" s="302">
        <f t="shared" si="12"/>
        <v>0</v>
      </c>
      <c r="N62" s="302">
        <f t="shared" si="13"/>
        <v>0</v>
      </c>
      <c r="O62" s="393"/>
      <c r="P62" s="307"/>
      <c r="T62"/>
      <c r="U62"/>
      <c r="V62"/>
      <c r="W62"/>
      <c r="X62" s="396"/>
      <c r="Y62" s="396"/>
      <c r="Z62" s="261"/>
    </row>
    <row r="63" spans="1:26" s="9" customFormat="1">
      <c r="A63">
        <v>8988</v>
      </c>
      <c r="B63" t="s">
        <v>99</v>
      </c>
      <c r="C63" t="s">
        <v>99</v>
      </c>
      <c r="D63" s="143" t="s">
        <v>7</v>
      </c>
      <c r="E63" s="144">
        <v>43178.768101851849</v>
      </c>
      <c r="F63" s="297">
        <f t="shared" si="6"/>
        <v>43178.768101851849</v>
      </c>
      <c r="G63" s="298" t="str">
        <f t="shared" si="7"/>
        <v>18:26</v>
      </c>
      <c r="H63" s="299" t="str">
        <f t="shared" si="8"/>
        <v>-</v>
      </c>
      <c r="I63" s="300" t="str">
        <f t="shared" si="9"/>
        <v>-</v>
      </c>
      <c r="J63" s="300" t="str">
        <f t="shared" si="10"/>
        <v>-</v>
      </c>
      <c r="K63" s="301">
        <f t="shared" si="11"/>
        <v>3.4999999999999982</v>
      </c>
      <c r="L63" s="301"/>
      <c r="M63" s="302">
        <f t="shared" si="12"/>
        <v>2</v>
      </c>
      <c r="N63" s="302">
        <f t="shared" si="13"/>
        <v>1.4999999999999982</v>
      </c>
      <c r="O63" s="393"/>
      <c r="P63" s="307"/>
      <c r="T63"/>
      <c r="U63"/>
      <c r="V63"/>
      <c r="W63"/>
      <c r="X63" s="396"/>
      <c r="Y63" s="396"/>
      <c r="Z63" s="261"/>
    </row>
    <row r="64" spans="1:26" s="9" customFormat="1">
      <c r="A64">
        <v>9007</v>
      </c>
      <c r="B64" t="s">
        <v>99</v>
      </c>
      <c r="C64" t="s">
        <v>99</v>
      </c>
      <c r="D64" s="143" t="s">
        <v>8</v>
      </c>
      <c r="E64" s="144">
        <v>43178.914525462962</v>
      </c>
      <c r="F64" s="297">
        <f t="shared" si="6"/>
        <v>43178.914525462962</v>
      </c>
      <c r="G64" s="298" t="str">
        <f t="shared" si="7"/>
        <v>21:56</v>
      </c>
      <c r="H64" s="299" t="str">
        <f t="shared" si="8"/>
        <v>-</v>
      </c>
      <c r="I64" s="300" t="str">
        <f t="shared" si="9"/>
        <v>-</v>
      </c>
      <c r="J64" s="300" t="str">
        <f t="shared" si="10"/>
        <v>-</v>
      </c>
      <c r="K64" s="301">
        <f t="shared" si="11"/>
        <v>0</v>
      </c>
      <c r="L64" s="301"/>
      <c r="M64" s="302">
        <f t="shared" si="12"/>
        <v>0</v>
      </c>
      <c r="N64" s="302">
        <f t="shared" si="13"/>
        <v>0</v>
      </c>
      <c r="O64" s="393"/>
      <c r="P64" s="307"/>
      <c r="T64"/>
      <c r="U64"/>
      <c r="V64"/>
      <c r="W64"/>
      <c r="X64" s="396"/>
      <c r="Y64" s="396"/>
      <c r="Z64" s="261"/>
    </row>
    <row r="65" spans="1:26" s="9" customFormat="1">
      <c r="A65">
        <v>9008</v>
      </c>
      <c r="B65" t="s">
        <v>99</v>
      </c>
      <c r="C65" t="s">
        <v>99</v>
      </c>
      <c r="D65" s="143" t="s">
        <v>6</v>
      </c>
      <c r="E65" s="144">
        <v>43179.361250000002</v>
      </c>
      <c r="F65" s="297">
        <f t="shared" si="6"/>
        <v>43179.361250000002</v>
      </c>
      <c r="G65" s="298" t="str">
        <f t="shared" si="7"/>
        <v>8:40</v>
      </c>
      <c r="H65" s="299">
        <f t="shared" si="8"/>
        <v>9.7999999999999989</v>
      </c>
      <c r="I65" s="300">
        <f t="shared" si="9"/>
        <v>8</v>
      </c>
      <c r="J65" s="300" t="str">
        <f t="shared" si="10"/>
        <v>-</v>
      </c>
      <c r="K65" s="301">
        <f t="shared" si="11"/>
        <v>0</v>
      </c>
      <c r="L65" s="301"/>
      <c r="M65" s="302">
        <f t="shared" si="12"/>
        <v>0</v>
      </c>
      <c r="N65" s="302">
        <f t="shared" si="13"/>
        <v>0</v>
      </c>
      <c r="O65" s="393"/>
      <c r="P65" s="307"/>
      <c r="T65"/>
      <c r="U65"/>
      <c r="V65"/>
      <c r="W65"/>
      <c r="X65" s="396"/>
      <c r="Y65" s="396"/>
      <c r="Z65" s="261"/>
    </row>
    <row r="66" spans="1:26" s="9" customFormat="1">
      <c r="A66">
        <v>9027</v>
      </c>
      <c r="B66" t="s">
        <v>99</v>
      </c>
      <c r="C66" t="s">
        <v>99</v>
      </c>
      <c r="D66" s="143" t="s">
        <v>5</v>
      </c>
      <c r="E66" s="144">
        <v>43179.769803240742</v>
      </c>
      <c r="F66" s="297">
        <f t="shared" si="6"/>
        <v>43179.769803240742</v>
      </c>
      <c r="G66" s="298" t="str">
        <f t="shared" si="7"/>
        <v>18:28</v>
      </c>
      <c r="H66" s="299" t="str">
        <f t="shared" si="8"/>
        <v>-</v>
      </c>
      <c r="I66" s="300" t="str">
        <f t="shared" si="9"/>
        <v>-</v>
      </c>
      <c r="J66" s="300" t="str">
        <f t="shared" si="10"/>
        <v>-</v>
      </c>
      <c r="K66" s="301">
        <f t="shared" si="11"/>
        <v>0</v>
      </c>
      <c r="L66" s="301"/>
      <c r="M66" s="302">
        <f t="shared" si="12"/>
        <v>0</v>
      </c>
      <c r="N66" s="302">
        <f t="shared" si="13"/>
        <v>0</v>
      </c>
      <c r="O66" s="393"/>
      <c r="P66" s="307"/>
      <c r="T66"/>
      <c r="U66"/>
      <c r="V66"/>
      <c r="W66"/>
      <c r="X66" s="396"/>
      <c r="Y66" s="396"/>
      <c r="Z66" s="261"/>
    </row>
    <row r="67" spans="1:26" s="9" customFormat="1">
      <c r="A67">
        <v>9028</v>
      </c>
      <c r="B67" t="s">
        <v>99</v>
      </c>
      <c r="C67" t="s">
        <v>99</v>
      </c>
      <c r="D67" s="143" t="s">
        <v>7</v>
      </c>
      <c r="E67" s="144">
        <v>43179.769837962966</v>
      </c>
      <c r="F67" s="297">
        <f t="shared" si="6"/>
        <v>43179.769837962966</v>
      </c>
      <c r="G67" s="298" t="str">
        <f t="shared" si="7"/>
        <v>18:28</v>
      </c>
      <c r="H67" s="299" t="str">
        <f t="shared" si="8"/>
        <v>-</v>
      </c>
      <c r="I67" s="300" t="str">
        <f t="shared" si="9"/>
        <v>-</v>
      </c>
      <c r="J67" s="300" t="str">
        <f t="shared" si="10"/>
        <v>-</v>
      </c>
      <c r="K67" s="301">
        <f t="shared" si="11"/>
        <v>0.21666666666666856</v>
      </c>
      <c r="L67" s="301"/>
      <c r="M67" s="301"/>
      <c r="N67" s="302">
        <f>IF(K67&gt;2,2,K67)</f>
        <v>0.21666666666666856</v>
      </c>
      <c r="O67" s="393"/>
      <c r="P67" s="307"/>
      <c r="T67"/>
      <c r="U67"/>
      <c r="V67"/>
      <c r="W67"/>
      <c r="X67" s="396"/>
      <c r="Y67" s="396"/>
      <c r="Z67" s="261"/>
    </row>
    <row r="68" spans="1:26" s="9" customFormat="1">
      <c r="A68">
        <v>9034</v>
      </c>
      <c r="B68" t="s">
        <v>99</v>
      </c>
      <c r="C68" t="s">
        <v>99</v>
      </c>
      <c r="D68" s="143" t="s">
        <v>8</v>
      </c>
      <c r="E68" s="144">
        <v>43179.778877314813</v>
      </c>
      <c r="F68" s="297">
        <f t="shared" si="6"/>
        <v>43179.778877314813</v>
      </c>
      <c r="G68" s="298" t="str">
        <f t="shared" si="7"/>
        <v>18:41</v>
      </c>
      <c r="H68" s="299" t="str">
        <f t="shared" si="8"/>
        <v>-</v>
      </c>
      <c r="I68" s="300" t="str">
        <f t="shared" si="9"/>
        <v>-</v>
      </c>
      <c r="J68" s="300" t="str">
        <f t="shared" si="10"/>
        <v>-</v>
      </c>
      <c r="K68" s="301">
        <f t="shared" si="11"/>
        <v>0</v>
      </c>
      <c r="L68" s="301"/>
      <c r="M68" s="301"/>
      <c r="N68" s="302">
        <f t="shared" si="13"/>
        <v>0</v>
      </c>
      <c r="O68" s="393"/>
      <c r="P68" s="307"/>
      <c r="T68"/>
      <c r="U68"/>
      <c r="V68"/>
      <c r="W68"/>
      <c r="X68" s="396"/>
      <c r="Y68" s="396"/>
      <c r="Z68" s="261"/>
    </row>
    <row r="69" spans="1:26" s="9" customFormat="1">
      <c r="A69">
        <v>9039</v>
      </c>
      <c r="B69" t="s">
        <v>99</v>
      </c>
      <c r="C69" t="s">
        <v>99</v>
      </c>
      <c r="D69" s="143" t="s">
        <v>7</v>
      </c>
      <c r="E69" s="144">
        <v>43179.799328703702</v>
      </c>
      <c r="F69" s="297">
        <f t="shared" ref="F69:F102" si="22">E69</f>
        <v>43179.799328703702</v>
      </c>
      <c r="G69" s="298" t="str">
        <f t="shared" ref="G69:G102" si="23">HOUR(E69)&amp;":"&amp;MINUTE(E69)</f>
        <v>19:11</v>
      </c>
      <c r="H69" s="299" t="str">
        <f t="shared" ref="H69:H102" si="24">IF(D69="上班",(G70-G69)*24,"-")</f>
        <v>-</v>
      </c>
      <c r="I69" s="300" t="str">
        <f t="shared" ref="I69:I102" si="25">IF(D69="上班",IF(H69-1.5&gt;8,8,H69-1.5),"-")</f>
        <v>-</v>
      </c>
      <c r="J69" s="300" t="str">
        <f t="shared" ref="J69:J102" si="26">IF(I69&lt;8,8-I69,"-")</f>
        <v>-</v>
      </c>
      <c r="K69" s="301">
        <f t="shared" ref="K69:K102" si="27">IF(D69="加班",(G70-G69)*24,0)</f>
        <v>2.0333333333333314</v>
      </c>
      <c r="L69" s="301"/>
      <c r="M69" s="302">
        <f t="shared" ref="M69:M102" si="28">IF(K69&gt;2,2,K69)</f>
        <v>2</v>
      </c>
      <c r="N69" s="302">
        <f t="shared" ref="N69:N102" si="29">IF(K69&gt;2,K69-2,0)</f>
        <v>3.3333333333331439E-2</v>
      </c>
      <c r="O69" s="393"/>
      <c r="P69" s="307"/>
      <c r="T69"/>
      <c r="U69"/>
      <c r="V69"/>
      <c r="W69"/>
      <c r="X69" s="396"/>
      <c r="Y69" s="396"/>
      <c r="Z69" s="261"/>
    </row>
    <row r="70" spans="1:26">
      <c r="A70">
        <v>9044</v>
      </c>
      <c r="B70" t="s">
        <v>99</v>
      </c>
      <c r="C70" t="s">
        <v>99</v>
      </c>
      <c r="D70" s="143" t="s">
        <v>8</v>
      </c>
      <c r="E70" s="144">
        <v>43179.884421296294</v>
      </c>
      <c r="F70" s="297">
        <f t="shared" si="22"/>
        <v>43179.884421296294</v>
      </c>
      <c r="G70" s="298" t="str">
        <f t="shared" si="23"/>
        <v>21:13</v>
      </c>
      <c r="H70" s="299" t="str">
        <f t="shared" si="24"/>
        <v>-</v>
      </c>
      <c r="I70" s="300" t="str">
        <f t="shared" si="25"/>
        <v>-</v>
      </c>
      <c r="J70" s="300" t="str">
        <f t="shared" si="26"/>
        <v>-</v>
      </c>
      <c r="K70" s="301">
        <f t="shared" si="27"/>
        <v>0</v>
      </c>
      <c r="L70" s="301"/>
      <c r="M70" s="302">
        <f t="shared" si="28"/>
        <v>0</v>
      </c>
      <c r="N70" s="302">
        <f t="shared" si="29"/>
        <v>0</v>
      </c>
      <c r="O70" s="393"/>
    </row>
    <row r="71" spans="1:26">
      <c r="A71">
        <v>9046</v>
      </c>
      <c r="B71" t="s">
        <v>99</v>
      </c>
      <c r="C71" t="s">
        <v>99</v>
      </c>
      <c r="D71" s="143" t="s">
        <v>6</v>
      </c>
      <c r="E71" s="144">
        <v>43180.363136574073</v>
      </c>
      <c r="F71" s="297">
        <f t="shared" si="22"/>
        <v>43180.363136574073</v>
      </c>
      <c r="G71" s="298" t="str">
        <f t="shared" si="23"/>
        <v>8:42</v>
      </c>
      <c r="H71" s="299">
        <f t="shared" si="24"/>
        <v>9.8000000000000007</v>
      </c>
      <c r="I71" s="300">
        <f t="shared" si="25"/>
        <v>8</v>
      </c>
      <c r="J71" s="300" t="str">
        <f t="shared" si="26"/>
        <v>-</v>
      </c>
      <c r="K71" s="301">
        <f t="shared" si="27"/>
        <v>0</v>
      </c>
      <c r="L71" s="301"/>
      <c r="M71" s="302">
        <f t="shared" si="28"/>
        <v>0</v>
      </c>
      <c r="N71" s="302">
        <f t="shared" si="29"/>
        <v>0</v>
      </c>
      <c r="O71" s="393"/>
    </row>
    <row r="72" spans="1:26">
      <c r="A72">
        <v>9066</v>
      </c>
      <c r="B72" t="s">
        <v>99</v>
      </c>
      <c r="C72" t="s">
        <v>99</v>
      </c>
      <c r="D72" s="143" t="s">
        <v>5</v>
      </c>
      <c r="E72" s="144">
        <v>43180.771122685182</v>
      </c>
      <c r="F72" s="297">
        <f t="shared" si="22"/>
        <v>43180.771122685182</v>
      </c>
      <c r="G72" s="298" t="str">
        <f t="shared" si="23"/>
        <v>18:30</v>
      </c>
      <c r="H72" s="299" t="str">
        <f t="shared" si="24"/>
        <v>-</v>
      </c>
      <c r="I72" s="300" t="str">
        <f t="shared" si="25"/>
        <v>-</v>
      </c>
      <c r="J72" s="300" t="str">
        <f t="shared" si="26"/>
        <v>-</v>
      </c>
      <c r="K72" s="301">
        <f t="shared" si="27"/>
        <v>0</v>
      </c>
      <c r="L72" s="301"/>
      <c r="M72" s="302">
        <f t="shared" si="28"/>
        <v>0</v>
      </c>
      <c r="N72" s="302">
        <f t="shared" si="29"/>
        <v>0</v>
      </c>
      <c r="O72" s="393"/>
    </row>
    <row r="73" spans="1:26">
      <c r="A73">
        <v>9085</v>
      </c>
      <c r="B73" t="s">
        <v>99</v>
      </c>
      <c r="C73" t="s">
        <v>99</v>
      </c>
      <c r="D73" s="143" t="s">
        <v>6</v>
      </c>
      <c r="E73" s="144">
        <v>43181.364212962966</v>
      </c>
      <c r="F73" s="297">
        <f t="shared" si="22"/>
        <v>43181.364212962966</v>
      </c>
      <c r="G73" s="298" t="str">
        <f t="shared" si="23"/>
        <v>8:44</v>
      </c>
      <c r="H73" s="299">
        <f t="shared" si="24"/>
        <v>9.5833333333333321</v>
      </c>
      <c r="I73" s="300">
        <f t="shared" si="25"/>
        <v>8</v>
      </c>
      <c r="J73" s="300" t="str">
        <f t="shared" si="26"/>
        <v>-</v>
      </c>
      <c r="K73" s="301">
        <f t="shared" si="27"/>
        <v>0</v>
      </c>
      <c r="L73" s="301"/>
      <c r="M73" s="302">
        <f t="shared" si="28"/>
        <v>0</v>
      </c>
      <c r="N73" s="302">
        <f t="shared" si="29"/>
        <v>0</v>
      </c>
      <c r="O73" s="393"/>
    </row>
    <row r="74" spans="1:26">
      <c r="A74">
        <v>9094</v>
      </c>
      <c r="B74" t="s">
        <v>99</v>
      </c>
      <c r="C74" t="s">
        <v>99</v>
      </c>
      <c r="D74" s="143" t="s">
        <v>5</v>
      </c>
      <c r="E74" s="144">
        <v>43181.763807870368</v>
      </c>
      <c r="F74" s="297">
        <f t="shared" si="22"/>
        <v>43181.763807870368</v>
      </c>
      <c r="G74" s="298" t="str">
        <f t="shared" si="23"/>
        <v>18:19</v>
      </c>
      <c r="H74" s="299" t="str">
        <f t="shared" si="24"/>
        <v>-</v>
      </c>
      <c r="I74" s="300" t="str">
        <f t="shared" si="25"/>
        <v>-</v>
      </c>
      <c r="J74" s="300" t="str">
        <f t="shared" si="26"/>
        <v>-</v>
      </c>
      <c r="K74" s="301">
        <f t="shared" si="27"/>
        <v>0</v>
      </c>
      <c r="L74" s="301"/>
      <c r="M74" s="302">
        <f t="shared" si="28"/>
        <v>0</v>
      </c>
      <c r="N74" s="302">
        <f t="shared" si="29"/>
        <v>0</v>
      </c>
      <c r="O74" s="393"/>
    </row>
    <row r="75" spans="1:26">
      <c r="A75">
        <v>9095</v>
      </c>
      <c r="B75" t="s">
        <v>99</v>
      </c>
      <c r="C75" t="s">
        <v>99</v>
      </c>
      <c r="D75" s="143" t="s">
        <v>7</v>
      </c>
      <c r="E75" s="144">
        <v>43181.764016203706</v>
      </c>
      <c r="F75" s="297">
        <f t="shared" si="22"/>
        <v>43181.764016203706</v>
      </c>
      <c r="G75" s="298" t="str">
        <f t="shared" si="23"/>
        <v>18:20</v>
      </c>
      <c r="H75" s="299" t="str">
        <f t="shared" si="24"/>
        <v>-</v>
      </c>
      <c r="I75" s="300" t="str">
        <f t="shared" si="25"/>
        <v>-</v>
      </c>
      <c r="J75" s="300" t="str">
        <f t="shared" si="26"/>
        <v>-</v>
      </c>
      <c r="K75" s="301">
        <f t="shared" si="27"/>
        <v>0.50000000000000089</v>
      </c>
      <c r="L75" s="301"/>
      <c r="M75" s="301"/>
      <c r="N75" s="302">
        <f>IF(K75&gt;2,2,K75)</f>
        <v>0.50000000000000089</v>
      </c>
      <c r="O75" s="393"/>
    </row>
    <row r="76" spans="1:26">
      <c r="A76">
        <v>9101</v>
      </c>
      <c r="B76" t="s">
        <v>99</v>
      </c>
      <c r="C76" t="s">
        <v>99</v>
      </c>
      <c r="D76" s="143" t="s">
        <v>8</v>
      </c>
      <c r="E76" s="144">
        <v>43181.784907407404</v>
      </c>
      <c r="F76" s="297">
        <f t="shared" si="22"/>
        <v>43181.784907407404</v>
      </c>
      <c r="G76" s="298" t="str">
        <f t="shared" si="23"/>
        <v>18:50</v>
      </c>
      <c r="H76" s="299" t="str">
        <f t="shared" si="24"/>
        <v>-</v>
      </c>
      <c r="I76" s="300" t="str">
        <f t="shared" si="25"/>
        <v>-</v>
      </c>
      <c r="J76" s="300" t="str">
        <f t="shared" si="26"/>
        <v>-</v>
      </c>
      <c r="K76" s="301">
        <f t="shared" si="27"/>
        <v>0</v>
      </c>
      <c r="L76" s="301"/>
      <c r="M76" s="301"/>
      <c r="N76" s="302">
        <f t="shared" si="29"/>
        <v>0</v>
      </c>
      <c r="O76" s="393"/>
    </row>
    <row r="77" spans="1:26">
      <c r="A77">
        <v>9103</v>
      </c>
      <c r="B77" t="s">
        <v>99</v>
      </c>
      <c r="C77" t="s">
        <v>99</v>
      </c>
      <c r="D77" s="143" t="s">
        <v>7</v>
      </c>
      <c r="E77" s="144">
        <v>43181.796006944445</v>
      </c>
      <c r="F77" s="297">
        <f t="shared" si="22"/>
        <v>43181.796006944445</v>
      </c>
      <c r="G77" s="298" t="str">
        <f t="shared" si="23"/>
        <v>19:6</v>
      </c>
      <c r="H77" s="299" t="str">
        <f t="shared" si="24"/>
        <v>-</v>
      </c>
      <c r="I77" s="300" t="str">
        <f t="shared" si="25"/>
        <v>-</v>
      </c>
      <c r="J77" s="300" t="str">
        <f t="shared" si="26"/>
        <v>-</v>
      </c>
      <c r="K77" s="301">
        <f t="shared" si="27"/>
        <v>3.3499999999999988</v>
      </c>
      <c r="L77" s="301"/>
      <c r="M77" s="302">
        <f t="shared" si="28"/>
        <v>2</v>
      </c>
      <c r="N77" s="302">
        <f t="shared" si="29"/>
        <v>1.3499999999999988</v>
      </c>
      <c r="O77" s="393"/>
    </row>
    <row r="78" spans="1:26">
      <c r="A78">
        <v>9114</v>
      </c>
      <c r="B78" t="s">
        <v>99</v>
      </c>
      <c r="C78" t="s">
        <v>99</v>
      </c>
      <c r="D78" s="143" t="s">
        <v>8</v>
      </c>
      <c r="E78" s="144">
        <v>43181.935682870368</v>
      </c>
      <c r="F78" s="297">
        <f t="shared" si="22"/>
        <v>43181.935682870368</v>
      </c>
      <c r="G78" s="298" t="str">
        <f t="shared" si="23"/>
        <v>22:27</v>
      </c>
      <c r="H78" s="299" t="str">
        <f t="shared" si="24"/>
        <v>-</v>
      </c>
      <c r="I78" s="300" t="str">
        <f t="shared" si="25"/>
        <v>-</v>
      </c>
      <c r="J78" s="300" t="str">
        <f t="shared" si="26"/>
        <v>-</v>
      </c>
      <c r="K78" s="301">
        <f t="shared" si="27"/>
        <v>0</v>
      </c>
      <c r="L78" s="301"/>
      <c r="M78" s="302">
        <f t="shared" si="28"/>
        <v>0</v>
      </c>
      <c r="N78" s="302">
        <f t="shared" si="29"/>
        <v>0</v>
      </c>
      <c r="O78" s="393"/>
    </row>
    <row r="79" spans="1:26">
      <c r="A79">
        <v>9117</v>
      </c>
      <c r="B79" t="s">
        <v>99</v>
      </c>
      <c r="C79" t="s">
        <v>99</v>
      </c>
      <c r="D79" s="143" t="s">
        <v>6</v>
      </c>
      <c r="E79" s="144">
        <v>43182.362407407411</v>
      </c>
      <c r="F79" s="297">
        <f t="shared" si="22"/>
        <v>43182.362407407411</v>
      </c>
      <c r="G79" s="298" t="str">
        <f t="shared" si="23"/>
        <v>8:41</v>
      </c>
      <c r="H79" s="299">
        <f t="shared" si="24"/>
        <v>9.7500000000000018</v>
      </c>
      <c r="I79" s="300">
        <f t="shared" si="25"/>
        <v>8</v>
      </c>
      <c r="J79" s="300" t="str">
        <f t="shared" si="26"/>
        <v>-</v>
      </c>
      <c r="K79" s="301">
        <f t="shared" si="27"/>
        <v>0</v>
      </c>
      <c r="L79" s="301"/>
      <c r="M79" s="302">
        <f t="shared" si="28"/>
        <v>0</v>
      </c>
      <c r="N79" s="302">
        <f t="shared" si="29"/>
        <v>0</v>
      </c>
      <c r="O79" s="393"/>
    </row>
    <row r="80" spans="1:26">
      <c r="A80">
        <v>9129</v>
      </c>
      <c r="B80" t="s">
        <v>99</v>
      </c>
      <c r="C80" t="s">
        <v>99</v>
      </c>
      <c r="D80" s="143" t="s">
        <v>5</v>
      </c>
      <c r="E80" s="144">
        <v>43182.768067129633</v>
      </c>
      <c r="F80" s="297">
        <f t="shared" si="22"/>
        <v>43182.768067129633</v>
      </c>
      <c r="G80" s="298" t="str">
        <f t="shared" si="23"/>
        <v>18:26</v>
      </c>
      <c r="H80" s="299" t="str">
        <f t="shared" si="24"/>
        <v>-</v>
      </c>
      <c r="I80" s="300" t="str">
        <f t="shared" si="25"/>
        <v>-</v>
      </c>
      <c r="J80" s="300" t="str">
        <f t="shared" si="26"/>
        <v>-</v>
      </c>
      <c r="K80" s="301">
        <f t="shared" si="27"/>
        <v>0</v>
      </c>
      <c r="L80" s="301"/>
      <c r="M80" s="302">
        <f t="shared" si="28"/>
        <v>0</v>
      </c>
      <c r="N80" s="302">
        <f t="shared" si="29"/>
        <v>0</v>
      </c>
      <c r="O80" s="393"/>
    </row>
    <row r="81" spans="1:25">
      <c r="A81">
        <v>9139</v>
      </c>
      <c r="B81" t="s">
        <v>99</v>
      </c>
      <c r="C81" t="s">
        <v>99</v>
      </c>
      <c r="D81" s="143" t="s">
        <v>6</v>
      </c>
      <c r="E81" s="144">
        <v>43185.363240740742</v>
      </c>
      <c r="F81" s="297">
        <f t="shared" si="22"/>
        <v>43185.363240740742</v>
      </c>
      <c r="G81" s="298" t="str">
        <f t="shared" si="23"/>
        <v>8:43</v>
      </c>
      <c r="H81" s="299">
        <f t="shared" si="24"/>
        <v>9.7000000000000011</v>
      </c>
      <c r="I81" s="300">
        <f t="shared" si="25"/>
        <v>8</v>
      </c>
      <c r="J81" s="300" t="str">
        <f t="shared" si="26"/>
        <v>-</v>
      </c>
      <c r="K81" s="301">
        <f t="shared" si="27"/>
        <v>0</v>
      </c>
      <c r="L81" s="301"/>
      <c r="M81" s="302">
        <f t="shared" si="28"/>
        <v>0</v>
      </c>
      <c r="N81" s="302">
        <f t="shared" si="29"/>
        <v>0</v>
      </c>
      <c r="O81" s="393"/>
    </row>
    <row r="82" spans="1:25">
      <c r="A82">
        <v>9149</v>
      </c>
      <c r="B82" t="s">
        <v>99</v>
      </c>
      <c r="C82" t="s">
        <v>99</v>
      </c>
      <c r="D82" s="143" t="s">
        <v>5</v>
      </c>
      <c r="E82" s="144">
        <v>43185.767858796295</v>
      </c>
      <c r="F82" s="297">
        <f t="shared" si="22"/>
        <v>43185.767858796295</v>
      </c>
      <c r="G82" s="298" t="str">
        <f t="shared" si="23"/>
        <v>18:25</v>
      </c>
      <c r="H82" s="299" t="str">
        <f t="shared" si="24"/>
        <v>-</v>
      </c>
      <c r="I82" s="300" t="str">
        <f t="shared" si="25"/>
        <v>-</v>
      </c>
      <c r="J82" s="300" t="str">
        <f t="shared" si="26"/>
        <v>-</v>
      </c>
      <c r="K82" s="301">
        <f t="shared" si="27"/>
        <v>0</v>
      </c>
      <c r="L82" s="301"/>
      <c r="M82" s="302">
        <f t="shared" si="28"/>
        <v>0</v>
      </c>
      <c r="N82" s="302">
        <f t="shared" si="29"/>
        <v>0</v>
      </c>
      <c r="O82" s="393"/>
      <c r="P82" s="261"/>
      <c r="Q82" s="261"/>
      <c r="R82" s="261"/>
      <c r="S82" s="261"/>
      <c r="T82" s="261"/>
      <c r="U82" s="261"/>
      <c r="V82" s="261"/>
      <c r="W82" s="261"/>
      <c r="X82" s="261"/>
      <c r="Y82" s="261"/>
    </row>
    <row r="83" spans="1:25">
      <c r="A83">
        <v>9150</v>
      </c>
      <c r="B83" t="s">
        <v>99</v>
      </c>
      <c r="C83" t="s">
        <v>99</v>
      </c>
      <c r="D83" s="143" t="s">
        <v>7</v>
      </c>
      <c r="E83" s="144">
        <v>43185.767893518518</v>
      </c>
      <c r="F83" s="297">
        <f t="shared" si="22"/>
        <v>43185.767893518518</v>
      </c>
      <c r="G83" s="298" t="str">
        <f t="shared" si="23"/>
        <v>18:25</v>
      </c>
      <c r="H83" s="299" t="str">
        <f t="shared" si="24"/>
        <v>-</v>
      </c>
      <c r="I83" s="300" t="str">
        <f t="shared" si="25"/>
        <v>-</v>
      </c>
      <c r="J83" s="300" t="str">
        <f t="shared" si="26"/>
        <v>-</v>
      </c>
      <c r="K83" s="301">
        <f t="shared" si="27"/>
        <v>1.5333333333333306</v>
      </c>
      <c r="L83" s="301"/>
      <c r="M83" s="302">
        <f t="shared" si="28"/>
        <v>1.5333333333333306</v>
      </c>
      <c r="N83" s="302">
        <f t="shared" si="29"/>
        <v>0</v>
      </c>
      <c r="O83" s="393"/>
      <c r="P83" s="261"/>
      <c r="Q83" s="261"/>
      <c r="R83" s="261"/>
      <c r="S83" s="261"/>
      <c r="T83" s="261"/>
      <c r="U83" s="261"/>
      <c r="V83" s="261"/>
      <c r="W83" s="261"/>
      <c r="X83" s="261"/>
      <c r="Y83" s="261"/>
    </row>
    <row r="84" spans="1:25">
      <c r="A84">
        <v>9159</v>
      </c>
      <c r="B84" t="s">
        <v>99</v>
      </c>
      <c r="C84" t="s">
        <v>99</v>
      </c>
      <c r="D84" s="143" t="s">
        <v>8</v>
      </c>
      <c r="E84" s="144">
        <v>43185.831516203703</v>
      </c>
      <c r="F84" s="297">
        <f t="shared" si="22"/>
        <v>43185.831516203703</v>
      </c>
      <c r="G84" s="298" t="str">
        <f t="shared" si="23"/>
        <v>19:57</v>
      </c>
      <c r="H84" s="299" t="str">
        <f t="shared" si="24"/>
        <v>-</v>
      </c>
      <c r="I84" s="300" t="str">
        <f t="shared" si="25"/>
        <v>-</v>
      </c>
      <c r="J84" s="300" t="str">
        <f t="shared" si="26"/>
        <v>-</v>
      </c>
      <c r="K84" s="301">
        <f t="shared" si="27"/>
        <v>0</v>
      </c>
      <c r="L84" s="301"/>
      <c r="M84" s="302">
        <f t="shared" si="28"/>
        <v>0</v>
      </c>
      <c r="N84" s="302">
        <f t="shared" si="29"/>
        <v>0</v>
      </c>
      <c r="O84" s="393"/>
      <c r="P84" s="261"/>
      <c r="Q84" s="261"/>
      <c r="R84" s="261"/>
      <c r="S84" s="261"/>
      <c r="T84" s="261"/>
      <c r="U84" s="261"/>
      <c r="V84" s="261"/>
      <c r="W84" s="261"/>
      <c r="X84" s="261"/>
      <c r="Y84" s="261"/>
    </row>
    <row r="85" spans="1:25">
      <c r="A85">
        <v>9165</v>
      </c>
      <c r="B85" t="s">
        <v>100</v>
      </c>
      <c r="C85" t="s">
        <v>99</v>
      </c>
      <c r="D85" s="143" t="s">
        <v>6</v>
      </c>
      <c r="E85" s="144">
        <v>43186.360995370371</v>
      </c>
      <c r="F85" s="297">
        <f t="shared" si="22"/>
        <v>43186.360995370371</v>
      </c>
      <c r="G85" s="298" t="str">
        <f t="shared" si="23"/>
        <v>8:39</v>
      </c>
      <c r="H85" s="299">
        <f t="shared" si="24"/>
        <v>9.9</v>
      </c>
      <c r="I85" s="300">
        <f t="shared" si="25"/>
        <v>8</v>
      </c>
      <c r="J85" s="300" t="str">
        <f t="shared" si="26"/>
        <v>-</v>
      </c>
      <c r="K85" s="301">
        <f t="shared" si="27"/>
        <v>0</v>
      </c>
      <c r="L85" s="301"/>
      <c r="M85" s="302">
        <f t="shared" si="28"/>
        <v>0</v>
      </c>
      <c r="N85" s="302">
        <f t="shared" si="29"/>
        <v>0</v>
      </c>
      <c r="O85" s="393"/>
      <c r="P85" s="261"/>
      <c r="Q85" s="261"/>
      <c r="R85" s="261"/>
      <c r="S85" s="261"/>
      <c r="T85" s="261"/>
      <c r="U85" s="261"/>
      <c r="V85" s="261"/>
      <c r="W85" s="261"/>
      <c r="X85" s="261"/>
      <c r="Y85" s="261"/>
    </row>
    <row r="86" spans="1:25">
      <c r="A86">
        <v>9174</v>
      </c>
      <c r="B86" t="s">
        <v>100</v>
      </c>
      <c r="C86" t="s">
        <v>99</v>
      </c>
      <c r="D86" s="143" t="s">
        <v>5</v>
      </c>
      <c r="E86" s="144">
        <v>43186.773194444446</v>
      </c>
      <c r="F86" s="297">
        <f t="shared" si="22"/>
        <v>43186.773194444446</v>
      </c>
      <c r="G86" s="298" t="str">
        <f t="shared" si="23"/>
        <v>18:33</v>
      </c>
      <c r="H86" s="299" t="str">
        <f t="shared" si="24"/>
        <v>-</v>
      </c>
      <c r="I86" s="300" t="str">
        <f t="shared" si="25"/>
        <v>-</v>
      </c>
      <c r="J86" s="300" t="str">
        <f t="shared" si="26"/>
        <v>-</v>
      </c>
      <c r="K86" s="301">
        <f t="shared" si="27"/>
        <v>0</v>
      </c>
      <c r="L86" s="301"/>
      <c r="M86" s="302">
        <f t="shared" si="28"/>
        <v>0</v>
      </c>
      <c r="N86" s="302">
        <f t="shared" si="29"/>
        <v>0</v>
      </c>
      <c r="O86" s="393"/>
      <c r="P86" s="261"/>
      <c r="Q86" s="261"/>
      <c r="R86" s="261"/>
      <c r="S86" s="261"/>
      <c r="T86" s="261"/>
      <c r="U86" s="261"/>
      <c r="V86" s="261"/>
      <c r="W86" s="261"/>
      <c r="X86" s="261"/>
      <c r="Y86" s="261"/>
    </row>
    <row r="87" spans="1:25">
      <c r="A87">
        <v>9175</v>
      </c>
      <c r="B87" t="s">
        <v>100</v>
      </c>
      <c r="C87" t="s">
        <v>99</v>
      </c>
      <c r="D87" s="143" t="s">
        <v>7</v>
      </c>
      <c r="E87" s="144">
        <v>43186.773252314815</v>
      </c>
      <c r="F87" s="297">
        <f t="shared" si="22"/>
        <v>43186.773252314815</v>
      </c>
      <c r="G87" s="298" t="str">
        <f t="shared" si="23"/>
        <v>18:33</v>
      </c>
      <c r="H87" s="299" t="str">
        <f t="shared" si="24"/>
        <v>-</v>
      </c>
      <c r="I87" s="300" t="str">
        <f t="shared" si="25"/>
        <v>-</v>
      </c>
      <c r="J87" s="300" t="str">
        <f t="shared" si="26"/>
        <v>-</v>
      </c>
      <c r="K87" s="301">
        <f t="shared" si="27"/>
        <v>1.5</v>
      </c>
      <c r="L87" s="301"/>
      <c r="M87" s="302">
        <f t="shared" si="28"/>
        <v>1.5</v>
      </c>
      <c r="N87" s="302">
        <f t="shared" si="29"/>
        <v>0</v>
      </c>
      <c r="O87" s="393"/>
      <c r="P87" s="261"/>
      <c r="Q87" s="261"/>
      <c r="R87" s="261"/>
      <c r="S87" s="261"/>
      <c r="T87" s="261"/>
      <c r="U87" s="261"/>
      <c r="V87" s="261"/>
      <c r="W87" s="261"/>
      <c r="X87" s="261"/>
      <c r="Y87" s="261"/>
    </row>
    <row r="88" spans="1:25">
      <c r="A88">
        <v>9187</v>
      </c>
      <c r="B88" t="s">
        <v>99</v>
      </c>
      <c r="C88" t="s">
        <v>99</v>
      </c>
      <c r="D88" s="143" t="s">
        <v>8</v>
      </c>
      <c r="E88" s="144">
        <v>43186.835428240738</v>
      </c>
      <c r="F88" s="297">
        <f t="shared" si="22"/>
        <v>43186.835428240738</v>
      </c>
      <c r="G88" s="298" t="str">
        <f t="shared" si="23"/>
        <v>20:3</v>
      </c>
      <c r="H88" s="299" t="str">
        <f t="shared" si="24"/>
        <v>-</v>
      </c>
      <c r="I88" s="300" t="str">
        <f t="shared" si="25"/>
        <v>-</v>
      </c>
      <c r="J88" s="300" t="str">
        <f t="shared" si="26"/>
        <v>-</v>
      </c>
      <c r="K88" s="301">
        <f t="shared" si="27"/>
        <v>0</v>
      </c>
      <c r="L88" s="301"/>
      <c r="M88" s="302">
        <f t="shared" si="28"/>
        <v>0</v>
      </c>
      <c r="N88" s="302">
        <f t="shared" si="29"/>
        <v>0</v>
      </c>
      <c r="O88" s="393"/>
      <c r="P88" s="261"/>
      <c r="Q88" s="261"/>
      <c r="R88" s="261"/>
      <c r="S88" s="261"/>
      <c r="T88" s="261"/>
      <c r="U88" s="261"/>
      <c r="V88" s="261"/>
      <c r="W88" s="261"/>
      <c r="X88" s="261"/>
      <c r="Y88" s="261"/>
    </row>
    <row r="89" spans="1:25">
      <c r="A89">
        <v>9191</v>
      </c>
      <c r="B89" t="s">
        <v>99</v>
      </c>
      <c r="C89" t="s">
        <v>99</v>
      </c>
      <c r="D89" s="143" t="s">
        <v>6</v>
      </c>
      <c r="E89" s="144">
        <v>43187.357928240737</v>
      </c>
      <c r="F89" s="297">
        <f t="shared" si="22"/>
        <v>43187.357928240737</v>
      </c>
      <c r="G89" s="298" t="str">
        <f t="shared" si="23"/>
        <v>8:35</v>
      </c>
      <c r="H89" s="299">
        <f t="shared" si="24"/>
        <v>9.9166666666666679</v>
      </c>
      <c r="I89" s="300">
        <f t="shared" si="25"/>
        <v>8</v>
      </c>
      <c r="J89" s="300" t="str">
        <f t="shared" si="26"/>
        <v>-</v>
      </c>
      <c r="K89" s="301">
        <f t="shared" si="27"/>
        <v>0</v>
      </c>
      <c r="L89" s="301"/>
      <c r="M89" s="302">
        <f t="shared" si="28"/>
        <v>0</v>
      </c>
      <c r="N89" s="302">
        <f t="shared" si="29"/>
        <v>0</v>
      </c>
      <c r="O89" s="393"/>
      <c r="P89" s="261"/>
      <c r="Q89" s="261"/>
      <c r="R89" s="261"/>
      <c r="S89" s="261"/>
      <c r="T89" s="261"/>
      <c r="U89" s="261"/>
      <c r="V89" s="261"/>
      <c r="W89" s="261"/>
      <c r="X89" s="261"/>
      <c r="Y89" s="261"/>
    </row>
    <row r="90" spans="1:25">
      <c r="A90">
        <v>9209</v>
      </c>
      <c r="B90" t="s">
        <v>99</v>
      </c>
      <c r="C90" t="s">
        <v>99</v>
      </c>
      <c r="D90" s="143" t="s">
        <v>5</v>
      </c>
      <c r="E90" s="144">
        <v>43187.771469907406</v>
      </c>
      <c r="F90" s="297">
        <f t="shared" si="22"/>
        <v>43187.771469907406</v>
      </c>
      <c r="G90" s="298" t="str">
        <f t="shared" si="23"/>
        <v>18:30</v>
      </c>
      <c r="H90" s="299" t="str">
        <f t="shared" si="24"/>
        <v>-</v>
      </c>
      <c r="I90" s="300" t="str">
        <f t="shared" si="25"/>
        <v>-</v>
      </c>
      <c r="J90" s="300" t="str">
        <f t="shared" si="26"/>
        <v>-</v>
      </c>
      <c r="K90" s="301">
        <f t="shared" si="27"/>
        <v>0</v>
      </c>
      <c r="L90" s="301"/>
      <c r="M90" s="302">
        <f t="shared" si="28"/>
        <v>0</v>
      </c>
      <c r="N90" s="302">
        <f t="shared" si="29"/>
        <v>0</v>
      </c>
      <c r="O90" s="393"/>
      <c r="P90" s="261"/>
      <c r="Q90" s="261"/>
      <c r="R90" s="261"/>
      <c r="S90" s="261"/>
      <c r="T90" s="261"/>
      <c r="U90" s="261"/>
      <c r="V90" s="261"/>
      <c r="W90" s="261"/>
      <c r="X90" s="261"/>
      <c r="Y90" s="261"/>
    </row>
    <row r="91" spans="1:25">
      <c r="A91">
        <v>9210</v>
      </c>
      <c r="B91" t="s">
        <v>99</v>
      </c>
      <c r="C91" t="s">
        <v>99</v>
      </c>
      <c r="D91" s="143" t="s">
        <v>7</v>
      </c>
      <c r="E91" s="144">
        <v>43187.771516203706</v>
      </c>
      <c r="F91" s="297">
        <f t="shared" si="22"/>
        <v>43187.771516203706</v>
      </c>
      <c r="G91" s="298" t="str">
        <f t="shared" si="23"/>
        <v>18:30</v>
      </c>
      <c r="H91" s="299" t="str">
        <f t="shared" si="24"/>
        <v>-</v>
      </c>
      <c r="I91" s="300" t="str">
        <f t="shared" si="25"/>
        <v>-</v>
      </c>
      <c r="J91" s="300" t="str">
        <f t="shared" si="26"/>
        <v>-</v>
      </c>
      <c r="K91" s="301">
        <f t="shared" si="27"/>
        <v>0.60000000000000053</v>
      </c>
      <c r="L91" s="301"/>
      <c r="M91" s="302">
        <f t="shared" si="28"/>
        <v>0.60000000000000053</v>
      </c>
      <c r="N91" s="302">
        <f t="shared" si="29"/>
        <v>0</v>
      </c>
      <c r="O91" s="393"/>
      <c r="P91" s="261"/>
      <c r="Q91" s="261"/>
      <c r="R91" s="261"/>
      <c r="S91" s="261"/>
      <c r="T91" s="261"/>
      <c r="U91" s="261"/>
      <c r="V91" s="261"/>
      <c r="W91" s="261"/>
      <c r="X91" s="261"/>
      <c r="Y91" s="261"/>
    </row>
    <row r="92" spans="1:25">
      <c r="A92">
        <v>9219</v>
      </c>
      <c r="B92" t="s">
        <v>99</v>
      </c>
      <c r="C92" t="s">
        <v>99</v>
      </c>
      <c r="D92" s="143" t="s">
        <v>8</v>
      </c>
      <c r="E92" s="144">
        <v>43187.796111111114</v>
      </c>
      <c r="F92" s="297">
        <f t="shared" si="22"/>
        <v>43187.796111111114</v>
      </c>
      <c r="G92" s="298" t="str">
        <f t="shared" si="23"/>
        <v>19:6</v>
      </c>
      <c r="H92" s="299" t="str">
        <f t="shared" si="24"/>
        <v>-</v>
      </c>
      <c r="I92" s="300" t="str">
        <f t="shared" si="25"/>
        <v>-</v>
      </c>
      <c r="J92" s="300" t="str">
        <f t="shared" si="26"/>
        <v>-</v>
      </c>
      <c r="K92" s="301">
        <f t="shared" si="27"/>
        <v>0</v>
      </c>
      <c r="L92" s="301"/>
      <c r="M92" s="302">
        <f t="shared" si="28"/>
        <v>0</v>
      </c>
      <c r="N92" s="302">
        <f t="shared" si="29"/>
        <v>0</v>
      </c>
      <c r="O92" s="393"/>
      <c r="P92" s="261"/>
      <c r="Q92" s="261"/>
      <c r="R92" s="261"/>
      <c r="S92" s="261"/>
      <c r="T92" s="261"/>
      <c r="U92" s="261"/>
      <c r="V92" s="261"/>
      <c r="W92" s="261"/>
      <c r="X92" s="261"/>
      <c r="Y92" s="261"/>
    </row>
    <row r="93" spans="1:25">
      <c r="A93">
        <v>9230</v>
      </c>
      <c r="B93" t="s">
        <v>99</v>
      </c>
      <c r="C93" t="s">
        <v>99</v>
      </c>
      <c r="D93" s="143" t="s">
        <v>6</v>
      </c>
      <c r="E93" s="144">
        <v>43188.366759259261</v>
      </c>
      <c r="F93" s="297">
        <f t="shared" si="22"/>
        <v>43188.366759259261</v>
      </c>
      <c r="G93" s="298" t="str">
        <f t="shared" si="23"/>
        <v>8:48</v>
      </c>
      <c r="H93" s="299">
        <f t="shared" si="24"/>
        <v>9.7333333333333343</v>
      </c>
      <c r="I93" s="300">
        <f t="shared" si="25"/>
        <v>8</v>
      </c>
      <c r="J93" s="300" t="str">
        <f t="shared" si="26"/>
        <v>-</v>
      </c>
      <c r="K93" s="301">
        <f t="shared" si="27"/>
        <v>0</v>
      </c>
      <c r="L93" s="301"/>
      <c r="M93" s="302">
        <f t="shared" si="28"/>
        <v>0</v>
      </c>
      <c r="N93" s="302">
        <f t="shared" si="29"/>
        <v>0</v>
      </c>
      <c r="O93" s="393"/>
      <c r="P93" s="261"/>
      <c r="Q93" s="261"/>
      <c r="R93" s="261"/>
      <c r="S93" s="261"/>
      <c r="T93" s="261"/>
      <c r="U93" s="261"/>
      <c r="V93" s="261"/>
      <c r="W93" s="261"/>
      <c r="X93" s="261"/>
      <c r="Y93" s="261"/>
    </row>
    <row r="94" spans="1:25">
      <c r="A94">
        <v>9245</v>
      </c>
      <c r="B94" t="s">
        <v>100</v>
      </c>
      <c r="C94" t="s">
        <v>99</v>
      </c>
      <c r="D94" s="143" t="s">
        <v>5</v>
      </c>
      <c r="E94" s="144">
        <v>43188.772743055553</v>
      </c>
      <c r="F94" s="297">
        <f t="shared" si="22"/>
        <v>43188.772743055553</v>
      </c>
      <c r="G94" s="298" t="str">
        <f t="shared" si="23"/>
        <v>18:32</v>
      </c>
      <c r="H94" s="299" t="str">
        <f t="shared" si="24"/>
        <v>-</v>
      </c>
      <c r="I94" s="300" t="str">
        <f t="shared" si="25"/>
        <v>-</v>
      </c>
      <c r="J94" s="300" t="str">
        <f t="shared" si="26"/>
        <v>-</v>
      </c>
      <c r="K94" s="301">
        <f t="shared" si="27"/>
        <v>0</v>
      </c>
      <c r="L94" s="301"/>
      <c r="M94" s="302">
        <f t="shared" si="28"/>
        <v>0</v>
      </c>
      <c r="N94" s="302">
        <f t="shared" si="29"/>
        <v>0</v>
      </c>
      <c r="O94" s="393"/>
      <c r="P94" s="261"/>
      <c r="Q94" s="261"/>
      <c r="R94" s="261"/>
      <c r="S94" s="261"/>
      <c r="T94" s="261"/>
      <c r="U94" s="261"/>
      <c r="V94" s="261"/>
      <c r="W94" s="261"/>
      <c r="X94" s="261"/>
      <c r="Y94" s="261"/>
    </row>
    <row r="95" spans="1:25">
      <c r="A95">
        <v>9246</v>
      </c>
      <c r="B95" t="s">
        <v>100</v>
      </c>
      <c r="C95" t="s">
        <v>99</v>
      </c>
      <c r="D95" s="143" t="s">
        <v>7</v>
      </c>
      <c r="E95" s="144">
        <v>43188.772777777776</v>
      </c>
      <c r="F95" s="297">
        <f t="shared" si="22"/>
        <v>43188.772777777776</v>
      </c>
      <c r="G95" s="298" t="str">
        <f t="shared" si="23"/>
        <v>18:32</v>
      </c>
      <c r="H95" s="299" t="str">
        <f t="shared" si="24"/>
        <v>-</v>
      </c>
      <c r="I95" s="300" t="str">
        <f t="shared" si="25"/>
        <v>-</v>
      </c>
      <c r="J95" s="300" t="str">
        <f t="shared" si="26"/>
        <v>-</v>
      </c>
      <c r="K95" s="301">
        <f t="shared" si="27"/>
        <v>1.8666666666666654</v>
      </c>
      <c r="L95" s="301"/>
      <c r="M95" s="302">
        <f t="shared" si="28"/>
        <v>1.8666666666666654</v>
      </c>
      <c r="N95" s="302">
        <f t="shared" si="29"/>
        <v>0</v>
      </c>
      <c r="O95" s="393"/>
      <c r="P95" s="261"/>
      <c r="Q95" s="261"/>
      <c r="R95" s="261"/>
      <c r="S95" s="261"/>
      <c r="T95" s="261"/>
      <c r="U95" s="261"/>
      <c r="V95" s="261"/>
      <c r="W95" s="261"/>
      <c r="X95" s="261"/>
      <c r="Y95" s="261"/>
    </row>
    <row r="96" spans="1:25">
      <c r="A96">
        <v>9258</v>
      </c>
      <c r="B96" t="s">
        <v>99</v>
      </c>
      <c r="C96" t="s">
        <v>99</v>
      </c>
      <c r="D96" s="143" t="s">
        <v>8</v>
      </c>
      <c r="E96" s="144">
        <v>43188.850104166668</v>
      </c>
      <c r="F96" s="297">
        <f t="shared" si="22"/>
        <v>43188.850104166668</v>
      </c>
      <c r="G96" s="298" t="str">
        <f t="shared" si="23"/>
        <v>20:24</v>
      </c>
      <c r="H96" s="299" t="str">
        <f t="shared" si="24"/>
        <v>-</v>
      </c>
      <c r="I96" s="300" t="str">
        <f t="shared" si="25"/>
        <v>-</v>
      </c>
      <c r="J96" s="300" t="str">
        <f t="shared" si="26"/>
        <v>-</v>
      </c>
      <c r="K96" s="301">
        <f t="shared" si="27"/>
        <v>0</v>
      </c>
      <c r="L96" s="301"/>
      <c r="M96" s="302">
        <f t="shared" si="28"/>
        <v>0</v>
      </c>
      <c r="N96" s="302">
        <f t="shared" si="29"/>
        <v>0</v>
      </c>
      <c r="O96" s="393"/>
      <c r="P96" s="261"/>
      <c r="Q96" s="261"/>
      <c r="R96" s="261"/>
      <c r="S96" s="261"/>
      <c r="T96" s="261"/>
      <c r="U96" s="261"/>
      <c r="V96" s="261"/>
      <c r="W96" s="261"/>
      <c r="X96" s="261"/>
      <c r="Y96" s="261"/>
    </row>
    <row r="97" spans="1:25">
      <c r="A97">
        <v>9262</v>
      </c>
      <c r="B97" t="s">
        <v>100</v>
      </c>
      <c r="C97" t="s">
        <v>99</v>
      </c>
      <c r="D97" s="143" t="s">
        <v>6</v>
      </c>
      <c r="E97" s="144">
        <v>43189.364699074074</v>
      </c>
      <c r="F97" s="297">
        <f t="shared" si="22"/>
        <v>43189.364699074074</v>
      </c>
      <c r="G97" s="298" t="str">
        <f t="shared" si="23"/>
        <v>8:45</v>
      </c>
      <c r="H97" s="299">
        <f t="shared" si="24"/>
        <v>9.6166666666666689</v>
      </c>
      <c r="I97" s="300">
        <f t="shared" si="25"/>
        <v>8</v>
      </c>
      <c r="J97" s="300" t="str">
        <f t="shared" si="26"/>
        <v>-</v>
      </c>
      <c r="K97" s="301">
        <f t="shared" si="27"/>
        <v>0</v>
      </c>
      <c r="L97" s="301"/>
      <c r="M97" s="302">
        <f t="shared" si="28"/>
        <v>0</v>
      </c>
      <c r="N97" s="302">
        <f t="shared" si="29"/>
        <v>0</v>
      </c>
      <c r="O97" s="393"/>
      <c r="P97" s="261"/>
      <c r="Q97" s="261"/>
      <c r="R97" s="261"/>
      <c r="S97" s="261"/>
      <c r="T97" s="261"/>
      <c r="U97" s="261"/>
      <c r="V97" s="261"/>
      <c r="W97" s="261"/>
      <c r="X97" s="261"/>
      <c r="Y97" s="261"/>
    </row>
    <row r="98" spans="1:25">
      <c r="A98">
        <v>9269</v>
      </c>
      <c r="B98" t="s">
        <v>99</v>
      </c>
      <c r="C98" t="s">
        <v>99</v>
      </c>
      <c r="D98" s="143" t="s">
        <v>5</v>
      </c>
      <c r="E98" s="144">
        <v>43189.765613425923</v>
      </c>
      <c r="F98" s="297">
        <f t="shared" si="22"/>
        <v>43189.765613425923</v>
      </c>
      <c r="G98" s="298" t="str">
        <f t="shared" si="23"/>
        <v>18:22</v>
      </c>
      <c r="H98" s="299" t="str">
        <f t="shared" si="24"/>
        <v>-</v>
      </c>
      <c r="I98" s="300" t="str">
        <f t="shared" si="25"/>
        <v>-</v>
      </c>
      <c r="J98" s="300" t="str">
        <f t="shared" si="26"/>
        <v>-</v>
      </c>
      <c r="K98" s="301">
        <f t="shared" si="27"/>
        <v>0</v>
      </c>
      <c r="L98" s="301"/>
      <c r="M98" s="302">
        <f t="shared" si="28"/>
        <v>0</v>
      </c>
      <c r="N98" s="302">
        <f t="shared" si="29"/>
        <v>0</v>
      </c>
      <c r="O98" s="393"/>
      <c r="P98" s="261"/>
      <c r="Q98" s="261"/>
      <c r="R98" s="261"/>
      <c r="S98" s="261"/>
      <c r="T98" s="261"/>
      <c r="U98" s="261"/>
      <c r="V98" s="261"/>
      <c r="W98" s="261"/>
      <c r="X98" s="261"/>
      <c r="Y98" s="261"/>
    </row>
    <row r="99" spans="1:25">
      <c r="A99">
        <v>9270</v>
      </c>
      <c r="B99" t="s">
        <v>99</v>
      </c>
      <c r="C99" t="s">
        <v>99</v>
      </c>
      <c r="D99" s="143" t="s">
        <v>13</v>
      </c>
      <c r="E99" s="144">
        <v>43189.771203703705</v>
      </c>
      <c r="F99" s="297">
        <f t="shared" si="22"/>
        <v>43189.771203703705</v>
      </c>
      <c r="G99" s="298" t="str">
        <f t="shared" si="23"/>
        <v>18:30</v>
      </c>
      <c r="H99" s="299" t="str">
        <f t="shared" si="24"/>
        <v>-</v>
      </c>
      <c r="I99" s="300" t="str">
        <f t="shared" si="25"/>
        <v>-</v>
      </c>
      <c r="J99" s="300" t="str">
        <f t="shared" si="26"/>
        <v>-</v>
      </c>
      <c r="K99" s="301">
        <f t="shared" si="27"/>
        <v>1.8166666666666655</v>
      </c>
      <c r="L99" s="301"/>
      <c r="M99" s="302">
        <f t="shared" si="28"/>
        <v>1.8166666666666655</v>
      </c>
      <c r="N99" s="302">
        <f t="shared" si="29"/>
        <v>0</v>
      </c>
      <c r="O99" s="393"/>
      <c r="P99" s="261"/>
      <c r="Q99" s="261"/>
      <c r="R99" s="261"/>
      <c r="S99" s="261"/>
      <c r="T99" s="261"/>
      <c r="U99" s="261"/>
      <c r="V99" s="261"/>
      <c r="W99" s="261"/>
      <c r="X99" s="261"/>
      <c r="Y99" s="261"/>
    </row>
    <row r="100" spans="1:25">
      <c r="A100">
        <v>9281</v>
      </c>
      <c r="B100" t="s">
        <v>99</v>
      </c>
      <c r="C100" t="s">
        <v>99</v>
      </c>
      <c r="D100" s="143" t="s">
        <v>8</v>
      </c>
      <c r="E100" s="144">
        <v>43189.846805555557</v>
      </c>
      <c r="F100" s="297">
        <f t="shared" si="22"/>
        <v>43189.846805555557</v>
      </c>
      <c r="G100" s="298" t="str">
        <f t="shared" si="23"/>
        <v>20:19</v>
      </c>
      <c r="H100" s="299" t="str">
        <f t="shared" si="24"/>
        <v>-</v>
      </c>
      <c r="I100" s="300" t="str">
        <f t="shared" si="25"/>
        <v>-</v>
      </c>
      <c r="J100" s="300" t="str">
        <f t="shared" si="26"/>
        <v>-</v>
      </c>
      <c r="K100" s="301">
        <f t="shared" si="27"/>
        <v>0</v>
      </c>
      <c r="L100" s="301"/>
      <c r="M100" s="302">
        <f t="shared" si="28"/>
        <v>0</v>
      </c>
      <c r="N100" s="302">
        <f t="shared" si="29"/>
        <v>0</v>
      </c>
      <c r="O100" s="393"/>
      <c r="P100" s="261"/>
      <c r="Q100" s="261"/>
      <c r="R100" s="261"/>
      <c r="S100" s="261"/>
      <c r="T100" s="261"/>
      <c r="U100" s="261"/>
      <c r="V100" s="261"/>
      <c r="W100" s="261"/>
      <c r="X100" s="261"/>
      <c r="Y100" s="261"/>
    </row>
    <row r="101" spans="1:25">
      <c r="A101">
        <v>9284</v>
      </c>
      <c r="B101" t="s">
        <v>100</v>
      </c>
      <c r="C101" t="s">
        <v>99</v>
      </c>
      <c r="D101" s="143" t="s">
        <v>6</v>
      </c>
      <c r="E101" s="144">
        <v>43190.361724537041</v>
      </c>
      <c r="F101" s="297">
        <f t="shared" si="22"/>
        <v>43190.361724537041</v>
      </c>
      <c r="G101" s="298" t="str">
        <f t="shared" si="23"/>
        <v>8:40</v>
      </c>
      <c r="H101" s="299">
        <f t="shared" si="24"/>
        <v>10.35</v>
      </c>
      <c r="I101" s="300">
        <f t="shared" si="25"/>
        <v>8</v>
      </c>
      <c r="J101" s="300" t="str">
        <f t="shared" si="26"/>
        <v>-</v>
      </c>
      <c r="K101" s="301">
        <f t="shared" si="27"/>
        <v>0</v>
      </c>
      <c r="L101" s="301"/>
      <c r="M101" s="302">
        <f t="shared" si="28"/>
        <v>0</v>
      </c>
      <c r="N101" s="302">
        <f t="shared" si="29"/>
        <v>0</v>
      </c>
      <c r="O101" s="393"/>
      <c r="P101" s="261"/>
      <c r="Q101" s="261"/>
      <c r="R101" s="261"/>
      <c r="S101" s="261"/>
      <c r="T101" s="261"/>
      <c r="U101" s="261"/>
      <c r="V101" s="261"/>
      <c r="W101" s="261"/>
      <c r="X101" s="261"/>
      <c r="Y101" s="261"/>
    </row>
    <row r="102" spans="1:25">
      <c r="A102">
        <v>9304</v>
      </c>
      <c r="B102" t="s">
        <v>99</v>
      </c>
      <c r="C102" t="s">
        <v>99</v>
      </c>
      <c r="D102" s="143" t="s">
        <v>5</v>
      </c>
      <c r="E102" s="144">
        <v>43190.792604166665</v>
      </c>
      <c r="F102" s="297">
        <f t="shared" si="22"/>
        <v>43190.792604166665</v>
      </c>
      <c r="G102" s="298" t="str">
        <f t="shared" si="23"/>
        <v>19:1</v>
      </c>
      <c r="H102" s="299" t="str">
        <f t="shared" si="24"/>
        <v>-</v>
      </c>
      <c r="I102" s="300" t="str">
        <f t="shared" si="25"/>
        <v>-</v>
      </c>
      <c r="J102" s="300" t="str">
        <f t="shared" si="26"/>
        <v>-</v>
      </c>
      <c r="K102" s="301">
        <f t="shared" si="27"/>
        <v>0</v>
      </c>
      <c r="L102" s="301"/>
      <c r="M102" s="302">
        <f t="shared" si="28"/>
        <v>0</v>
      </c>
      <c r="N102" s="302">
        <f t="shared" si="29"/>
        <v>0</v>
      </c>
      <c r="O102" s="393"/>
      <c r="P102" s="261"/>
      <c r="Q102" s="261"/>
      <c r="R102" s="261"/>
      <c r="S102" s="261"/>
      <c r="T102" s="261"/>
      <c r="U102" s="261"/>
      <c r="V102" s="261"/>
      <c r="W102" s="261"/>
      <c r="X102" s="261"/>
      <c r="Y102" s="261"/>
    </row>
    <row r="105" spans="1:25">
      <c r="D105" s="9" t="s">
        <v>37</v>
      </c>
      <c r="P105" s="261"/>
      <c r="Q105" s="261"/>
      <c r="R105" s="261"/>
      <c r="S105" s="261"/>
      <c r="T105" s="261"/>
      <c r="U105" s="261"/>
      <c r="V105" s="261"/>
      <c r="W105" s="261"/>
      <c r="X105" s="261"/>
      <c r="Y105" s="261"/>
    </row>
    <row r="106" spans="1:25">
      <c r="D106" s="9" t="s">
        <v>36</v>
      </c>
      <c r="P106" s="261"/>
      <c r="Q106" s="261"/>
      <c r="R106" s="261"/>
      <c r="S106" s="261"/>
      <c r="T106" s="261"/>
      <c r="U106" s="261"/>
      <c r="V106" s="261"/>
      <c r="W106" s="261"/>
      <c r="X106" s="261"/>
      <c r="Y106" s="261"/>
    </row>
    <row r="107" spans="1:25">
      <c r="D107" s="172" t="s">
        <v>64</v>
      </c>
    </row>
    <row r="108" spans="1:25">
      <c r="D108" t="s">
        <v>67</v>
      </c>
    </row>
    <row r="109" spans="1:25">
      <c r="D109" t="s">
        <v>65</v>
      </c>
    </row>
    <row r="110" spans="1:25">
      <c r="D110" t="s">
        <v>69</v>
      </c>
    </row>
    <row r="111" spans="1:25">
      <c r="D111" t="s">
        <v>70</v>
      </c>
    </row>
    <row r="112" spans="1:25">
      <c r="D112" t="s">
        <v>66</v>
      </c>
    </row>
    <row r="113" spans="4:4">
      <c r="D113" t="s">
        <v>68</v>
      </c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"/>
  <sheetViews>
    <sheetView workbookViewId="0">
      <selection activeCell="H25" sqref="H25"/>
    </sheetView>
  </sheetViews>
  <sheetFormatPr baseColWidth="10" defaultColWidth="8.83203125" defaultRowHeight="15"/>
  <sheetData/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3"/>
  <dimension ref="A1:U24"/>
  <sheetViews>
    <sheetView view="pageBreakPreview" topLeftCell="D1" zoomScaleNormal="100" zoomScaleSheetLayoutView="100" workbookViewId="0">
      <selection activeCell="P21" sqref="P21"/>
    </sheetView>
  </sheetViews>
  <sheetFormatPr baseColWidth="10" defaultColWidth="8.83203125" defaultRowHeight="15" outlineLevelCol="1"/>
  <cols>
    <col min="1" max="1" width="5.6640625" hidden="1" customWidth="1" outlineLevel="1"/>
    <col min="2" max="2" width="6.83203125" hidden="1" customWidth="1" outlineLevel="1"/>
    <col min="3" max="3" width="6.5" style="3" hidden="1" customWidth="1" outlineLevel="1"/>
    <col min="4" max="4" width="10.1640625" style="3" customWidth="1" collapsed="1"/>
    <col min="5" max="5" width="16.83203125" style="3" customWidth="1"/>
    <col min="6" max="6" width="5.6640625" style="16" customWidth="1"/>
    <col min="7" max="7" width="8.6640625" style="17" hidden="1" customWidth="1" outlineLevel="1"/>
    <col min="8" max="8" width="11.1640625" style="51" hidden="1" customWidth="1" outlineLevel="1"/>
    <col min="9" max="9" width="10.1640625" style="21" customWidth="1" collapsed="1"/>
    <col min="10" max="10" width="12.6640625" style="21" customWidth="1"/>
    <col min="11" max="11" width="8.33203125" style="22" hidden="1" customWidth="1" outlineLevel="1"/>
    <col min="12" max="12" width="12.5" style="22" customWidth="1" collapsed="1"/>
    <col min="13" max="13" width="6.1640625" style="22" customWidth="1"/>
    <col min="14" max="14" width="16.5" style="28" customWidth="1"/>
    <col min="15" max="15" width="9" style="9"/>
    <col min="21" max="21" width="22.6640625" customWidth="1"/>
  </cols>
  <sheetData>
    <row r="1" spans="1:21" s="4" customFormat="1" ht="28" thickBot="1">
      <c r="C1" s="5"/>
      <c r="D1" s="6"/>
      <c r="E1" s="6"/>
      <c r="F1" s="10"/>
      <c r="G1" s="11"/>
      <c r="H1" s="12"/>
      <c r="I1" s="13" t="str">
        <f>B7</f>
        <v>paul</v>
      </c>
      <c r="J1" s="46" t="s">
        <v>30</v>
      </c>
      <c r="K1" s="14"/>
      <c r="L1" s="14"/>
      <c r="M1" s="14"/>
      <c r="N1" s="27"/>
      <c r="O1" s="19"/>
    </row>
    <row r="2" spans="1:21">
      <c r="D2" s="23"/>
      <c r="E2" s="29"/>
      <c r="F2" s="105" t="s">
        <v>29</v>
      </c>
      <c r="G2" s="106"/>
      <c r="H2" s="106"/>
      <c r="I2" s="107" t="s">
        <v>25</v>
      </c>
      <c r="J2" s="107" t="s">
        <v>85</v>
      </c>
      <c r="K2" s="108"/>
      <c r="L2" s="29" t="s">
        <v>86</v>
      </c>
      <c r="M2" s="110"/>
      <c r="N2" s="111" t="s">
        <v>28</v>
      </c>
    </row>
    <row r="3" spans="1:21" ht="16" thickBot="1">
      <c r="D3" s="24"/>
      <c r="E3" s="30"/>
      <c r="F3" s="25"/>
      <c r="G3" s="26"/>
      <c r="H3" s="26"/>
      <c r="I3" s="52">
        <f>L3+J3</f>
        <v>38.299999999999997</v>
      </c>
      <c r="J3" s="54">
        <f>I6+J6</f>
        <v>38.299999999999997</v>
      </c>
      <c r="K3" s="53"/>
      <c r="L3" s="189">
        <f>L6</f>
        <v>0</v>
      </c>
      <c r="M3" s="53"/>
      <c r="N3" s="50"/>
    </row>
    <row r="4" spans="1:21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5"/>
    </row>
    <row r="5" spans="1:21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 t="s">
        <v>84</v>
      </c>
      <c r="M5" s="119"/>
      <c r="N5" s="120"/>
    </row>
    <row r="6" spans="1:21" ht="16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SUM(I7:I78)</f>
        <v>9.2999999999999972</v>
      </c>
      <c r="J6" s="124">
        <f>SUM(J7:J78)</f>
        <v>29</v>
      </c>
      <c r="K6" s="124">
        <f>SUM(K7:K78)</f>
        <v>0</v>
      </c>
      <c r="L6" s="124">
        <f>SUM(L7:L78)</f>
        <v>0</v>
      </c>
      <c r="M6" s="124">
        <f>SUM(M23:M43)</f>
        <v>0</v>
      </c>
      <c r="N6" s="45"/>
    </row>
    <row r="7" spans="1:21" s="16" customFormat="1">
      <c r="A7" s="140">
        <v>8566</v>
      </c>
      <c r="B7" s="140" t="s">
        <v>12</v>
      </c>
      <c r="C7" s="140" t="s">
        <v>12</v>
      </c>
      <c r="D7" s="141" t="s">
        <v>6</v>
      </c>
      <c r="E7" s="142">
        <v>43164.380509259259</v>
      </c>
      <c r="F7" s="398">
        <f t="shared" ref="F7" si="0">E7</f>
        <v>43164.380509259259</v>
      </c>
      <c r="G7" s="399" t="str">
        <f t="shared" ref="G7" si="1">HOUR(E7)&amp;":"&amp;MINUTE(E7)</f>
        <v>9:7</v>
      </c>
      <c r="H7" s="400">
        <f t="shared" ref="H7" si="2">IF(D7="上班",(G8-G7)*24,"-")</f>
        <v>4.4999999999999982</v>
      </c>
      <c r="I7" s="92">
        <f>IF(D7="上班",IF(H7-1.5&gt;8,8,H7-1.5),"-")</f>
        <v>2.9999999999999982</v>
      </c>
      <c r="J7" s="92" t="str">
        <f t="shared" ref="J7" si="3">IF(D7="上班",IF(H7&gt;(8+2),(H7-8-1.5-0.5),"-"),"-")</f>
        <v>-</v>
      </c>
      <c r="K7" s="93">
        <f t="shared" ref="K7" si="4">IF(D7="加班",(G8-G7)*24,0)</f>
        <v>0</v>
      </c>
      <c r="L7" s="93"/>
      <c r="M7" s="35">
        <f t="shared" ref="M7" si="5">IF(K7&gt;2,K7-2,0)</f>
        <v>0</v>
      </c>
      <c r="N7" s="36"/>
      <c r="O7" s="137"/>
      <c r="Q7" s="16">
        <v>7550</v>
      </c>
      <c r="R7" s="16" t="s">
        <v>12</v>
      </c>
      <c r="S7" s="16" t="s">
        <v>12</v>
      </c>
      <c r="T7" s="16" t="s">
        <v>6</v>
      </c>
      <c r="U7" s="390">
        <v>43112.591782407406</v>
      </c>
    </row>
    <row r="8" spans="1:21" s="16" customFormat="1">
      <c r="A8" s="140">
        <v>8569</v>
      </c>
      <c r="B8" s="140" t="s">
        <v>12</v>
      </c>
      <c r="C8" s="140" t="s">
        <v>12</v>
      </c>
      <c r="D8" s="143" t="s">
        <v>5</v>
      </c>
      <c r="E8" s="144">
        <v>43164.567743055559</v>
      </c>
      <c r="F8" s="398">
        <f t="shared" ref="F8:F13" si="6">E8</f>
        <v>43164.567743055559</v>
      </c>
      <c r="G8" s="399" t="str">
        <f t="shared" ref="G8:G13" si="7">HOUR(E8)&amp;":"&amp;MINUTE(E8)</f>
        <v>13:37</v>
      </c>
      <c r="H8" s="400" t="str">
        <f t="shared" ref="H8:H11" si="8">IF(D8="上班",(G9-G8)*24,"-")</f>
        <v>-</v>
      </c>
      <c r="I8" s="92" t="str">
        <f t="shared" ref="I8:I12" si="9">IF(D8="上班",IF(H8-1.5&gt;8,8,H8-1.5),"-")</f>
        <v>-</v>
      </c>
      <c r="J8" s="92" t="str">
        <f t="shared" ref="J8:J12" si="10">IF(D8="上班",IF(H8&gt;(8+2),(H8-8-1.5-0.5),"-"),"-")</f>
        <v>-</v>
      </c>
      <c r="K8" s="93">
        <f t="shared" ref="K8:K11" si="11">IF(D8="加班",(G9-G8)*24,0)</f>
        <v>0</v>
      </c>
      <c r="L8" s="93"/>
      <c r="M8" s="35">
        <f t="shared" ref="M8:M13" si="12">IF(K8&gt;2,K8-2,0)</f>
        <v>0</v>
      </c>
      <c r="N8" s="36"/>
      <c r="O8" s="137"/>
      <c r="Q8" s="16">
        <v>7564</v>
      </c>
      <c r="R8" s="16" t="s">
        <v>12</v>
      </c>
      <c r="S8" s="16" t="s">
        <v>12</v>
      </c>
      <c r="T8" s="16" t="s">
        <v>5</v>
      </c>
      <c r="U8" s="390">
        <v>43112.792210648149</v>
      </c>
    </row>
    <row r="9" spans="1:21" s="16" customFormat="1">
      <c r="A9" s="140">
        <v>8667</v>
      </c>
      <c r="B9" s="140" t="s">
        <v>12</v>
      </c>
      <c r="C9" s="140" t="s">
        <v>12</v>
      </c>
      <c r="D9" s="141" t="s">
        <v>6</v>
      </c>
      <c r="E9" s="142">
        <v>43167.368321759262</v>
      </c>
      <c r="F9" s="398">
        <f t="shared" si="6"/>
        <v>43167.368321759262</v>
      </c>
      <c r="G9" s="399" t="str">
        <f t="shared" si="7"/>
        <v>8:50</v>
      </c>
      <c r="H9" s="400">
        <f t="shared" si="8"/>
        <v>3.1666666666666661</v>
      </c>
      <c r="I9" s="92">
        <f>IF(D9="上班",IF(H9-1.5&gt;8,8,H9-1.5),"-")+1.5</f>
        <v>3.1666666666666661</v>
      </c>
      <c r="J9" s="92" t="str">
        <f t="shared" si="10"/>
        <v>-</v>
      </c>
      <c r="K9" s="93">
        <f t="shared" si="11"/>
        <v>0</v>
      </c>
      <c r="L9" s="93"/>
      <c r="M9" s="35">
        <f t="shared" si="12"/>
        <v>0</v>
      </c>
      <c r="N9" s="36"/>
      <c r="O9" s="137"/>
      <c r="Q9" s="16">
        <v>7550</v>
      </c>
      <c r="R9" s="16" t="s">
        <v>12</v>
      </c>
      <c r="S9" s="16" t="s">
        <v>12</v>
      </c>
      <c r="T9" s="16" t="s">
        <v>6</v>
      </c>
      <c r="U9" s="390">
        <v>43112.591782407406</v>
      </c>
    </row>
    <row r="10" spans="1:21" s="16" customFormat="1">
      <c r="A10" s="425">
        <v>8569</v>
      </c>
      <c r="B10" s="425" t="s">
        <v>12</v>
      </c>
      <c r="C10" s="425" t="s">
        <v>12</v>
      </c>
      <c r="D10" s="407" t="s">
        <v>5</v>
      </c>
      <c r="E10" s="180">
        <v>43167.500381944446</v>
      </c>
      <c r="F10" s="398">
        <f t="shared" si="6"/>
        <v>43167.500381944446</v>
      </c>
      <c r="G10" s="399" t="str">
        <f t="shared" si="7"/>
        <v>12:0</v>
      </c>
      <c r="H10" s="400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35">
        <f t="shared" si="12"/>
        <v>0</v>
      </c>
      <c r="N10" s="36"/>
      <c r="O10" s="137"/>
      <c r="Q10" s="16">
        <v>7564</v>
      </c>
      <c r="R10" s="16" t="s">
        <v>12</v>
      </c>
      <c r="S10" s="16" t="s">
        <v>12</v>
      </c>
      <c r="T10" s="16" t="s">
        <v>5</v>
      </c>
      <c r="U10" s="390">
        <v>43112.792210648149</v>
      </c>
    </row>
    <row r="11" spans="1:21" s="16" customFormat="1">
      <c r="A11" s="140">
        <v>8766</v>
      </c>
      <c r="B11" s="140" t="s">
        <v>12</v>
      </c>
      <c r="C11" s="140" t="s">
        <v>12</v>
      </c>
      <c r="D11" s="141" t="s">
        <v>6</v>
      </c>
      <c r="E11" s="144">
        <v>43171.370115740741</v>
      </c>
      <c r="F11" s="398">
        <f t="shared" si="6"/>
        <v>43171.370115740741</v>
      </c>
      <c r="G11" s="399" t="str">
        <f t="shared" si="7"/>
        <v>8:52</v>
      </c>
      <c r="H11" s="400">
        <f t="shared" si="8"/>
        <v>3.1333333333333329</v>
      </c>
      <c r="I11" s="92">
        <f>IF(D11="上班",IF(H11-1.5&gt;8,8,H11-1.5),"-")+1.5</f>
        <v>3.1333333333333329</v>
      </c>
      <c r="J11" s="92" t="str">
        <f t="shared" si="10"/>
        <v>-</v>
      </c>
      <c r="K11" s="93">
        <f t="shared" si="11"/>
        <v>0</v>
      </c>
      <c r="L11" s="93"/>
      <c r="M11" s="35">
        <f t="shared" si="12"/>
        <v>0</v>
      </c>
      <c r="N11" s="36"/>
      <c r="O11" s="137"/>
      <c r="Q11">
        <v>7550</v>
      </c>
      <c r="R11" t="s">
        <v>12</v>
      </c>
      <c r="S11" t="s">
        <v>12</v>
      </c>
      <c r="T11" t="s">
        <v>6</v>
      </c>
      <c r="U11" s="1">
        <v>43112.591782407406</v>
      </c>
    </row>
    <row r="12" spans="1:21" s="16" customFormat="1">
      <c r="A12" s="425">
        <v>8569</v>
      </c>
      <c r="B12" s="425" t="s">
        <v>12</v>
      </c>
      <c r="C12" s="425" t="s">
        <v>12</v>
      </c>
      <c r="D12" s="407" t="s">
        <v>5</v>
      </c>
      <c r="E12" s="180">
        <v>43171.500381944446</v>
      </c>
      <c r="F12" s="398">
        <f t="shared" si="6"/>
        <v>43171.500381944446</v>
      </c>
      <c r="G12" s="399" t="str">
        <f t="shared" si="7"/>
        <v>12:0</v>
      </c>
      <c r="H12" s="400" t="str">
        <f>IF(D12="上班",(G21-G12)*24,"-")</f>
        <v>-</v>
      </c>
      <c r="I12" s="92" t="str">
        <f t="shared" si="9"/>
        <v>-</v>
      </c>
      <c r="J12" s="92" t="str">
        <f t="shared" si="10"/>
        <v>-</v>
      </c>
      <c r="K12" s="93">
        <f>IF(D12="加班",(G21-G12)*24,0)</f>
        <v>0</v>
      </c>
      <c r="L12" s="93"/>
      <c r="M12" s="35">
        <f t="shared" si="12"/>
        <v>0</v>
      </c>
      <c r="N12" s="36"/>
      <c r="O12" s="137"/>
      <c r="Q12">
        <v>7564</v>
      </c>
      <c r="R12" t="s">
        <v>12</v>
      </c>
      <c r="S12" t="s">
        <v>12</v>
      </c>
      <c r="T12" t="s">
        <v>5</v>
      </c>
      <c r="U12" s="1">
        <v>43112.792210648149</v>
      </c>
    </row>
    <row r="13" spans="1:21" s="16" customFormat="1">
      <c r="A13" s="140">
        <v>8566</v>
      </c>
      <c r="B13" s="140" t="s">
        <v>12</v>
      </c>
      <c r="C13" s="140" t="s">
        <v>12</v>
      </c>
      <c r="D13" s="141" t="s">
        <v>6</v>
      </c>
      <c r="E13" s="142">
        <v>43176.375</v>
      </c>
      <c r="F13" s="398">
        <f t="shared" si="6"/>
        <v>43176.375</v>
      </c>
      <c r="G13" s="399" t="str">
        <f t="shared" si="7"/>
        <v>9:0</v>
      </c>
      <c r="H13" s="400">
        <f t="shared" ref="H13" si="13">IF(D13="上班",(G14-G13)*24,"-")</f>
        <v>10</v>
      </c>
      <c r="I13" s="138"/>
      <c r="J13" s="92">
        <f t="shared" ref="J13:J22" si="14">IF(D13="上班",IF(H13-1.5&gt;8,8,H13-1.5),"-")</f>
        <v>8</v>
      </c>
      <c r="K13" s="93">
        <f t="shared" ref="K13" si="15">IF(D13="加班",(G14-G13)*24,0)</f>
        <v>0</v>
      </c>
      <c r="L13" s="93"/>
      <c r="M13" s="35">
        <f t="shared" si="12"/>
        <v>0</v>
      </c>
      <c r="N13" s="36" t="s">
        <v>118</v>
      </c>
      <c r="O13" s="137"/>
      <c r="Q13" s="16">
        <v>7550</v>
      </c>
      <c r="R13" s="16" t="s">
        <v>12</v>
      </c>
      <c r="S13" s="16" t="s">
        <v>12</v>
      </c>
      <c r="T13" s="16" t="s">
        <v>6</v>
      </c>
      <c r="U13" s="390">
        <v>43112.591782407406</v>
      </c>
    </row>
    <row r="14" spans="1:21" s="16" customFormat="1">
      <c r="A14" s="140">
        <v>8569</v>
      </c>
      <c r="B14" s="140" t="s">
        <v>12</v>
      </c>
      <c r="C14" s="140" t="s">
        <v>12</v>
      </c>
      <c r="D14" s="143" t="s">
        <v>5</v>
      </c>
      <c r="E14" s="144">
        <v>43176.791666666664</v>
      </c>
      <c r="F14" s="398" t="s">
        <v>119</v>
      </c>
      <c r="G14" s="399" t="str">
        <f t="shared" ref="G14:G15" si="16">HOUR(E14)&amp;":"&amp;MINUTE(E14)</f>
        <v>19:0</v>
      </c>
      <c r="H14" s="400" t="str">
        <f>IF(D14="上班",(G21-G14)*24,"-")</f>
        <v>-</v>
      </c>
      <c r="I14" s="138"/>
      <c r="J14" s="92" t="str">
        <f t="shared" si="14"/>
        <v>-</v>
      </c>
      <c r="K14" s="93">
        <f>IF(D14="加班",(G21-G14)*24,0)</f>
        <v>0</v>
      </c>
      <c r="L14" s="93"/>
      <c r="M14" s="35">
        <f t="shared" ref="M14:M15" si="17">IF(K14&gt;2,K14-2,0)</f>
        <v>0</v>
      </c>
      <c r="N14" s="36"/>
      <c r="O14" s="137"/>
      <c r="Q14" s="16">
        <v>7564</v>
      </c>
      <c r="R14" s="16" t="s">
        <v>12</v>
      </c>
      <c r="S14" s="16" t="s">
        <v>12</v>
      </c>
      <c r="T14" s="16" t="s">
        <v>5</v>
      </c>
      <c r="U14" s="390">
        <v>43112.792210648149</v>
      </c>
    </row>
    <row r="15" spans="1:21" s="16" customFormat="1">
      <c r="A15" s="140">
        <v>8566</v>
      </c>
      <c r="B15" s="140" t="s">
        <v>12</v>
      </c>
      <c r="C15" s="140" t="s">
        <v>12</v>
      </c>
      <c r="D15" s="141" t="s">
        <v>6</v>
      </c>
      <c r="E15" s="142">
        <v>43181.375</v>
      </c>
      <c r="F15" s="398">
        <f t="shared" ref="F15" si="18">E15</f>
        <v>43181.375</v>
      </c>
      <c r="G15" s="399" t="str">
        <f t="shared" si="16"/>
        <v>9:0</v>
      </c>
      <c r="H15" s="400">
        <f t="shared" ref="H15" si="19">IF(D15="上班",(G16-G15)*24,"-")</f>
        <v>4.5</v>
      </c>
      <c r="I15" s="138"/>
      <c r="J15" s="92">
        <f t="shared" si="14"/>
        <v>3</v>
      </c>
      <c r="K15" s="93">
        <f t="shared" ref="K15" si="20">IF(D15="加班",(G16-G15)*24,0)</f>
        <v>0</v>
      </c>
      <c r="L15" s="93"/>
      <c r="M15" s="35">
        <f t="shared" si="17"/>
        <v>0</v>
      </c>
      <c r="N15" s="36" t="s">
        <v>118</v>
      </c>
      <c r="O15" s="137"/>
      <c r="Q15" s="16">
        <v>7550</v>
      </c>
      <c r="R15" s="16" t="s">
        <v>12</v>
      </c>
      <c r="S15" s="16" t="s">
        <v>12</v>
      </c>
      <c r="T15" s="16" t="s">
        <v>6</v>
      </c>
      <c r="U15" s="390">
        <v>43112.591782407406</v>
      </c>
    </row>
    <row r="16" spans="1:21" s="16" customFormat="1">
      <c r="A16" s="140">
        <v>8569</v>
      </c>
      <c r="B16" s="140" t="s">
        <v>12</v>
      </c>
      <c r="C16" s="140" t="s">
        <v>12</v>
      </c>
      <c r="D16" s="143" t="s">
        <v>5</v>
      </c>
      <c r="E16" s="144">
        <v>43181.5625</v>
      </c>
      <c r="F16" s="398">
        <f t="shared" ref="F16:F19" si="21">E16</f>
        <v>43181.5625</v>
      </c>
      <c r="G16" s="399" t="str">
        <f t="shared" ref="G16:G19" si="22">HOUR(E16)&amp;":"&amp;MINUTE(E16)</f>
        <v>13:30</v>
      </c>
      <c r="H16" s="400" t="str">
        <f>IF(D16="上班",(G23-G16)*24,"-")</f>
        <v>-</v>
      </c>
      <c r="I16" s="138"/>
      <c r="J16" s="92" t="str">
        <f t="shared" si="14"/>
        <v>-</v>
      </c>
      <c r="K16" s="93">
        <f>IF(D16="加班",(G23-G16)*24,0)</f>
        <v>0</v>
      </c>
      <c r="L16" s="93"/>
      <c r="M16" s="35">
        <f t="shared" ref="M16:M19" si="23">IF(K16&gt;2,K16-2,0)</f>
        <v>0</v>
      </c>
      <c r="N16" s="36"/>
      <c r="O16" s="137"/>
      <c r="Q16" s="16">
        <v>7564</v>
      </c>
      <c r="R16" s="16" t="s">
        <v>12</v>
      </c>
      <c r="S16" s="16" t="s">
        <v>12</v>
      </c>
      <c r="T16" s="16" t="s">
        <v>5</v>
      </c>
      <c r="U16" s="390">
        <v>43112.792210648149</v>
      </c>
    </row>
    <row r="17" spans="1:21" s="16" customFormat="1">
      <c r="A17" s="140">
        <v>8566</v>
      </c>
      <c r="B17" s="140" t="s">
        <v>12</v>
      </c>
      <c r="C17" s="140" t="s">
        <v>12</v>
      </c>
      <c r="D17" s="141" t="s">
        <v>6</v>
      </c>
      <c r="E17" s="142">
        <v>43182.375</v>
      </c>
      <c r="F17" s="398">
        <f t="shared" si="21"/>
        <v>43182.375</v>
      </c>
      <c r="G17" s="399" t="str">
        <f t="shared" si="22"/>
        <v>9:0</v>
      </c>
      <c r="H17" s="400">
        <f t="shared" ref="H17" si="24">IF(D17="上班",(G18-G17)*24,"-")</f>
        <v>10</v>
      </c>
      <c r="I17" s="138"/>
      <c r="J17" s="92">
        <f t="shared" si="14"/>
        <v>8</v>
      </c>
      <c r="K17" s="93">
        <f t="shared" ref="K17" si="25">IF(D17="加班",(G18-G17)*24,0)</f>
        <v>0</v>
      </c>
      <c r="L17" s="93"/>
      <c r="M17" s="35">
        <f t="shared" si="23"/>
        <v>0</v>
      </c>
      <c r="N17" s="36" t="s">
        <v>118</v>
      </c>
      <c r="O17" s="137"/>
      <c r="Q17" s="16">
        <v>7550</v>
      </c>
      <c r="R17" s="16" t="s">
        <v>12</v>
      </c>
      <c r="S17" s="16" t="s">
        <v>12</v>
      </c>
      <c r="T17" s="16" t="s">
        <v>6</v>
      </c>
      <c r="U17" s="390">
        <v>43112.591782407406</v>
      </c>
    </row>
    <row r="18" spans="1:21" s="16" customFormat="1">
      <c r="A18" s="140">
        <v>8569</v>
      </c>
      <c r="B18" s="140" t="s">
        <v>12</v>
      </c>
      <c r="C18" s="140" t="s">
        <v>12</v>
      </c>
      <c r="D18" s="143" t="s">
        <v>5</v>
      </c>
      <c r="E18" s="144">
        <v>43182.791666666664</v>
      </c>
      <c r="F18" s="398">
        <f t="shared" si="21"/>
        <v>43182.791666666664</v>
      </c>
      <c r="G18" s="399" t="str">
        <f t="shared" si="22"/>
        <v>19:0</v>
      </c>
      <c r="H18" s="400" t="str">
        <f>IF(D18="上班",(G25-G18)*24,"-")</f>
        <v>-</v>
      </c>
      <c r="I18" s="138"/>
      <c r="J18" s="92" t="str">
        <f t="shared" si="14"/>
        <v>-</v>
      </c>
      <c r="K18" s="93">
        <f>IF(D18="加班",(G25-G18)*24,0)</f>
        <v>0</v>
      </c>
      <c r="L18" s="93"/>
      <c r="M18" s="35">
        <f t="shared" si="23"/>
        <v>0</v>
      </c>
      <c r="N18" s="36"/>
      <c r="O18" s="137"/>
      <c r="Q18" s="16">
        <v>7564</v>
      </c>
      <c r="R18" s="16" t="s">
        <v>12</v>
      </c>
      <c r="S18" s="16" t="s">
        <v>12</v>
      </c>
      <c r="T18" s="16" t="s">
        <v>5</v>
      </c>
      <c r="U18" s="390">
        <v>43112.792210648149</v>
      </c>
    </row>
    <row r="19" spans="1:21" s="16" customFormat="1">
      <c r="A19" s="140">
        <v>8566</v>
      </c>
      <c r="B19" s="140" t="s">
        <v>12</v>
      </c>
      <c r="C19" s="140" t="s">
        <v>12</v>
      </c>
      <c r="D19" s="141" t="s">
        <v>6</v>
      </c>
      <c r="E19" s="142">
        <v>43181.375</v>
      </c>
      <c r="F19" s="398">
        <f t="shared" si="21"/>
        <v>43181.375</v>
      </c>
      <c r="G19" s="399" t="str">
        <f t="shared" si="22"/>
        <v>9:0</v>
      </c>
      <c r="H19" s="400">
        <f t="shared" ref="H19" si="26">IF(D19="上班",(G20-G19)*24,"-")</f>
        <v>5.4999999999999991</v>
      </c>
      <c r="I19" s="138"/>
      <c r="J19" s="92">
        <f t="shared" si="14"/>
        <v>3.9999999999999991</v>
      </c>
      <c r="K19" s="93">
        <f t="shared" ref="K19" si="27">IF(D19="加班",(G20-G19)*24,0)</f>
        <v>0</v>
      </c>
      <c r="L19" s="93"/>
      <c r="M19" s="35">
        <f t="shared" si="23"/>
        <v>0</v>
      </c>
      <c r="N19" s="36" t="s">
        <v>118</v>
      </c>
      <c r="O19" s="137"/>
      <c r="Q19" s="16">
        <v>7550</v>
      </c>
      <c r="R19" s="16" t="s">
        <v>12</v>
      </c>
      <c r="S19" s="16" t="s">
        <v>12</v>
      </c>
      <c r="T19" s="16" t="s">
        <v>6</v>
      </c>
      <c r="U19" s="390">
        <v>43112.591782407406</v>
      </c>
    </row>
    <row r="20" spans="1:21" s="16" customFormat="1">
      <c r="A20" s="140">
        <v>8569</v>
      </c>
      <c r="B20" s="140" t="s">
        <v>12</v>
      </c>
      <c r="C20" s="140" t="s">
        <v>12</v>
      </c>
      <c r="D20" s="143" t="s">
        <v>5</v>
      </c>
      <c r="E20" s="144">
        <v>43181.604166666664</v>
      </c>
      <c r="F20" s="398">
        <f t="shared" ref="F20:F21" si="28">E20</f>
        <v>43181.604166666664</v>
      </c>
      <c r="G20" s="399" t="str">
        <f t="shared" ref="G20:G21" si="29">HOUR(E20)&amp;":"&amp;MINUTE(E20)</f>
        <v>14:30</v>
      </c>
      <c r="H20" s="400" t="str">
        <f>IF(D20="上班",(G27-G20)*24,"-")</f>
        <v>-</v>
      </c>
      <c r="I20" s="138"/>
      <c r="J20" s="92" t="str">
        <f t="shared" si="14"/>
        <v>-</v>
      </c>
      <c r="K20" s="93">
        <f>IF(D20="加班",(G27-G20)*24,0)</f>
        <v>0</v>
      </c>
      <c r="L20" s="93"/>
      <c r="M20" s="35">
        <f t="shared" ref="M20:M21" si="30">IF(K20&gt;2,K20-2,0)</f>
        <v>0</v>
      </c>
      <c r="N20" s="36"/>
      <c r="O20" s="137"/>
      <c r="Q20" s="16">
        <v>7564</v>
      </c>
      <c r="R20" s="16" t="s">
        <v>12</v>
      </c>
      <c r="S20" s="16" t="s">
        <v>12</v>
      </c>
      <c r="T20" s="16" t="s">
        <v>5</v>
      </c>
      <c r="U20" s="390">
        <v>43112.792210648149</v>
      </c>
    </row>
    <row r="21" spans="1:21" s="16" customFormat="1">
      <c r="A21" s="140">
        <v>8566</v>
      </c>
      <c r="B21" s="140" t="s">
        <v>12</v>
      </c>
      <c r="C21" s="140" t="s">
        <v>12</v>
      </c>
      <c r="D21" s="141" t="s">
        <v>6</v>
      </c>
      <c r="E21" s="142">
        <v>43187.375</v>
      </c>
      <c r="F21" s="398">
        <f t="shared" si="28"/>
        <v>43187.375</v>
      </c>
      <c r="G21" s="399" t="str">
        <f t="shared" si="29"/>
        <v>9:0</v>
      </c>
      <c r="H21" s="400">
        <f t="shared" ref="H21" si="31">IF(D21="上班",(G22-G21)*24,"-")</f>
        <v>7.5</v>
      </c>
      <c r="I21" s="138"/>
      <c r="J21" s="92">
        <f t="shared" si="14"/>
        <v>6</v>
      </c>
      <c r="K21" s="93">
        <f t="shared" ref="K21" si="32">IF(D21="加班",(G22-G21)*24,0)</f>
        <v>0</v>
      </c>
      <c r="L21" s="93"/>
      <c r="M21" s="35">
        <f t="shared" si="30"/>
        <v>0</v>
      </c>
      <c r="N21" s="36" t="s">
        <v>118</v>
      </c>
      <c r="O21" s="137"/>
      <c r="Q21" s="16">
        <v>7550</v>
      </c>
      <c r="R21" s="16" t="s">
        <v>12</v>
      </c>
      <c r="S21" s="16" t="s">
        <v>12</v>
      </c>
      <c r="T21" s="16" t="s">
        <v>6</v>
      </c>
      <c r="U21" s="390">
        <v>43112.591782407406</v>
      </c>
    </row>
    <row r="22" spans="1:21" s="16" customFormat="1">
      <c r="A22" s="140">
        <v>8569</v>
      </c>
      <c r="B22" s="140" t="s">
        <v>12</v>
      </c>
      <c r="C22" s="140" t="s">
        <v>12</v>
      </c>
      <c r="D22" s="143" t="s">
        <v>5</v>
      </c>
      <c r="E22" s="144">
        <v>43187.6875</v>
      </c>
      <c r="F22" s="398">
        <f t="shared" ref="F22" si="33">E22</f>
        <v>43187.6875</v>
      </c>
      <c r="G22" s="399" t="str">
        <f t="shared" ref="G22" si="34">HOUR(E22)&amp;":"&amp;MINUTE(E22)</f>
        <v>16:30</v>
      </c>
      <c r="H22" s="400" t="str">
        <f>IF(D22="上班",(G29-G22)*24,"-")</f>
        <v>-</v>
      </c>
      <c r="I22" s="138"/>
      <c r="J22" s="92" t="str">
        <f t="shared" si="14"/>
        <v>-</v>
      </c>
      <c r="K22" s="93">
        <f>IF(D22="加班",(G29-G22)*24,0)</f>
        <v>0</v>
      </c>
      <c r="L22" s="93"/>
      <c r="M22" s="35">
        <f t="shared" ref="M22" si="35">IF(K22&gt;2,K22-2,0)</f>
        <v>0</v>
      </c>
      <c r="N22" s="36"/>
      <c r="O22" s="137"/>
      <c r="Q22" s="16">
        <v>7564</v>
      </c>
      <c r="R22" s="16" t="s">
        <v>12</v>
      </c>
      <c r="S22" s="16" t="s">
        <v>12</v>
      </c>
      <c r="T22" s="16" t="s">
        <v>5</v>
      </c>
      <c r="U22" s="390">
        <v>43112.792210648149</v>
      </c>
    </row>
    <row r="23" spans="1:21">
      <c r="D23" s="178"/>
      <c r="E23" s="179"/>
    </row>
    <row r="24" spans="1:21">
      <c r="D24" s="178"/>
      <c r="E24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4"/>
  <dimension ref="A1:N38"/>
  <sheetViews>
    <sheetView view="pageBreakPreview" topLeftCell="D1" zoomScaleNormal="100" zoomScaleSheetLayoutView="100" workbookViewId="0">
      <selection activeCell="L28" sqref="L28"/>
    </sheetView>
  </sheetViews>
  <sheetFormatPr baseColWidth="10" defaultColWidth="8.83203125" defaultRowHeight="15" outlineLevelCol="1"/>
  <cols>
    <col min="1" max="1" width="5.6640625" hidden="1" customWidth="1" outlineLevel="1"/>
    <col min="2" max="2" width="6.83203125" hidden="1" customWidth="1" outlineLevel="1"/>
    <col min="3" max="3" width="6.5" style="3" hidden="1" customWidth="1" outlineLevel="1"/>
    <col min="4" max="4" width="10.33203125" style="3" customWidth="1" collapsed="1"/>
    <col min="5" max="5" width="15.6640625" style="3" customWidth="1"/>
    <col min="6" max="6" width="7.83203125" style="16" customWidth="1"/>
    <col min="7" max="7" width="8.6640625" style="17" hidden="1" customWidth="1" outlineLevel="1"/>
    <col min="8" max="8" width="11.1640625" style="51" hidden="1" customWidth="1" outlineLevel="1"/>
    <col min="9" max="9" width="12.6640625" style="21" customWidth="1" collapsed="1"/>
    <col min="10" max="10" width="13.5" style="21" customWidth="1"/>
    <col min="11" max="11" width="11" style="22" hidden="1" customWidth="1" outlineLevel="1"/>
    <col min="12" max="12" width="17.1640625" style="22" customWidth="1" collapsed="1"/>
    <col min="13" max="13" width="18.6640625" style="28" customWidth="1"/>
    <col min="14" max="14" width="9" style="9"/>
  </cols>
  <sheetData>
    <row r="1" spans="1:14" s="4" customFormat="1" ht="28" thickBot="1">
      <c r="C1" s="5"/>
      <c r="D1" s="6"/>
      <c r="E1" s="6"/>
      <c r="F1" s="10"/>
      <c r="G1" s="11"/>
      <c r="H1" s="12"/>
      <c r="I1" s="13" t="str">
        <f>B9</f>
        <v>willy</v>
      </c>
      <c r="J1" s="46" t="s">
        <v>30</v>
      </c>
      <c r="K1" s="14"/>
      <c r="L1" s="14"/>
      <c r="M1" s="27"/>
      <c r="N1" s="19"/>
    </row>
    <row r="2" spans="1:14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1" t="s">
        <v>28</v>
      </c>
    </row>
    <row r="3" spans="1:14" ht="16" thickBot="1">
      <c r="D3" s="24"/>
      <c r="E3" s="30"/>
      <c r="F3" s="25"/>
      <c r="G3" s="26"/>
      <c r="H3" s="26"/>
      <c r="I3" s="52">
        <f>I6+J6+L6</f>
        <v>76.650000000000006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21</v>
      </c>
      <c r="J4" s="114" t="s">
        <v>124</v>
      </c>
      <c r="K4" s="114" t="s">
        <v>120</v>
      </c>
      <c r="L4" s="114" t="s">
        <v>121</v>
      </c>
      <c r="M4" s="115"/>
    </row>
    <row r="5" spans="1:14">
      <c r="D5" s="40"/>
      <c r="E5" s="7"/>
      <c r="F5" s="116" t="s">
        <v>27</v>
      </c>
      <c r="G5" s="117"/>
      <c r="H5" s="117"/>
      <c r="I5" s="118" t="s">
        <v>82</v>
      </c>
      <c r="J5" s="118" t="s">
        <v>122</v>
      </c>
      <c r="K5" s="118" t="s">
        <v>123</v>
      </c>
      <c r="L5" s="118" t="s">
        <v>125</v>
      </c>
      <c r="M5" s="120"/>
    </row>
    <row r="6" spans="1:14" ht="16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SUM(I7:I94)</f>
        <v>72.616666666666674</v>
      </c>
      <c r="J6" s="124">
        <f>SUM(J7:J94)</f>
        <v>4.0333333333333314</v>
      </c>
      <c r="K6" s="124">
        <f>SUM(K9:K22)</f>
        <v>0</v>
      </c>
      <c r="L6" s="124">
        <f>SUM(L9:L22)</f>
        <v>0</v>
      </c>
      <c r="M6" s="45"/>
    </row>
    <row r="7" spans="1:14" s="63" customFormat="1">
      <c r="A7" s="140">
        <v>8529</v>
      </c>
      <c r="B7" s="140" t="s">
        <v>90</v>
      </c>
      <c r="C7" s="140" t="s">
        <v>90</v>
      </c>
      <c r="D7" s="143" t="s">
        <v>6</v>
      </c>
      <c r="E7" s="144">
        <v>43161.372106481482</v>
      </c>
      <c r="F7" s="104">
        <f>E7</f>
        <v>43161.372106481482</v>
      </c>
      <c r="G7" s="125" t="str">
        <f>HOUR(E7)&amp;":"&amp;MINUTE(E7)</f>
        <v>8:55</v>
      </c>
      <c r="H7" s="33">
        <f t="shared" ref="H7" si="0">IF(D7="上班",(G8-G7)*24,"-")</f>
        <v>3.2166666666666672</v>
      </c>
      <c r="I7" s="92">
        <f>IF(D7="上班",IF(H7-1.5&gt;8,8,H7-1.5),"-")+1.5</f>
        <v>3.2166666666666672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164"/>
      <c r="N7" s="18"/>
    </row>
    <row r="8" spans="1:14">
      <c r="A8" s="140">
        <v>8531</v>
      </c>
      <c r="B8" s="140" t="s">
        <v>90</v>
      </c>
      <c r="C8" s="140" t="s">
        <v>90</v>
      </c>
      <c r="D8" s="143" t="s">
        <v>5</v>
      </c>
      <c r="E8" s="144">
        <v>43161.505891203706</v>
      </c>
      <c r="F8" s="104">
        <f t="shared" ref="F8:F38" si="2">E8</f>
        <v>43161.505891203706</v>
      </c>
      <c r="G8" s="125" t="str">
        <f t="shared" ref="G8:G38" si="3">HOUR(E8)&amp;":"&amp;MINUTE(E8)</f>
        <v>12:8</v>
      </c>
      <c r="H8" s="33" t="str">
        <f t="shared" ref="H8:H38" si="4">IF(D8="上班",(G9-G8)*24,"-")</f>
        <v>-</v>
      </c>
      <c r="I8" s="92" t="str">
        <f t="shared" ref="I8:I38" si="5">IF(D8="上班",IF(H8-1.5&gt;8,8,H8-1.5),"-")</f>
        <v>-</v>
      </c>
      <c r="J8" s="92" t="str">
        <f t="shared" ref="J8:J38" si="6">IF(D8="上班",IF(H8&gt;(8+2),(H8-8-1.5-0.5),"-"),"-")</f>
        <v>-</v>
      </c>
      <c r="K8" s="93">
        <f t="shared" ref="K8:K38" si="7">IF(D8="加班",(G9-G8)*24,0)</f>
        <v>0</v>
      </c>
      <c r="L8" s="93"/>
      <c r="M8" s="164"/>
    </row>
    <row r="9" spans="1:14" s="63" customFormat="1">
      <c r="A9" s="140">
        <v>8558</v>
      </c>
      <c r="B9" s="140" t="s">
        <v>90</v>
      </c>
      <c r="C9" s="140" t="s">
        <v>90</v>
      </c>
      <c r="D9" s="143" t="s">
        <v>6</v>
      </c>
      <c r="E9" s="144">
        <v>43164.362858796296</v>
      </c>
      <c r="F9" s="104">
        <f t="shared" si="2"/>
        <v>43164.362858796296</v>
      </c>
      <c r="G9" s="125" t="str">
        <f t="shared" si="3"/>
        <v>8:42</v>
      </c>
      <c r="H9" s="33">
        <f t="shared" si="4"/>
        <v>11.433333333333334</v>
      </c>
      <c r="I9" s="92">
        <f>IF(D9="上班",IF(H9-1.5&gt;8,8,H9-1.5),"-")</f>
        <v>8</v>
      </c>
      <c r="J9" s="92">
        <f t="shared" si="6"/>
        <v>1.4333333333333336</v>
      </c>
      <c r="K9" s="93">
        <f t="shared" si="7"/>
        <v>0</v>
      </c>
      <c r="L9" s="93"/>
      <c r="M9" s="164"/>
      <c r="N9" s="18"/>
    </row>
    <row r="10" spans="1:14">
      <c r="A10" s="140">
        <v>8587</v>
      </c>
      <c r="B10" s="140" t="s">
        <v>90</v>
      </c>
      <c r="C10" s="140" t="s">
        <v>90</v>
      </c>
      <c r="D10" s="143" t="s">
        <v>5</v>
      </c>
      <c r="E10" s="144">
        <v>43164.83898148148</v>
      </c>
      <c r="F10" s="104">
        <f t="shared" si="2"/>
        <v>43164.83898148148</v>
      </c>
      <c r="G10" s="125" t="str">
        <f t="shared" si="3"/>
        <v>20:8</v>
      </c>
      <c r="H10" s="33" t="str">
        <f t="shared" si="4"/>
        <v>-</v>
      </c>
      <c r="I10" s="92" t="str">
        <f t="shared" si="5"/>
        <v>-</v>
      </c>
      <c r="J10" s="92" t="str">
        <f t="shared" si="6"/>
        <v>-</v>
      </c>
      <c r="K10" s="93">
        <f t="shared" si="7"/>
        <v>0</v>
      </c>
      <c r="L10" s="93"/>
      <c r="M10" s="164"/>
    </row>
    <row r="11" spans="1:14">
      <c r="A11" s="140">
        <v>8638</v>
      </c>
      <c r="B11" s="140" t="s">
        <v>90</v>
      </c>
      <c r="C11" s="140" t="s">
        <v>90</v>
      </c>
      <c r="D11" s="143" t="s">
        <v>6</v>
      </c>
      <c r="E11" s="144">
        <v>43166.650659722225</v>
      </c>
      <c r="F11" s="104">
        <f t="shared" si="2"/>
        <v>43166.650659722225</v>
      </c>
      <c r="G11" s="125" t="str">
        <f t="shared" si="3"/>
        <v>15:36</v>
      </c>
      <c r="H11" s="33">
        <f t="shared" si="4"/>
        <v>5.1333333333333337</v>
      </c>
      <c r="I11" s="92">
        <f>IF(D11="上班",IF(H11-1.5&gt;8,8,H11-1.5),"-")+1.5</f>
        <v>5.1333333333333337</v>
      </c>
      <c r="J11" s="92" t="str">
        <f t="shared" si="6"/>
        <v>-</v>
      </c>
      <c r="K11" s="93">
        <f t="shared" si="7"/>
        <v>0</v>
      </c>
      <c r="L11" s="93"/>
      <c r="M11" s="164"/>
    </row>
    <row r="12" spans="1:14">
      <c r="A12" s="140">
        <v>8658</v>
      </c>
      <c r="B12" s="140" t="s">
        <v>90</v>
      </c>
      <c r="C12" s="140" t="s">
        <v>90</v>
      </c>
      <c r="D12" s="143" t="s">
        <v>5</v>
      </c>
      <c r="E12" s="144">
        <v>43166.864432870374</v>
      </c>
      <c r="F12" s="104">
        <f t="shared" si="2"/>
        <v>43166.864432870374</v>
      </c>
      <c r="G12" s="125" t="str">
        <f t="shared" si="3"/>
        <v>20:44</v>
      </c>
      <c r="H12" s="33" t="str">
        <f t="shared" si="4"/>
        <v>-</v>
      </c>
      <c r="I12" s="92" t="str">
        <f t="shared" si="5"/>
        <v>-</v>
      </c>
      <c r="J12" s="92" t="str">
        <f t="shared" si="6"/>
        <v>-</v>
      </c>
      <c r="K12" s="93">
        <f t="shared" si="7"/>
        <v>0</v>
      </c>
      <c r="L12" s="93"/>
      <c r="M12" s="164"/>
    </row>
    <row r="13" spans="1:14">
      <c r="A13" s="140">
        <v>8698</v>
      </c>
      <c r="B13" s="140" t="s">
        <v>90</v>
      </c>
      <c r="C13" s="140" t="s">
        <v>90</v>
      </c>
      <c r="D13" s="143" t="s">
        <v>6</v>
      </c>
      <c r="E13" s="144">
        <v>43168.369363425925</v>
      </c>
      <c r="F13" s="104">
        <f t="shared" si="2"/>
        <v>43168.369363425925</v>
      </c>
      <c r="G13" s="125" t="str">
        <f t="shared" si="3"/>
        <v>8:51</v>
      </c>
      <c r="H13" s="33">
        <f t="shared" si="4"/>
        <v>3.3166666666666669</v>
      </c>
      <c r="I13" s="92">
        <f>IF(D13="上班",IF(H13-1.5&gt;8,8,H13-1.5),"-")+1.5</f>
        <v>3.3166666666666669</v>
      </c>
      <c r="J13" s="92" t="str">
        <f t="shared" si="6"/>
        <v>-</v>
      </c>
      <c r="K13" s="93">
        <f t="shared" si="7"/>
        <v>0</v>
      </c>
      <c r="L13" s="93"/>
      <c r="M13" s="164"/>
    </row>
    <row r="14" spans="1:14">
      <c r="A14" s="140">
        <v>8703</v>
      </c>
      <c r="B14" s="140" t="s">
        <v>90</v>
      </c>
      <c r="C14" s="140" t="s">
        <v>90</v>
      </c>
      <c r="D14" s="143" t="s">
        <v>5</v>
      </c>
      <c r="E14" s="144">
        <v>43168.507569444446</v>
      </c>
      <c r="F14" s="104">
        <f t="shared" si="2"/>
        <v>43168.507569444446</v>
      </c>
      <c r="G14" s="125" t="str">
        <f t="shared" si="3"/>
        <v>12:10</v>
      </c>
      <c r="H14" s="33" t="str">
        <f t="shared" si="4"/>
        <v>-</v>
      </c>
      <c r="I14" s="92" t="str">
        <f t="shared" si="5"/>
        <v>-</v>
      </c>
      <c r="J14" s="92" t="str">
        <f t="shared" si="6"/>
        <v>-</v>
      </c>
      <c r="K14" s="93">
        <f t="shared" si="7"/>
        <v>0</v>
      </c>
      <c r="L14" s="93"/>
      <c r="M14" s="164"/>
    </row>
    <row r="15" spans="1:14">
      <c r="A15" s="140">
        <v>8719</v>
      </c>
      <c r="B15" s="140" t="s">
        <v>90</v>
      </c>
      <c r="C15" s="140" t="s">
        <v>90</v>
      </c>
      <c r="D15" s="143" t="s">
        <v>6</v>
      </c>
      <c r="E15" s="144">
        <v>43169.41810185185</v>
      </c>
      <c r="F15" s="104">
        <f t="shared" si="2"/>
        <v>43169.41810185185</v>
      </c>
      <c r="G15" s="125" t="str">
        <f t="shared" si="3"/>
        <v>10:2</v>
      </c>
      <c r="H15" s="33">
        <f t="shared" si="4"/>
        <v>2.433333333333334</v>
      </c>
      <c r="I15" s="92">
        <f>IF(D15="上班",IF(H15-1.5&gt;8,8,H15-1.5),"-")+1.5</f>
        <v>2.433333333333334</v>
      </c>
      <c r="J15" s="92" t="str">
        <f t="shared" si="6"/>
        <v>-</v>
      </c>
      <c r="K15" s="93">
        <f t="shared" si="7"/>
        <v>0</v>
      </c>
      <c r="L15" s="93"/>
      <c r="M15" s="164"/>
    </row>
    <row r="16" spans="1:14">
      <c r="A16" s="140">
        <v>8723</v>
      </c>
      <c r="B16" s="140" t="s">
        <v>90</v>
      </c>
      <c r="C16" s="140" t="s">
        <v>90</v>
      </c>
      <c r="D16" s="143" t="s">
        <v>5</v>
      </c>
      <c r="E16" s="144">
        <v>43169.51972222222</v>
      </c>
      <c r="F16" s="104">
        <f t="shared" si="2"/>
        <v>43169.51972222222</v>
      </c>
      <c r="G16" s="125" t="str">
        <f t="shared" si="3"/>
        <v>12:28</v>
      </c>
      <c r="H16" s="33" t="str">
        <f t="shared" si="4"/>
        <v>-</v>
      </c>
      <c r="I16" s="92" t="str">
        <f t="shared" si="5"/>
        <v>-</v>
      </c>
      <c r="J16" s="92" t="str">
        <f t="shared" si="6"/>
        <v>-</v>
      </c>
      <c r="K16" s="93">
        <f t="shared" si="7"/>
        <v>0</v>
      </c>
      <c r="L16" s="93"/>
      <c r="M16" s="164"/>
    </row>
    <row r="17" spans="1:13">
      <c r="A17" s="140">
        <v>8771</v>
      </c>
      <c r="B17" s="140" t="s">
        <v>90</v>
      </c>
      <c r="C17" s="140" t="s">
        <v>90</v>
      </c>
      <c r="D17" s="143" t="s">
        <v>6</v>
      </c>
      <c r="E17" s="144">
        <v>43171.375775462962</v>
      </c>
      <c r="F17" s="104">
        <f t="shared" si="2"/>
        <v>43171.375775462962</v>
      </c>
      <c r="G17" s="125" t="str">
        <f t="shared" si="3"/>
        <v>9:1</v>
      </c>
      <c r="H17" s="33">
        <f t="shared" si="4"/>
        <v>9.8499999999999979</v>
      </c>
      <c r="I17" s="92">
        <f t="shared" si="5"/>
        <v>8</v>
      </c>
      <c r="J17" s="92" t="str">
        <f t="shared" si="6"/>
        <v>-</v>
      </c>
      <c r="K17" s="93">
        <f t="shared" si="7"/>
        <v>0</v>
      </c>
      <c r="L17" s="93"/>
      <c r="M17" s="164"/>
    </row>
    <row r="18" spans="1:13">
      <c r="A18" s="140">
        <v>8787</v>
      </c>
      <c r="B18" s="140" t="s">
        <v>90</v>
      </c>
      <c r="C18" s="140" t="s">
        <v>90</v>
      </c>
      <c r="D18" s="143" t="s">
        <v>5</v>
      </c>
      <c r="E18" s="144">
        <v>43171.786782407406</v>
      </c>
      <c r="F18" s="104">
        <f t="shared" si="2"/>
        <v>43171.786782407406</v>
      </c>
      <c r="G18" s="125" t="str">
        <f t="shared" si="3"/>
        <v>18:52</v>
      </c>
      <c r="H18" s="33" t="str">
        <f t="shared" si="4"/>
        <v>-</v>
      </c>
      <c r="I18" s="92" t="str">
        <f t="shared" si="5"/>
        <v>-</v>
      </c>
      <c r="J18" s="92" t="str">
        <f t="shared" si="6"/>
        <v>-</v>
      </c>
      <c r="K18" s="93">
        <f t="shared" si="7"/>
        <v>0</v>
      </c>
      <c r="L18" s="93"/>
      <c r="M18" s="164"/>
    </row>
    <row r="19" spans="1:13">
      <c r="A19" s="140">
        <v>8848</v>
      </c>
      <c r="B19" s="140" t="s">
        <v>103</v>
      </c>
      <c r="C19" s="140" t="s">
        <v>90</v>
      </c>
      <c r="D19" s="143" t="s">
        <v>6</v>
      </c>
      <c r="E19" s="144">
        <v>43173.715868055559</v>
      </c>
      <c r="F19" s="104">
        <f t="shared" si="2"/>
        <v>43173.715868055559</v>
      </c>
      <c r="G19" s="125" t="str">
        <f t="shared" si="3"/>
        <v>17:10</v>
      </c>
      <c r="H19" s="33">
        <f t="shared" si="4"/>
        <v>3.4333333333333345</v>
      </c>
      <c r="I19" s="92">
        <f>IF(D19="上班",IF(H19-1.5&gt;8,8,H19-1.5),"-")+1.5</f>
        <v>3.4333333333333345</v>
      </c>
      <c r="J19" s="92" t="str">
        <f t="shared" si="6"/>
        <v>-</v>
      </c>
      <c r="K19" s="93">
        <f t="shared" si="7"/>
        <v>0</v>
      </c>
      <c r="L19" s="93"/>
      <c r="M19" s="164"/>
    </row>
    <row r="20" spans="1:13">
      <c r="A20" s="140">
        <v>8865</v>
      </c>
      <c r="B20" s="140" t="s">
        <v>90</v>
      </c>
      <c r="C20" s="140" t="s">
        <v>90</v>
      </c>
      <c r="D20" s="143" t="s">
        <v>5</v>
      </c>
      <c r="E20" s="144">
        <v>43173.858969907407</v>
      </c>
      <c r="F20" s="104">
        <f t="shared" si="2"/>
        <v>43173.858969907407</v>
      </c>
      <c r="G20" s="125" t="str">
        <f t="shared" si="3"/>
        <v>20:36</v>
      </c>
      <c r="H20" s="33" t="str">
        <f t="shared" si="4"/>
        <v>-</v>
      </c>
      <c r="I20" s="92" t="str">
        <f t="shared" si="5"/>
        <v>-</v>
      </c>
      <c r="J20" s="92" t="str">
        <f t="shared" si="6"/>
        <v>-</v>
      </c>
      <c r="K20" s="93">
        <f t="shared" si="7"/>
        <v>0</v>
      </c>
      <c r="L20" s="93"/>
      <c r="M20" s="164"/>
    </row>
    <row r="21" spans="1:13">
      <c r="A21" s="140">
        <v>8911</v>
      </c>
      <c r="B21" s="140" t="s">
        <v>90</v>
      </c>
      <c r="C21" s="140" t="s">
        <v>90</v>
      </c>
      <c r="D21" s="143" t="s">
        <v>6</v>
      </c>
      <c r="E21" s="144">
        <v>43175.36445601852</v>
      </c>
      <c r="F21" s="104">
        <f t="shared" si="2"/>
        <v>43175.36445601852</v>
      </c>
      <c r="G21" s="125" t="str">
        <f t="shared" si="3"/>
        <v>8:44</v>
      </c>
      <c r="H21" s="33">
        <f t="shared" si="4"/>
        <v>3.2499999999999991</v>
      </c>
      <c r="I21" s="92">
        <f>IF(D21="上班",IF(H21-1.5&gt;8,8,H21-1.5),"-")+1.5</f>
        <v>3.2499999999999991</v>
      </c>
      <c r="J21" s="92" t="str">
        <f t="shared" si="6"/>
        <v>-</v>
      </c>
      <c r="K21" s="93">
        <f t="shared" si="7"/>
        <v>0</v>
      </c>
      <c r="L21" s="93"/>
      <c r="M21" s="164"/>
    </row>
    <row r="22" spans="1:13">
      <c r="A22" s="140">
        <v>8917</v>
      </c>
      <c r="B22" s="140" t="s">
        <v>90</v>
      </c>
      <c r="C22" s="140" t="s">
        <v>90</v>
      </c>
      <c r="D22" s="143" t="s">
        <v>5</v>
      </c>
      <c r="E22" s="144">
        <v>43175.499918981484</v>
      </c>
      <c r="F22" s="104">
        <f t="shared" si="2"/>
        <v>43175.499918981484</v>
      </c>
      <c r="G22" s="125" t="str">
        <f t="shared" si="3"/>
        <v>11:59</v>
      </c>
      <c r="H22" s="33" t="str">
        <f t="shared" si="4"/>
        <v>-</v>
      </c>
      <c r="I22" s="92" t="str">
        <f t="shared" si="5"/>
        <v>-</v>
      </c>
      <c r="J22" s="92" t="str">
        <f t="shared" si="6"/>
        <v>-</v>
      </c>
      <c r="K22" s="93">
        <f t="shared" si="7"/>
        <v>0</v>
      </c>
      <c r="L22" s="93"/>
      <c r="M22" s="164"/>
    </row>
    <row r="23" spans="1:13">
      <c r="A23" s="140">
        <v>8945</v>
      </c>
      <c r="B23" s="140" t="s">
        <v>90</v>
      </c>
      <c r="C23" s="140" t="s">
        <v>90</v>
      </c>
      <c r="D23" s="143" t="s">
        <v>6</v>
      </c>
      <c r="E23" s="144">
        <v>43176.426099537035</v>
      </c>
      <c r="F23" s="104">
        <f t="shared" si="2"/>
        <v>43176.426099537035</v>
      </c>
      <c r="G23" s="125" t="str">
        <f t="shared" si="3"/>
        <v>10:13</v>
      </c>
      <c r="H23" s="33">
        <f t="shared" si="4"/>
        <v>5.2333333333333325</v>
      </c>
      <c r="I23" s="92">
        <f t="shared" si="5"/>
        <v>3.7333333333333325</v>
      </c>
      <c r="J23" s="92" t="str">
        <f t="shared" si="6"/>
        <v>-</v>
      </c>
      <c r="K23" s="93">
        <f t="shared" si="7"/>
        <v>0</v>
      </c>
      <c r="L23" s="93"/>
      <c r="M23" s="164"/>
    </row>
    <row r="24" spans="1:13">
      <c r="A24" s="140">
        <v>8963</v>
      </c>
      <c r="B24" s="140" t="s">
        <v>90</v>
      </c>
      <c r="C24" s="140" t="s">
        <v>90</v>
      </c>
      <c r="D24" s="143" t="s">
        <v>5</v>
      </c>
      <c r="E24" s="144">
        <v>43176.643912037034</v>
      </c>
      <c r="F24" s="104">
        <f t="shared" si="2"/>
        <v>43176.643912037034</v>
      </c>
      <c r="G24" s="125" t="str">
        <f t="shared" si="3"/>
        <v>15:27</v>
      </c>
      <c r="H24" s="33" t="str">
        <f t="shared" si="4"/>
        <v>-</v>
      </c>
      <c r="I24" s="92" t="str">
        <f t="shared" si="5"/>
        <v>-</v>
      </c>
      <c r="J24" s="92" t="str">
        <f t="shared" si="6"/>
        <v>-</v>
      </c>
      <c r="K24" s="93">
        <f t="shared" si="7"/>
        <v>0</v>
      </c>
      <c r="L24" s="93"/>
      <c r="M24" s="164"/>
    </row>
    <row r="25" spans="1:13">
      <c r="A25" s="140">
        <v>8981</v>
      </c>
      <c r="B25" s="140" t="s">
        <v>90</v>
      </c>
      <c r="C25" s="140" t="s">
        <v>90</v>
      </c>
      <c r="D25" s="143" t="s">
        <v>6</v>
      </c>
      <c r="E25" s="144">
        <v>43178.383750000001</v>
      </c>
      <c r="F25" s="104">
        <f t="shared" si="2"/>
        <v>43178.383750000001</v>
      </c>
      <c r="G25" s="125" t="str">
        <f t="shared" si="3"/>
        <v>9:12</v>
      </c>
      <c r="H25" s="33">
        <f t="shared" si="4"/>
        <v>11.816666666666666</v>
      </c>
      <c r="I25" s="92">
        <f t="shared" si="5"/>
        <v>8</v>
      </c>
      <c r="J25" s="92">
        <f t="shared" si="6"/>
        <v>1.8166666666666664</v>
      </c>
      <c r="K25" s="93">
        <f t="shared" si="7"/>
        <v>0</v>
      </c>
      <c r="L25" s="93"/>
      <c r="M25" s="164"/>
    </row>
    <row r="26" spans="1:13">
      <c r="A26" s="140">
        <v>9005</v>
      </c>
      <c r="B26" s="140" t="s">
        <v>90</v>
      </c>
      <c r="C26" s="140" t="s">
        <v>90</v>
      </c>
      <c r="D26" s="143" t="s">
        <v>5</v>
      </c>
      <c r="E26" s="144">
        <v>43178.875960648147</v>
      </c>
      <c r="F26" s="104">
        <f t="shared" si="2"/>
        <v>43178.875960648147</v>
      </c>
      <c r="G26" s="125" t="str">
        <f t="shared" si="3"/>
        <v>21:1</v>
      </c>
      <c r="H26" s="33" t="str">
        <f t="shared" si="4"/>
        <v>-</v>
      </c>
      <c r="I26" s="92" t="str">
        <f t="shared" si="5"/>
        <v>-</v>
      </c>
      <c r="J26" s="92" t="str">
        <f t="shared" si="6"/>
        <v>-</v>
      </c>
      <c r="K26" s="93">
        <f t="shared" si="7"/>
        <v>0</v>
      </c>
      <c r="L26" s="93"/>
      <c r="M26" s="164"/>
    </row>
    <row r="27" spans="1:13">
      <c r="A27" s="140">
        <v>9020</v>
      </c>
      <c r="B27" s="140" t="s">
        <v>104</v>
      </c>
      <c r="C27" s="140" t="s">
        <v>90</v>
      </c>
      <c r="D27" s="143" t="s">
        <v>6</v>
      </c>
      <c r="E27" s="144">
        <v>43179.71974537037</v>
      </c>
      <c r="F27" s="104">
        <f t="shared" si="2"/>
        <v>43179.71974537037</v>
      </c>
      <c r="G27" s="125" t="str">
        <f t="shared" si="3"/>
        <v>17:16</v>
      </c>
      <c r="H27" s="33">
        <f t="shared" si="4"/>
        <v>2.6666666666666679</v>
      </c>
      <c r="I27" s="92">
        <f>IF(D27="上班",IF(H27-1.5&gt;8,8,H27-1.5),"-")+1.5</f>
        <v>2.6666666666666679</v>
      </c>
      <c r="J27" s="92" t="str">
        <f t="shared" si="6"/>
        <v>-</v>
      </c>
      <c r="K27" s="93">
        <f t="shared" si="7"/>
        <v>0</v>
      </c>
      <c r="L27" s="93"/>
      <c r="M27" s="164"/>
    </row>
    <row r="28" spans="1:13">
      <c r="A28" s="140">
        <v>9041</v>
      </c>
      <c r="B28" s="140" t="s">
        <v>90</v>
      </c>
      <c r="C28" s="140" t="s">
        <v>90</v>
      </c>
      <c r="D28" s="143" t="s">
        <v>5</v>
      </c>
      <c r="E28" s="144">
        <v>43179.830590277779</v>
      </c>
      <c r="F28" s="104">
        <f t="shared" si="2"/>
        <v>43179.830590277779</v>
      </c>
      <c r="G28" s="125" t="str">
        <f t="shared" si="3"/>
        <v>19:56</v>
      </c>
      <c r="H28" s="33" t="str">
        <f t="shared" si="4"/>
        <v>-</v>
      </c>
      <c r="I28" s="92" t="str">
        <f t="shared" si="5"/>
        <v>-</v>
      </c>
      <c r="J28" s="92" t="str">
        <f t="shared" si="6"/>
        <v>-</v>
      </c>
      <c r="K28" s="93">
        <f t="shared" si="7"/>
        <v>0</v>
      </c>
      <c r="L28" s="93"/>
      <c r="M28" s="164"/>
    </row>
    <row r="29" spans="1:13">
      <c r="A29" s="140">
        <v>9125</v>
      </c>
      <c r="B29" s="140" t="s">
        <v>90</v>
      </c>
      <c r="C29" s="140" t="s">
        <v>90</v>
      </c>
      <c r="D29" s="143" t="s">
        <v>6</v>
      </c>
      <c r="E29" s="144">
        <v>43182.377662037034</v>
      </c>
      <c r="F29" s="104">
        <f t="shared" si="2"/>
        <v>43182.377662037034</v>
      </c>
      <c r="G29" s="125" t="str">
        <f t="shared" si="3"/>
        <v>9:3</v>
      </c>
      <c r="H29" s="33">
        <f t="shared" si="4"/>
        <v>3.0499999999999985</v>
      </c>
      <c r="I29" s="92">
        <f>IF(D29="上班",IF(H29-1.5&gt;8,8,H29-1.5),"-")+1.5</f>
        <v>3.0499999999999985</v>
      </c>
      <c r="J29" s="92" t="str">
        <f t="shared" si="6"/>
        <v>-</v>
      </c>
      <c r="K29" s="93">
        <f t="shared" si="7"/>
        <v>0</v>
      </c>
      <c r="L29" s="93"/>
      <c r="M29" s="164"/>
    </row>
    <row r="30" spans="1:13">
      <c r="A30" s="140">
        <v>9127</v>
      </c>
      <c r="B30" s="140" t="s">
        <v>90</v>
      </c>
      <c r="C30" s="140" t="s">
        <v>90</v>
      </c>
      <c r="D30" s="143" t="s">
        <v>5</v>
      </c>
      <c r="E30" s="144">
        <v>43182.504259259258</v>
      </c>
      <c r="F30" s="104">
        <f t="shared" si="2"/>
        <v>43182.504259259258</v>
      </c>
      <c r="G30" s="125" t="str">
        <f t="shared" si="3"/>
        <v>12:6</v>
      </c>
      <c r="H30" s="33" t="str">
        <f t="shared" si="4"/>
        <v>-</v>
      </c>
      <c r="I30" s="92" t="str">
        <f t="shared" si="5"/>
        <v>-</v>
      </c>
      <c r="J30" s="92" t="str">
        <f t="shared" si="6"/>
        <v>-</v>
      </c>
      <c r="K30" s="93">
        <f t="shared" si="7"/>
        <v>0</v>
      </c>
      <c r="L30" s="93"/>
      <c r="M30" s="164"/>
    </row>
    <row r="31" spans="1:13">
      <c r="A31" s="140">
        <v>9145</v>
      </c>
      <c r="B31" s="140" t="s">
        <v>90</v>
      </c>
      <c r="C31" s="140" t="s">
        <v>90</v>
      </c>
      <c r="D31" s="143" t="s">
        <v>6</v>
      </c>
      <c r="E31" s="144">
        <v>43185.413958333331</v>
      </c>
      <c r="F31" s="104">
        <f t="shared" si="2"/>
        <v>43185.413958333331</v>
      </c>
      <c r="G31" s="125" t="str">
        <f t="shared" si="3"/>
        <v>9:56</v>
      </c>
      <c r="H31" s="33">
        <f t="shared" si="4"/>
        <v>10.783333333333331</v>
      </c>
      <c r="I31" s="92">
        <f t="shared" si="5"/>
        <v>8</v>
      </c>
      <c r="J31" s="92">
        <f t="shared" si="6"/>
        <v>0.78333333333333144</v>
      </c>
      <c r="K31" s="93">
        <f t="shared" si="7"/>
        <v>0</v>
      </c>
      <c r="L31" s="93"/>
      <c r="M31" s="164"/>
    </row>
    <row r="32" spans="1:13">
      <c r="A32" s="140">
        <v>9162</v>
      </c>
      <c r="B32" s="140" t="s">
        <v>90</v>
      </c>
      <c r="C32" s="140" t="s">
        <v>90</v>
      </c>
      <c r="D32" s="143" t="s">
        <v>5</v>
      </c>
      <c r="E32" s="144">
        <v>43185.863530092596</v>
      </c>
      <c r="F32" s="104">
        <f t="shared" si="2"/>
        <v>43185.863530092596</v>
      </c>
      <c r="G32" s="125" t="str">
        <f t="shared" si="3"/>
        <v>20:43</v>
      </c>
      <c r="H32" s="33" t="str">
        <f t="shared" si="4"/>
        <v>-</v>
      </c>
      <c r="I32" s="92" t="str">
        <f t="shared" si="5"/>
        <v>-</v>
      </c>
      <c r="J32" s="92" t="str">
        <f t="shared" si="6"/>
        <v>-</v>
      </c>
      <c r="K32" s="93">
        <f t="shared" si="7"/>
        <v>0</v>
      </c>
      <c r="L32" s="93"/>
      <c r="M32" s="164"/>
    </row>
    <row r="33" spans="1:13">
      <c r="A33" s="140">
        <v>9200</v>
      </c>
      <c r="B33" s="140" t="s">
        <v>104</v>
      </c>
      <c r="C33" s="140" t="s">
        <v>90</v>
      </c>
      <c r="D33" s="143" t="s">
        <v>6</v>
      </c>
      <c r="E33" s="144">
        <v>43187.714548611111</v>
      </c>
      <c r="F33" s="104">
        <f t="shared" si="2"/>
        <v>43187.714548611111</v>
      </c>
      <c r="G33" s="125" t="str">
        <f t="shared" si="3"/>
        <v>17:8</v>
      </c>
      <c r="H33" s="33">
        <f t="shared" si="4"/>
        <v>3.6500000000000004</v>
      </c>
      <c r="I33" s="92">
        <f>IF(D33="上班",IF(H33-1.5&gt;8,8,H33-1.5),"-")+1.5</f>
        <v>3.6500000000000004</v>
      </c>
      <c r="J33" s="92" t="str">
        <f t="shared" si="6"/>
        <v>-</v>
      </c>
      <c r="K33" s="93">
        <f t="shared" si="7"/>
        <v>0</v>
      </c>
      <c r="L33" s="93"/>
      <c r="M33" s="164"/>
    </row>
    <row r="34" spans="1:13">
      <c r="A34" s="140">
        <v>9221</v>
      </c>
      <c r="B34" s="140" t="s">
        <v>90</v>
      </c>
      <c r="C34" s="140" t="s">
        <v>90</v>
      </c>
      <c r="D34" s="143" t="s">
        <v>5</v>
      </c>
      <c r="E34" s="144">
        <v>43187.866053240738</v>
      </c>
      <c r="F34" s="104">
        <f t="shared" si="2"/>
        <v>43187.866053240738</v>
      </c>
      <c r="G34" s="125" t="str">
        <f t="shared" si="3"/>
        <v>20:47</v>
      </c>
      <c r="H34" s="33" t="str">
        <f t="shared" si="4"/>
        <v>-</v>
      </c>
      <c r="I34" s="92" t="str">
        <f t="shared" si="5"/>
        <v>-</v>
      </c>
      <c r="J34" s="92" t="str">
        <f t="shared" si="6"/>
        <v>-</v>
      </c>
      <c r="K34" s="93">
        <f t="shared" si="7"/>
        <v>0</v>
      </c>
      <c r="L34" s="93"/>
      <c r="M34" s="164"/>
    </row>
    <row r="35" spans="1:13">
      <c r="A35" s="140">
        <v>9265</v>
      </c>
      <c r="B35" s="140" t="s">
        <v>90</v>
      </c>
      <c r="C35" s="140" t="s">
        <v>90</v>
      </c>
      <c r="D35" s="143" t="s">
        <v>6</v>
      </c>
      <c r="E35" s="144">
        <v>43189.371296296296</v>
      </c>
      <c r="F35" s="104">
        <f t="shared" si="2"/>
        <v>43189.371296296296</v>
      </c>
      <c r="G35" s="125" t="str">
        <f t="shared" si="3"/>
        <v>8:54</v>
      </c>
      <c r="H35" s="33">
        <f t="shared" si="4"/>
        <v>3.1666666666666661</v>
      </c>
      <c r="I35" s="92">
        <f>IF(D35="上班",IF(H35-1.5&gt;8,8,H35-1.5),"-")+1.5</f>
        <v>3.1666666666666661</v>
      </c>
      <c r="J35" s="92" t="str">
        <f t="shared" si="6"/>
        <v>-</v>
      </c>
      <c r="K35" s="93">
        <f t="shared" si="7"/>
        <v>0</v>
      </c>
      <c r="L35" s="93"/>
      <c r="M35" s="164"/>
    </row>
    <row r="36" spans="1:13">
      <c r="A36" s="140">
        <v>9268</v>
      </c>
      <c r="B36" s="140" t="s">
        <v>90</v>
      </c>
      <c r="C36" s="140" t="s">
        <v>90</v>
      </c>
      <c r="D36" s="143" t="s">
        <v>5</v>
      </c>
      <c r="E36" s="144">
        <v>43189.503159722219</v>
      </c>
      <c r="F36" s="104">
        <f t="shared" si="2"/>
        <v>43189.503159722219</v>
      </c>
      <c r="G36" s="125" t="str">
        <f t="shared" si="3"/>
        <v>12:4</v>
      </c>
      <c r="H36" s="33" t="str">
        <f t="shared" si="4"/>
        <v>-</v>
      </c>
      <c r="I36" s="92" t="str">
        <f t="shared" si="5"/>
        <v>-</v>
      </c>
      <c r="J36" s="92" t="str">
        <f t="shared" si="6"/>
        <v>-</v>
      </c>
      <c r="K36" s="93">
        <f t="shared" si="7"/>
        <v>0</v>
      </c>
      <c r="L36" s="93"/>
      <c r="M36" s="164"/>
    </row>
    <row r="37" spans="1:13">
      <c r="A37" s="145">
        <v>9265</v>
      </c>
      <c r="B37" s="145" t="s">
        <v>90</v>
      </c>
      <c r="C37" s="145" t="s">
        <v>90</v>
      </c>
      <c r="D37" s="424" t="s">
        <v>6</v>
      </c>
      <c r="E37" s="146">
        <v>43190.396296296298</v>
      </c>
      <c r="F37" s="104">
        <f t="shared" si="2"/>
        <v>43190.396296296298</v>
      </c>
      <c r="G37" s="125" t="str">
        <f t="shared" si="3"/>
        <v>9:30</v>
      </c>
      <c r="H37" s="33">
        <f t="shared" si="4"/>
        <v>3.566666666666666</v>
      </c>
      <c r="I37" s="92">
        <f>IF(D37="上班",IF(H37-1.5&gt;8,8,H37-1.5),"-")+1.5</f>
        <v>3.566666666666666</v>
      </c>
      <c r="J37" s="92" t="str">
        <f t="shared" si="6"/>
        <v>-</v>
      </c>
      <c r="K37" s="93">
        <f t="shared" si="7"/>
        <v>0</v>
      </c>
      <c r="L37" s="93"/>
      <c r="M37" s="164"/>
    </row>
    <row r="38" spans="1:13">
      <c r="A38" s="145">
        <v>9268</v>
      </c>
      <c r="B38" s="145" t="s">
        <v>90</v>
      </c>
      <c r="C38" s="145" t="s">
        <v>90</v>
      </c>
      <c r="D38" s="424" t="s">
        <v>5</v>
      </c>
      <c r="E38" s="146">
        <v>43190.54482638889</v>
      </c>
      <c r="F38" s="104">
        <f t="shared" si="2"/>
        <v>43190.54482638889</v>
      </c>
      <c r="G38" s="125" t="str">
        <f t="shared" si="3"/>
        <v>13:4</v>
      </c>
      <c r="H38" s="33" t="str">
        <f t="shared" si="4"/>
        <v>-</v>
      </c>
      <c r="I38" s="92" t="str">
        <f t="shared" si="5"/>
        <v>-</v>
      </c>
      <c r="J38" s="92" t="str">
        <f t="shared" si="6"/>
        <v>-</v>
      </c>
      <c r="K38" s="93">
        <f t="shared" si="7"/>
        <v>0</v>
      </c>
      <c r="L38" s="93"/>
      <c r="M38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5"/>
  <dimension ref="A1:U30"/>
  <sheetViews>
    <sheetView topLeftCell="D1" workbookViewId="0">
      <selection activeCell="O20" sqref="O20"/>
    </sheetView>
  </sheetViews>
  <sheetFormatPr baseColWidth="10" defaultColWidth="8.83203125" defaultRowHeight="15" outlineLevelCol="1"/>
  <cols>
    <col min="1" max="1" width="5.6640625" hidden="1" customWidth="1" outlineLevel="1"/>
    <col min="2" max="2" width="6.83203125" hidden="1" customWidth="1" outlineLevel="1"/>
    <col min="3" max="3" width="6.5" style="3" hidden="1" customWidth="1" outlineLevel="1"/>
    <col min="4" max="4" width="8.1640625" style="3" customWidth="1" collapsed="1"/>
    <col min="5" max="5" width="15.6640625" style="3" customWidth="1"/>
    <col min="6" max="6" width="5.6640625" style="16" customWidth="1"/>
    <col min="7" max="7" width="8.6640625" style="17" hidden="1" customWidth="1" outlineLevel="1"/>
    <col min="8" max="8" width="11.1640625" style="51" hidden="1" customWidth="1" outlineLevel="1"/>
    <col min="9" max="9" width="12" style="21" customWidth="1" collapsed="1"/>
    <col min="10" max="10" width="15.33203125" style="21" customWidth="1"/>
    <col min="11" max="11" width="11.1640625" style="22" hidden="1" customWidth="1" outlineLevel="1"/>
    <col min="12" max="12" width="14.1640625" style="22" customWidth="1" collapsed="1"/>
    <col min="13" max="13" width="15.6640625" style="28" customWidth="1"/>
    <col min="14" max="14" width="9" style="9"/>
  </cols>
  <sheetData>
    <row r="1" spans="1:14" s="4" customFormat="1" ht="28" thickBot="1">
      <c r="C1" s="5"/>
      <c r="D1" s="6"/>
      <c r="E1" s="6"/>
      <c r="F1" s="10"/>
      <c r="G1" s="11"/>
      <c r="H1" s="12"/>
      <c r="I1" s="13" t="str">
        <f>B7</f>
        <v>albert</v>
      </c>
      <c r="J1" s="46" t="s">
        <v>30</v>
      </c>
      <c r="K1" s="14"/>
      <c r="L1" s="14"/>
      <c r="M1" s="27"/>
      <c r="N1" s="19"/>
    </row>
    <row r="2" spans="1:14">
      <c r="D2" s="23"/>
      <c r="E2" s="29"/>
      <c r="F2" s="79" t="s">
        <v>29</v>
      </c>
      <c r="G2" s="80"/>
      <c r="H2" s="80"/>
      <c r="I2" s="81" t="s">
        <v>25</v>
      </c>
      <c r="J2" s="81"/>
      <c r="K2" s="82"/>
      <c r="L2" s="83"/>
      <c r="M2" s="85" t="s">
        <v>28</v>
      </c>
    </row>
    <row r="3" spans="1:14" ht="16" thickBot="1">
      <c r="D3" s="24"/>
      <c r="E3" s="30"/>
      <c r="F3" s="25"/>
      <c r="G3" s="26"/>
      <c r="H3" s="26"/>
      <c r="I3" s="52">
        <f>I6+J6</f>
        <v>71.166666666666671</v>
      </c>
      <c r="J3" s="54"/>
      <c r="K3" s="53"/>
      <c r="L3" s="53"/>
      <c r="M3" s="50"/>
    </row>
    <row r="4" spans="1:14">
      <c r="D4" s="37"/>
      <c r="E4" s="38"/>
      <c r="F4" s="96"/>
      <c r="G4" s="70"/>
      <c r="H4" s="70"/>
      <c r="I4" s="114" t="s">
        <v>21</v>
      </c>
      <c r="J4" s="114" t="s">
        <v>124</v>
      </c>
      <c r="K4" s="114" t="s">
        <v>120</v>
      </c>
      <c r="L4" s="114" t="s">
        <v>121</v>
      </c>
      <c r="M4" s="98"/>
    </row>
    <row r="5" spans="1:14">
      <c r="D5" s="40"/>
      <c r="E5" s="7"/>
      <c r="F5" s="99" t="s">
        <v>27</v>
      </c>
      <c r="G5" s="72"/>
      <c r="H5" s="72"/>
      <c r="I5" s="118" t="s">
        <v>82</v>
      </c>
      <c r="J5" s="118" t="s">
        <v>122</v>
      </c>
      <c r="K5" s="118" t="s">
        <v>123</v>
      </c>
      <c r="L5" s="118" t="s">
        <v>125</v>
      </c>
      <c r="M5" s="102"/>
    </row>
    <row r="6" spans="1:14" ht="16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23</v>
      </c>
      <c r="I6" s="124">
        <f>SUM(I7:I94)</f>
        <v>69.216666666666669</v>
      </c>
      <c r="J6" s="124">
        <f>SUM(J7:J94)</f>
        <v>1.9499999999999993</v>
      </c>
      <c r="K6" s="124">
        <f>SUM(K9:K22)</f>
        <v>0</v>
      </c>
      <c r="L6" s="124">
        <f>SUM(L9:L22)</f>
        <v>0</v>
      </c>
      <c r="M6" s="103"/>
    </row>
    <row r="7" spans="1:14" s="16" customFormat="1">
      <c r="A7" s="140">
        <v>8810</v>
      </c>
      <c r="B7" s="140" t="s">
        <v>43</v>
      </c>
      <c r="C7" s="140" t="s">
        <v>43</v>
      </c>
      <c r="D7" s="143" t="s">
        <v>6</v>
      </c>
      <c r="E7" s="144">
        <v>43172.623773148145</v>
      </c>
      <c r="F7" s="104">
        <f t="shared" ref="F7:F10" si="0">E7</f>
        <v>43172.623773148145</v>
      </c>
      <c r="G7" s="125" t="str">
        <f t="shared" ref="G7:G10" si="1">HOUR(E7)&amp;":"&amp;MINUTE(E7)</f>
        <v>14:58</v>
      </c>
      <c r="H7" s="126">
        <f t="shared" ref="H7:H9" si="2">IF(D7="上班",(G8-G7)*24,"-")</f>
        <v>4.0499999999999989</v>
      </c>
      <c r="I7" s="92">
        <f>IF(D7="上班",IF(H7-1.5&gt;8,8,H7-1.5),"-")+1.5</f>
        <v>4.0499999999999989</v>
      </c>
      <c r="J7" s="92" t="str">
        <f>IF(D7="上班",IF(H7&gt;(8+2),(H7-8-1.5-0.5),"-"),"-")</f>
        <v>-</v>
      </c>
      <c r="K7" s="93">
        <f t="shared" ref="K7:K9" si="3">IF(D7="加班",(G8-G7)*24,0)</f>
        <v>0</v>
      </c>
      <c r="L7" s="93"/>
      <c r="M7" s="164"/>
      <c r="N7" s="137"/>
    </row>
    <row r="8" spans="1:14" s="16" customFormat="1">
      <c r="A8" s="140">
        <v>8827</v>
      </c>
      <c r="B8" s="140" t="s">
        <v>43</v>
      </c>
      <c r="C8" s="140" t="s">
        <v>43</v>
      </c>
      <c r="D8" s="143" t="s">
        <v>5</v>
      </c>
      <c r="E8" s="144">
        <v>43172.79277777778</v>
      </c>
      <c r="F8" s="104">
        <f t="shared" si="0"/>
        <v>43172.79277777778</v>
      </c>
      <c r="G8" s="125" t="str">
        <f t="shared" si="1"/>
        <v>19:1</v>
      </c>
      <c r="H8" s="126" t="str">
        <f t="shared" si="2"/>
        <v>-</v>
      </c>
      <c r="I8" s="92" t="str">
        <f t="shared" ref="I8" si="4">IF(D8="上班",IF(H8-1.5&gt;8,8,H8-1.5),"-")</f>
        <v>-</v>
      </c>
      <c r="J8" s="92" t="str">
        <f t="shared" ref="J8:J9" si="5">IF(D8="上班",IF(H8&gt;(8+2),(H8-8-1.5-0.5),"-"),"-")</f>
        <v>-</v>
      </c>
      <c r="K8" s="93">
        <f t="shared" si="3"/>
        <v>0</v>
      </c>
      <c r="L8" s="93"/>
      <c r="M8" s="164"/>
      <c r="N8" s="137"/>
    </row>
    <row r="9" spans="1:14" s="16" customFormat="1">
      <c r="A9" s="140">
        <v>8846</v>
      </c>
      <c r="B9" s="140" t="s">
        <v>43</v>
      </c>
      <c r="C9" s="140" t="s">
        <v>43</v>
      </c>
      <c r="D9" s="143" t="s">
        <v>6</v>
      </c>
      <c r="E9" s="144">
        <v>43173.467245370368</v>
      </c>
      <c r="F9" s="104">
        <f t="shared" si="0"/>
        <v>43173.467245370368</v>
      </c>
      <c r="G9" s="125" t="str">
        <f t="shared" si="1"/>
        <v>11:12</v>
      </c>
      <c r="H9" s="126">
        <f t="shared" si="2"/>
        <v>7.3000000000000025</v>
      </c>
      <c r="I9" s="92">
        <f>IF(D9="上班",IF(H9-1.5&gt;8,8,H9-1.5),"-")</f>
        <v>5.8000000000000025</v>
      </c>
      <c r="J9" s="92" t="str">
        <f t="shared" si="5"/>
        <v>-</v>
      </c>
      <c r="K9" s="93">
        <f t="shared" si="3"/>
        <v>0</v>
      </c>
      <c r="L9" s="93"/>
      <c r="M9" s="164"/>
      <c r="N9" s="137"/>
    </row>
    <row r="10" spans="1:14" s="63" customFormat="1">
      <c r="A10" s="422">
        <v>8898</v>
      </c>
      <c r="B10" s="422" t="s">
        <v>43</v>
      </c>
      <c r="C10" s="422" t="s">
        <v>43</v>
      </c>
      <c r="D10" s="181" t="s">
        <v>5</v>
      </c>
      <c r="E10" s="180">
        <v>43173.771180555559</v>
      </c>
      <c r="F10" s="135">
        <f t="shared" si="0"/>
        <v>43173.771180555559</v>
      </c>
      <c r="G10" s="67" t="str">
        <f t="shared" si="1"/>
        <v>18:30</v>
      </c>
      <c r="H10" s="126" t="str">
        <f t="shared" ref="H10:H30" si="6">IF(D10="上班",(G11-G10)*24,"-")</f>
        <v>-</v>
      </c>
      <c r="I10" s="92" t="str">
        <f t="shared" ref="I10:I30" si="7">IF(D10="上班",IF(H10-1.5&gt;8,8,H10-1.5),"-")</f>
        <v>-</v>
      </c>
      <c r="J10" s="92" t="str">
        <f t="shared" ref="J10:J30" si="8">IF(D10="上班",IF(H10&gt;(8+2),(H10-8-1.5-0.5),"-"),"-")</f>
        <v>-</v>
      </c>
      <c r="K10" s="93">
        <f t="shared" ref="K10:K30" si="9">IF(D10="加班",(G11-G10)*24,0)</f>
        <v>0</v>
      </c>
      <c r="L10" s="93"/>
      <c r="M10" s="186" t="s">
        <v>113</v>
      </c>
      <c r="N10" s="18"/>
    </row>
    <row r="11" spans="1:14" s="16" customFormat="1">
      <c r="A11" s="140">
        <v>8882</v>
      </c>
      <c r="B11" s="140" t="s">
        <v>43</v>
      </c>
      <c r="C11" s="140" t="s">
        <v>43</v>
      </c>
      <c r="D11" s="143" t="s">
        <v>6</v>
      </c>
      <c r="E11" s="144">
        <v>43174.434930555559</v>
      </c>
      <c r="F11" s="104">
        <f t="shared" ref="F11:F15" si="10">E11</f>
        <v>43174.434930555559</v>
      </c>
      <c r="G11" s="125" t="str">
        <f t="shared" ref="G11:G15" si="11">HOUR(E11)&amp;":"&amp;MINUTE(E11)</f>
        <v>10:26</v>
      </c>
      <c r="H11" s="126">
        <f t="shared" si="6"/>
        <v>9.3166666666666664</v>
      </c>
      <c r="I11" s="92">
        <f t="shared" si="7"/>
        <v>7.8166666666666664</v>
      </c>
      <c r="J11" s="92" t="str">
        <f t="shared" si="8"/>
        <v>-</v>
      </c>
      <c r="K11" s="93">
        <f t="shared" si="9"/>
        <v>0</v>
      </c>
      <c r="L11" s="93"/>
      <c r="M11" s="164"/>
      <c r="N11" s="137"/>
    </row>
    <row r="12" spans="1:14" s="16" customFormat="1">
      <c r="A12" s="140">
        <v>8898</v>
      </c>
      <c r="B12" s="140" t="s">
        <v>43</v>
      </c>
      <c r="C12" s="140" t="s">
        <v>43</v>
      </c>
      <c r="D12" s="143" t="s">
        <v>5</v>
      </c>
      <c r="E12" s="144">
        <v>43174.823263888888</v>
      </c>
      <c r="F12" s="104">
        <f t="shared" si="10"/>
        <v>43174.823263888888</v>
      </c>
      <c r="G12" s="125" t="str">
        <f t="shared" si="11"/>
        <v>19:45</v>
      </c>
      <c r="H12" s="126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164"/>
      <c r="N12" s="137"/>
    </row>
    <row r="13" spans="1:14">
      <c r="A13">
        <v>9018</v>
      </c>
      <c r="B13" t="s">
        <v>98</v>
      </c>
      <c r="C13" t="s">
        <v>43</v>
      </c>
      <c r="D13" s="143" t="s">
        <v>6</v>
      </c>
      <c r="E13" s="144">
        <v>43179.422511574077</v>
      </c>
      <c r="F13" s="104">
        <f t="shared" si="10"/>
        <v>43179.422511574077</v>
      </c>
      <c r="G13" s="125" t="str">
        <f t="shared" si="11"/>
        <v>10:8</v>
      </c>
      <c r="H13" s="126">
        <f t="shared" si="6"/>
        <v>8.4166666666666679</v>
      </c>
      <c r="I13" s="92">
        <f t="shared" si="7"/>
        <v>6.9166666666666679</v>
      </c>
      <c r="J13" s="92" t="str">
        <f t="shared" si="8"/>
        <v>-</v>
      </c>
      <c r="K13" s="93">
        <f t="shared" si="9"/>
        <v>0</v>
      </c>
      <c r="L13" s="93"/>
      <c r="M13" s="164"/>
    </row>
    <row r="14" spans="1:14">
      <c r="A14">
        <v>9033</v>
      </c>
      <c r="B14" t="s">
        <v>43</v>
      </c>
      <c r="C14" t="s">
        <v>43</v>
      </c>
      <c r="D14" s="143" t="s">
        <v>5</v>
      </c>
      <c r="E14" s="144">
        <v>43179.773518518516</v>
      </c>
      <c r="F14" s="104">
        <f t="shared" si="10"/>
        <v>43179.773518518516</v>
      </c>
      <c r="G14" s="125" t="str">
        <f t="shared" si="11"/>
        <v>18:33</v>
      </c>
      <c r="H14" s="126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164"/>
    </row>
    <row r="15" spans="1:14">
      <c r="A15">
        <v>9055</v>
      </c>
      <c r="B15" t="s">
        <v>43</v>
      </c>
      <c r="C15" t="s">
        <v>43</v>
      </c>
      <c r="D15" s="143" t="s">
        <v>6</v>
      </c>
      <c r="E15" s="144">
        <v>43180.390474537038</v>
      </c>
      <c r="F15" s="104">
        <f t="shared" si="10"/>
        <v>43180.390474537038</v>
      </c>
      <c r="G15" s="125" t="str">
        <f t="shared" si="11"/>
        <v>9:22</v>
      </c>
      <c r="H15" s="126">
        <f t="shared" si="6"/>
        <v>11.95</v>
      </c>
      <c r="I15" s="92">
        <f t="shared" si="7"/>
        <v>8</v>
      </c>
      <c r="J15" s="92">
        <f t="shared" si="8"/>
        <v>1.9499999999999993</v>
      </c>
      <c r="K15" s="93">
        <f t="shared" si="9"/>
        <v>0</v>
      </c>
      <c r="L15" s="93"/>
      <c r="M15" s="164"/>
    </row>
    <row r="16" spans="1:14">
      <c r="A16">
        <v>9079</v>
      </c>
      <c r="B16" t="s">
        <v>43</v>
      </c>
      <c r="C16" t="s">
        <v>43</v>
      </c>
      <c r="D16" s="143" t="s">
        <v>5</v>
      </c>
      <c r="E16" s="144">
        <v>43180.888749999998</v>
      </c>
      <c r="F16" s="104">
        <f t="shared" ref="F16:F30" si="12">E16</f>
        <v>43180.888749999998</v>
      </c>
      <c r="G16" s="125" t="str">
        <f t="shared" ref="G16:G30" si="13">HOUR(E16)&amp;":"&amp;MINUTE(E16)</f>
        <v>21:19</v>
      </c>
      <c r="H16" s="126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164"/>
    </row>
    <row r="17" spans="1:21" s="63" customFormat="1">
      <c r="A17" s="63">
        <v>9055</v>
      </c>
      <c r="B17" s="63" t="s">
        <v>43</v>
      </c>
      <c r="C17" s="63" t="s">
        <v>43</v>
      </c>
      <c r="D17" s="181" t="s">
        <v>6</v>
      </c>
      <c r="E17" s="180">
        <v>43181.416863425926</v>
      </c>
      <c r="F17" s="135">
        <f t="shared" si="12"/>
        <v>43181.416863425926</v>
      </c>
      <c r="G17" s="67" t="str">
        <f t="shared" si="13"/>
        <v>10:0</v>
      </c>
      <c r="H17" s="126">
        <f t="shared" si="6"/>
        <v>5.9999999999999982</v>
      </c>
      <c r="I17" s="92">
        <f t="shared" si="7"/>
        <v>4.4999999999999982</v>
      </c>
      <c r="J17" s="92" t="str">
        <f t="shared" si="8"/>
        <v>-</v>
      </c>
      <c r="K17" s="93">
        <f t="shared" si="9"/>
        <v>0</v>
      </c>
      <c r="L17" s="93"/>
      <c r="M17" s="186" t="s">
        <v>113</v>
      </c>
      <c r="N17" s="18"/>
    </row>
    <row r="18" spans="1:21" s="63" customFormat="1">
      <c r="A18" s="63">
        <v>9079</v>
      </c>
      <c r="B18" s="63" t="s">
        <v>43</v>
      </c>
      <c r="C18" s="63" t="s">
        <v>43</v>
      </c>
      <c r="D18" s="181" t="s">
        <v>5</v>
      </c>
      <c r="E18" s="180">
        <v>43181.667222222219</v>
      </c>
      <c r="F18" s="135">
        <f t="shared" si="12"/>
        <v>43181.667222222219</v>
      </c>
      <c r="G18" s="67" t="str">
        <f t="shared" si="13"/>
        <v>16:0</v>
      </c>
      <c r="H18" s="126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186" t="s">
        <v>113</v>
      </c>
      <c r="N18" s="18"/>
    </row>
    <row r="19" spans="1:21">
      <c r="A19">
        <v>9170</v>
      </c>
      <c r="B19" t="s">
        <v>43</v>
      </c>
      <c r="C19" t="s">
        <v>43</v>
      </c>
      <c r="D19" s="143" t="s">
        <v>6</v>
      </c>
      <c r="E19" s="144">
        <v>43186.39571759259</v>
      </c>
      <c r="F19" s="104">
        <f t="shared" si="12"/>
        <v>43186.39571759259</v>
      </c>
      <c r="G19" s="125" t="str">
        <f t="shared" si="13"/>
        <v>9:29</v>
      </c>
      <c r="H19" s="126">
        <f t="shared" si="6"/>
        <v>9.35</v>
      </c>
      <c r="I19" s="92">
        <f t="shared" si="7"/>
        <v>7.85</v>
      </c>
      <c r="J19" s="92" t="str">
        <f t="shared" si="8"/>
        <v>-</v>
      </c>
      <c r="K19" s="93">
        <f t="shared" si="9"/>
        <v>0</v>
      </c>
      <c r="L19" s="93"/>
      <c r="M19" s="164"/>
    </row>
    <row r="20" spans="1:21">
      <c r="A20">
        <v>9181</v>
      </c>
      <c r="B20" t="s">
        <v>43</v>
      </c>
      <c r="C20" t="s">
        <v>43</v>
      </c>
      <c r="D20" s="143" t="s">
        <v>5</v>
      </c>
      <c r="E20" s="144">
        <v>43186.785081018519</v>
      </c>
      <c r="F20" s="104">
        <f t="shared" si="12"/>
        <v>43186.785081018519</v>
      </c>
      <c r="G20" s="125" t="str">
        <f t="shared" si="13"/>
        <v>18:50</v>
      </c>
      <c r="H20" s="126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164"/>
      <c r="U20" t="s">
        <v>56</v>
      </c>
    </row>
    <row r="21" spans="1:21">
      <c r="A21">
        <v>9199</v>
      </c>
      <c r="B21" t="s">
        <v>43</v>
      </c>
      <c r="C21" t="s">
        <v>43</v>
      </c>
      <c r="D21" s="143" t="s">
        <v>6</v>
      </c>
      <c r="E21" s="144">
        <v>43187.415520833332</v>
      </c>
      <c r="F21" s="104">
        <f t="shared" si="12"/>
        <v>43187.415520833332</v>
      </c>
      <c r="G21" s="125" t="str">
        <f t="shared" si="13"/>
        <v>9:58</v>
      </c>
      <c r="H21" s="126">
        <f t="shared" si="6"/>
        <v>8.5499999999999972</v>
      </c>
      <c r="I21" s="92">
        <f t="shared" si="7"/>
        <v>7.0499999999999972</v>
      </c>
      <c r="J21" s="92" t="str">
        <f t="shared" si="8"/>
        <v>-</v>
      </c>
      <c r="K21" s="93">
        <f t="shared" si="9"/>
        <v>0</v>
      </c>
      <c r="L21" s="93"/>
      <c r="M21" s="164"/>
    </row>
    <row r="22" spans="1:21">
      <c r="A22">
        <v>9213</v>
      </c>
      <c r="B22" t="s">
        <v>43</v>
      </c>
      <c r="C22" t="s">
        <v>43</v>
      </c>
      <c r="D22" s="143" t="s">
        <v>5</v>
      </c>
      <c r="E22" s="144">
        <v>43187.771597222221</v>
      </c>
      <c r="F22" s="104">
        <f t="shared" si="12"/>
        <v>43187.771597222221</v>
      </c>
      <c r="G22" s="125" t="str">
        <f t="shared" si="13"/>
        <v>18:31</v>
      </c>
      <c r="H22" s="126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164"/>
    </row>
    <row r="23" spans="1:21">
      <c r="A23">
        <v>9214</v>
      </c>
      <c r="B23" t="s">
        <v>43</v>
      </c>
      <c r="C23" t="s">
        <v>43</v>
      </c>
      <c r="D23" s="143" t="s">
        <v>6</v>
      </c>
      <c r="E23" s="144">
        <v>43187.771701388891</v>
      </c>
      <c r="F23" s="104">
        <f t="shared" si="12"/>
        <v>43187.771701388891</v>
      </c>
      <c r="G23" s="125" t="str">
        <f t="shared" si="13"/>
        <v>18:31</v>
      </c>
      <c r="H23" s="126">
        <f t="shared" si="6"/>
        <v>1.8500000000000014</v>
      </c>
      <c r="I23" s="92">
        <f>IF(D23="上班",IF(H23-1.5&gt;8,8,H23-1.5),"-")+1.5</f>
        <v>1.8500000000000014</v>
      </c>
      <c r="J23" s="92" t="str">
        <f t="shared" si="8"/>
        <v>-</v>
      </c>
      <c r="K23" s="93">
        <f t="shared" si="9"/>
        <v>0</v>
      </c>
      <c r="L23" s="93"/>
      <c r="M23" s="164"/>
    </row>
    <row r="24" spans="1:21">
      <c r="A24">
        <v>9220</v>
      </c>
      <c r="B24" t="s">
        <v>43</v>
      </c>
      <c r="C24" t="s">
        <v>43</v>
      </c>
      <c r="D24" s="143" t="s">
        <v>5</v>
      </c>
      <c r="E24" s="144">
        <v>43187.849131944444</v>
      </c>
      <c r="F24" s="104">
        <f t="shared" si="12"/>
        <v>43187.849131944444</v>
      </c>
      <c r="G24" s="125" t="str">
        <f t="shared" si="13"/>
        <v>20:22</v>
      </c>
      <c r="H24" s="126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164"/>
    </row>
    <row r="25" spans="1:21">
      <c r="A25">
        <v>9236</v>
      </c>
      <c r="B25" t="s">
        <v>43</v>
      </c>
      <c r="C25" t="s">
        <v>43</v>
      </c>
      <c r="D25" s="143" t="s">
        <v>6</v>
      </c>
      <c r="E25" s="144">
        <v>43188.416863425926</v>
      </c>
      <c r="F25" s="104">
        <f t="shared" si="12"/>
        <v>43188.416863425926</v>
      </c>
      <c r="G25" s="125" t="str">
        <f t="shared" si="13"/>
        <v>10:0</v>
      </c>
      <c r="H25" s="126">
        <f t="shared" si="6"/>
        <v>8.5166666666666639</v>
      </c>
      <c r="I25" s="92">
        <f t="shared" si="7"/>
        <v>7.0166666666666639</v>
      </c>
      <c r="J25" s="92" t="str">
        <f t="shared" si="8"/>
        <v>-</v>
      </c>
      <c r="K25" s="93">
        <f t="shared" si="9"/>
        <v>0</v>
      </c>
      <c r="L25" s="93"/>
      <c r="M25" s="164"/>
    </row>
    <row r="26" spans="1:21" s="63" customFormat="1">
      <c r="A26" s="63">
        <v>9213</v>
      </c>
      <c r="B26" s="63" t="s">
        <v>43</v>
      </c>
      <c r="C26" s="63" t="s">
        <v>43</v>
      </c>
      <c r="D26" s="181" t="s">
        <v>5</v>
      </c>
      <c r="E26" s="180">
        <v>43188.771597222221</v>
      </c>
      <c r="F26" s="135">
        <f t="shared" si="12"/>
        <v>43188.771597222221</v>
      </c>
      <c r="G26" s="67" t="str">
        <f t="shared" si="13"/>
        <v>18:31</v>
      </c>
      <c r="H26" s="126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186" t="s">
        <v>113</v>
      </c>
      <c r="N26" s="18"/>
    </row>
    <row r="27" spans="1:21" s="63" customFormat="1">
      <c r="A27" s="63">
        <v>9214</v>
      </c>
      <c r="B27" s="63" t="s">
        <v>43</v>
      </c>
      <c r="C27" s="63" t="s">
        <v>43</v>
      </c>
      <c r="D27" s="143" t="s">
        <v>6</v>
      </c>
      <c r="E27" s="180">
        <v>43188.771701388891</v>
      </c>
      <c r="F27" s="135">
        <f t="shared" si="12"/>
        <v>43188.771701388891</v>
      </c>
      <c r="G27" s="67" t="str">
        <f t="shared" si="13"/>
        <v>18:31</v>
      </c>
      <c r="H27" s="126">
        <f t="shared" si="6"/>
        <v>1.1000000000000014</v>
      </c>
      <c r="I27" s="92">
        <f>IF(D27="上班",IF(H27-1.5&gt;8,8,H27-1.5),"-")+1.5</f>
        <v>1.1000000000000014</v>
      </c>
      <c r="J27" s="92" t="str">
        <f t="shared" si="8"/>
        <v>-</v>
      </c>
      <c r="K27" s="93">
        <f t="shared" si="9"/>
        <v>0</v>
      </c>
      <c r="L27" s="93"/>
      <c r="M27" s="186" t="s">
        <v>113</v>
      </c>
      <c r="N27" s="18"/>
    </row>
    <row r="28" spans="1:21">
      <c r="A28">
        <v>9254</v>
      </c>
      <c r="B28" t="s">
        <v>43</v>
      </c>
      <c r="C28" t="s">
        <v>43</v>
      </c>
      <c r="D28" s="143" t="s">
        <v>5</v>
      </c>
      <c r="E28" s="144">
        <v>43188.81753472222</v>
      </c>
      <c r="F28" s="104">
        <f t="shared" si="12"/>
        <v>43188.81753472222</v>
      </c>
      <c r="G28" s="125" t="str">
        <f t="shared" si="13"/>
        <v>19:37</v>
      </c>
      <c r="H28" s="126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164"/>
    </row>
    <row r="29" spans="1:21">
      <c r="A29">
        <v>9292</v>
      </c>
      <c r="B29" t="s">
        <v>43</v>
      </c>
      <c r="C29" t="s">
        <v>43</v>
      </c>
      <c r="D29" s="143" t="s">
        <v>6</v>
      </c>
      <c r="E29" s="144">
        <v>43190.411076388889</v>
      </c>
      <c r="F29" s="104">
        <f t="shared" si="12"/>
        <v>43190.411076388889</v>
      </c>
      <c r="G29" s="125" t="str">
        <f t="shared" si="13"/>
        <v>9:51</v>
      </c>
      <c r="H29" s="126">
        <f t="shared" si="6"/>
        <v>8.7666666666666675</v>
      </c>
      <c r="I29" s="92">
        <f t="shared" si="7"/>
        <v>7.2666666666666675</v>
      </c>
      <c r="J29" s="92" t="str">
        <f t="shared" si="8"/>
        <v>-</v>
      </c>
      <c r="K29" s="93">
        <f t="shared" si="9"/>
        <v>0</v>
      </c>
      <c r="L29" s="93"/>
      <c r="M29" s="164"/>
    </row>
    <row r="30" spans="1:21">
      <c r="A30">
        <v>9302</v>
      </c>
      <c r="B30" t="s">
        <v>43</v>
      </c>
      <c r="C30" t="s">
        <v>43</v>
      </c>
      <c r="D30" s="143" t="s">
        <v>5</v>
      </c>
      <c r="E30" s="144">
        <v>43190.776030092595</v>
      </c>
      <c r="F30" s="104">
        <f t="shared" si="12"/>
        <v>43190.776030092595</v>
      </c>
      <c r="G30" s="125" t="str">
        <f t="shared" si="13"/>
        <v>18:37</v>
      </c>
      <c r="H30" s="126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164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6"/>
  <dimension ref="A1:P11"/>
  <sheetViews>
    <sheetView view="pageBreakPreview" topLeftCell="D1" zoomScaleNormal="100" zoomScaleSheetLayoutView="100" workbookViewId="0">
      <selection activeCell="Q18" sqref="Q18"/>
    </sheetView>
  </sheetViews>
  <sheetFormatPr baseColWidth="10" defaultColWidth="8.83203125" defaultRowHeight="15" outlineLevelCol="1"/>
  <cols>
    <col min="1" max="1" width="5.6640625" hidden="1" customWidth="1" outlineLevel="1"/>
    <col min="2" max="2" width="6.83203125" hidden="1" customWidth="1" outlineLevel="1"/>
    <col min="3" max="3" width="6.5" style="3" hidden="1" customWidth="1" outlineLevel="1"/>
    <col min="4" max="4" width="8.5" style="3" customWidth="1" collapsed="1"/>
    <col min="5" max="5" width="15.6640625" style="3" customWidth="1"/>
    <col min="6" max="6" width="5.6640625" style="16" customWidth="1"/>
    <col min="7" max="7" width="8.6640625" style="17" hidden="1" customWidth="1" outlineLevel="1"/>
    <col min="8" max="8" width="11.1640625" style="51" hidden="1" customWidth="1" outlineLevel="1"/>
    <col min="9" max="9" width="10.1640625" style="21" customWidth="1" collapsed="1"/>
    <col min="10" max="10" width="10" style="21" customWidth="1"/>
    <col min="11" max="11" width="8.33203125" style="22" hidden="1" customWidth="1" outlineLevel="1"/>
    <col min="12" max="12" width="5.83203125" style="22" customWidth="1" collapsed="1"/>
    <col min="13" max="14" width="8.1640625" style="22" customWidth="1"/>
    <col min="15" max="15" width="18.6640625" style="28" customWidth="1"/>
    <col min="16" max="16" width="9" style="9"/>
  </cols>
  <sheetData>
    <row r="1" spans="1:16" s="4" customFormat="1" ht="28" thickBot="1">
      <c r="C1" s="5"/>
      <c r="D1" s="6"/>
      <c r="E1" s="6"/>
      <c r="F1" s="10"/>
      <c r="G1" s="11"/>
      <c r="H1" s="12"/>
      <c r="I1" s="13" t="str">
        <f>B7</f>
        <v>denver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6" thickBot="1">
      <c r="D3" s="24"/>
      <c r="E3" s="30"/>
      <c r="F3" s="25"/>
      <c r="G3" s="26"/>
      <c r="H3" s="26"/>
      <c r="I3" s="52">
        <f>I6+J6+M6+N6</f>
        <v>5.9999999999999982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6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SUM(I7:I11)</f>
        <v>5.9999999999999982</v>
      </c>
      <c r="J6" s="124">
        <v>0</v>
      </c>
      <c r="K6" s="124">
        <f>SUM(K9:K11)</f>
        <v>0</v>
      </c>
      <c r="L6" s="124">
        <f>SUM(L9:L11)</f>
        <v>0</v>
      </c>
      <c r="M6" s="124">
        <f>SUM(M7:M11)</f>
        <v>0</v>
      </c>
      <c r="N6" s="124">
        <f>SUM(N7:N11)</f>
        <v>0</v>
      </c>
      <c r="O6" s="45"/>
    </row>
    <row r="7" spans="1:16" s="63" customFormat="1">
      <c r="A7" s="145">
        <v>9223</v>
      </c>
      <c r="B7" s="145" t="s">
        <v>105</v>
      </c>
      <c r="C7" s="145" t="s">
        <v>105</v>
      </c>
      <c r="D7" s="424" t="s">
        <v>6</v>
      </c>
      <c r="E7" s="146">
        <v>43174.583807870367</v>
      </c>
      <c r="F7" s="104">
        <f>E7</f>
        <v>43174.583807870367</v>
      </c>
      <c r="G7" s="125" t="str">
        <f>HOUR(E7)&amp;":"&amp;MINUTE(E7)</f>
        <v>14:0</v>
      </c>
      <c r="H7" s="126">
        <f t="shared" ref="H7" si="0">IF(D7="上班",(G8-G7)*24,"-")</f>
        <v>3.4999999999999982</v>
      </c>
      <c r="I7" s="92">
        <f>IF(D7="上班",IF(H7-1.5&gt;8,8,H7-1.5),"-")+1.5</f>
        <v>3.4999999999999982</v>
      </c>
      <c r="J7" s="127"/>
      <c r="K7" s="128">
        <f t="shared" ref="K7" si="1">IF(D7="加班",(G8-G7)*24,0)</f>
        <v>0</v>
      </c>
      <c r="L7" s="128"/>
      <c r="M7" s="129">
        <f t="shared" ref="M7" si="2">IF(K7&gt;2,2,K7)</f>
        <v>0</v>
      </c>
      <c r="N7" s="129">
        <f t="shared" ref="N7" si="3">IF(K7&gt;2,K7-2,0)</f>
        <v>0</v>
      </c>
      <c r="O7" s="164"/>
      <c r="P7" s="18"/>
    </row>
    <row r="8" spans="1:16" s="63" customFormat="1">
      <c r="A8" s="145">
        <v>9223</v>
      </c>
      <c r="B8" s="145" t="s">
        <v>105</v>
      </c>
      <c r="C8" s="145" t="s">
        <v>105</v>
      </c>
      <c r="D8" s="424" t="s">
        <v>5</v>
      </c>
      <c r="E8" s="146">
        <v>43174.729548611111</v>
      </c>
      <c r="F8" s="104">
        <f t="shared" ref="F8:F10" si="4">E8</f>
        <v>43174.729548611111</v>
      </c>
      <c r="G8" s="125" t="str">
        <f t="shared" ref="G8:G10" si="5">HOUR(E8)&amp;":"&amp;MINUTE(E8)</f>
        <v>17:30</v>
      </c>
      <c r="H8" s="126" t="str">
        <f t="shared" ref="H8:H10" si="6">IF(D8="上班",(G9-G8)*24,"-")</f>
        <v>-</v>
      </c>
      <c r="I8" s="92" t="str">
        <f>IF(D8="上班",IF(H8-1.5&gt;8,8,H8-1.5),"-")</f>
        <v>-</v>
      </c>
      <c r="J8" s="127"/>
      <c r="K8" s="128">
        <f t="shared" ref="K8:K10" si="7">IF(D8="加班",(G9-G8)*24,0)</f>
        <v>0</v>
      </c>
      <c r="L8" s="128"/>
      <c r="M8" s="129">
        <f t="shared" ref="M8:M10" si="8">IF(K8&gt;2,2,K8)</f>
        <v>0</v>
      </c>
      <c r="N8" s="129">
        <f t="shared" ref="N8:N10" si="9">IF(K8&gt;2,K8-2,0)</f>
        <v>0</v>
      </c>
      <c r="O8" s="164" t="s">
        <v>127</v>
      </c>
      <c r="P8" s="18"/>
    </row>
    <row r="9" spans="1:16">
      <c r="A9" s="406">
        <v>9223</v>
      </c>
      <c r="B9" s="406" t="s">
        <v>105</v>
      </c>
      <c r="C9" s="406" t="s">
        <v>105</v>
      </c>
      <c r="D9" s="424" t="s">
        <v>6</v>
      </c>
      <c r="E9" s="146">
        <v>43187.417141203703</v>
      </c>
      <c r="F9" s="104">
        <f t="shared" si="4"/>
        <v>43187.417141203703</v>
      </c>
      <c r="G9" s="125" t="str">
        <f t="shared" si="5"/>
        <v>10:0</v>
      </c>
      <c r="H9" s="126">
        <f t="shared" si="6"/>
        <v>2.5000000000000004</v>
      </c>
      <c r="I9" s="92">
        <f t="shared" ref="I9" si="10">IF(D9="上班",IF(H9-1.5&gt;8,8,H9-1.5),"-")+1.5</f>
        <v>2.5000000000000004</v>
      </c>
      <c r="J9" s="127"/>
      <c r="K9" s="128">
        <f t="shared" si="7"/>
        <v>0</v>
      </c>
      <c r="L9" s="128"/>
      <c r="M9" s="129">
        <f t="shared" si="8"/>
        <v>0</v>
      </c>
      <c r="N9" s="129">
        <f t="shared" si="9"/>
        <v>0</v>
      </c>
      <c r="O9" s="164"/>
    </row>
    <row r="10" spans="1:16">
      <c r="A10" s="406">
        <v>9223</v>
      </c>
      <c r="B10" s="406" t="s">
        <v>105</v>
      </c>
      <c r="C10" s="406" t="s">
        <v>105</v>
      </c>
      <c r="D10" s="424" t="s">
        <v>5</v>
      </c>
      <c r="E10" s="146">
        <v>43187.521215277775</v>
      </c>
      <c r="F10" s="104">
        <f t="shared" si="4"/>
        <v>43187.521215277775</v>
      </c>
      <c r="G10" s="125" t="str">
        <f t="shared" si="5"/>
        <v>12:30</v>
      </c>
      <c r="H10" s="126" t="str">
        <f t="shared" si="6"/>
        <v>-</v>
      </c>
      <c r="I10" s="92" t="str">
        <f>IF(D10="上班",IF(H10-1.5&gt;8,8,H10-1.5),"-")</f>
        <v>-</v>
      </c>
      <c r="J10" s="127"/>
      <c r="K10" s="128">
        <f t="shared" si="7"/>
        <v>0</v>
      </c>
      <c r="L10" s="128"/>
      <c r="M10" s="129">
        <f t="shared" si="8"/>
        <v>0</v>
      </c>
      <c r="N10" s="129">
        <f t="shared" si="9"/>
        <v>0</v>
      </c>
      <c r="O10" s="164" t="s">
        <v>126</v>
      </c>
    </row>
    <row r="11" spans="1:16">
      <c r="D11" s="178"/>
      <c r="E11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7"/>
  <dimension ref="A1:O52"/>
  <sheetViews>
    <sheetView workbookViewId="0">
      <selection activeCell="Q13" sqref="Q13"/>
    </sheetView>
  </sheetViews>
  <sheetFormatPr baseColWidth="10" defaultColWidth="8.83203125" defaultRowHeight="15" outlineLevelCol="1"/>
  <cols>
    <col min="1" max="1" width="5.6640625" customWidth="1" outlineLevel="1"/>
    <col min="2" max="2" width="6.83203125" customWidth="1" outlineLevel="1"/>
    <col min="3" max="3" width="6.5" style="3" customWidth="1" outlineLevel="1"/>
    <col min="4" max="4" width="9.1640625" style="3" customWidth="1"/>
    <col min="5" max="5" width="15.6640625" style="3" customWidth="1"/>
    <col min="6" max="6" width="7.83203125" style="16" customWidth="1"/>
    <col min="7" max="7" width="8.6640625" style="17" hidden="1" customWidth="1" outlineLevel="1"/>
    <col min="8" max="8" width="11.1640625" style="51" hidden="1" customWidth="1" outlineLevel="1"/>
    <col min="9" max="9" width="11.6640625" style="21" customWidth="1" collapsed="1"/>
    <col min="10" max="10" width="14.1640625" style="21" hidden="1" customWidth="1" outlineLevel="1"/>
    <col min="11" max="11" width="11.1640625" style="22" customWidth="1" collapsed="1"/>
    <col min="12" max="12" width="10.33203125" style="22" customWidth="1"/>
    <col min="13" max="13" width="15.5" style="28" customWidth="1"/>
    <col min="14" max="14" width="8.83203125" style="9"/>
  </cols>
  <sheetData>
    <row r="1" spans="1:15" ht="28" thickBot="1">
      <c r="A1" s="4"/>
      <c r="B1" s="4"/>
      <c r="C1" s="5"/>
      <c r="D1" s="6"/>
      <c r="E1" s="6"/>
      <c r="F1" s="10"/>
      <c r="G1" s="11"/>
      <c r="H1" s="12"/>
      <c r="I1" s="13"/>
      <c r="J1" s="46"/>
      <c r="K1" s="449"/>
      <c r="L1" s="14"/>
      <c r="M1" s="27"/>
      <c r="N1" s="19"/>
      <c r="O1" s="4"/>
    </row>
    <row r="2" spans="1:15">
      <c r="D2" s="23"/>
      <c r="E2" s="29"/>
      <c r="F2" s="105"/>
      <c r="G2" s="106"/>
      <c r="H2" s="106"/>
      <c r="I2" s="107"/>
      <c r="J2" s="107"/>
      <c r="K2" s="108"/>
      <c r="L2" s="109"/>
      <c r="M2" s="111"/>
    </row>
    <row r="3" spans="1:15" ht="16" thickBot="1">
      <c r="D3" s="24"/>
      <c r="E3" s="30"/>
      <c r="F3" s="25"/>
      <c r="G3" s="26"/>
      <c r="H3" s="26"/>
      <c r="I3" s="52"/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/>
      <c r="J4" s="114"/>
      <c r="K4" s="114"/>
      <c r="L4" s="114"/>
      <c r="M4" s="115"/>
    </row>
    <row r="5" spans="1:15">
      <c r="D5" s="40"/>
      <c r="E5" s="7"/>
      <c r="F5" s="116"/>
      <c r="G5" s="117"/>
      <c r="H5" s="117"/>
      <c r="I5" s="118"/>
      <c r="J5" s="118"/>
      <c r="K5" s="118"/>
      <c r="L5" s="118"/>
      <c r="M5" s="120"/>
    </row>
    <row r="6" spans="1:15" ht="16" thickBot="1">
      <c r="D6" s="42"/>
      <c r="E6" s="43"/>
      <c r="F6" s="121"/>
      <c r="G6" s="122"/>
      <c r="H6" s="123"/>
      <c r="I6" s="124"/>
      <c r="J6" s="124"/>
      <c r="K6" s="124"/>
      <c r="L6" s="124"/>
      <c r="M6" s="45"/>
    </row>
    <row r="7" spans="1:15">
      <c r="C7"/>
      <c r="D7" s="141"/>
      <c r="E7" s="142"/>
      <c r="F7" s="104"/>
      <c r="G7" s="125"/>
      <c r="H7" s="33"/>
      <c r="I7" s="92"/>
      <c r="J7" s="92"/>
      <c r="K7" s="93"/>
      <c r="L7" s="93"/>
      <c r="M7" s="164"/>
      <c r="N7" s="18"/>
      <c r="O7" s="63"/>
    </row>
    <row r="8" spans="1:15">
      <c r="C8"/>
      <c r="D8" s="143"/>
      <c r="E8" s="144"/>
      <c r="F8" s="450"/>
      <c r="G8" s="451"/>
      <c r="H8" s="33"/>
      <c r="I8" s="92"/>
      <c r="J8" s="92"/>
      <c r="K8" s="93"/>
      <c r="L8" s="93"/>
      <c r="M8" s="164"/>
    </row>
    <row r="9" spans="1:15">
      <c r="C9"/>
      <c r="D9" s="143"/>
      <c r="E9" s="144"/>
      <c r="F9" s="450"/>
      <c r="G9" s="451"/>
      <c r="H9" s="33"/>
      <c r="I9" s="92"/>
      <c r="J9" s="92"/>
      <c r="K9" s="93"/>
      <c r="L9" s="93"/>
      <c r="M9" s="164"/>
      <c r="N9" s="18"/>
      <c r="O9" s="63"/>
    </row>
    <row r="10" spans="1:15">
      <c r="A10" s="452"/>
      <c r="B10" s="452"/>
      <c r="C10" s="452"/>
      <c r="D10" s="453"/>
      <c r="E10" s="454"/>
      <c r="F10" s="455"/>
      <c r="G10" s="456"/>
      <c r="H10" s="33"/>
      <c r="I10" s="92"/>
      <c r="J10" s="92"/>
      <c r="K10" s="93"/>
      <c r="L10" s="93"/>
      <c r="M10" s="164"/>
      <c r="N10" s="457"/>
      <c r="O10" s="452"/>
    </row>
    <row r="11" spans="1:15">
      <c r="C11"/>
      <c r="D11" s="143"/>
      <c r="E11" s="144"/>
      <c r="F11" s="450"/>
      <c r="G11" s="451"/>
      <c r="H11" s="33"/>
      <c r="I11" s="458"/>
      <c r="J11" s="92"/>
      <c r="K11" s="459"/>
      <c r="L11" s="460"/>
      <c r="M11" s="164"/>
    </row>
    <row r="12" spans="1:15">
      <c r="C12"/>
      <c r="D12" s="143"/>
      <c r="E12" s="144"/>
      <c r="F12" s="450"/>
      <c r="G12" s="451"/>
      <c r="H12" s="33"/>
      <c r="I12" s="461"/>
      <c r="J12" s="92"/>
      <c r="K12" s="459"/>
      <c r="L12" s="93"/>
      <c r="M12" s="164"/>
    </row>
    <row r="13" spans="1:15">
      <c r="C13"/>
      <c r="D13" s="143"/>
      <c r="E13" s="144"/>
      <c r="F13" s="450"/>
      <c r="G13" s="451"/>
      <c r="H13" s="33"/>
      <c r="I13" s="458"/>
      <c r="J13" s="92"/>
      <c r="K13" s="459"/>
      <c r="L13" s="92"/>
      <c r="M13" s="164"/>
    </row>
    <row r="14" spans="1:15">
      <c r="C14"/>
      <c r="D14" s="143"/>
      <c r="E14" s="144"/>
      <c r="F14" s="450"/>
      <c r="G14" s="451"/>
      <c r="H14" s="33"/>
      <c r="I14" s="458"/>
      <c r="J14" s="92"/>
      <c r="K14" s="461"/>
      <c r="L14" s="93"/>
      <c r="M14" s="164"/>
    </row>
    <row r="15" spans="1:15">
      <c r="C15"/>
      <c r="D15" s="143"/>
      <c r="E15" s="144"/>
      <c r="F15" s="450"/>
      <c r="G15" s="451"/>
      <c r="H15" s="33"/>
      <c r="I15" s="92"/>
      <c r="J15" s="92"/>
      <c r="K15" s="93"/>
      <c r="L15" s="93"/>
      <c r="M15" s="164"/>
    </row>
    <row r="16" spans="1:15">
      <c r="C16"/>
      <c r="D16" s="143"/>
      <c r="E16" s="144"/>
      <c r="F16" s="450"/>
      <c r="G16" s="451"/>
      <c r="H16" s="33"/>
      <c r="I16" s="92"/>
      <c r="J16" s="92"/>
      <c r="K16" s="93"/>
      <c r="L16" s="93"/>
      <c r="M16" s="164"/>
    </row>
    <row r="17" spans="3:13">
      <c r="C17"/>
      <c r="D17" s="143"/>
      <c r="E17" s="144"/>
      <c r="F17" s="450"/>
      <c r="G17" s="451"/>
      <c r="H17" s="33"/>
      <c r="I17" s="92"/>
      <c r="J17" s="92"/>
      <c r="K17" s="93"/>
      <c r="L17" s="93"/>
      <c r="M17" s="164"/>
    </row>
    <row r="18" spans="3:13">
      <c r="C18"/>
      <c r="D18" s="143"/>
      <c r="E18" s="144"/>
      <c r="F18" s="450"/>
      <c r="G18" s="451"/>
      <c r="H18" s="33"/>
      <c r="I18" s="92"/>
      <c r="J18" s="92"/>
      <c r="K18" s="93"/>
      <c r="L18" s="93"/>
      <c r="M18" s="164"/>
    </row>
    <row r="19" spans="3:13">
      <c r="C19"/>
      <c r="D19" s="143"/>
      <c r="E19" s="144"/>
      <c r="F19" s="450"/>
      <c r="G19" s="451"/>
      <c r="H19" s="33"/>
      <c r="I19" s="92"/>
      <c r="J19" s="92"/>
      <c r="K19" s="93"/>
      <c r="L19" s="93"/>
      <c r="M19" s="164"/>
    </row>
    <row r="20" spans="3:13">
      <c r="C20"/>
      <c r="D20" s="143"/>
      <c r="E20" s="144"/>
      <c r="F20" s="450"/>
      <c r="G20" s="451"/>
      <c r="H20" s="33"/>
      <c r="I20" s="92"/>
      <c r="J20" s="92"/>
      <c r="K20" s="93"/>
      <c r="L20" s="93"/>
      <c r="M20" s="164"/>
    </row>
    <row r="21" spans="3:13">
      <c r="C21"/>
      <c r="D21" s="143"/>
      <c r="E21" s="144"/>
      <c r="F21" s="450"/>
      <c r="G21" s="451"/>
      <c r="H21" s="33"/>
      <c r="I21" s="92"/>
      <c r="J21" s="92"/>
      <c r="K21" s="93"/>
      <c r="L21" s="93"/>
      <c r="M21" s="164"/>
    </row>
    <row r="22" spans="3:13">
      <c r="C22"/>
      <c r="D22" s="143"/>
      <c r="E22" s="144"/>
      <c r="F22" s="450"/>
      <c r="G22" s="451"/>
      <c r="H22" s="33"/>
      <c r="I22" s="92"/>
      <c r="J22" s="92"/>
      <c r="K22" s="93"/>
      <c r="L22" s="93"/>
      <c r="M22" s="164"/>
    </row>
    <row r="23" spans="3:13">
      <c r="C23"/>
      <c r="D23" s="143"/>
      <c r="E23" s="144"/>
      <c r="F23" s="450"/>
      <c r="G23" s="451"/>
      <c r="H23" s="33"/>
      <c r="I23" s="92"/>
      <c r="J23" s="92"/>
      <c r="K23" s="93"/>
      <c r="L23" s="93"/>
      <c r="M23" s="164"/>
    </row>
    <row r="24" spans="3:13">
      <c r="C24"/>
      <c r="D24" s="143"/>
      <c r="E24" s="144"/>
      <c r="F24" s="450"/>
      <c r="G24" s="451"/>
      <c r="H24" s="33"/>
      <c r="I24" s="92"/>
      <c r="J24" s="92"/>
      <c r="K24" s="93"/>
      <c r="L24" s="93"/>
      <c r="M24" s="164"/>
    </row>
    <row r="25" spans="3:13">
      <c r="C25"/>
      <c r="D25" s="143"/>
      <c r="E25" s="144"/>
      <c r="F25" s="450"/>
      <c r="G25" s="451"/>
      <c r="H25" s="33"/>
      <c r="I25" s="458"/>
      <c r="J25" s="92"/>
      <c r="K25" s="93"/>
      <c r="L25" s="92"/>
      <c r="M25" s="164"/>
    </row>
    <row r="26" spans="3:13">
      <c r="C26"/>
      <c r="D26" s="143"/>
      <c r="E26" s="144"/>
      <c r="F26" s="450"/>
      <c r="G26" s="451"/>
      <c r="H26" s="33"/>
      <c r="I26" s="458"/>
      <c r="J26" s="92"/>
      <c r="K26" s="93"/>
      <c r="L26" s="92"/>
      <c r="M26" s="164"/>
    </row>
    <row r="27" spans="3:13">
      <c r="C27"/>
      <c r="D27" s="143"/>
      <c r="E27" s="144"/>
      <c r="F27" s="450"/>
      <c r="G27" s="451"/>
      <c r="H27" s="33"/>
      <c r="I27" s="458"/>
      <c r="J27" s="92"/>
      <c r="K27" s="93"/>
      <c r="L27" s="92"/>
      <c r="M27" s="164"/>
    </row>
    <row r="28" spans="3:13">
      <c r="C28"/>
      <c r="D28" s="143"/>
      <c r="E28" s="144"/>
      <c r="F28" s="450"/>
      <c r="G28" s="451"/>
      <c r="H28" s="33"/>
      <c r="I28" s="458"/>
      <c r="J28" s="92"/>
      <c r="K28" s="93"/>
      <c r="L28" s="92"/>
      <c r="M28" s="164"/>
    </row>
    <row r="29" spans="3:13">
      <c r="C29"/>
      <c r="D29" s="143"/>
      <c r="E29" s="144"/>
      <c r="F29" s="450"/>
      <c r="G29" s="451"/>
      <c r="H29" s="33"/>
      <c r="I29" s="458"/>
      <c r="J29" s="92"/>
      <c r="K29" s="93"/>
      <c r="L29" s="92"/>
      <c r="M29" s="164"/>
    </row>
    <row r="30" spans="3:13">
      <c r="C30"/>
      <c r="D30" s="143"/>
      <c r="E30" s="144"/>
      <c r="F30" s="450"/>
      <c r="G30" s="451"/>
      <c r="H30" s="33"/>
      <c r="I30" s="458"/>
      <c r="J30" s="92"/>
      <c r="K30" s="93"/>
      <c r="L30" s="92"/>
      <c r="M30" s="164"/>
    </row>
    <row r="31" spans="3:13">
      <c r="C31"/>
      <c r="D31" s="143"/>
      <c r="E31" s="144"/>
      <c r="F31" s="450"/>
      <c r="G31" s="451"/>
      <c r="H31" s="33"/>
      <c r="I31" s="92"/>
      <c r="J31" s="92"/>
      <c r="K31" s="93"/>
      <c r="L31" s="93"/>
      <c r="M31" s="164"/>
    </row>
    <row r="32" spans="3:13">
      <c r="C32"/>
      <c r="D32" s="143"/>
      <c r="E32" s="144"/>
      <c r="F32" s="450"/>
      <c r="G32" s="451"/>
      <c r="H32" s="33"/>
      <c r="I32" s="92"/>
      <c r="J32" s="92"/>
      <c r="K32" s="93"/>
      <c r="L32" s="93"/>
      <c r="M32" s="164"/>
    </row>
    <row r="33" spans="3:13">
      <c r="C33"/>
      <c r="D33" s="143"/>
      <c r="E33" s="144"/>
      <c r="F33" s="450"/>
      <c r="G33" s="451"/>
      <c r="H33" s="33"/>
      <c r="I33" s="92"/>
      <c r="J33" s="92"/>
      <c r="K33" s="93"/>
      <c r="L33" s="93"/>
      <c r="M33" s="164"/>
    </row>
    <row r="34" spans="3:13">
      <c r="C34"/>
      <c r="D34" s="143"/>
      <c r="E34" s="144"/>
      <c r="F34" s="450"/>
      <c r="G34" s="451"/>
      <c r="H34" s="33"/>
      <c r="I34" s="92"/>
      <c r="J34" s="92"/>
      <c r="K34" s="93"/>
      <c r="L34" s="93"/>
      <c r="M34" s="164"/>
    </row>
    <row r="35" spans="3:13">
      <c r="C35"/>
      <c r="D35" s="143"/>
      <c r="E35" s="144"/>
      <c r="F35" s="450"/>
      <c r="G35" s="451"/>
      <c r="H35" s="33"/>
      <c r="I35" s="92"/>
      <c r="J35" s="92"/>
      <c r="K35" s="93"/>
      <c r="L35" s="93"/>
      <c r="M35" s="164"/>
    </row>
    <row r="36" spans="3:13">
      <c r="C36"/>
      <c r="D36" s="143"/>
      <c r="E36" s="144"/>
      <c r="F36" s="450"/>
      <c r="G36" s="451"/>
      <c r="H36" s="33"/>
      <c r="I36" s="92"/>
      <c r="J36" s="92"/>
      <c r="K36" s="93"/>
      <c r="L36" s="93"/>
      <c r="M36" s="164"/>
    </row>
    <row r="37" spans="3:13">
      <c r="C37"/>
      <c r="D37" s="143"/>
      <c r="E37" s="144"/>
      <c r="F37" s="450"/>
      <c r="G37" s="451"/>
      <c r="H37" s="33"/>
      <c r="I37" s="92"/>
      <c r="J37" s="92"/>
      <c r="K37" s="93"/>
      <c r="L37" s="93"/>
      <c r="M37" s="164"/>
    </row>
    <row r="38" spans="3:13">
      <c r="C38"/>
      <c r="D38" s="143"/>
      <c r="E38" s="144"/>
      <c r="F38" s="450"/>
      <c r="G38" s="451"/>
      <c r="H38" s="33"/>
      <c r="I38" s="92"/>
      <c r="J38" s="92"/>
      <c r="K38" s="93"/>
      <c r="L38" s="93"/>
      <c r="M38" s="164"/>
    </row>
    <row r="39" spans="3:13">
      <c r="C39"/>
      <c r="D39" s="143"/>
      <c r="E39" s="144"/>
      <c r="F39" s="450"/>
      <c r="G39" s="451"/>
      <c r="H39" s="33"/>
      <c r="I39" s="92"/>
      <c r="J39" s="92"/>
      <c r="K39" s="93"/>
      <c r="L39" s="93"/>
      <c r="M39" s="164"/>
    </row>
    <row r="40" spans="3:13">
      <c r="C40"/>
      <c r="D40" s="143"/>
      <c r="E40" s="144"/>
      <c r="F40" s="450"/>
      <c r="G40" s="451"/>
      <c r="H40" s="33"/>
      <c r="I40" s="92"/>
      <c r="J40" s="92"/>
      <c r="K40" s="93"/>
      <c r="L40" s="93"/>
      <c r="M40" s="164"/>
    </row>
    <row r="41" spans="3:13">
      <c r="C41"/>
      <c r="D41" s="143"/>
      <c r="E41" s="144"/>
      <c r="F41" s="450"/>
      <c r="G41" s="451"/>
      <c r="H41" s="33"/>
      <c r="I41" s="458"/>
      <c r="J41" s="92"/>
      <c r="K41" s="93"/>
      <c r="L41" s="92"/>
      <c r="M41" s="164"/>
    </row>
    <row r="42" spans="3:13">
      <c r="C42"/>
      <c r="D42" s="143"/>
      <c r="E42" s="144"/>
      <c r="F42" s="450"/>
      <c r="G42" s="451"/>
      <c r="H42" s="33"/>
      <c r="I42" s="461"/>
      <c r="J42" s="92"/>
      <c r="K42" s="93"/>
      <c r="L42" s="93"/>
      <c r="M42" s="164"/>
    </row>
    <row r="43" spans="3:13">
      <c r="C43"/>
      <c r="D43" s="143"/>
      <c r="E43" s="144"/>
      <c r="F43" s="450"/>
      <c r="G43" s="451"/>
      <c r="H43" s="33"/>
      <c r="I43" s="92"/>
      <c r="J43" s="92"/>
      <c r="K43" s="93"/>
      <c r="L43" s="93"/>
      <c r="M43" s="164"/>
    </row>
    <row r="44" spans="3:13">
      <c r="C44"/>
      <c r="D44" s="143"/>
      <c r="E44" s="144"/>
      <c r="F44" s="450"/>
      <c r="G44" s="451"/>
      <c r="H44" s="33"/>
      <c r="I44" s="92"/>
      <c r="J44" s="92"/>
      <c r="K44" s="93"/>
      <c r="L44" s="93"/>
      <c r="M44" s="164"/>
    </row>
    <row r="45" spans="3:13">
      <c r="C45"/>
      <c r="D45" s="143"/>
      <c r="E45" s="144"/>
      <c r="F45" s="450"/>
      <c r="G45" s="451"/>
      <c r="H45" s="33"/>
      <c r="I45" s="92"/>
      <c r="J45" s="92"/>
      <c r="K45" s="93"/>
      <c r="L45" s="93"/>
      <c r="M45" s="164"/>
    </row>
    <row r="46" spans="3:13">
      <c r="C46"/>
      <c r="D46" s="143"/>
      <c r="E46" s="144"/>
      <c r="F46" s="450"/>
      <c r="G46" s="451"/>
      <c r="H46" s="33"/>
      <c r="I46" s="92"/>
      <c r="J46" s="92"/>
      <c r="K46" s="93"/>
      <c r="L46" s="93"/>
      <c r="M46" s="164"/>
    </row>
    <row r="47" spans="3:13">
      <c r="C47"/>
      <c r="D47" s="143"/>
      <c r="E47" s="144"/>
      <c r="F47" s="450"/>
      <c r="G47" s="451"/>
      <c r="H47" s="33"/>
      <c r="I47" s="92"/>
      <c r="J47" s="92"/>
      <c r="K47" s="93"/>
      <c r="L47" s="93"/>
      <c r="M47" s="164"/>
    </row>
    <row r="48" spans="3:13">
      <c r="C48"/>
      <c r="D48" s="143"/>
      <c r="E48" s="144"/>
      <c r="F48" s="450"/>
      <c r="G48" s="451"/>
      <c r="H48" s="33"/>
      <c r="I48" s="92"/>
      <c r="J48" s="92"/>
      <c r="K48" s="93"/>
      <c r="L48" s="93"/>
      <c r="M48" s="164"/>
    </row>
    <row r="49" spans="3:13">
      <c r="C49"/>
      <c r="D49" s="143"/>
      <c r="E49" s="144"/>
      <c r="F49" s="450"/>
      <c r="G49" s="451"/>
      <c r="H49" s="33"/>
      <c r="I49" s="92"/>
      <c r="J49" s="92"/>
      <c r="K49" s="93"/>
      <c r="L49" s="93"/>
      <c r="M49" s="164"/>
    </row>
    <row r="50" spans="3:13">
      <c r="C50"/>
      <c r="D50" s="143"/>
      <c r="E50" s="144"/>
      <c r="F50" s="450"/>
      <c r="G50" s="451"/>
      <c r="H50" s="33"/>
      <c r="I50" s="92"/>
      <c r="J50" s="92"/>
      <c r="K50" s="93"/>
      <c r="L50" s="93"/>
      <c r="M50" s="164"/>
    </row>
    <row r="51" spans="3:13">
      <c r="C51"/>
      <c r="D51" s="143"/>
      <c r="E51" s="144"/>
      <c r="F51" s="450"/>
      <c r="G51" s="451"/>
      <c r="H51" s="33"/>
      <c r="I51" s="92"/>
      <c r="J51" s="92"/>
      <c r="K51" s="93"/>
      <c r="L51" s="93"/>
      <c r="M51" s="164"/>
    </row>
    <row r="52" spans="3:13">
      <c r="C52"/>
      <c r="D52" s="143"/>
      <c r="E52" s="144"/>
      <c r="F52" s="450"/>
      <c r="G52" s="451"/>
      <c r="H52" s="33"/>
      <c r="I52" s="92"/>
      <c r="J52" s="92"/>
      <c r="K52" s="93"/>
      <c r="L52" s="93"/>
      <c r="M52" s="164"/>
    </row>
  </sheetData>
  <phoneticPr fontId="18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8"/>
  <dimension ref="A1:P52"/>
  <sheetViews>
    <sheetView view="pageBreakPreview" topLeftCell="D1" zoomScaleNormal="100" zoomScaleSheetLayoutView="100" workbookViewId="0">
      <selection activeCell="I34" sqref="I34"/>
    </sheetView>
  </sheetViews>
  <sheetFormatPr baseColWidth="10" defaultColWidth="8.83203125" defaultRowHeight="15" outlineLevelCol="1"/>
  <cols>
    <col min="1" max="1" width="5.6640625" hidden="1" customWidth="1" outlineLevel="1"/>
    <col min="2" max="2" width="6.83203125" hidden="1" customWidth="1" outlineLevel="1"/>
    <col min="3" max="3" width="6.5" style="3" hidden="1" customWidth="1" outlineLevel="1"/>
    <col min="4" max="4" width="9.1640625" style="3" customWidth="1" collapsed="1"/>
    <col min="5" max="5" width="15.6640625" style="3" customWidth="1"/>
    <col min="6" max="6" width="7.83203125" style="16" customWidth="1"/>
    <col min="7" max="7" width="8.6640625" style="17" hidden="1" customWidth="1" outlineLevel="1"/>
    <col min="8" max="8" width="11.1640625" style="51" hidden="1" customWidth="1" outlineLevel="1"/>
    <col min="9" max="9" width="11.6640625" style="21" customWidth="1" collapsed="1"/>
    <col min="10" max="10" width="12.1640625" style="21" customWidth="1"/>
    <col min="11" max="11" width="2.5" style="22" hidden="1" customWidth="1" outlineLevel="1"/>
    <col min="12" max="12" width="5.83203125" style="22" customWidth="1" collapsed="1"/>
    <col min="13" max="14" width="8.1640625" style="22" customWidth="1"/>
    <col min="15" max="15" width="15.5" style="28" customWidth="1"/>
    <col min="16" max="16" width="9" style="9"/>
  </cols>
  <sheetData>
    <row r="1" spans="1:16" s="4" customFormat="1" ht="28" thickBot="1">
      <c r="C1" s="5"/>
      <c r="D1" s="6"/>
      <c r="E1" s="6"/>
      <c r="F1" s="10"/>
      <c r="G1" s="11"/>
      <c r="H1" s="12"/>
      <c r="I1" s="13" t="str">
        <f>B9</f>
        <v>wilson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6" thickBot="1">
      <c r="D3" s="24"/>
      <c r="E3" s="30"/>
      <c r="F3" s="25"/>
      <c r="G3" s="26"/>
      <c r="H3" s="26"/>
      <c r="I3" s="52">
        <f>I6+J6+M6+N6</f>
        <v>145.65000000000003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/>
      <c r="M5" s="119"/>
      <c r="N5" s="119"/>
      <c r="O5" s="120"/>
    </row>
    <row r="6" spans="1:16" ht="16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SUM(I7:I44)</f>
        <v>127.75000000000001</v>
      </c>
      <c r="J6" s="124">
        <f>SUM(J7:J44)</f>
        <v>17.900000000000006</v>
      </c>
      <c r="K6" s="124">
        <f>SUM(K9:K18)</f>
        <v>0</v>
      </c>
      <c r="L6" s="124">
        <f>SUM(L9:L18)</f>
        <v>0</v>
      </c>
      <c r="M6" s="124">
        <f>SUM(M9:M18)</f>
        <v>0</v>
      </c>
      <c r="N6" s="124">
        <f>SUM(N9:N18)</f>
        <v>0</v>
      </c>
      <c r="O6" s="45"/>
    </row>
    <row r="7" spans="1:16" s="63" customFormat="1">
      <c r="A7" s="140">
        <v>8497</v>
      </c>
      <c r="B7" s="140" t="s">
        <v>92</v>
      </c>
      <c r="C7" s="140" t="s">
        <v>91</v>
      </c>
      <c r="D7" s="143" t="s">
        <v>6</v>
      </c>
      <c r="E7" s="144">
        <v>43160.376539351855</v>
      </c>
      <c r="F7" s="104">
        <f>E7</f>
        <v>43160.376539351855</v>
      </c>
      <c r="G7" s="125" t="str">
        <f>HOUR(E7)&amp;":"&amp;MINUTE(E7)</f>
        <v>9:2</v>
      </c>
      <c r="H7" s="33">
        <f t="shared" ref="H7" si="0">IF(D7="上班",(G8-G7)*24,"-")</f>
        <v>9.2333333333333325</v>
      </c>
      <c r="I7" s="92">
        <f>IF(D7="上班",IF(H7-1.5&gt;8,8,H7-1.5),"-")</f>
        <v>7.7333333333333325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" si="3">IF(K7&gt;2,K7-2,0)</f>
        <v>0</v>
      </c>
      <c r="O7" s="164"/>
      <c r="P7" s="18"/>
    </row>
    <row r="8" spans="1:16">
      <c r="A8" s="140">
        <v>8500</v>
      </c>
      <c r="B8" s="140" t="s">
        <v>91</v>
      </c>
      <c r="C8" s="140" t="s">
        <v>91</v>
      </c>
      <c r="D8" s="143" t="s">
        <v>5</v>
      </c>
      <c r="E8" s="144">
        <v>43160.761712962965</v>
      </c>
      <c r="F8" s="104">
        <f t="shared" ref="F8:F52" si="4">E8</f>
        <v>43160.761712962965</v>
      </c>
      <c r="G8" s="125" t="str">
        <f t="shared" ref="G8:G52" si="5">HOUR(E8)&amp;":"&amp;MINUTE(E8)</f>
        <v>18:16</v>
      </c>
      <c r="H8" s="33" t="str">
        <f t="shared" ref="H8:H52" si="6">IF(D8="上班",(G9-G8)*24,"-")</f>
        <v>-</v>
      </c>
      <c r="I8" s="92" t="str">
        <f t="shared" ref="I8:I52" si="7">IF(D8="上班",IF(H8-1.5&gt;8,8,H8-1.5),"-")</f>
        <v>-</v>
      </c>
      <c r="J8" s="92" t="str">
        <f t="shared" ref="J8:J52" si="8">IF(D8="上班",IF(H8&gt;(8+2),(H8-8-1.5-0.5),"-"),"-")</f>
        <v>-</v>
      </c>
      <c r="K8" s="93">
        <f t="shared" ref="K8:K52" si="9">IF(D8="加班",(G9-G8)*24,0)</f>
        <v>0</v>
      </c>
      <c r="L8" s="93"/>
      <c r="M8" s="94">
        <f t="shared" ref="M8:M52" si="10">IF(K8&gt;2,K8-2,0)</f>
        <v>0</v>
      </c>
      <c r="N8" s="129">
        <f t="shared" ref="N8:N52" si="11">IF(K8&gt;2,K8-2,0)</f>
        <v>0</v>
      </c>
      <c r="O8" s="164"/>
    </row>
    <row r="9" spans="1:16" s="63" customFormat="1">
      <c r="A9" s="140">
        <v>8530</v>
      </c>
      <c r="B9" s="140" t="s">
        <v>91</v>
      </c>
      <c r="C9" s="140" t="s">
        <v>91</v>
      </c>
      <c r="D9" s="143" t="s">
        <v>6</v>
      </c>
      <c r="E9" s="144">
        <v>43161.382303240738</v>
      </c>
      <c r="F9" s="104">
        <f t="shared" si="4"/>
        <v>43161.382303240738</v>
      </c>
      <c r="G9" s="125" t="str">
        <f t="shared" si="5"/>
        <v>9:10</v>
      </c>
      <c r="H9" s="33">
        <f t="shared" si="6"/>
        <v>12.166666666666666</v>
      </c>
      <c r="I9" s="92">
        <f t="shared" si="7"/>
        <v>8</v>
      </c>
      <c r="J9" s="92">
        <f t="shared" si="8"/>
        <v>2.1666666666666661</v>
      </c>
      <c r="K9" s="93">
        <f t="shared" si="9"/>
        <v>0</v>
      </c>
      <c r="L9" s="93"/>
      <c r="M9" s="94">
        <f t="shared" si="10"/>
        <v>0</v>
      </c>
      <c r="N9" s="129">
        <f t="shared" si="11"/>
        <v>0</v>
      </c>
      <c r="O9" s="164"/>
      <c r="P9" s="18"/>
    </row>
    <row r="10" spans="1:16">
      <c r="A10" s="140">
        <v>8500</v>
      </c>
      <c r="B10" s="140" t="s">
        <v>91</v>
      </c>
      <c r="C10" s="140" t="s">
        <v>91</v>
      </c>
      <c r="D10" s="143" t="s">
        <v>5</v>
      </c>
      <c r="E10" s="144">
        <v>43161.889490740738</v>
      </c>
      <c r="F10" s="104">
        <f t="shared" si="4"/>
        <v>43161.889490740738</v>
      </c>
      <c r="G10" s="125" t="str">
        <f t="shared" si="5"/>
        <v>21:20</v>
      </c>
      <c r="H10" s="33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94">
        <f t="shared" si="10"/>
        <v>0</v>
      </c>
      <c r="N10" s="129">
        <f t="shared" si="11"/>
        <v>0</v>
      </c>
      <c r="O10" s="164"/>
    </row>
    <row r="11" spans="1:16">
      <c r="A11" s="140">
        <v>8549</v>
      </c>
      <c r="B11" s="140" t="s">
        <v>92</v>
      </c>
      <c r="C11" s="140" t="s">
        <v>91</v>
      </c>
      <c r="D11" s="143" t="s">
        <v>6</v>
      </c>
      <c r="E11" s="144">
        <v>43162.486400462964</v>
      </c>
      <c r="F11" s="104">
        <f t="shared" si="4"/>
        <v>43162.486400462964</v>
      </c>
      <c r="G11" s="125" t="str">
        <f t="shared" si="5"/>
        <v>11:40</v>
      </c>
      <c r="H11" s="33">
        <f t="shared" si="6"/>
        <v>4.2166666666666668</v>
      </c>
      <c r="I11" s="92">
        <f>IF(D11="上班",IF(H11-1.5&gt;8,8,H11-1.5),"-")+1.5</f>
        <v>4.2166666666666668</v>
      </c>
      <c r="J11" s="92" t="str">
        <f t="shared" si="8"/>
        <v>-</v>
      </c>
      <c r="K11" s="93">
        <f t="shared" si="9"/>
        <v>0</v>
      </c>
      <c r="L11" s="93"/>
      <c r="M11" s="94">
        <f t="shared" si="10"/>
        <v>0</v>
      </c>
      <c r="N11" s="129">
        <f t="shared" si="11"/>
        <v>0</v>
      </c>
      <c r="O11" s="164"/>
    </row>
    <row r="12" spans="1:16">
      <c r="A12" s="140">
        <v>8552</v>
      </c>
      <c r="B12" s="140" t="s">
        <v>91</v>
      </c>
      <c r="C12" s="140" t="s">
        <v>91</v>
      </c>
      <c r="D12" s="143" t="s">
        <v>5</v>
      </c>
      <c r="E12" s="144">
        <v>43162.661828703705</v>
      </c>
      <c r="F12" s="104">
        <f t="shared" si="4"/>
        <v>43162.661828703705</v>
      </c>
      <c r="G12" s="125" t="str">
        <f t="shared" si="5"/>
        <v>15:53</v>
      </c>
      <c r="H12" s="33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94">
        <f t="shared" si="10"/>
        <v>0</v>
      </c>
      <c r="N12" s="129">
        <f t="shared" si="11"/>
        <v>0</v>
      </c>
      <c r="O12" s="164"/>
    </row>
    <row r="13" spans="1:16">
      <c r="A13" s="140">
        <v>8553</v>
      </c>
      <c r="B13" s="140" t="s">
        <v>91</v>
      </c>
      <c r="C13" s="140" t="s">
        <v>91</v>
      </c>
      <c r="D13" s="143" t="s">
        <v>6</v>
      </c>
      <c r="E13" s="144">
        <v>43162.683321759258</v>
      </c>
      <c r="F13" s="104">
        <f t="shared" si="4"/>
        <v>43162.683321759258</v>
      </c>
      <c r="G13" s="125" t="str">
        <f t="shared" si="5"/>
        <v>16:23</v>
      </c>
      <c r="H13" s="33">
        <f t="shared" si="6"/>
        <v>5.15</v>
      </c>
      <c r="I13" s="92">
        <f>IF(D13="上班",IF(H13-1.5&gt;8,8,H13-1.5),"-")+1.5</f>
        <v>5.15</v>
      </c>
      <c r="J13" s="92" t="str">
        <f t="shared" si="8"/>
        <v>-</v>
      </c>
      <c r="K13" s="93">
        <f t="shared" si="9"/>
        <v>0</v>
      </c>
      <c r="L13" s="93"/>
      <c r="M13" s="94">
        <f t="shared" si="10"/>
        <v>0</v>
      </c>
      <c r="N13" s="129">
        <f t="shared" si="11"/>
        <v>0</v>
      </c>
      <c r="O13" s="164"/>
    </row>
    <row r="14" spans="1:16">
      <c r="A14" s="140">
        <v>8555</v>
      </c>
      <c r="B14" s="140" t="s">
        <v>92</v>
      </c>
      <c r="C14" s="140" t="s">
        <v>91</v>
      </c>
      <c r="D14" s="143" t="s">
        <v>5</v>
      </c>
      <c r="E14" s="144">
        <v>43162.897245370368</v>
      </c>
      <c r="F14" s="104">
        <f t="shared" si="4"/>
        <v>43162.897245370368</v>
      </c>
      <c r="G14" s="125" t="str">
        <f t="shared" si="5"/>
        <v>21:32</v>
      </c>
      <c r="H14" s="33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94">
        <f t="shared" si="10"/>
        <v>0</v>
      </c>
      <c r="N14" s="129">
        <f t="shared" si="11"/>
        <v>0</v>
      </c>
      <c r="O14" s="164"/>
    </row>
    <row r="15" spans="1:16">
      <c r="A15" s="140">
        <v>8563</v>
      </c>
      <c r="B15" s="140" t="s">
        <v>91</v>
      </c>
      <c r="C15" s="140" t="s">
        <v>91</v>
      </c>
      <c r="D15" s="143" t="s">
        <v>6</v>
      </c>
      <c r="E15" s="144">
        <v>43164.369537037041</v>
      </c>
      <c r="F15" s="104">
        <f t="shared" si="4"/>
        <v>43164.369537037041</v>
      </c>
      <c r="G15" s="125" t="str">
        <f t="shared" si="5"/>
        <v>8:52</v>
      </c>
      <c r="H15" s="33">
        <f t="shared" si="6"/>
        <v>13.733333333333334</v>
      </c>
      <c r="I15" s="92">
        <f t="shared" si="7"/>
        <v>8</v>
      </c>
      <c r="J15" s="92">
        <f t="shared" si="8"/>
        <v>3.7333333333333343</v>
      </c>
      <c r="K15" s="93">
        <f t="shared" si="9"/>
        <v>0</v>
      </c>
      <c r="L15" s="93"/>
      <c r="M15" s="94">
        <f t="shared" si="10"/>
        <v>0</v>
      </c>
      <c r="N15" s="129">
        <f t="shared" si="11"/>
        <v>0</v>
      </c>
      <c r="O15" s="164"/>
    </row>
    <row r="16" spans="1:16">
      <c r="A16" s="140">
        <v>8593</v>
      </c>
      <c r="B16" s="140" t="s">
        <v>92</v>
      </c>
      <c r="C16" s="140" t="s">
        <v>91</v>
      </c>
      <c r="D16" s="143" t="s">
        <v>5</v>
      </c>
      <c r="E16" s="144">
        <v>43164.941701388889</v>
      </c>
      <c r="F16" s="104">
        <f t="shared" si="4"/>
        <v>43164.941701388889</v>
      </c>
      <c r="G16" s="125" t="str">
        <f t="shared" si="5"/>
        <v>22:36</v>
      </c>
      <c r="H16" s="33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94">
        <f t="shared" si="10"/>
        <v>0</v>
      </c>
      <c r="N16" s="129">
        <f t="shared" si="11"/>
        <v>0</v>
      </c>
      <c r="O16" s="164"/>
    </row>
    <row r="17" spans="1:15">
      <c r="A17" s="140">
        <v>8603</v>
      </c>
      <c r="B17" s="140" t="s">
        <v>92</v>
      </c>
      <c r="C17" s="140" t="s">
        <v>91</v>
      </c>
      <c r="D17" s="143" t="s">
        <v>6</v>
      </c>
      <c r="E17" s="144">
        <v>43165.383159722223</v>
      </c>
      <c r="F17" s="104">
        <f t="shared" si="4"/>
        <v>43165.383159722223</v>
      </c>
      <c r="G17" s="125" t="str">
        <f t="shared" si="5"/>
        <v>9:11</v>
      </c>
      <c r="H17" s="33">
        <f t="shared" si="6"/>
        <v>9.0833333333333321</v>
      </c>
      <c r="I17" s="92">
        <f t="shared" si="7"/>
        <v>7.5833333333333321</v>
      </c>
      <c r="J17" s="92" t="str">
        <f t="shared" si="8"/>
        <v>-</v>
      </c>
      <c r="K17" s="93">
        <f t="shared" si="9"/>
        <v>0</v>
      </c>
      <c r="L17" s="93"/>
      <c r="M17" s="94">
        <f t="shared" si="10"/>
        <v>0</v>
      </c>
      <c r="N17" s="129">
        <f t="shared" si="11"/>
        <v>0</v>
      </c>
      <c r="O17" s="164"/>
    </row>
    <row r="18" spans="1:15">
      <c r="A18" s="140">
        <v>8605</v>
      </c>
      <c r="B18" s="140" t="s">
        <v>96</v>
      </c>
      <c r="C18" s="140" t="s">
        <v>91</v>
      </c>
      <c r="D18" s="143" t="s">
        <v>5</v>
      </c>
      <c r="E18" s="144">
        <v>43165.761284722219</v>
      </c>
      <c r="F18" s="104">
        <f t="shared" si="4"/>
        <v>43165.761284722219</v>
      </c>
      <c r="G18" s="125" t="str">
        <f t="shared" si="5"/>
        <v>18:16</v>
      </c>
      <c r="H18" s="33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94">
        <f t="shared" si="10"/>
        <v>0</v>
      </c>
      <c r="N18" s="129">
        <f t="shared" si="11"/>
        <v>0</v>
      </c>
      <c r="O18" s="164"/>
    </row>
    <row r="19" spans="1:15">
      <c r="A19" s="140">
        <v>8635</v>
      </c>
      <c r="B19" s="140" t="s">
        <v>96</v>
      </c>
      <c r="C19" s="140" t="s">
        <v>91</v>
      </c>
      <c r="D19" s="143" t="s">
        <v>6</v>
      </c>
      <c r="E19" s="144">
        <v>43166.399178240739</v>
      </c>
      <c r="F19" s="104">
        <f t="shared" si="4"/>
        <v>43166.399178240739</v>
      </c>
      <c r="G19" s="125" t="str">
        <f t="shared" si="5"/>
        <v>9:34</v>
      </c>
      <c r="H19" s="33">
        <f t="shared" si="6"/>
        <v>12.46666666666667</v>
      </c>
      <c r="I19" s="92">
        <f t="shared" si="7"/>
        <v>8</v>
      </c>
      <c r="J19" s="92">
        <f t="shared" si="8"/>
        <v>2.4666666666666703</v>
      </c>
      <c r="K19" s="93">
        <f t="shared" si="9"/>
        <v>0</v>
      </c>
      <c r="L19" s="93"/>
      <c r="M19" s="94">
        <f t="shared" si="10"/>
        <v>0</v>
      </c>
      <c r="N19" s="129">
        <f t="shared" si="11"/>
        <v>0</v>
      </c>
      <c r="O19" s="164"/>
    </row>
    <row r="20" spans="1:15">
      <c r="A20" s="140">
        <v>8660</v>
      </c>
      <c r="B20" s="140" t="s">
        <v>92</v>
      </c>
      <c r="C20" s="140" t="s">
        <v>91</v>
      </c>
      <c r="D20" s="143" t="s">
        <v>5</v>
      </c>
      <c r="E20" s="144">
        <v>43166.918379629627</v>
      </c>
      <c r="F20" s="104">
        <f t="shared" si="4"/>
        <v>43166.918379629627</v>
      </c>
      <c r="G20" s="125" t="str">
        <f t="shared" si="5"/>
        <v>22:2</v>
      </c>
      <c r="H20" s="33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94">
        <f t="shared" si="10"/>
        <v>0</v>
      </c>
      <c r="N20" s="129">
        <f t="shared" si="11"/>
        <v>0</v>
      </c>
      <c r="O20" s="164"/>
    </row>
    <row r="21" spans="1:15">
      <c r="A21" s="140">
        <v>8662</v>
      </c>
      <c r="B21" s="140" t="s">
        <v>91</v>
      </c>
      <c r="C21" s="140" t="s">
        <v>91</v>
      </c>
      <c r="D21" s="143" t="s">
        <v>6</v>
      </c>
      <c r="E21" s="144">
        <v>43167.357511574075</v>
      </c>
      <c r="F21" s="104">
        <f t="shared" si="4"/>
        <v>43167.357511574075</v>
      </c>
      <c r="G21" s="125" t="str">
        <f t="shared" si="5"/>
        <v>8:34</v>
      </c>
      <c r="H21" s="33">
        <f t="shared" si="6"/>
        <v>9.8500000000000014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94">
        <f t="shared" si="10"/>
        <v>0</v>
      </c>
      <c r="N21" s="129">
        <f t="shared" si="11"/>
        <v>0</v>
      </c>
      <c r="O21" s="164"/>
    </row>
    <row r="22" spans="1:15">
      <c r="A22" s="140">
        <v>8676</v>
      </c>
      <c r="B22" s="140" t="s">
        <v>91</v>
      </c>
      <c r="C22" s="140" t="s">
        <v>91</v>
      </c>
      <c r="D22" s="143" t="s">
        <v>5</v>
      </c>
      <c r="E22" s="144">
        <v>43167.767939814818</v>
      </c>
      <c r="F22" s="104">
        <f t="shared" si="4"/>
        <v>43167.767939814818</v>
      </c>
      <c r="G22" s="125" t="str">
        <f t="shared" si="5"/>
        <v>18:25</v>
      </c>
      <c r="H22" s="33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94">
        <f t="shared" si="10"/>
        <v>0</v>
      </c>
      <c r="N22" s="129">
        <f t="shared" si="11"/>
        <v>0</v>
      </c>
      <c r="O22" s="164"/>
    </row>
    <row r="23" spans="1:15">
      <c r="A23" s="140">
        <v>8702</v>
      </c>
      <c r="B23" s="140" t="s">
        <v>92</v>
      </c>
      <c r="C23" s="140" t="s">
        <v>91</v>
      </c>
      <c r="D23" s="143" t="s">
        <v>6</v>
      </c>
      <c r="E23" s="144">
        <v>43168.381712962961</v>
      </c>
      <c r="F23" s="104">
        <f t="shared" si="4"/>
        <v>43168.381712962961</v>
      </c>
      <c r="G23" s="125" t="str">
        <f t="shared" si="5"/>
        <v>9:9</v>
      </c>
      <c r="H23" s="33">
        <f t="shared" si="6"/>
        <v>12.150000000000002</v>
      </c>
      <c r="I23" s="92">
        <f t="shared" si="7"/>
        <v>8</v>
      </c>
      <c r="J23" s="92">
        <f t="shared" si="8"/>
        <v>2.1500000000000021</v>
      </c>
      <c r="K23" s="93">
        <f t="shared" si="9"/>
        <v>0</v>
      </c>
      <c r="L23" s="93"/>
      <c r="M23" s="94">
        <f t="shared" si="10"/>
        <v>0</v>
      </c>
      <c r="N23" s="129">
        <f t="shared" si="11"/>
        <v>0</v>
      </c>
      <c r="O23" s="164"/>
    </row>
    <row r="24" spans="1:15">
      <c r="A24" s="140">
        <v>8716</v>
      </c>
      <c r="B24" s="140" t="s">
        <v>92</v>
      </c>
      <c r="C24" s="140" t="s">
        <v>91</v>
      </c>
      <c r="D24" s="143" t="s">
        <v>5</v>
      </c>
      <c r="E24" s="144">
        <v>43168.887557870374</v>
      </c>
      <c r="F24" s="104">
        <f t="shared" si="4"/>
        <v>43168.887557870374</v>
      </c>
      <c r="G24" s="125" t="str">
        <f t="shared" si="5"/>
        <v>21:18</v>
      </c>
      <c r="H24" s="33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94">
        <f t="shared" si="10"/>
        <v>0</v>
      </c>
      <c r="N24" s="129">
        <f t="shared" si="11"/>
        <v>0</v>
      </c>
      <c r="O24" s="164"/>
    </row>
    <row r="25" spans="1:15">
      <c r="A25" s="140">
        <v>8731</v>
      </c>
      <c r="B25" s="140" t="s">
        <v>96</v>
      </c>
      <c r="C25" s="140" t="s">
        <v>91</v>
      </c>
      <c r="D25" s="143" t="s">
        <v>6</v>
      </c>
      <c r="E25" s="144">
        <v>43170.428483796299</v>
      </c>
      <c r="F25" s="104">
        <f t="shared" si="4"/>
        <v>43170.428483796299</v>
      </c>
      <c r="G25" s="125" t="str">
        <f t="shared" si="5"/>
        <v>10:17</v>
      </c>
      <c r="H25" s="33">
        <f t="shared" si="6"/>
        <v>3.183333333333334</v>
      </c>
      <c r="I25" s="92">
        <f>IF(D25="上班",IF(H25-1.5&gt;8,8,H25-1.5),"-")+1.5</f>
        <v>3.183333333333334</v>
      </c>
      <c r="J25" s="92" t="str">
        <f t="shared" si="8"/>
        <v>-</v>
      </c>
      <c r="K25" s="93">
        <f t="shared" si="9"/>
        <v>0</v>
      </c>
      <c r="L25" s="93"/>
      <c r="M25" s="94">
        <f t="shared" si="10"/>
        <v>0</v>
      </c>
      <c r="N25" s="129">
        <f t="shared" si="11"/>
        <v>0</v>
      </c>
      <c r="O25" s="164"/>
    </row>
    <row r="26" spans="1:15">
      <c r="A26" s="140">
        <v>8739</v>
      </c>
      <c r="B26" s="140" t="s">
        <v>91</v>
      </c>
      <c r="C26" s="140" t="s">
        <v>91</v>
      </c>
      <c r="D26" s="143" t="s">
        <v>5</v>
      </c>
      <c r="E26" s="144">
        <v>43170.561145833337</v>
      </c>
      <c r="F26" s="104">
        <f t="shared" si="4"/>
        <v>43170.561145833337</v>
      </c>
      <c r="G26" s="125" t="str">
        <f t="shared" si="5"/>
        <v>13:28</v>
      </c>
      <c r="H26" s="33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94">
        <f t="shared" si="10"/>
        <v>0</v>
      </c>
      <c r="N26" s="129">
        <f t="shared" si="11"/>
        <v>0</v>
      </c>
      <c r="O26" s="164"/>
    </row>
    <row r="27" spans="1:15">
      <c r="A27" s="140">
        <v>8744</v>
      </c>
      <c r="B27" s="140" t="s">
        <v>92</v>
      </c>
      <c r="C27" s="140" t="s">
        <v>91</v>
      </c>
      <c r="D27" s="143" t="s">
        <v>6</v>
      </c>
      <c r="E27" s="144">
        <v>43170.604456018518</v>
      </c>
      <c r="F27" s="104">
        <f t="shared" si="4"/>
        <v>43170.604456018518</v>
      </c>
      <c r="G27" s="125" t="str">
        <f t="shared" si="5"/>
        <v>14:30</v>
      </c>
      <c r="H27" s="33">
        <f t="shared" si="6"/>
        <v>3.4333333333333345</v>
      </c>
      <c r="I27" s="92">
        <f>IF(D27="上班",IF(H27-1.5&gt;8,8,H27-1.5),"-")+1.5</f>
        <v>3.4333333333333345</v>
      </c>
      <c r="J27" s="92" t="str">
        <f t="shared" si="8"/>
        <v>-</v>
      </c>
      <c r="K27" s="93">
        <f t="shared" si="9"/>
        <v>0</v>
      </c>
      <c r="L27" s="93"/>
      <c r="M27" s="94">
        <f t="shared" si="10"/>
        <v>0</v>
      </c>
      <c r="N27" s="129">
        <f t="shared" si="11"/>
        <v>0</v>
      </c>
      <c r="O27" s="164"/>
    </row>
    <row r="28" spans="1:15">
      <c r="A28" s="140">
        <v>8747</v>
      </c>
      <c r="B28" s="140" t="s">
        <v>92</v>
      </c>
      <c r="C28" s="140" t="s">
        <v>91</v>
      </c>
      <c r="D28" s="143" t="s">
        <v>5</v>
      </c>
      <c r="E28" s="144">
        <v>43170.747303240743</v>
      </c>
      <c r="F28" s="104">
        <f t="shared" si="4"/>
        <v>43170.747303240743</v>
      </c>
      <c r="G28" s="125" t="str">
        <f t="shared" si="5"/>
        <v>17:56</v>
      </c>
      <c r="H28" s="33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94">
        <f t="shared" si="10"/>
        <v>0</v>
      </c>
      <c r="N28" s="129">
        <f t="shared" si="11"/>
        <v>0</v>
      </c>
      <c r="O28" s="164"/>
    </row>
    <row r="29" spans="1:15">
      <c r="A29" s="140">
        <v>8748</v>
      </c>
      <c r="B29" s="140" t="s">
        <v>92</v>
      </c>
      <c r="C29" s="140" t="s">
        <v>91</v>
      </c>
      <c r="D29" s="143" t="s">
        <v>6</v>
      </c>
      <c r="E29" s="144">
        <v>43170.748113425929</v>
      </c>
      <c r="F29" s="104">
        <f t="shared" si="4"/>
        <v>43170.748113425929</v>
      </c>
      <c r="G29" s="125" t="str">
        <f t="shared" si="5"/>
        <v>17:57</v>
      </c>
      <c r="H29" s="33">
        <f t="shared" si="6"/>
        <v>1.1833333333333318</v>
      </c>
      <c r="I29" s="92">
        <f>IF(D29="上班",IF(H29-1.5&gt;8,8,H29-1.5),"-")+1.5</f>
        <v>1.1833333333333318</v>
      </c>
      <c r="J29" s="92" t="str">
        <f t="shared" si="8"/>
        <v>-</v>
      </c>
      <c r="K29" s="93">
        <f t="shared" si="9"/>
        <v>0</v>
      </c>
      <c r="L29" s="93"/>
      <c r="M29" s="94">
        <f t="shared" si="10"/>
        <v>0</v>
      </c>
      <c r="N29" s="129">
        <f t="shared" si="11"/>
        <v>0</v>
      </c>
      <c r="O29" s="164"/>
    </row>
    <row r="30" spans="1:15">
      <c r="A30" s="140">
        <v>8760</v>
      </c>
      <c r="B30" s="140" t="s">
        <v>92</v>
      </c>
      <c r="C30" s="140" t="s">
        <v>91</v>
      </c>
      <c r="D30" s="143" t="s">
        <v>5</v>
      </c>
      <c r="E30" s="144">
        <v>43170.797407407408</v>
      </c>
      <c r="F30" s="104">
        <f t="shared" si="4"/>
        <v>43170.797407407408</v>
      </c>
      <c r="G30" s="125" t="str">
        <f t="shared" si="5"/>
        <v>19:8</v>
      </c>
      <c r="H30" s="33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94">
        <f t="shared" si="10"/>
        <v>0</v>
      </c>
      <c r="N30" s="129">
        <f t="shared" si="11"/>
        <v>0</v>
      </c>
      <c r="O30" s="164"/>
    </row>
    <row r="31" spans="1:15">
      <c r="A31" s="140">
        <v>8772</v>
      </c>
      <c r="B31" s="140" t="s">
        <v>91</v>
      </c>
      <c r="C31" s="140" t="s">
        <v>91</v>
      </c>
      <c r="D31" s="143" t="s">
        <v>6</v>
      </c>
      <c r="E31" s="144">
        <v>43171.382048611114</v>
      </c>
      <c r="F31" s="104">
        <f t="shared" si="4"/>
        <v>43171.382048611114</v>
      </c>
      <c r="G31" s="125" t="str">
        <f t="shared" si="5"/>
        <v>9:10</v>
      </c>
      <c r="H31" s="33">
        <f t="shared" si="6"/>
        <v>12.766666666666666</v>
      </c>
      <c r="I31" s="92">
        <f t="shared" si="7"/>
        <v>8</v>
      </c>
      <c r="J31" s="92">
        <f t="shared" si="8"/>
        <v>2.7666666666666657</v>
      </c>
      <c r="K31" s="93">
        <f t="shared" si="9"/>
        <v>0</v>
      </c>
      <c r="L31" s="93"/>
      <c r="M31" s="94">
        <f t="shared" si="10"/>
        <v>0</v>
      </c>
      <c r="N31" s="129">
        <f t="shared" si="11"/>
        <v>0</v>
      </c>
      <c r="O31" s="164"/>
    </row>
    <row r="32" spans="1:15">
      <c r="A32" s="140">
        <v>8798</v>
      </c>
      <c r="B32" s="140" t="s">
        <v>92</v>
      </c>
      <c r="C32" s="140" t="s">
        <v>91</v>
      </c>
      <c r="D32" s="143" t="s">
        <v>5</v>
      </c>
      <c r="E32" s="144">
        <v>43171.914039351854</v>
      </c>
      <c r="F32" s="104">
        <f t="shared" si="4"/>
        <v>43171.914039351854</v>
      </c>
      <c r="G32" s="125" t="str">
        <f t="shared" si="5"/>
        <v>21:56</v>
      </c>
      <c r="H32" s="33" t="str">
        <f t="shared" si="6"/>
        <v>-</v>
      </c>
      <c r="I32" s="92" t="str">
        <f t="shared" si="7"/>
        <v>-</v>
      </c>
      <c r="J32" s="92" t="str">
        <f t="shared" si="8"/>
        <v>-</v>
      </c>
      <c r="K32" s="93">
        <f t="shared" si="9"/>
        <v>0</v>
      </c>
      <c r="L32" s="93"/>
      <c r="M32" s="94">
        <f t="shared" si="10"/>
        <v>0</v>
      </c>
      <c r="N32" s="129">
        <f t="shared" si="11"/>
        <v>0</v>
      </c>
      <c r="O32" s="164"/>
    </row>
    <row r="33" spans="1:15">
      <c r="A33" s="140">
        <v>8806</v>
      </c>
      <c r="B33" s="140" t="s">
        <v>96</v>
      </c>
      <c r="C33" s="140" t="s">
        <v>91</v>
      </c>
      <c r="D33" s="143" t="s">
        <v>6</v>
      </c>
      <c r="E33" s="144">
        <v>43172.368321759262</v>
      </c>
      <c r="F33" s="104">
        <f t="shared" si="4"/>
        <v>43172.368321759262</v>
      </c>
      <c r="G33" s="125" t="str">
        <f t="shared" si="5"/>
        <v>8:50</v>
      </c>
      <c r="H33" s="33">
        <f t="shared" si="6"/>
        <v>9.7166666666666668</v>
      </c>
      <c r="I33" s="92">
        <f t="shared" si="7"/>
        <v>8</v>
      </c>
      <c r="J33" s="92" t="str">
        <f t="shared" si="8"/>
        <v>-</v>
      </c>
      <c r="K33" s="93">
        <f t="shared" si="9"/>
        <v>0</v>
      </c>
      <c r="L33" s="93"/>
      <c r="M33" s="94">
        <f t="shared" si="10"/>
        <v>0</v>
      </c>
      <c r="N33" s="129">
        <f t="shared" si="11"/>
        <v>0</v>
      </c>
      <c r="O33" s="164"/>
    </row>
    <row r="34" spans="1:15">
      <c r="A34" s="140">
        <v>8823</v>
      </c>
      <c r="B34" s="140" t="s">
        <v>91</v>
      </c>
      <c r="C34" s="140" t="s">
        <v>91</v>
      </c>
      <c r="D34" s="143" t="s">
        <v>5</v>
      </c>
      <c r="E34" s="144">
        <v>43172.773449074077</v>
      </c>
      <c r="F34" s="104">
        <f t="shared" si="4"/>
        <v>43172.773449074077</v>
      </c>
      <c r="G34" s="125" t="str">
        <f t="shared" si="5"/>
        <v>18:33</v>
      </c>
      <c r="H34" s="33" t="str">
        <f t="shared" si="6"/>
        <v>-</v>
      </c>
      <c r="I34" s="92" t="str">
        <f t="shared" si="7"/>
        <v>-</v>
      </c>
      <c r="J34" s="92" t="str">
        <f t="shared" si="8"/>
        <v>-</v>
      </c>
      <c r="K34" s="93">
        <f t="shared" si="9"/>
        <v>0</v>
      </c>
      <c r="L34" s="93"/>
      <c r="M34" s="94">
        <f t="shared" si="10"/>
        <v>0</v>
      </c>
      <c r="N34" s="129">
        <f t="shared" si="11"/>
        <v>0</v>
      </c>
      <c r="O34" s="164"/>
    </row>
    <row r="35" spans="1:15">
      <c r="A35" s="140">
        <v>8845</v>
      </c>
      <c r="B35" s="140" t="s">
        <v>91</v>
      </c>
      <c r="C35" s="140" t="s">
        <v>91</v>
      </c>
      <c r="D35" s="143" t="s">
        <v>6</v>
      </c>
      <c r="E35" s="144">
        <v>43173.372731481482</v>
      </c>
      <c r="F35" s="104">
        <f t="shared" si="4"/>
        <v>43173.372731481482</v>
      </c>
      <c r="G35" s="125" t="str">
        <f t="shared" si="5"/>
        <v>8:56</v>
      </c>
      <c r="H35" s="33">
        <f t="shared" si="6"/>
        <v>12.100000000000001</v>
      </c>
      <c r="I35" s="92">
        <f t="shared" si="7"/>
        <v>8</v>
      </c>
      <c r="J35" s="92">
        <f t="shared" si="8"/>
        <v>2.1000000000000014</v>
      </c>
      <c r="K35" s="93">
        <f t="shared" si="9"/>
        <v>0</v>
      </c>
      <c r="L35" s="93"/>
      <c r="M35" s="94">
        <f t="shared" si="10"/>
        <v>0</v>
      </c>
      <c r="N35" s="129">
        <f t="shared" si="11"/>
        <v>0</v>
      </c>
      <c r="O35" s="164"/>
    </row>
    <row r="36" spans="1:15">
      <c r="A36" s="140">
        <v>8869</v>
      </c>
      <c r="B36" s="140" t="s">
        <v>91</v>
      </c>
      <c r="C36" s="140" t="s">
        <v>91</v>
      </c>
      <c r="D36" s="143" t="s">
        <v>5</v>
      </c>
      <c r="E36" s="144">
        <v>43173.876458333332</v>
      </c>
      <c r="F36" s="104">
        <f t="shared" si="4"/>
        <v>43173.876458333332</v>
      </c>
      <c r="G36" s="125" t="str">
        <f t="shared" si="5"/>
        <v>21:2</v>
      </c>
      <c r="H36" s="33" t="str">
        <f t="shared" si="6"/>
        <v>-</v>
      </c>
      <c r="I36" s="92" t="str">
        <f t="shared" si="7"/>
        <v>-</v>
      </c>
      <c r="J36" s="92" t="str">
        <f t="shared" si="8"/>
        <v>-</v>
      </c>
      <c r="K36" s="93">
        <f t="shared" si="9"/>
        <v>0</v>
      </c>
      <c r="L36" s="93"/>
      <c r="M36" s="94">
        <f t="shared" si="10"/>
        <v>0</v>
      </c>
      <c r="N36" s="129">
        <f t="shared" si="11"/>
        <v>0</v>
      </c>
      <c r="O36" s="164"/>
    </row>
    <row r="37" spans="1:15">
      <c r="A37" s="140">
        <v>8881</v>
      </c>
      <c r="B37" s="140" t="s">
        <v>96</v>
      </c>
      <c r="C37" s="140" t="s">
        <v>91</v>
      </c>
      <c r="D37" s="143" t="s">
        <v>6</v>
      </c>
      <c r="E37" s="144">
        <v>43174.379340277781</v>
      </c>
      <c r="F37" s="104">
        <f t="shared" si="4"/>
        <v>43174.379340277781</v>
      </c>
      <c r="G37" s="125" t="str">
        <f t="shared" si="5"/>
        <v>9:6</v>
      </c>
      <c r="H37" s="33">
        <f t="shared" si="6"/>
        <v>9.5</v>
      </c>
      <c r="I37" s="92">
        <f t="shared" si="7"/>
        <v>8</v>
      </c>
      <c r="J37" s="92" t="str">
        <f t="shared" si="8"/>
        <v>-</v>
      </c>
      <c r="K37" s="93">
        <f t="shared" si="9"/>
        <v>0</v>
      </c>
      <c r="L37" s="93"/>
      <c r="M37" s="94">
        <f t="shared" si="10"/>
        <v>0</v>
      </c>
      <c r="N37" s="129">
        <f t="shared" si="11"/>
        <v>0</v>
      </c>
      <c r="O37" s="164"/>
    </row>
    <row r="38" spans="1:15">
      <c r="A38" s="140">
        <v>8895</v>
      </c>
      <c r="B38" s="140" t="s">
        <v>91</v>
      </c>
      <c r="C38" s="140" t="s">
        <v>91</v>
      </c>
      <c r="D38" s="143" t="s">
        <v>5</v>
      </c>
      <c r="E38" s="144">
        <v>43174.775312500002</v>
      </c>
      <c r="F38" s="104">
        <f t="shared" si="4"/>
        <v>43174.775312500002</v>
      </c>
      <c r="G38" s="125" t="str">
        <f t="shared" si="5"/>
        <v>18:36</v>
      </c>
      <c r="H38" s="33" t="str">
        <f t="shared" si="6"/>
        <v>-</v>
      </c>
      <c r="I38" s="92" t="str">
        <f t="shared" si="7"/>
        <v>-</v>
      </c>
      <c r="J38" s="92" t="str">
        <f t="shared" si="8"/>
        <v>-</v>
      </c>
      <c r="K38" s="93">
        <f t="shared" si="9"/>
        <v>0</v>
      </c>
      <c r="L38" s="93"/>
      <c r="M38" s="94">
        <f t="shared" si="10"/>
        <v>0</v>
      </c>
      <c r="N38" s="129">
        <f t="shared" si="11"/>
        <v>0</v>
      </c>
      <c r="O38" s="164"/>
    </row>
    <row r="39" spans="1:15">
      <c r="A39" s="140">
        <v>8916</v>
      </c>
      <c r="B39" s="140" t="s">
        <v>91</v>
      </c>
      <c r="C39" s="140" t="s">
        <v>91</v>
      </c>
      <c r="D39" s="143" t="s">
        <v>6</v>
      </c>
      <c r="E39" s="144">
        <v>43175.389456018522</v>
      </c>
      <c r="F39" s="104">
        <f t="shared" si="4"/>
        <v>43175.389456018522</v>
      </c>
      <c r="G39" s="125" t="str">
        <f t="shared" si="5"/>
        <v>9:20</v>
      </c>
      <c r="H39" s="33">
        <f t="shared" si="6"/>
        <v>12.516666666666667</v>
      </c>
      <c r="I39" s="92">
        <f t="shared" si="7"/>
        <v>8</v>
      </c>
      <c r="J39" s="92">
        <f t="shared" si="8"/>
        <v>2.5166666666666675</v>
      </c>
      <c r="K39" s="93">
        <f t="shared" si="9"/>
        <v>0</v>
      </c>
      <c r="L39" s="93"/>
      <c r="M39" s="94">
        <f t="shared" si="10"/>
        <v>0</v>
      </c>
      <c r="N39" s="129">
        <f t="shared" si="11"/>
        <v>0</v>
      </c>
      <c r="O39" s="164"/>
    </row>
    <row r="40" spans="1:15">
      <c r="A40" s="140">
        <v>8941</v>
      </c>
      <c r="B40" s="140" t="s">
        <v>96</v>
      </c>
      <c r="C40" s="140" t="s">
        <v>91</v>
      </c>
      <c r="D40" s="143" t="s">
        <v>5</v>
      </c>
      <c r="E40" s="144">
        <v>43175.910613425927</v>
      </c>
      <c r="F40" s="104">
        <f t="shared" si="4"/>
        <v>43175.910613425927</v>
      </c>
      <c r="G40" s="125" t="str">
        <f t="shared" si="5"/>
        <v>21:51</v>
      </c>
      <c r="H40" s="33" t="str">
        <f t="shared" si="6"/>
        <v>-</v>
      </c>
      <c r="I40" s="92" t="str">
        <f t="shared" si="7"/>
        <v>-</v>
      </c>
      <c r="J40" s="92" t="str">
        <f t="shared" si="8"/>
        <v>-</v>
      </c>
      <c r="K40" s="93">
        <f t="shared" si="9"/>
        <v>0</v>
      </c>
      <c r="L40" s="93"/>
      <c r="M40" s="94">
        <f t="shared" si="10"/>
        <v>0</v>
      </c>
      <c r="N40" s="129">
        <f t="shared" si="11"/>
        <v>0</v>
      </c>
      <c r="O40" s="164"/>
    </row>
    <row r="41" spans="1:15">
      <c r="A41">
        <v>8950</v>
      </c>
      <c r="B41" t="s">
        <v>96</v>
      </c>
      <c r="C41" t="s">
        <v>91</v>
      </c>
      <c r="D41" s="143" t="s">
        <v>6</v>
      </c>
      <c r="E41" s="144">
        <v>43176.471851851849</v>
      </c>
      <c r="F41" s="104">
        <f t="shared" si="4"/>
        <v>43176.471851851849</v>
      </c>
      <c r="G41" s="125" t="str">
        <f t="shared" si="5"/>
        <v>11:19</v>
      </c>
      <c r="H41" s="33">
        <f t="shared" si="6"/>
        <v>8.7666666666666657</v>
      </c>
      <c r="I41" s="92">
        <f t="shared" si="7"/>
        <v>7.2666666666666657</v>
      </c>
      <c r="J41" s="92" t="str">
        <f t="shared" si="8"/>
        <v>-</v>
      </c>
      <c r="K41" s="93">
        <f t="shared" si="9"/>
        <v>0</v>
      </c>
      <c r="L41" s="93"/>
      <c r="M41" s="94">
        <f t="shared" si="10"/>
        <v>0</v>
      </c>
      <c r="N41" s="129">
        <f t="shared" si="11"/>
        <v>0</v>
      </c>
      <c r="O41" s="164"/>
    </row>
    <row r="42" spans="1:15">
      <c r="A42">
        <v>8972</v>
      </c>
      <c r="B42" t="s">
        <v>96</v>
      </c>
      <c r="C42" t="s">
        <v>91</v>
      </c>
      <c r="D42" s="143" t="s">
        <v>5</v>
      </c>
      <c r="E42" s="144">
        <v>43176.836921296293</v>
      </c>
      <c r="F42" s="104">
        <f t="shared" si="4"/>
        <v>43176.836921296293</v>
      </c>
      <c r="G42" s="125" t="str">
        <f t="shared" si="5"/>
        <v>20:5</v>
      </c>
      <c r="H42" s="33" t="str">
        <f t="shared" si="6"/>
        <v>-</v>
      </c>
      <c r="I42" s="92" t="str">
        <f t="shared" si="7"/>
        <v>-</v>
      </c>
      <c r="J42" s="92" t="str">
        <f t="shared" si="8"/>
        <v>-</v>
      </c>
      <c r="K42" s="93">
        <f t="shared" si="9"/>
        <v>0</v>
      </c>
      <c r="L42" s="93"/>
      <c r="M42" s="94">
        <f t="shared" si="10"/>
        <v>0</v>
      </c>
      <c r="N42" s="129">
        <f t="shared" si="11"/>
        <v>0</v>
      </c>
      <c r="O42" s="164"/>
    </row>
    <row r="43" spans="1:15">
      <c r="A43">
        <v>8977</v>
      </c>
      <c r="B43" t="s">
        <v>91</v>
      </c>
      <c r="C43" t="s">
        <v>91</v>
      </c>
      <c r="D43" s="143" t="s">
        <v>6</v>
      </c>
      <c r="E43" s="144">
        <v>43178.368078703701</v>
      </c>
      <c r="F43" s="104">
        <f t="shared" si="4"/>
        <v>43178.368078703701</v>
      </c>
      <c r="G43" s="125" t="str">
        <f t="shared" si="5"/>
        <v>8:50</v>
      </c>
      <c r="H43" s="33">
        <f t="shared" si="6"/>
        <v>9.6333333333333311</v>
      </c>
      <c r="I43" s="92">
        <f t="shared" si="7"/>
        <v>8</v>
      </c>
      <c r="J43" s="92" t="str">
        <f t="shared" si="8"/>
        <v>-</v>
      </c>
      <c r="K43" s="93">
        <f t="shared" si="9"/>
        <v>0</v>
      </c>
      <c r="L43" s="93"/>
      <c r="M43" s="94">
        <f t="shared" si="10"/>
        <v>0</v>
      </c>
      <c r="N43" s="129">
        <f t="shared" si="11"/>
        <v>0</v>
      </c>
      <c r="O43" s="164"/>
    </row>
    <row r="44" spans="1:15">
      <c r="A44">
        <v>8992</v>
      </c>
      <c r="B44" t="s">
        <v>92</v>
      </c>
      <c r="C44" t="s">
        <v>91</v>
      </c>
      <c r="D44" s="143" t="s">
        <v>5</v>
      </c>
      <c r="E44" s="144">
        <v>43178.770011574074</v>
      </c>
      <c r="F44" s="104">
        <f t="shared" si="4"/>
        <v>43178.770011574074</v>
      </c>
      <c r="G44" s="125" t="str">
        <f t="shared" si="5"/>
        <v>18:28</v>
      </c>
      <c r="H44" s="33" t="str">
        <f t="shared" si="6"/>
        <v>-</v>
      </c>
      <c r="I44" s="92" t="str">
        <f t="shared" si="7"/>
        <v>-</v>
      </c>
      <c r="J44" s="92" t="str">
        <f t="shared" si="8"/>
        <v>-</v>
      </c>
      <c r="K44" s="93">
        <f t="shared" si="9"/>
        <v>0</v>
      </c>
      <c r="L44" s="93"/>
      <c r="M44" s="94">
        <f t="shared" si="10"/>
        <v>0</v>
      </c>
      <c r="N44" s="129">
        <f t="shared" si="11"/>
        <v>0</v>
      </c>
      <c r="O44" s="164"/>
    </row>
    <row r="45" spans="1:15">
      <c r="A45">
        <v>8993</v>
      </c>
      <c r="B45" t="s">
        <v>92</v>
      </c>
      <c r="C45" t="s">
        <v>91</v>
      </c>
      <c r="D45" s="143" t="s">
        <v>7</v>
      </c>
      <c r="E45" s="144">
        <v>43178.770069444443</v>
      </c>
      <c r="F45" s="104">
        <f t="shared" si="4"/>
        <v>43178.770069444443</v>
      </c>
      <c r="G45" s="125" t="str">
        <f t="shared" si="5"/>
        <v>18:28</v>
      </c>
      <c r="H45" s="33" t="str">
        <f t="shared" si="6"/>
        <v>-</v>
      </c>
      <c r="I45" s="92" t="str">
        <f t="shared" si="7"/>
        <v>-</v>
      </c>
      <c r="J45" s="92" t="str">
        <f t="shared" si="8"/>
        <v>-</v>
      </c>
      <c r="K45" s="93">
        <f t="shared" si="9"/>
        <v>2.3666666666666663</v>
      </c>
      <c r="L45" s="93"/>
      <c r="M45" s="94">
        <f t="shared" si="10"/>
        <v>0.36666666666666625</v>
      </c>
      <c r="N45" s="129">
        <f t="shared" si="11"/>
        <v>0.36666666666666625</v>
      </c>
      <c r="O45" s="164"/>
    </row>
    <row r="46" spans="1:15">
      <c r="A46">
        <v>9004</v>
      </c>
      <c r="B46" t="s">
        <v>91</v>
      </c>
      <c r="C46" t="s">
        <v>91</v>
      </c>
      <c r="D46" s="143" t="s">
        <v>8</v>
      </c>
      <c r="E46" s="144">
        <v>43178.868437500001</v>
      </c>
      <c r="F46" s="104">
        <f t="shared" si="4"/>
        <v>43178.868437500001</v>
      </c>
      <c r="G46" s="125" t="str">
        <f t="shared" si="5"/>
        <v>20:50</v>
      </c>
      <c r="H46" s="33" t="str">
        <f t="shared" si="6"/>
        <v>-</v>
      </c>
      <c r="I46" s="92" t="str">
        <f t="shared" si="7"/>
        <v>-</v>
      </c>
      <c r="J46" s="92" t="str">
        <f t="shared" si="8"/>
        <v>-</v>
      </c>
      <c r="K46" s="93">
        <f t="shared" si="9"/>
        <v>0</v>
      </c>
      <c r="L46" s="93"/>
      <c r="M46" s="94">
        <f t="shared" si="10"/>
        <v>0</v>
      </c>
      <c r="N46" s="129">
        <f t="shared" si="11"/>
        <v>0</v>
      </c>
      <c r="O46" s="164"/>
    </row>
    <row r="47" spans="1:15">
      <c r="A47">
        <v>9017</v>
      </c>
      <c r="B47" t="s">
        <v>91</v>
      </c>
      <c r="C47" t="s">
        <v>91</v>
      </c>
      <c r="D47" s="143" t="s">
        <v>6</v>
      </c>
      <c r="E47" s="144">
        <v>43179.37332175926</v>
      </c>
      <c r="F47" s="104">
        <f t="shared" si="4"/>
        <v>43179.37332175926</v>
      </c>
      <c r="G47" s="125" t="str">
        <f t="shared" si="5"/>
        <v>8:57</v>
      </c>
      <c r="H47" s="33">
        <f t="shared" si="6"/>
        <v>9.3166666666666664</v>
      </c>
      <c r="I47" s="92">
        <f t="shared" si="7"/>
        <v>7.8166666666666664</v>
      </c>
      <c r="J47" s="92" t="str">
        <f t="shared" si="8"/>
        <v>-</v>
      </c>
      <c r="K47" s="93">
        <f t="shared" si="9"/>
        <v>0</v>
      </c>
      <c r="L47" s="93"/>
      <c r="M47" s="94">
        <f t="shared" si="10"/>
        <v>0</v>
      </c>
      <c r="N47" s="129">
        <f t="shared" si="11"/>
        <v>0</v>
      </c>
      <c r="O47" s="164"/>
    </row>
    <row r="48" spans="1:15">
      <c r="A48">
        <v>9021</v>
      </c>
      <c r="B48" t="s">
        <v>96</v>
      </c>
      <c r="C48" t="s">
        <v>91</v>
      </c>
      <c r="D48" s="143" t="s">
        <v>5</v>
      </c>
      <c r="E48" s="144">
        <v>43179.76152777778</v>
      </c>
      <c r="F48" s="104">
        <f t="shared" si="4"/>
        <v>43179.76152777778</v>
      </c>
      <c r="G48" s="125" t="str">
        <f t="shared" si="5"/>
        <v>18:16</v>
      </c>
      <c r="H48" s="33" t="str">
        <f t="shared" si="6"/>
        <v>-</v>
      </c>
      <c r="I48" s="92" t="str">
        <f t="shared" si="7"/>
        <v>-</v>
      </c>
      <c r="J48" s="92" t="str">
        <f t="shared" si="8"/>
        <v>-</v>
      </c>
      <c r="K48" s="93">
        <f t="shared" si="9"/>
        <v>0</v>
      </c>
      <c r="L48" s="93"/>
      <c r="M48" s="94">
        <f t="shared" si="10"/>
        <v>0</v>
      </c>
      <c r="N48" s="129">
        <f t="shared" si="11"/>
        <v>0</v>
      </c>
      <c r="O48" s="164"/>
    </row>
    <row r="49" spans="1:15">
      <c r="A49">
        <v>9054</v>
      </c>
      <c r="B49" t="s">
        <v>96</v>
      </c>
      <c r="C49" t="s">
        <v>91</v>
      </c>
      <c r="D49" s="143" t="s">
        <v>6</v>
      </c>
      <c r="E49" s="144">
        <v>43180.375254629631</v>
      </c>
      <c r="F49" s="104">
        <f t="shared" si="4"/>
        <v>43180.375254629631</v>
      </c>
      <c r="G49" s="125" t="str">
        <f t="shared" si="5"/>
        <v>9:0</v>
      </c>
      <c r="H49" s="33">
        <f t="shared" si="6"/>
        <v>10.033333333333335</v>
      </c>
      <c r="I49" s="92">
        <f t="shared" si="7"/>
        <v>8</v>
      </c>
      <c r="J49" s="92">
        <f t="shared" si="8"/>
        <v>3.3333333333334991E-2</v>
      </c>
      <c r="K49" s="93">
        <f t="shared" si="9"/>
        <v>0</v>
      </c>
      <c r="L49" s="93"/>
      <c r="M49" s="94">
        <f t="shared" si="10"/>
        <v>0</v>
      </c>
      <c r="N49" s="129">
        <f t="shared" si="11"/>
        <v>0</v>
      </c>
      <c r="O49" s="164"/>
    </row>
    <row r="50" spans="1:15">
      <c r="A50">
        <v>9071</v>
      </c>
      <c r="B50" t="s">
        <v>91</v>
      </c>
      <c r="C50" t="s">
        <v>91</v>
      </c>
      <c r="D50" s="143" t="s">
        <v>5</v>
      </c>
      <c r="E50" s="144">
        <v>43180.79347222222</v>
      </c>
      <c r="F50" s="104">
        <f t="shared" si="4"/>
        <v>43180.79347222222</v>
      </c>
      <c r="G50" s="125" t="str">
        <f t="shared" si="5"/>
        <v>19:2</v>
      </c>
      <c r="H50" s="33" t="str">
        <f t="shared" si="6"/>
        <v>-</v>
      </c>
      <c r="I50" s="92" t="str">
        <f t="shared" si="7"/>
        <v>-</v>
      </c>
      <c r="J50" s="92" t="str">
        <f t="shared" si="8"/>
        <v>-</v>
      </c>
      <c r="K50" s="93">
        <f t="shared" si="9"/>
        <v>0</v>
      </c>
      <c r="L50" s="93"/>
      <c r="M50" s="94">
        <f t="shared" si="10"/>
        <v>0</v>
      </c>
      <c r="N50" s="129">
        <f t="shared" si="11"/>
        <v>0</v>
      </c>
      <c r="O50" s="164"/>
    </row>
    <row r="51" spans="1:15">
      <c r="A51">
        <v>9075</v>
      </c>
      <c r="B51" t="s">
        <v>92</v>
      </c>
      <c r="C51" t="s">
        <v>91</v>
      </c>
      <c r="D51" s="143" t="s">
        <v>7</v>
      </c>
      <c r="E51" s="144">
        <v>43180.817465277774</v>
      </c>
      <c r="F51" s="104">
        <f t="shared" si="4"/>
        <v>43180.817465277774</v>
      </c>
      <c r="G51" s="125" t="str">
        <f t="shared" si="5"/>
        <v>19:37</v>
      </c>
      <c r="H51" s="33" t="str">
        <f t="shared" si="6"/>
        <v>-</v>
      </c>
      <c r="I51" s="92" t="str">
        <f t="shared" si="7"/>
        <v>-</v>
      </c>
      <c r="J51" s="92" t="str">
        <f t="shared" si="8"/>
        <v>-</v>
      </c>
      <c r="K51" s="93">
        <f t="shared" si="9"/>
        <v>1.8333333333333321</v>
      </c>
      <c r="L51" s="93"/>
      <c r="M51" s="94">
        <f t="shared" si="10"/>
        <v>0</v>
      </c>
      <c r="N51" s="129">
        <f t="shared" si="11"/>
        <v>0</v>
      </c>
      <c r="O51" s="164"/>
    </row>
    <row r="52" spans="1:15">
      <c r="A52">
        <v>9080</v>
      </c>
      <c r="B52" t="s">
        <v>92</v>
      </c>
      <c r="C52" t="s">
        <v>91</v>
      </c>
      <c r="D52" s="143" t="s">
        <v>8</v>
      </c>
      <c r="E52" s="144">
        <v>43180.893796296295</v>
      </c>
      <c r="F52" s="104">
        <f t="shared" si="4"/>
        <v>43180.893796296295</v>
      </c>
      <c r="G52" s="125" t="str">
        <f t="shared" si="5"/>
        <v>21:27</v>
      </c>
      <c r="H52" s="33" t="str">
        <f t="shared" si="6"/>
        <v>-</v>
      </c>
      <c r="I52" s="92" t="str">
        <f t="shared" si="7"/>
        <v>-</v>
      </c>
      <c r="J52" s="92" t="str">
        <f t="shared" si="8"/>
        <v>-</v>
      </c>
      <c r="K52" s="93">
        <f t="shared" si="9"/>
        <v>0</v>
      </c>
      <c r="L52" s="93"/>
      <c r="M52" s="94">
        <f t="shared" si="10"/>
        <v>0</v>
      </c>
      <c r="N52" s="129">
        <f t="shared" si="11"/>
        <v>0</v>
      </c>
      <c r="O52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9"/>
  <dimension ref="A1"/>
  <sheetViews>
    <sheetView workbookViewId="0">
      <selection activeCell="K18" sqref="K18"/>
    </sheetView>
  </sheetViews>
  <sheetFormatPr baseColWidth="10" defaultColWidth="8.83203125" defaultRowHeight="15"/>
  <sheetData/>
  <phoneticPr fontId="18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20"/>
  <dimension ref="A1:P21"/>
  <sheetViews>
    <sheetView view="pageBreakPreview" topLeftCell="D1" zoomScaleNormal="100" zoomScaleSheetLayoutView="100" workbookViewId="0">
      <selection activeCell="S26" sqref="S26"/>
    </sheetView>
  </sheetViews>
  <sheetFormatPr baseColWidth="10" defaultColWidth="9" defaultRowHeight="15" outlineLevelCol="1"/>
  <cols>
    <col min="1" max="1" width="5.6640625" style="201" hidden="1" customWidth="1" outlineLevel="1"/>
    <col min="2" max="2" width="6.83203125" style="201" hidden="1" customWidth="1" outlineLevel="1"/>
    <col min="3" max="3" width="6.5" style="202" hidden="1" customWidth="1" outlineLevel="1"/>
    <col min="4" max="4" width="10.33203125" style="202" customWidth="1" collapsed="1"/>
    <col min="5" max="5" width="15.6640625" style="202" customWidth="1"/>
    <col min="6" max="6" width="7.83203125" style="245" customWidth="1"/>
    <col min="7" max="7" width="8.6640625" style="246" hidden="1" customWidth="1" outlineLevel="1"/>
    <col min="8" max="8" width="11.1640625" style="247" hidden="1" customWidth="1" outlineLevel="1"/>
    <col min="9" max="9" width="10.1640625" style="248" customWidth="1" collapsed="1"/>
    <col min="10" max="10" width="10" style="248" customWidth="1"/>
    <col min="11" max="11" width="8.33203125" style="249" hidden="1" customWidth="1" outlineLevel="1"/>
    <col min="12" max="12" width="5.83203125" style="249" customWidth="1" collapsed="1"/>
    <col min="13" max="14" width="8.1640625" style="249" customWidth="1"/>
    <col min="15" max="15" width="11.6640625" style="250" customWidth="1"/>
    <col min="16" max="16" width="9" style="212"/>
    <col min="17" max="16384" width="9" style="201"/>
  </cols>
  <sheetData>
    <row r="1" spans="1:16" s="190" customFormat="1" ht="28" thickBot="1">
      <c r="C1" s="191"/>
      <c r="D1" s="192"/>
      <c r="E1" s="192"/>
      <c r="F1" s="193"/>
      <c r="G1" s="194"/>
      <c r="H1" s="195"/>
      <c r="I1" s="196" t="str">
        <f>B7</f>
        <v>anne</v>
      </c>
      <c r="J1" s="197" t="s">
        <v>30</v>
      </c>
      <c r="K1" s="198"/>
      <c r="L1" s="198"/>
      <c r="M1" s="198"/>
      <c r="N1" s="198"/>
      <c r="O1" s="199"/>
      <c r="P1" s="200"/>
    </row>
    <row r="2" spans="1:16">
      <c r="D2" s="203"/>
      <c r="E2" s="204"/>
      <c r="F2" s="205" t="s">
        <v>29</v>
      </c>
      <c r="G2" s="206"/>
      <c r="H2" s="206"/>
      <c r="I2" s="207" t="s">
        <v>25</v>
      </c>
      <c r="J2" s="207"/>
      <c r="K2" s="208"/>
      <c r="L2" s="209"/>
      <c r="M2" s="210"/>
      <c r="N2" s="210"/>
      <c r="O2" s="211" t="s">
        <v>28</v>
      </c>
    </row>
    <row r="3" spans="1:16" ht="16" thickBot="1">
      <c r="D3" s="213"/>
      <c r="E3" s="214"/>
      <c r="F3" s="215"/>
      <c r="G3" s="216"/>
      <c r="H3" s="216"/>
      <c r="I3" s="217">
        <f>I6+J6+M6+N6</f>
        <v>48.216666666666661</v>
      </c>
      <c r="J3" s="218"/>
      <c r="K3" s="219"/>
      <c r="L3" s="219"/>
      <c r="M3" s="219"/>
      <c r="N3" s="219"/>
      <c r="O3" s="220"/>
    </row>
    <row r="4" spans="1:16">
      <c r="D4" s="221"/>
      <c r="E4" s="222"/>
      <c r="F4" s="223"/>
      <c r="G4" s="224"/>
      <c r="H4" s="224"/>
      <c r="I4" s="225" t="s">
        <v>34</v>
      </c>
      <c r="J4" s="225"/>
      <c r="K4" s="225"/>
      <c r="L4" s="225"/>
      <c r="M4" s="225"/>
      <c r="N4" s="225"/>
      <c r="O4" s="226"/>
    </row>
    <row r="5" spans="1:16">
      <c r="D5" s="227"/>
      <c r="E5" s="228"/>
      <c r="F5" s="229" t="s">
        <v>27</v>
      </c>
      <c r="G5" s="230"/>
      <c r="H5" s="230"/>
      <c r="I5" s="231" t="s">
        <v>82</v>
      </c>
      <c r="J5" s="231" t="s">
        <v>83</v>
      </c>
      <c r="K5" s="231"/>
      <c r="L5" s="231"/>
      <c r="M5" s="232"/>
      <c r="N5" s="232"/>
      <c r="O5" s="233"/>
    </row>
    <row r="6" spans="1:16" ht="16" thickBot="1">
      <c r="A6" s="201" t="s">
        <v>0</v>
      </c>
      <c r="B6" s="201" t="s">
        <v>1</v>
      </c>
      <c r="C6" s="202" t="s">
        <v>2</v>
      </c>
      <c r="D6" s="234" t="s">
        <v>3</v>
      </c>
      <c r="E6" s="235" t="s">
        <v>4</v>
      </c>
      <c r="F6" s="236"/>
      <c r="G6" s="237"/>
      <c r="H6" s="238" t="s">
        <v>23</v>
      </c>
      <c r="I6" s="239">
        <f>SUM(I7:I18)</f>
        <v>48</v>
      </c>
      <c r="J6" s="239">
        <f>SUM(J7:J18)</f>
        <v>0.21666666666666146</v>
      </c>
      <c r="K6" s="239" t="e">
        <f>SUM(#REF!)</f>
        <v>#REF!</v>
      </c>
      <c r="L6" s="239"/>
      <c r="M6" s="239"/>
      <c r="N6" s="239"/>
      <c r="O6" s="240"/>
    </row>
    <row r="7" spans="1:16">
      <c r="A7" s="312">
        <v>5138</v>
      </c>
      <c r="B7" s="312" t="s">
        <v>80</v>
      </c>
      <c r="C7" s="312" t="s">
        <v>80</v>
      </c>
      <c r="D7" s="315" t="s">
        <v>6</v>
      </c>
      <c r="E7" s="316">
        <v>42979.355613425927</v>
      </c>
      <c r="F7" s="241">
        <f t="shared" ref="F7" si="0">E7</f>
        <v>42979.355613425927</v>
      </c>
      <c r="G7" s="242" t="str">
        <f t="shared" ref="G7" si="1">HOUR(E7)&amp;":"&amp;MINUTE(E7)</f>
        <v>8:32</v>
      </c>
      <c r="H7" s="33">
        <f t="shared" ref="H7" si="2">IF(D7="上班",(G8-G7)*24,"-")</f>
        <v>9.9333333333333318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94">
        <f t="shared" ref="M7" si="4">IF(K7&gt;2,K7-2,0)</f>
        <v>0</v>
      </c>
      <c r="N7" s="129">
        <f t="shared" ref="N7" si="5">IF(K7&gt;2,K7-2,0)</f>
        <v>0</v>
      </c>
      <c r="O7" s="243"/>
    </row>
    <row r="8" spans="1:16">
      <c r="A8" s="312">
        <v>5150</v>
      </c>
      <c r="B8" s="312" t="s">
        <v>80</v>
      </c>
      <c r="C8" s="312" t="s">
        <v>80</v>
      </c>
      <c r="D8" s="317" t="s">
        <v>5</v>
      </c>
      <c r="E8" s="318">
        <v>42979.770127314812</v>
      </c>
      <c r="F8" s="241">
        <f t="shared" ref="F8:F9" si="6">E8</f>
        <v>42979.770127314812</v>
      </c>
      <c r="G8" s="242" t="str">
        <f t="shared" ref="G8:G9" si="7">HOUR(E8)&amp;":"&amp;MINUTE(E8)</f>
        <v>18:28</v>
      </c>
      <c r="H8" s="33" t="str">
        <f t="shared" ref="H8:H18" si="8">IF(D8="上班",(G9-G8)*24,"-")</f>
        <v>-</v>
      </c>
      <c r="I8" s="92" t="str">
        <f t="shared" ref="I8:I18" si="9">IF(D8="上班",IF(H8-1.5&gt;8,8,H8-1.5),"-")</f>
        <v>-</v>
      </c>
      <c r="J8" s="92" t="str">
        <f t="shared" ref="J8:J18" si="10">IF(D8="上班",IF(H8&gt;(8+2),(H8-8-1.5-0.5),"-"),"-")</f>
        <v>-</v>
      </c>
      <c r="K8" s="93">
        <f t="shared" ref="K8:K18" si="11">IF(D8="加班",(G9-G8)*24,0)</f>
        <v>0</v>
      </c>
      <c r="L8" s="93"/>
      <c r="M8" s="94">
        <f t="shared" ref="M8:M18" si="12">IF(K8&gt;2,K8-2,0)</f>
        <v>0</v>
      </c>
      <c r="N8" s="129">
        <f t="shared" ref="N8:N18" si="13">IF(K8&gt;2,K8-2,0)</f>
        <v>0</v>
      </c>
      <c r="O8" s="243"/>
    </row>
    <row r="9" spans="1:16">
      <c r="A9" s="312">
        <v>5153</v>
      </c>
      <c r="B9" s="312" t="s">
        <v>80</v>
      </c>
      <c r="C9" s="312" t="s">
        <v>80</v>
      </c>
      <c r="D9" s="317" t="s">
        <v>6</v>
      </c>
      <c r="E9" s="318">
        <v>42982.358182870368</v>
      </c>
      <c r="F9" s="241">
        <f t="shared" si="6"/>
        <v>42982.358182870368</v>
      </c>
      <c r="G9" s="242" t="str">
        <f t="shared" si="7"/>
        <v>8:35</v>
      </c>
      <c r="H9" s="33">
        <f t="shared" si="8"/>
        <v>10.066666666666665</v>
      </c>
      <c r="I9" s="92">
        <f t="shared" si="9"/>
        <v>8</v>
      </c>
      <c r="J9" s="92">
        <f t="shared" si="10"/>
        <v>6.6666666666664653E-2</v>
      </c>
      <c r="K9" s="93">
        <f t="shared" si="11"/>
        <v>0</v>
      </c>
      <c r="L9" s="93"/>
      <c r="M9" s="94">
        <f t="shared" si="12"/>
        <v>0</v>
      </c>
      <c r="N9" s="129">
        <f t="shared" si="13"/>
        <v>0</v>
      </c>
      <c r="O9" s="243"/>
    </row>
    <row r="10" spans="1:16">
      <c r="A10" s="312">
        <v>5169</v>
      </c>
      <c r="B10" s="312" t="s">
        <v>80</v>
      </c>
      <c r="C10" s="312" t="s">
        <v>80</v>
      </c>
      <c r="D10" s="317" t="s">
        <v>5</v>
      </c>
      <c r="E10" s="318">
        <v>42982.777268518519</v>
      </c>
      <c r="F10" s="241">
        <f t="shared" ref="F10:F18" si="14">E10</f>
        <v>42982.777268518519</v>
      </c>
      <c r="G10" s="242" t="str">
        <f t="shared" ref="G10:G18" si="15">HOUR(E10)&amp;":"&amp;MINUTE(E10)</f>
        <v>18:39</v>
      </c>
      <c r="H10" s="33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94">
        <f t="shared" si="12"/>
        <v>0</v>
      </c>
      <c r="N10" s="129">
        <f t="shared" si="13"/>
        <v>0</v>
      </c>
      <c r="O10" s="243"/>
    </row>
    <row r="11" spans="1:16">
      <c r="A11" s="312">
        <v>5177</v>
      </c>
      <c r="B11" s="312" t="s">
        <v>80</v>
      </c>
      <c r="C11" s="312" t="s">
        <v>80</v>
      </c>
      <c r="D11" s="317" t="s">
        <v>6</v>
      </c>
      <c r="E11" s="318">
        <v>42983.354479166665</v>
      </c>
      <c r="F11" s="241">
        <f t="shared" si="14"/>
        <v>42983.354479166665</v>
      </c>
      <c r="G11" s="242" t="str">
        <f t="shared" si="15"/>
        <v>8:30</v>
      </c>
      <c r="H11" s="33">
        <f t="shared" si="8"/>
        <v>10.149999999999997</v>
      </c>
      <c r="I11" s="92">
        <f t="shared" si="9"/>
        <v>8</v>
      </c>
      <c r="J11" s="92">
        <f t="shared" si="10"/>
        <v>0.1499999999999968</v>
      </c>
      <c r="K11" s="93">
        <f t="shared" si="11"/>
        <v>0</v>
      </c>
      <c r="L11" s="93"/>
      <c r="M11" s="94">
        <f t="shared" si="12"/>
        <v>0</v>
      </c>
      <c r="N11" s="129">
        <f t="shared" si="13"/>
        <v>0</v>
      </c>
      <c r="O11" s="243"/>
    </row>
    <row r="12" spans="1:16" s="63" customFormat="1">
      <c r="A12" s="322">
        <v>5169</v>
      </c>
      <c r="B12" s="322" t="s">
        <v>80</v>
      </c>
      <c r="C12" s="322" t="s">
        <v>80</v>
      </c>
      <c r="D12" s="321" t="s">
        <v>5</v>
      </c>
      <c r="E12" s="320">
        <v>42983.777268518519</v>
      </c>
      <c r="F12" s="135">
        <f t="shared" si="14"/>
        <v>42983.777268518519</v>
      </c>
      <c r="G12" s="67" t="str">
        <f t="shared" si="15"/>
        <v>18:39</v>
      </c>
      <c r="H12" s="33" t="str">
        <f t="shared" si="8"/>
        <v>-</v>
      </c>
      <c r="I12" s="92" t="str">
        <f t="shared" si="9"/>
        <v>-</v>
      </c>
      <c r="J12" s="92" t="str">
        <f t="shared" si="10"/>
        <v>-</v>
      </c>
      <c r="K12" s="93">
        <f t="shared" si="11"/>
        <v>0</v>
      </c>
      <c r="L12" s="93"/>
      <c r="M12" s="94">
        <f t="shared" si="12"/>
        <v>0</v>
      </c>
      <c r="N12" s="129">
        <f t="shared" si="13"/>
        <v>0</v>
      </c>
      <c r="O12" s="186"/>
      <c r="P12" s="18"/>
    </row>
    <row r="13" spans="1:16">
      <c r="A13" s="312">
        <v>5204</v>
      </c>
      <c r="B13" s="312" t="s">
        <v>80</v>
      </c>
      <c r="C13" s="312" t="s">
        <v>80</v>
      </c>
      <c r="D13" s="317" t="s">
        <v>6</v>
      </c>
      <c r="E13" s="318">
        <v>42984.356087962966</v>
      </c>
      <c r="F13" s="241">
        <f t="shared" si="14"/>
        <v>42984.356087962966</v>
      </c>
      <c r="G13" s="242" t="str">
        <f t="shared" si="15"/>
        <v>8:32</v>
      </c>
      <c r="H13" s="33">
        <f t="shared" si="8"/>
        <v>9.9833333333333307</v>
      </c>
      <c r="I13" s="92">
        <f t="shared" si="9"/>
        <v>8</v>
      </c>
      <c r="J13" s="92" t="str">
        <f t="shared" si="10"/>
        <v>-</v>
      </c>
      <c r="K13" s="93">
        <f t="shared" si="11"/>
        <v>0</v>
      </c>
      <c r="L13" s="93"/>
      <c r="M13" s="94">
        <f t="shared" si="12"/>
        <v>0</v>
      </c>
      <c r="N13" s="129">
        <f t="shared" si="13"/>
        <v>0</v>
      </c>
      <c r="O13" s="243"/>
    </row>
    <row r="14" spans="1:16">
      <c r="A14" s="312">
        <v>5219</v>
      </c>
      <c r="B14" s="312" t="s">
        <v>80</v>
      </c>
      <c r="C14" s="312" t="s">
        <v>80</v>
      </c>
      <c r="D14" s="317" t="s">
        <v>5</v>
      </c>
      <c r="E14" s="318">
        <v>42984.772187499999</v>
      </c>
      <c r="F14" s="241">
        <f t="shared" si="14"/>
        <v>42984.772187499999</v>
      </c>
      <c r="G14" s="242" t="str">
        <f t="shared" si="15"/>
        <v>18:31</v>
      </c>
      <c r="H14" s="33" t="str">
        <f t="shared" si="8"/>
        <v>-</v>
      </c>
      <c r="I14" s="92" t="str">
        <f t="shared" si="9"/>
        <v>-</v>
      </c>
      <c r="J14" s="92" t="str">
        <f t="shared" si="10"/>
        <v>-</v>
      </c>
      <c r="K14" s="93">
        <f t="shared" si="11"/>
        <v>0</v>
      </c>
      <c r="L14" s="93"/>
      <c r="M14" s="94">
        <f t="shared" si="12"/>
        <v>0</v>
      </c>
      <c r="N14" s="129">
        <f t="shared" si="13"/>
        <v>0</v>
      </c>
      <c r="O14" s="243"/>
    </row>
    <row r="15" spans="1:16">
      <c r="A15" s="312">
        <v>5227</v>
      </c>
      <c r="B15" s="312" t="s">
        <v>80</v>
      </c>
      <c r="C15" s="312" t="s">
        <v>80</v>
      </c>
      <c r="D15" s="317" t="s">
        <v>6</v>
      </c>
      <c r="E15" s="318">
        <v>42985.353888888887</v>
      </c>
      <c r="F15" s="241">
        <f t="shared" si="14"/>
        <v>42985.353888888887</v>
      </c>
      <c r="G15" s="242" t="str">
        <f t="shared" si="15"/>
        <v>8:29</v>
      </c>
      <c r="H15" s="33">
        <f t="shared" si="8"/>
        <v>9.9833333333333325</v>
      </c>
      <c r="I15" s="92">
        <f t="shared" si="9"/>
        <v>8</v>
      </c>
      <c r="J15" s="92" t="str">
        <f t="shared" si="10"/>
        <v>-</v>
      </c>
      <c r="K15" s="93">
        <f t="shared" si="11"/>
        <v>0</v>
      </c>
      <c r="L15" s="93"/>
      <c r="M15" s="94">
        <f t="shared" si="12"/>
        <v>0</v>
      </c>
      <c r="N15" s="129">
        <f t="shared" si="13"/>
        <v>0</v>
      </c>
      <c r="O15" s="243"/>
    </row>
    <row r="16" spans="1:16">
      <c r="A16" s="312">
        <v>5238</v>
      </c>
      <c r="B16" s="312" t="s">
        <v>80</v>
      </c>
      <c r="C16" s="312" t="s">
        <v>80</v>
      </c>
      <c r="D16" s="317" t="s">
        <v>5</v>
      </c>
      <c r="E16" s="318">
        <v>42985.769872685189</v>
      </c>
      <c r="F16" s="241">
        <f t="shared" si="14"/>
        <v>42985.769872685189</v>
      </c>
      <c r="G16" s="242" t="str">
        <f t="shared" si="15"/>
        <v>18:28</v>
      </c>
      <c r="H16" s="33" t="str">
        <f t="shared" si="8"/>
        <v>-</v>
      </c>
      <c r="I16" s="92" t="str">
        <f t="shared" si="9"/>
        <v>-</v>
      </c>
      <c r="J16" s="92" t="str">
        <f t="shared" si="10"/>
        <v>-</v>
      </c>
      <c r="K16" s="93">
        <f t="shared" si="11"/>
        <v>0</v>
      </c>
      <c r="L16" s="93"/>
      <c r="M16" s="94">
        <f t="shared" si="12"/>
        <v>0</v>
      </c>
      <c r="N16" s="129">
        <f t="shared" si="13"/>
        <v>0</v>
      </c>
      <c r="O16" s="243"/>
    </row>
    <row r="17" spans="1:15">
      <c r="A17" s="312">
        <v>5256</v>
      </c>
      <c r="B17" s="312" t="s">
        <v>80</v>
      </c>
      <c r="C17" s="312" t="s">
        <v>80</v>
      </c>
      <c r="D17" s="317" t="s">
        <v>6</v>
      </c>
      <c r="E17" s="318">
        <v>42986.360937500001</v>
      </c>
      <c r="F17" s="241">
        <f t="shared" si="14"/>
        <v>42986.360937500001</v>
      </c>
      <c r="G17" s="242" t="str">
        <f t="shared" si="15"/>
        <v>8:39</v>
      </c>
      <c r="H17" s="33">
        <f t="shared" si="8"/>
        <v>9.9333333333333318</v>
      </c>
      <c r="I17" s="92">
        <f t="shared" si="9"/>
        <v>8</v>
      </c>
      <c r="J17" s="92" t="str">
        <f t="shared" si="10"/>
        <v>-</v>
      </c>
      <c r="K17" s="93">
        <f t="shared" si="11"/>
        <v>0</v>
      </c>
      <c r="L17" s="93"/>
      <c r="M17" s="94">
        <f t="shared" si="12"/>
        <v>0</v>
      </c>
      <c r="N17" s="129">
        <f t="shared" si="13"/>
        <v>0</v>
      </c>
      <c r="O17" s="243"/>
    </row>
    <row r="18" spans="1:15">
      <c r="A18" s="312">
        <v>5266</v>
      </c>
      <c r="B18" s="312" t="s">
        <v>80</v>
      </c>
      <c r="C18" s="312" t="s">
        <v>80</v>
      </c>
      <c r="D18" s="317" t="s">
        <v>5</v>
      </c>
      <c r="E18" s="318">
        <v>42986.774837962963</v>
      </c>
      <c r="F18" s="241">
        <f t="shared" si="14"/>
        <v>42986.774837962963</v>
      </c>
      <c r="G18" s="242" t="str">
        <f t="shared" si="15"/>
        <v>18:35</v>
      </c>
      <c r="H18" s="33" t="str">
        <f t="shared" si="8"/>
        <v>-</v>
      </c>
      <c r="I18" s="92" t="str">
        <f t="shared" si="9"/>
        <v>-</v>
      </c>
      <c r="J18" s="92" t="str">
        <f t="shared" si="10"/>
        <v>-</v>
      </c>
      <c r="K18" s="93">
        <f t="shared" si="11"/>
        <v>0</v>
      </c>
      <c r="L18" s="93"/>
      <c r="M18" s="94">
        <f t="shared" si="12"/>
        <v>0</v>
      </c>
      <c r="N18" s="129">
        <f t="shared" si="13"/>
        <v>0</v>
      </c>
      <c r="O18" s="243"/>
    </row>
    <row r="20" spans="1:15">
      <c r="D20" s="244"/>
    </row>
    <row r="21" spans="1:15">
      <c r="D21" s="24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21"/>
  <dimension ref="A1:P23"/>
  <sheetViews>
    <sheetView view="pageBreakPreview" topLeftCell="D1" zoomScaleNormal="100" zoomScaleSheetLayoutView="100" workbookViewId="0">
      <selection activeCell="T15" sqref="T15"/>
    </sheetView>
  </sheetViews>
  <sheetFormatPr baseColWidth="10" defaultColWidth="8.83203125" defaultRowHeight="15" outlineLevelCol="1"/>
  <cols>
    <col min="1" max="1" width="5.6640625" hidden="1" customWidth="1" outlineLevel="1"/>
    <col min="2" max="2" width="6.83203125" hidden="1" customWidth="1" outlineLevel="1"/>
    <col min="3" max="3" width="6.5" style="3" hidden="1" customWidth="1" outlineLevel="1"/>
    <col min="4" max="4" width="10.33203125" style="3" customWidth="1" collapsed="1"/>
    <col min="5" max="5" width="15.6640625" style="3" customWidth="1"/>
    <col min="6" max="6" width="7.83203125" style="16" customWidth="1"/>
    <col min="7" max="7" width="8.6640625" style="17" hidden="1" customWidth="1" outlineLevel="1"/>
    <col min="8" max="8" width="11.1640625" style="51" hidden="1" customWidth="1" outlineLevel="1"/>
    <col min="9" max="9" width="10.1640625" style="21" customWidth="1" collapsed="1"/>
    <col min="10" max="10" width="10" style="21" customWidth="1"/>
    <col min="11" max="11" width="2.1640625" style="22" hidden="1" customWidth="1" outlineLevel="1"/>
    <col min="12" max="12" width="5.83203125" style="22" customWidth="1" collapsed="1"/>
    <col min="13" max="14" width="8.1640625" style="22" customWidth="1"/>
    <col min="15" max="15" width="18.6640625" style="28" customWidth="1"/>
    <col min="16" max="16" width="9" style="9"/>
  </cols>
  <sheetData>
    <row r="1" spans="1:16" s="4" customFormat="1" ht="28" thickBot="1">
      <c r="C1" s="5"/>
      <c r="D1" s="6"/>
      <c r="E1" s="6"/>
      <c r="F1" s="10"/>
      <c r="G1" s="11"/>
      <c r="H1" s="12"/>
      <c r="I1" s="13" t="str">
        <f>B9</f>
        <v>yvonne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6" thickBot="1">
      <c r="D3" s="24"/>
      <c r="E3" s="30"/>
      <c r="F3" s="25"/>
      <c r="G3" s="26"/>
      <c r="H3" s="26"/>
      <c r="I3" s="52">
        <f>I6+J6+M6+N6</f>
        <v>47.283333333333331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/>
      <c r="M5" s="119"/>
      <c r="N5" s="119"/>
      <c r="O5" s="120"/>
    </row>
    <row r="6" spans="1:16" ht="16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SUM(I7:I22)</f>
        <v>47.283333333333331</v>
      </c>
      <c r="J6" s="124">
        <f>SUM(J7:J20)</f>
        <v>0</v>
      </c>
      <c r="K6" s="124">
        <f>SUM(K9:K20)</f>
        <v>0</v>
      </c>
      <c r="L6" s="124">
        <f>SUM(L9:L20)</f>
        <v>0</v>
      </c>
      <c r="M6" s="124">
        <f>SUM(M9:M20)</f>
        <v>0</v>
      </c>
      <c r="N6" s="124">
        <f>SUM(N9:N20)</f>
        <v>0</v>
      </c>
      <c r="O6" s="45"/>
    </row>
    <row r="7" spans="1:16" s="63" customFormat="1">
      <c r="A7" s="314">
        <v>5160</v>
      </c>
      <c r="B7" s="314" t="s">
        <v>74</v>
      </c>
      <c r="C7" s="314" t="s">
        <v>74</v>
      </c>
      <c r="D7" s="317" t="s">
        <v>6</v>
      </c>
      <c r="E7" s="318">
        <v>42982.373495370368</v>
      </c>
      <c r="F7" s="104">
        <f>E7</f>
        <v>42982.373495370368</v>
      </c>
      <c r="G7" s="125" t="str">
        <f>HOUR(E7)&amp;":"&amp;MINUTE(E7)</f>
        <v>8:57</v>
      </c>
      <c r="H7" s="33">
        <f t="shared" ref="H7:H20" si="0">IF(D7="上班",(G8-G7)*24,"-")</f>
        <v>9.6333333333333329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:N8" si="3">IF(K7&gt;2,K7-2,0)</f>
        <v>0</v>
      </c>
      <c r="O7" s="164"/>
      <c r="P7" s="18"/>
    </row>
    <row r="8" spans="1:16">
      <c r="A8" s="312">
        <v>5168</v>
      </c>
      <c r="B8" s="312" t="s">
        <v>74</v>
      </c>
      <c r="C8" s="312" t="s">
        <v>74</v>
      </c>
      <c r="D8" s="317" t="s">
        <v>5</v>
      </c>
      <c r="E8" s="318">
        <v>42982.774629629632</v>
      </c>
      <c r="F8" s="104">
        <f t="shared" ref="F8:F20" si="4">E8</f>
        <v>42982.774629629632</v>
      </c>
      <c r="G8" s="125" t="str">
        <f t="shared" ref="G8:G9" si="5">HOUR(E8)&amp;":"&amp;MINUTE(E8)</f>
        <v>18:35</v>
      </c>
      <c r="H8" s="33" t="str">
        <f t="shared" si="0"/>
        <v>-</v>
      </c>
      <c r="I8" s="92" t="str">
        <f t="shared" ref="I8:I20" si="6">IF(D8="上班",IF(H8-1.5&gt;8,8,H8-1.5),"-")</f>
        <v>-</v>
      </c>
      <c r="J8" s="92" t="str">
        <f t="shared" ref="J8:J20" si="7">IF(D8="上班",IF(H8&gt;(8+2),(H8-8-1.5-0.5),"-"),"-")</f>
        <v>-</v>
      </c>
      <c r="K8" s="128">
        <f>IF(D8="加班",(#REF!-G8)*24,0)</f>
        <v>0</v>
      </c>
      <c r="L8" s="128"/>
      <c r="M8" s="129">
        <f t="shared" ref="M8" si="8">IF(K8&gt;2,2,K8)</f>
        <v>0</v>
      </c>
      <c r="N8" s="129">
        <f t="shared" si="3"/>
        <v>0</v>
      </c>
      <c r="O8" s="164"/>
    </row>
    <row r="9" spans="1:16" s="63" customFormat="1">
      <c r="A9" s="314">
        <v>5183</v>
      </c>
      <c r="B9" s="314" t="s">
        <v>74</v>
      </c>
      <c r="C9" s="314" t="s">
        <v>74</v>
      </c>
      <c r="D9" s="317" t="s">
        <v>6</v>
      </c>
      <c r="E9" s="318">
        <v>42983.587708333333</v>
      </c>
      <c r="F9" s="104">
        <f t="shared" si="4"/>
        <v>42983.587708333333</v>
      </c>
      <c r="G9" s="125" t="str">
        <f t="shared" si="5"/>
        <v>14:6</v>
      </c>
      <c r="H9" s="33">
        <f t="shared" si="0"/>
        <v>4.6333333333333329</v>
      </c>
      <c r="I9" s="92">
        <f>IF(D9="上班",IF(H9-1.5&gt;8,8,H9-1.5),"-")+1.5</f>
        <v>4.6333333333333329</v>
      </c>
      <c r="J9" s="92" t="str">
        <f t="shared" si="7"/>
        <v>-</v>
      </c>
      <c r="K9" s="128">
        <f>IF(D9="加班",(#REF!-G9)*24,0)</f>
        <v>0</v>
      </c>
      <c r="L9" s="128"/>
      <c r="M9" s="129">
        <f t="shared" ref="M9:M20" si="9">IF(K9&gt;2,2,K9)</f>
        <v>0</v>
      </c>
      <c r="N9" s="129">
        <f t="shared" ref="N9:N20" si="10">IF(K9&gt;2,K9-2,0)</f>
        <v>0</v>
      </c>
      <c r="O9" s="164"/>
      <c r="P9" s="18"/>
    </row>
    <row r="10" spans="1:16">
      <c r="A10" s="312">
        <v>5197</v>
      </c>
      <c r="B10" s="312" t="s">
        <v>74</v>
      </c>
      <c r="C10" s="312" t="s">
        <v>74</v>
      </c>
      <c r="D10" s="317" t="s">
        <v>5</v>
      </c>
      <c r="E10" s="318">
        <v>42983.780925925923</v>
      </c>
      <c r="F10" s="104">
        <f t="shared" si="4"/>
        <v>42983.780925925923</v>
      </c>
      <c r="G10" s="125" t="str">
        <f t="shared" ref="G10:G20" si="11">HOUR(E10)&amp;":"&amp;MINUTE(E10)</f>
        <v>18:44</v>
      </c>
      <c r="H10" s="33" t="str">
        <f t="shared" si="0"/>
        <v>-</v>
      </c>
      <c r="I10" s="92" t="str">
        <f t="shared" si="6"/>
        <v>-</v>
      </c>
      <c r="J10" s="92" t="str">
        <f t="shared" si="7"/>
        <v>-</v>
      </c>
      <c r="K10" s="128">
        <f>IF(D10="加班",(#REF!-G10)*24,0)</f>
        <v>0</v>
      </c>
      <c r="L10" s="128"/>
      <c r="M10" s="129">
        <f t="shared" si="9"/>
        <v>0</v>
      </c>
      <c r="N10" s="129">
        <f t="shared" si="10"/>
        <v>0</v>
      </c>
      <c r="O10" s="164"/>
    </row>
    <row r="11" spans="1:16">
      <c r="A11" s="312">
        <v>5212</v>
      </c>
      <c r="B11" s="312" t="s">
        <v>74</v>
      </c>
      <c r="C11" s="312" t="s">
        <v>74</v>
      </c>
      <c r="D11" s="317" t="s">
        <v>6</v>
      </c>
      <c r="E11" s="318">
        <v>42984.434351851851</v>
      </c>
      <c r="F11" s="104">
        <f t="shared" si="4"/>
        <v>42984.434351851851</v>
      </c>
      <c r="G11" s="125" t="str">
        <f t="shared" si="11"/>
        <v>10:25</v>
      </c>
      <c r="H11" s="33">
        <f t="shared" si="0"/>
        <v>8.2666666666666675</v>
      </c>
      <c r="I11" s="92">
        <f t="shared" si="6"/>
        <v>6.7666666666666675</v>
      </c>
      <c r="J11" s="92" t="str">
        <f t="shared" si="7"/>
        <v>-</v>
      </c>
      <c r="K11" s="128">
        <f>IF(D11="加班",(#REF!-G11)*24,0)</f>
        <v>0</v>
      </c>
      <c r="L11" s="128"/>
      <c r="M11" s="129">
        <f t="shared" si="9"/>
        <v>0</v>
      </c>
      <c r="N11" s="129">
        <f t="shared" si="10"/>
        <v>0</v>
      </c>
      <c r="O11" s="164"/>
    </row>
    <row r="12" spans="1:16">
      <c r="A12" s="312">
        <v>5222</v>
      </c>
      <c r="B12" s="312" t="s">
        <v>74</v>
      </c>
      <c r="C12" s="312" t="s">
        <v>74</v>
      </c>
      <c r="D12" s="317" t="s">
        <v>5</v>
      </c>
      <c r="E12" s="318">
        <v>42984.778622685182</v>
      </c>
      <c r="F12" s="104">
        <f t="shared" si="4"/>
        <v>42984.778622685182</v>
      </c>
      <c r="G12" s="125" t="str">
        <f t="shared" si="11"/>
        <v>18:41</v>
      </c>
      <c r="H12" s="33" t="str">
        <f t="shared" si="0"/>
        <v>-</v>
      </c>
      <c r="I12" s="92" t="str">
        <f t="shared" si="6"/>
        <v>-</v>
      </c>
      <c r="J12" s="92" t="str">
        <f t="shared" si="7"/>
        <v>-</v>
      </c>
      <c r="K12" s="128">
        <f>IF(D12="加班",(#REF!-G12)*24,0)</f>
        <v>0</v>
      </c>
      <c r="L12" s="128"/>
      <c r="M12" s="129">
        <f t="shared" si="9"/>
        <v>0</v>
      </c>
      <c r="N12" s="129">
        <f t="shared" si="10"/>
        <v>0</v>
      </c>
      <c r="O12" s="164"/>
    </row>
    <row r="13" spans="1:16">
      <c r="A13" s="312">
        <v>5234</v>
      </c>
      <c r="B13" s="312" t="s">
        <v>74</v>
      </c>
      <c r="C13" s="312" t="s">
        <v>74</v>
      </c>
      <c r="D13" s="317" t="s">
        <v>6</v>
      </c>
      <c r="E13" s="318">
        <v>42985.58697916667</v>
      </c>
      <c r="F13" s="104">
        <f t="shared" si="4"/>
        <v>42985.58697916667</v>
      </c>
      <c r="G13" s="125" t="str">
        <f t="shared" si="11"/>
        <v>14:5</v>
      </c>
      <c r="H13" s="33">
        <f t="shared" si="0"/>
        <v>4.4666666666666668</v>
      </c>
      <c r="I13" s="92">
        <f>IF(D13="上班",IF(H13-1.5&gt;8,8,H13-1.5),"-")+1.5</f>
        <v>4.4666666666666668</v>
      </c>
      <c r="J13" s="92" t="str">
        <f t="shared" si="7"/>
        <v>-</v>
      </c>
      <c r="K13" s="128">
        <f>IF(D13="加班",(#REF!-G13)*24,0)</f>
        <v>0</v>
      </c>
      <c r="L13" s="128"/>
      <c r="M13" s="129">
        <f t="shared" si="9"/>
        <v>0</v>
      </c>
      <c r="N13" s="129">
        <f t="shared" si="10"/>
        <v>0</v>
      </c>
      <c r="O13" s="164"/>
    </row>
    <row r="14" spans="1:16">
      <c r="A14" s="312">
        <v>5243</v>
      </c>
      <c r="B14" s="312" t="s">
        <v>74</v>
      </c>
      <c r="C14" s="312" t="s">
        <v>74</v>
      </c>
      <c r="D14" s="317" t="s">
        <v>5</v>
      </c>
      <c r="E14" s="318">
        <v>42985.773564814815</v>
      </c>
      <c r="F14" s="104">
        <f t="shared" si="4"/>
        <v>42985.773564814815</v>
      </c>
      <c r="G14" s="125" t="str">
        <f t="shared" si="11"/>
        <v>18:33</v>
      </c>
      <c r="H14" s="33" t="str">
        <f t="shared" si="0"/>
        <v>-</v>
      </c>
      <c r="I14" s="92" t="str">
        <f t="shared" si="6"/>
        <v>-</v>
      </c>
      <c r="J14" s="92" t="str">
        <f t="shared" si="7"/>
        <v>-</v>
      </c>
      <c r="K14" s="128">
        <f>IF(D14="加班",(#REF!-G14)*24,0)</f>
        <v>0</v>
      </c>
      <c r="L14" s="128"/>
      <c r="M14" s="129">
        <f t="shared" si="9"/>
        <v>0</v>
      </c>
      <c r="N14" s="129">
        <f t="shared" si="10"/>
        <v>0</v>
      </c>
      <c r="O14" s="164"/>
    </row>
    <row r="15" spans="1:16">
      <c r="A15" s="312">
        <v>5262</v>
      </c>
      <c r="B15" s="312" t="s">
        <v>74</v>
      </c>
      <c r="C15" s="312" t="s">
        <v>74</v>
      </c>
      <c r="D15" s="317" t="s">
        <v>6</v>
      </c>
      <c r="E15" s="318">
        <v>42986.37400462963</v>
      </c>
      <c r="F15" s="104">
        <f t="shared" si="4"/>
        <v>42986.37400462963</v>
      </c>
      <c r="G15" s="125" t="str">
        <f t="shared" si="11"/>
        <v>8:58</v>
      </c>
      <c r="H15" s="33">
        <f t="shared" si="0"/>
        <v>9.7166666666666668</v>
      </c>
      <c r="I15" s="92">
        <f t="shared" si="6"/>
        <v>8</v>
      </c>
      <c r="J15" s="92" t="str">
        <f t="shared" si="7"/>
        <v>-</v>
      </c>
      <c r="K15" s="128">
        <f>IF(D15="加班",(#REF!-G15)*24,0)</f>
        <v>0</v>
      </c>
      <c r="L15" s="128"/>
      <c r="M15" s="129">
        <f t="shared" si="9"/>
        <v>0</v>
      </c>
      <c r="N15" s="129">
        <f t="shared" si="10"/>
        <v>0</v>
      </c>
      <c r="O15" s="164"/>
    </row>
    <row r="16" spans="1:16">
      <c r="A16" s="312">
        <v>5267</v>
      </c>
      <c r="B16" s="312" t="s">
        <v>74</v>
      </c>
      <c r="C16" s="312" t="s">
        <v>74</v>
      </c>
      <c r="D16" s="317" t="s">
        <v>5</v>
      </c>
      <c r="E16" s="318">
        <v>42986.778564814813</v>
      </c>
      <c r="F16" s="104">
        <f t="shared" si="4"/>
        <v>42986.778564814813</v>
      </c>
      <c r="G16" s="125" t="str">
        <f t="shared" si="11"/>
        <v>18:41</v>
      </c>
      <c r="H16" s="33" t="str">
        <f t="shared" si="0"/>
        <v>-</v>
      </c>
      <c r="I16" s="92" t="str">
        <f t="shared" si="6"/>
        <v>-</v>
      </c>
      <c r="J16" s="92" t="str">
        <f t="shared" si="7"/>
        <v>-</v>
      </c>
      <c r="K16" s="128">
        <f>IF(D16="加班",(#REF!-G16)*24,0)</f>
        <v>0</v>
      </c>
      <c r="L16" s="128"/>
      <c r="M16" s="129">
        <f t="shared" si="9"/>
        <v>0</v>
      </c>
      <c r="N16" s="129">
        <f t="shared" si="10"/>
        <v>0</v>
      </c>
      <c r="O16" s="164"/>
    </row>
    <row r="17" spans="1:16">
      <c r="A17" s="313">
        <v>5262</v>
      </c>
      <c r="B17" s="313" t="s">
        <v>74</v>
      </c>
      <c r="C17" s="313" t="s">
        <v>74</v>
      </c>
      <c r="D17" s="319" t="s">
        <v>6</v>
      </c>
      <c r="E17" s="320">
        <v>42993.375393518516</v>
      </c>
      <c r="F17" s="104">
        <f t="shared" si="4"/>
        <v>42993.375393518516</v>
      </c>
      <c r="G17" s="125" t="str">
        <f t="shared" si="11"/>
        <v>9:0</v>
      </c>
      <c r="H17" s="33">
        <f t="shared" si="0"/>
        <v>9.5</v>
      </c>
      <c r="I17" s="92">
        <f t="shared" si="6"/>
        <v>8</v>
      </c>
      <c r="J17" s="92" t="str">
        <f t="shared" si="7"/>
        <v>-</v>
      </c>
      <c r="K17" s="128">
        <f>IF(D17="加班",(#REF!-G17)*24,0)</f>
        <v>0</v>
      </c>
      <c r="L17" s="128"/>
      <c r="M17" s="129">
        <f t="shared" si="9"/>
        <v>0</v>
      </c>
      <c r="N17" s="129">
        <f t="shared" si="10"/>
        <v>0</v>
      </c>
      <c r="O17" s="164"/>
    </row>
    <row r="18" spans="1:16">
      <c r="A18" s="313">
        <v>5267</v>
      </c>
      <c r="B18" s="313" t="s">
        <v>74</v>
      </c>
      <c r="C18" s="313" t="s">
        <v>74</v>
      </c>
      <c r="D18" s="319" t="s">
        <v>5</v>
      </c>
      <c r="E18" s="320">
        <v>42993.770925925928</v>
      </c>
      <c r="F18" s="104">
        <f t="shared" si="4"/>
        <v>42993.770925925928</v>
      </c>
      <c r="G18" s="125" t="str">
        <f t="shared" si="11"/>
        <v>18:30</v>
      </c>
      <c r="H18" s="33" t="str">
        <f t="shared" si="0"/>
        <v>-</v>
      </c>
      <c r="I18" s="92" t="str">
        <f t="shared" si="6"/>
        <v>-</v>
      </c>
      <c r="J18" s="92" t="str">
        <f t="shared" si="7"/>
        <v>-</v>
      </c>
      <c r="K18" s="128">
        <f>IF(D18="加班",(#REF!-G18)*24,0)</f>
        <v>0</v>
      </c>
      <c r="L18" s="128"/>
      <c r="M18" s="129">
        <f t="shared" si="9"/>
        <v>0</v>
      </c>
      <c r="N18" s="129">
        <f t="shared" si="10"/>
        <v>0</v>
      </c>
      <c r="O18" s="164"/>
    </row>
    <row r="19" spans="1:16">
      <c r="A19" s="313">
        <v>5262</v>
      </c>
      <c r="B19" s="313" t="s">
        <v>74</v>
      </c>
      <c r="C19" s="313" t="s">
        <v>74</v>
      </c>
      <c r="D19" s="319" t="s">
        <v>6</v>
      </c>
      <c r="E19" s="320">
        <v>43008.358032407406</v>
      </c>
      <c r="F19" s="104">
        <f t="shared" si="4"/>
        <v>43008.358032407406</v>
      </c>
      <c r="G19" s="125" t="str">
        <f t="shared" si="11"/>
        <v>8:35</v>
      </c>
      <c r="H19" s="33">
        <f t="shared" si="0"/>
        <v>8.9166666666666661</v>
      </c>
      <c r="I19" s="92">
        <f t="shared" si="6"/>
        <v>7.4166666666666661</v>
      </c>
      <c r="J19" s="92" t="str">
        <f t="shared" si="7"/>
        <v>-</v>
      </c>
      <c r="K19" s="128">
        <f>IF(D19="加班",(#REF!-G19)*24,0)</f>
        <v>0</v>
      </c>
      <c r="L19" s="128"/>
      <c r="M19" s="129">
        <f t="shared" si="9"/>
        <v>0</v>
      </c>
      <c r="N19" s="129">
        <f t="shared" si="10"/>
        <v>0</v>
      </c>
      <c r="O19" s="164"/>
    </row>
    <row r="20" spans="1:16">
      <c r="A20" s="313">
        <v>5267</v>
      </c>
      <c r="B20" s="313" t="s">
        <v>74</v>
      </c>
      <c r="C20" s="313" t="s">
        <v>74</v>
      </c>
      <c r="D20" s="319" t="s">
        <v>5</v>
      </c>
      <c r="E20" s="320">
        <v>43008.729259259257</v>
      </c>
      <c r="F20" s="104">
        <f t="shared" si="4"/>
        <v>43008.729259259257</v>
      </c>
      <c r="G20" s="125" t="str">
        <f t="shared" si="11"/>
        <v>17:30</v>
      </c>
      <c r="H20" s="33" t="str">
        <f t="shared" si="0"/>
        <v>-</v>
      </c>
      <c r="I20" s="92" t="str">
        <f t="shared" si="6"/>
        <v>-</v>
      </c>
      <c r="J20" s="92" t="str">
        <f t="shared" si="7"/>
        <v>-</v>
      </c>
      <c r="K20" s="128">
        <f>IF(D20="加班",(#REF!-G20)*24,0)</f>
        <v>0</v>
      </c>
      <c r="L20" s="128"/>
      <c r="M20" s="129">
        <f t="shared" si="9"/>
        <v>0</v>
      </c>
      <c r="N20" s="129">
        <f t="shared" si="10"/>
        <v>0</v>
      </c>
      <c r="O20" s="164"/>
    </row>
    <row r="22" spans="1:16" s="3" customFormat="1">
      <c r="A22"/>
      <c r="B22"/>
      <c r="D22" s="178"/>
      <c r="F22" s="16"/>
      <c r="G22" s="17"/>
      <c r="H22" s="51"/>
      <c r="I22" s="21"/>
      <c r="J22" s="21"/>
      <c r="K22" s="22"/>
      <c r="L22" s="22"/>
      <c r="M22" s="22"/>
      <c r="N22" s="22"/>
      <c r="O22" s="28"/>
      <c r="P22" s="9"/>
    </row>
    <row r="23" spans="1:16" s="3" customFormat="1">
      <c r="A23"/>
      <c r="B23"/>
      <c r="D23" s="178"/>
      <c r="F23" s="16"/>
      <c r="G23" s="17"/>
      <c r="H23" s="51"/>
      <c r="I23" s="21"/>
      <c r="J23" s="21"/>
      <c r="K23" s="22"/>
      <c r="L23" s="22"/>
      <c r="M23" s="22"/>
      <c r="N23" s="22"/>
      <c r="O23" s="28"/>
      <c r="P23" s="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2"/>
  <dimension ref="A1:P8"/>
  <sheetViews>
    <sheetView topLeftCell="D1" zoomScaleNormal="100" workbookViewId="0">
      <selection sqref="A1:E467"/>
    </sheetView>
  </sheetViews>
  <sheetFormatPr baseColWidth="10" defaultColWidth="8.83203125" defaultRowHeight="15" outlineLevelCol="1"/>
  <cols>
    <col min="1" max="1" width="5.6640625" hidden="1" customWidth="1" outlineLevel="1"/>
    <col min="2" max="2" width="6.83203125" hidden="1" customWidth="1" outlineLevel="1"/>
    <col min="3" max="3" width="6.5" style="3" hidden="1" customWidth="1" outlineLevel="1"/>
    <col min="4" max="4" width="8.5" style="3" customWidth="1" collapsed="1"/>
    <col min="5" max="5" width="15.6640625" style="3" customWidth="1"/>
    <col min="6" max="6" width="5.6640625" style="16" customWidth="1"/>
    <col min="7" max="7" width="8.6640625" style="17" hidden="1" customWidth="1" outlineLevel="1"/>
    <col min="8" max="8" width="11.1640625" style="51" hidden="1" customWidth="1" outlineLevel="1"/>
    <col min="9" max="9" width="10.1640625" style="21" customWidth="1" collapsed="1"/>
    <col min="10" max="10" width="10" style="21" customWidth="1"/>
    <col min="11" max="11" width="8.33203125" style="22" hidden="1" customWidth="1" outlineLevel="1"/>
    <col min="12" max="12" width="6.5" style="22" customWidth="1" collapsed="1"/>
    <col min="13" max="14" width="8.1640625" style="22" customWidth="1"/>
    <col min="15" max="15" width="18.6640625" style="28" customWidth="1"/>
    <col min="16" max="16" width="9" style="9"/>
  </cols>
  <sheetData>
    <row r="1" spans="1:16" s="4" customFormat="1" ht="28" thickBot="1">
      <c r="C1" s="5"/>
      <c r="D1" s="6"/>
      <c r="E1" s="6"/>
      <c r="F1" s="10"/>
      <c r="G1" s="11"/>
      <c r="H1" s="12"/>
      <c r="I1" s="13" t="str">
        <f>B7</f>
        <v>B6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6" thickBot="1">
      <c r="D3" s="24"/>
      <c r="E3" s="30"/>
      <c r="F3" s="25"/>
      <c r="G3" s="26"/>
      <c r="H3" s="26"/>
      <c r="I3" s="52">
        <f>I6+J6</f>
        <v>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6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SUM(I7:I22)</f>
        <v>0</v>
      </c>
      <c r="J6" s="78">
        <f>SUM(J7:J24)</f>
        <v>3</v>
      </c>
      <c r="K6" s="124">
        <f>SUM(K7:K22)</f>
        <v>0</v>
      </c>
      <c r="L6" s="124">
        <f>SUM(L7:L22)</f>
        <v>0</v>
      </c>
      <c r="M6" s="124">
        <f>SUM(M7:M22)</f>
        <v>0</v>
      </c>
      <c r="N6" s="124">
        <f>SUM(N7:N22)</f>
        <v>0</v>
      </c>
      <c r="O6" s="45"/>
    </row>
    <row r="7" spans="1:16" s="16" customFormat="1">
      <c r="A7" s="145">
        <v>1857</v>
      </c>
      <c r="B7" s="148" t="s">
        <v>58</v>
      </c>
      <c r="C7" s="151" t="s">
        <v>59</v>
      </c>
      <c r="D7" s="138" t="s">
        <v>6</v>
      </c>
      <c r="E7" s="146">
        <v>42879</v>
      </c>
      <c r="F7" s="31">
        <f t="shared" ref="F7:F8" si="0">E7</f>
        <v>42879</v>
      </c>
      <c r="G7" s="32" t="str">
        <f t="shared" ref="G7:G8" si="1">HOUR(E7)&amp;":"&amp;MINUTE(E7)</f>
        <v>0:0</v>
      </c>
      <c r="H7" s="33">
        <f t="shared" ref="H7" si="2">IF(D7="上班",(G8-G7)*24,"-")</f>
        <v>0</v>
      </c>
      <c r="I7" s="58">
        <v>0</v>
      </c>
      <c r="J7" s="58">
        <v>3</v>
      </c>
      <c r="K7" s="34">
        <f t="shared" ref="K7" si="3">IF(D7="加班",(G8-G7)*24,0)</f>
        <v>0</v>
      </c>
      <c r="L7" s="34"/>
      <c r="M7" s="35">
        <f t="shared" ref="M7:M8" si="4">IF(K7&gt;2,2,K7)</f>
        <v>0</v>
      </c>
      <c r="N7" s="35">
        <f t="shared" ref="N7:N8" si="5">IF(K7&gt;2,K7-2,0)</f>
        <v>0</v>
      </c>
      <c r="O7" s="36" t="s">
        <v>55</v>
      </c>
      <c r="P7" s="137"/>
    </row>
    <row r="8" spans="1:16" s="16" customFormat="1">
      <c r="A8" s="145">
        <v>1864</v>
      </c>
      <c r="B8" s="148" t="s">
        <v>58</v>
      </c>
      <c r="C8" s="151" t="s">
        <v>59</v>
      </c>
      <c r="D8" s="138" t="s">
        <v>5</v>
      </c>
      <c r="E8" s="146">
        <v>42879</v>
      </c>
      <c r="F8" s="31">
        <f t="shared" si="0"/>
        <v>42879</v>
      </c>
      <c r="G8" s="32" t="str">
        <f t="shared" si="1"/>
        <v>0:0</v>
      </c>
      <c r="H8" s="33" t="str">
        <f>IF(D8="上班",(#REF!-G8)*24,"-")</f>
        <v>-</v>
      </c>
      <c r="I8" s="58" t="str">
        <f>IF(D8="上班",IF(H8-1.5&gt;8,8,H8-1.5),"-")</f>
        <v>-</v>
      </c>
      <c r="J8" s="58"/>
      <c r="K8" s="34">
        <f>IF(D8="加班",(#REF!-G8)*24,0)</f>
        <v>0</v>
      </c>
      <c r="L8" s="34"/>
      <c r="M8" s="35">
        <f t="shared" si="4"/>
        <v>0</v>
      </c>
      <c r="N8" s="35">
        <f t="shared" si="5"/>
        <v>0</v>
      </c>
      <c r="O8" s="36"/>
      <c r="P8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工作表23"/>
  <dimension ref="A1:P9"/>
  <sheetViews>
    <sheetView topLeftCell="D1" workbookViewId="0">
      <selection sqref="A1:E467"/>
    </sheetView>
  </sheetViews>
  <sheetFormatPr baseColWidth="10" defaultColWidth="8.83203125" defaultRowHeight="15" outlineLevelCol="1"/>
  <cols>
    <col min="1" max="1" width="4.6640625" hidden="1" customWidth="1" outlineLevel="1"/>
    <col min="2" max="2" width="6.83203125" hidden="1" customWidth="1" outlineLevel="1"/>
    <col min="3" max="3" width="6.5" style="3" hidden="1" customWidth="1" outlineLevel="1"/>
    <col min="4" max="4" width="9" style="3" collapsed="1"/>
    <col min="5" max="5" width="16" style="3" customWidth="1"/>
    <col min="6" max="6" width="5.6640625" style="16" customWidth="1"/>
    <col min="7" max="7" width="8.6640625" style="17" hidden="1" customWidth="1" outlineLevel="1"/>
    <col min="8" max="8" width="11.1640625" style="51" hidden="1" customWidth="1" outlineLevel="1"/>
    <col min="9" max="9" width="10.164062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5.6640625" style="22" customWidth="1"/>
    <col min="14" max="14" width="8.6640625" style="22" customWidth="1"/>
    <col min="15" max="15" width="19.1640625" style="28" customWidth="1"/>
    <col min="16" max="16" width="9" style="9"/>
  </cols>
  <sheetData>
    <row r="1" spans="1:16" s="4" customFormat="1" ht="28" thickBot="1">
      <c r="C1" s="5"/>
      <c r="D1" s="6"/>
      <c r="E1" s="6"/>
      <c r="F1" s="10"/>
      <c r="G1" s="11"/>
      <c r="H1" s="12"/>
      <c r="I1" s="13" t="str">
        <f>B7</f>
        <v>TL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131"/>
      <c r="F2" s="132" t="s">
        <v>29</v>
      </c>
      <c r="G2" s="80"/>
      <c r="H2" s="80"/>
      <c r="I2" s="81" t="s">
        <v>25</v>
      </c>
      <c r="J2" s="81"/>
      <c r="K2" s="82"/>
      <c r="L2" s="83"/>
      <c r="M2" s="84"/>
      <c r="N2" s="84"/>
      <c r="O2" s="85" t="s">
        <v>28</v>
      </c>
    </row>
    <row r="3" spans="1:16" ht="16" thickBot="1">
      <c r="D3" s="24"/>
      <c r="E3" s="30"/>
      <c r="F3" s="25"/>
      <c r="G3" s="26"/>
      <c r="H3" s="26"/>
      <c r="I3" s="52">
        <f>I6+J6</f>
        <v>3.2166666666666659</v>
      </c>
      <c r="J3" s="54"/>
      <c r="K3" s="53"/>
      <c r="L3" s="53"/>
      <c r="M3" s="53"/>
      <c r="N3" s="53"/>
      <c r="O3" s="50"/>
    </row>
    <row r="4" spans="1:16">
      <c r="D4" s="37"/>
      <c r="E4" s="38"/>
      <c r="F4" s="96"/>
      <c r="G4" s="70"/>
      <c r="H4" s="70"/>
      <c r="I4" s="97" t="s">
        <v>34</v>
      </c>
      <c r="J4" s="97"/>
      <c r="K4" s="97"/>
      <c r="L4" s="97"/>
      <c r="M4" s="97"/>
      <c r="N4" s="97"/>
      <c r="O4" s="98"/>
    </row>
    <row r="5" spans="1:16">
      <c r="D5" s="40"/>
      <c r="E5" s="7"/>
      <c r="F5" s="99" t="s">
        <v>27</v>
      </c>
      <c r="G5" s="72"/>
      <c r="H5" s="72"/>
      <c r="I5" s="100" t="s">
        <v>24</v>
      </c>
      <c r="J5" s="100" t="s">
        <v>42</v>
      </c>
      <c r="K5" s="100"/>
      <c r="L5" s="100"/>
      <c r="M5" s="101"/>
      <c r="N5" s="101"/>
      <c r="O5" s="102"/>
    </row>
    <row r="6" spans="1:16" ht="16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23</v>
      </c>
      <c r="I6" s="78">
        <f>SUM(I7:I40)</f>
        <v>3.2166666666666659</v>
      </c>
      <c r="J6" s="78">
        <f>SUM(J7:J40)</f>
        <v>0</v>
      </c>
      <c r="K6" s="78"/>
      <c r="L6" s="78"/>
      <c r="M6" s="44"/>
      <c r="N6" s="44"/>
      <c r="O6" s="45"/>
    </row>
    <row r="7" spans="1:16" s="2" customFormat="1">
      <c r="A7" s="140">
        <v>1791</v>
      </c>
      <c r="B7" s="140" t="s">
        <v>57</v>
      </c>
      <c r="C7" t="s">
        <v>16</v>
      </c>
      <c r="D7" s="141" t="s">
        <v>6</v>
      </c>
      <c r="E7" s="142">
        <v>42748.428356481483</v>
      </c>
      <c r="F7" s="89">
        <f>E7</f>
        <v>42748.428356481483</v>
      </c>
      <c r="G7" s="90" t="str">
        <f>HOUR(E7)&amp;":"&amp;MINUTE(E7)</f>
        <v>10:16</v>
      </c>
      <c r="H7" s="91">
        <f t="shared" ref="H7" si="0">IF(D7="上班",(G8-G7)*24,"-")</f>
        <v>4.7166666666666659</v>
      </c>
      <c r="I7" s="91">
        <f t="shared" ref="I7" si="1">IF(D7="上班",IF(H7-1.5&gt;8,8,H7-1.5),"-")</f>
        <v>3.2166666666666659</v>
      </c>
      <c r="J7" s="91"/>
      <c r="K7" s="93"/>
      <c r="L7" s="93"/>
      <c r="M7" s="94"/>
      <c r="N7" s="94"/>
      <c r="O7" s="171"/>
      <c r="P7" s="8"/>
    </row>
    <row r="8" spans="1:16">
      <c r="A8" s="140">
        <v>1793</v>
      </c>
      <c r="B8" s="140" t="s">
        <v>16</v>
      </c>
      <c r="C8" t="s">
        <v>16</v>
      </c>
      <c r="D8" s="143" t="s">
        <v>5</v>
      </c>
      <c r="E8" s="144">
        <v>42748.62431712963</v>
      </c>
      <c r="F8" s="89">
        <f t="shared" ref="F8" si="2">E8</f>
        <v>42748.62431712963</v>
      </c>
      <c r="G8" s="90" t="str">
        <f t="shared" ref="G8" si="3">HOUR(E8)&amp;":"&amp;MINUTE(E8)</f>
        <v>14:59</v>
      </c>
      <c r="H8" s="91" t="str">
        <f>IF(D8="上班",(#REF!-G8)*24,"-")</f>
        <v>-</v>
      </c>
      <c r="I8" s="91" t="str">
        <f t="shared" ref="I8" si="4">IF(D8="上班",IF(H8-1.5&gt;8,8,H8-1.5),"-")</f>
        <v>-</v>
      </c>
      <c r="J8" s="91"/>
      <c r="K8" s="93"/>
      <c r="L8" s="93"/>
      <c r="M8" s="94"/>
      <c r="N8" s="94"/>
      <c r="O8" s="95"/>
    </row>
    <row r="9" spans="1:16">
      <c r="C9"/>
      <c r="D9"/>
      <c r="E9" s="1"/>
    </row>
  </sheetData>
  <phoneticPr fontId="18" type="noConversion"/>
  <printOptions horizontalCentered="1"/>
  <pageMargins left="0.19685039370078741" right="3.937007874015748E-2" top="0.74803149606299213" bottom="0.74803149606299213" header="0.31496062992125984" footer="0.31496062992125984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工作表24"/>
  <dimension ref="A1:P16"/>
  <sheetViews>
    <sheetView topLeftCell="D1" workbookViewId="0">
      <selection sqref="A1:E467"/>
    </sheetView>
  </sheetViews>
  <sheetFormatPr baseColWidth="10" defaultColWidth="8.83203125" defaultRowHeight="15" outlineLevelCol="1"/>
  <cols>
    <col min="1" max="1" width="5.6640625" hidden="1" customWidth="1" outlineLevel="1"/>
    <col min="2" max="2" width="6.83203125" hidden="1" customWidth="1" outlineLevel="1"/>
    <col min="3" max="3" width="6.5" style="3" hidden="1" customWidth="1" outlineLevel="1"/>
    <col min="4" max="4" width="9" style="3" collapsed="1"/>
    <col min="5" max="5" width="18" style="3" customWidth="1"/>
    <col min="6" max="6" width="5.6640625" style="16" customWidth="1"/>
    <col min="7" max="7" width="8.6640625" style="17" hidden="1" customWidth="1" outlineLevel="1"/>
    <col min="8" max="8" width="11.1640625" style="51" hidden="1" customWidth="1" outlineLevel="1"/>
    <col min="9" max="9" width="10.1640625" style="21" customWidth="1" collapsed="1"/>
    <col min="10" max="10" width="9" style="21" customWidth="1"/>
    <col min="11" max="11" width="8.33203125" style="22" hidden="1" customWidth="1" outlineLevel="1"/>
    <col min="12" max="12" width="6.1640625" style="22" customWidth="1" collapsed="1"/>
    <col min="13" max="13" width="6.6640625" style="22" customWidth="1"/>
    <col min="14" max="14" width="8.6640625" style="22" customWidth="1"/>
    <col min="15" max="15" width="14.5" style="28" customWidth="1"/>
    <col min="16" max="16" width="9" style="9"/>
  </cols>
  <sheetData>
    <row r="1" spans="1:16" s="4" customFormat="1" ht="28" thickBot="1">
      <c r="C1" s="5"/>
      <c r="D1" s="6"/>
      <c r="E1" s="6"/>
      <c r="F1" s="10"/>
      <c r="G1" s="11"/>
      <c r="H1" s="12"/>
      <c r="I1" s="13" t="s">
        <v>53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6" thickBot="1">
      <c r="D3" s="24"/>
      <c r="E3" s="30"/>
      <c r="F3" s="25"/>
      <c r="G3" s="26"/>
      <c r="H3" s="26"/>
      <c r="I3" s="52">
        <f>I6+J6</f>
        <v>15.166666666666666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6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SUM(I7:I41)</f>
        <v>3.1666666666666661</v>
      </c>
      <c r="J6" s="78">
        <f>SUM(J7:J55)</f>
        <v>12</v>
      </c>
      <c r="K6" s="124">
        <f>SUM(K13:K41)</f>
        <v>0</v>
      </c>
      <c r="L6" s="124">
        <f>SUM(L13:L41)</f>
        <v>0</v>
      </c>
      <c r="M6" s="124">
        <f>SUM(M13:M41)</f>
        <v>0</v>
      </c>
      <c r="N6" s="124">
        <f>SUM(N13:N41)</f>
        <v>0</v>
      </c>
      <c r="O6" s="45"/>
    </row>
    <row r="7" spans="1:16" s="2" customFormat="1">
      <c r="A7" s="140">
        <v>1809</v>
      </c>
      <c r="B7" s="140" t="s">
        <v>38</v>
      </c>
      <c r="C7" s="140" t="s">
        <v>38</v>
      </c>
      <c r="D7" s="141" t="s">
        <v>6</v>
      </c>
      <c r="E7" s="142">
        <v>42706.412881944445</v>
      </c>
      <c r="F7" s="104">
        <f t="shared" ref="F7" si="0">E7</f>
        <v>42706.412881944445</v>
      </c>
      <c r="G7" s="125" t="str">
        <f>HOUR(E7)&amp;":"&amp;MINUTE(E7)</f>
        <v>9:54</v>
      </c>
      <c r="H7" s="126">
        <f t="shared" ref="H7" si="1">IF(D7="上班",(G8-G7)*24,"-")</f>
        <v>0.2333333333333325</v>
      </c>
      <c r="I7" s="92">
        <f>IF(D7="上班",IF(H7-1.5&gt;8,8,H7-1.5),"-")+1.5</f>
        <v>0.2333333333333325</v>
      </c>
      <c r="J7" s="92"/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36"/>
      <c r="P7" s="8"/>
    </row>
    <row r="8" spans="1:16">
      <c r="A8" s="140">
        <v>1810</v>
      </c>
      <c r="B8" s="140" t="s">
        <v>38</v>
      </c>
      <c r="C8" s="140" t="s">
        <v>38</v>
      </c>
      <c r="D8" s="143" t="s">
        <v>5</v>
      </c>
      <c r="E8" s="144">
        <v>42706.422777777778</v>
      </c>
      <c r="F8" s="104">
        <f t="shared" ref="F8:F12" si="5">E8</f>
        <v>42706.422777777778</v>
      </c>
      <c r="G8" s="125" t="str">
        <f t="shared" ref="G8:G12" si="6">HOUR(E8)&amp;":"&amp;MINUTE(E8)</f>
        <v>10:8</v>
      </c>
      <c r="H8" s="126" t="str">
        <f>IF(D8="上班",(G11-G8)*24,"-")</f>
        <v>-</v>
      </c>
      <c r="I8" s="92" t="str">
        <f>IF(D8="上班",IF(H8-1.5&gt;8,8,H8-1.5),"-")</f>
        <v>-</v>
      </c>
      <c r="J8" s="92"/>
      <c r="K8" s="93">
        <f>IF(D8="加班",(G11-G8)*24,0)</f>
        <v>0</v>
      </c>
      <c r="L8" s="93"/>
      <c r="M8" s="94">
        <f t="shared" ref="M8:M12" si="7">IF(K8&gt;2,2,K8)</f>
        <v>0</v>
      </c>
      <c r="N8" s="94">
        <f t="shared" ref="N8:N12" si="8">IF(K8&gt;2,K8-2,0)</f>
        <v>0</v>
      </c>
      <c r="O8" s="36"/>
    </row>
    <row r="9" spans="1:16" s="16" customFormat="1">
      <c r="A9" s="145">
        <v>1857</v>
      </c>
      <c r="B9" s="140" t="s">
        <v>38</v>
      </c>
      <c r="C9" s="140" t="s">
        <v>38</v>
      </c>
      <c r="D9" s="138" t="s">
        <v>6</v>
      </c>
      <c r="E9" s="146">
        <v>42709</v>
      </c>
      <c r="F9" s="31">
        <f t="shared" si="5"/>
        <v>42709</v>
      </c>
      <c r="G9" s="32" t="str">
        <f t="shared" si="6"/>
        <v>0:0</v>
      </c>
      <c r="H9" s="33">
        <f t="shared" ref="H9:H10" si="9">IF(D9="上班",(G10-G9)*24,"-")</f>
        <v>0</v>
      </c>
      <c r="I9" s="58">
        <v>0</v>
      </c>
      <c r="J9" s="58">
        <v>2</v>
      </c>
      <c r="K9" s="34">
        <f t="shared" ref="K9:K10" si="10">IF(D9="加班",(G10-G9)*24,0)</f>
        <v>0</v>
      </c>
      <c r="L9" s="34"/>
      <c r="M9" s="35">
        <f t="shared" si="7"/>
        <v>0</v>
      </c>
      <c r="N9" s="35">
        <f t="shared" si="8"/>
        <v>0</v>
      </c>
      <c r="O9" s="36" t="s">
        <v>55</v>
      </c>
      <c r="P9" s="137"/>
    </row>
    <row r="10" spans="1:16" s="16" customFormat="1">
      <c r="A10" s="145">
        <v>1864</v>
      </c>
      <c r="B10" s="140" t="s">
        <v>38</v>
      </c>
      <c r="C10" s="140" t="s">
        <v>38</v>
      </c>
      <c r="D10" s="138" t="s">
        <v>5</v>
      </c>
      <c r="E10" s="146">
        <v>42709</v>
      </c>
      <c r="F10" s="31">
        <f t="shared" si="5"/>
        <v>42709</v>
      </c>
      <c r="G10" s="32" t="str">
        <f t="shared" si="6"/>
        <v>0:0</v>
      </c>
      <c r="H10" s="33" t="str">
        <f t="shared" si="9"/>
        <v>-</v>
      </c>
      <c r="I10" s="58" t="str">
        <f>IF(D10="上班",IF(H10-1.5&gt;8,8,H10-1.5),"-")</f>
        <v>-</v>
      </c>
      <c r="J10" s="58"/>
      <c r="K10" s="34">
        <f t="shared" si="10"/>
        <v>0</v>
      </c>
      <c r="L10" s="34"/>
      <c r="M10" s="35">
        <f t="shared" si="7"/>
        <v>0</v>
      </c>
      <c r="N10" s="35">
        <f t="shared" si="8"/>
        <v>0</v>
      </c>
      <c r="O10" s="36"/>
      <c r="P10" s="137"/>
    </row>
    <row r="11" spans="1:16" s="16" customFormat="1">
      <c r="A11" s="140">
        <v>1894</v>
      </c>
      <c r="B11" s="140" t="s">
        <v>38</v>
      </c>
      <c r="C11" s="140" t="s">
        <v>38</v>
      </c>
      <c r="D11" s="141" t="s">
        <v>6</v>
      </c>
      <c r="E11" s="142">
        <v>42716.384826388887</v>
      </c>
      <c r="F11" s="104">
        <f t="shared" si="5"/>
        <v>42716.384826388887</v>
      </c>
      <c r="G11" s="125" t="str">
        <f t="shared" si="6"/>
        <v>9:14</v>
      </c>
      <c r="H11" s="126">
        <f t="shared" ref="H11:H14" si="11">IF(D11="上班",(G12-G11)*24,"-")</f>
        <v>2.9333333333333336</v>
      </c>
      <c r="I11" s="92">
        <f t="shared" ref="I11" si="12">IF(D11="上班",IF(H11-1.5&gt;8,8,H11-1.5),"-")+1.5</f>
        <v>2.9333333333333336</v>
      </c>
      <c r="J11" s="92"/>
      <c r="K11" s="93">
        <f t="shared" ref="K11:K14" si="13">IF(D11="加班",(G12-G11)*24,0)</f>
        <v>0</v>
      </c>
      <c r="L11" s="93"/>
      <c r="M11" s="94">
        <f t="shared" si="7"/>
        <v>0</v>
      </c>
      <c r="N11" s="94">
        <f t="shared" si="8"/>
        <v>0</v>
      </c>
      <c r="O11" s="36"/>
      <c r="P11" s="137"/>
    </row>
    <row r="12" spans="1:16" s="16" customFormat="1">
      <c r="A12" s="140">
        <v>1895</v>
      </c>
      <c r="B12" s="140" t="s">
        <v>38</v>
      </c>
      <c r="C12" s="140" t="s">
        <v>38</v>
      </c>
      <c r="D12" s="143" t="s">
        <v>5</v>
      </c>
      <c r="E12" s="144">
        <v>42716.507060185184</v>
      </c>
      <c r="F12" s="104">
        <f t="shared" si="5"/>
        <v>42716.507060185184</v>
      </c>
      <c r="G12" s="125" t="str">
        <f t="shared" si="6"/>
        <v>12:10</v>
      </c>
      <c r="H12" s="126" t="str">
        <f t="shared" si="11"/>
        <v>-</v>
      </c>
      <c r="I12" s="92" t="str">
        <f>IF(D12="上班",IF(H12-1.5&gt;8,8,H12-1.5),"-")</f>
        <v>-</v>
      </c>
      <c r="J12" s="92"/>
      <c r="K12" s="93">
        <f t="shared" si="13"/>
        <v>0</v>
      </c>
      <c r="L12" s="93"/>
      <c r="M12" s="94">
        <f t="shared" si="7"/>
        <v>0</v>
      </c>
      <c r="N12" s="94">
        <f t="shared" si="8"/>
        <v>0</v>
      </c>
      <c r="O12" s="36"/>
      <c r="P12" s="137"/>
    </row>
    <row r="13" spans="1:16" s="16" customFormat="1">
      <c r="A13" s="145">
        <v>1857</v>
      </c>
      <c r="B13" s="140" t="s">
        <v>38</v>
      </c>
      <c r="C13" s="140" t="s">
        <v>38</v>
      </c>
      <c r="D13" s="138" t="s">
        <v>6</v>
      </c>
      <c r="E13" s="146">
        <v>42723</v>
      </c>
      <c r="F13" s="31">
        <f t="shared" ref="F13:F14" si="14">E13</f>
        <v>42723</v>
      </c>
      <c r="G13" s="32" t="str">
        <f t="shared" ref="G13:G14" si="15">HOUR(E13)&amp;":"&amp;MINUTE(E13)</f>
        <v>0:0</v>
      </c>
      <c r="H13" s="33">
        <f t="shared" si="11"/>
        <v>0</v>
      </c>
      <c r="I13" s="58">
        <v>0</v>
      </c>
      <c r="J13" s="58">
        <v>7</v>
      </c>
      <c r="K13" s="34">
        <f t="shared" si="13"/>
        <v>0</v>
      </c>
      <c r="L13" s="34"/>
      <c r="M13" s="35">
        <f t="shared" ref="M13:M14" si="16">IF(K13&gt;2,2,K13)</f>
        <v>0</v>
      </c>
      <c r="N13" s="35">
        <f t="shared" ref="N13:N14" si="17">IF(K13&gt;2,K13-2,0)</f>
        <v>0</v>
      </c>
      <c r="O13" s="36" t="s">
        <v>55</v>
      </c>
      <c r="P13" s="137"/>
    </row>
    <row r="14" spans="1:16" s="16" customFormat="1">
      <c r="A14" s="145">
        <v>1864</v>
      </c>
      <c r="B14" s="140" t="s">
        <v>38</v>
      </c>
      <c r="C14" s="140" t="s">
        <v>38</v>
      </c>
      <c r="D14" s="138" t="s">
        <v>5</v>
      </c>
      <c r="E14" s="146">
        <v>42723</v>
      </c>
      <c r="F14" s="31">
        <f t="shared" si="14"/>
        <v>42723</v>
      </c>
      <c r="G14" s="32" t="str">
        <f t="shared" si="15"/>
        <v>0:0</v>
      </c>
      <c r="H14" s="33" t="str">
        <f t="shared" si="11"/>
        <v>-</v>
      </c>
      <c r="I14" s="58" t="str">
        <f>IF(D14="上班",IF(H14-1.5&gt;8,8,H14-1.5),"-")</f>
        <v>-</v>
      </c>
      <c r="J14" s="58"/>
      <c r="K14" s="34">
        <f t="shared" si="13"/>
        <v>0</v>
      </c>
      <c r="L14" s="34"/>
      <c r="M14" s="35">
        <f t="shared" si="16"/>
        <v>0</v>
      </c>
      <c r="N14" s="35">
        <f t="shared" si="17"/>
        <v>0</v>
      </c>
      <c r="O14" s="36"/>
      <c r="P14" s="137"/>
    </row>
    <row r="15" spans="1:16" s="16" customFormat="1">
      <c r="A15" s="145">
        <v>1857</v>
      </c>
      <c r="B15" s="140" t="s">
        <v>38</v>
      </c>
      <c r="C15" s="140" t="s">
        <v>38</v>
      </c>
      <c r="D15" s="138" t="s">
        <v>6</v>
      </c>
      <c r="E15" s="146">
        <v>42725</v>
      </c>
      <c r="F15" s="31">
        <f t="shared" ref="F15:F16" si="18">E15</f>
        <v>42725</v>
      </c>
      <c r="G15" s="32" t="str">
        <f t="shared" ref="G15:G16" si="19">HOUR(E15)&amp;":"&amp;MINUTE(E15)</f>
        <v>0:0</v>
      </c>
      <c r="H15" s="33">
        <f t="shared" ref="H15:H16" si="20">IF(D15="上班",(G16-G15)*24,"-")</f>
        <v>0</v>
      </c>
      <c r="I15" s="58">
        <v>0</v>
      </c>
      <c r="J15" s="58">
        <v>3</v>
      </c>
      <c r="K15" s="34">
        <f t="shared" ref="K15:K16" si="21">IF(D15="加班",(G16-G15)*24,0)</f>
        <v>0</v>
      </c>
      <c r="L15" s="34"/>
      <c r="M15" s="35">
        <f t="shared" ref="M15:M16" si="22">IF(K15&gt;2,2,K15)</f>
        <v>0</v>
      </c>
      <c r="N15" s="35">
        <f t="shared" ref="N15:N16" si="23">IF(K15&gt;2,K15-2,0)</f>
        <v>0</v>
      </c>
      <c r="O15" s="36" t="s">
        <v>55</v>
      </c>
      <c r="P15" s="137"/>
    </row>
    <row r="16" spans="1:16" s="16" customFormat="1">
      <c r="A16" s="145">
        <v>1864</v>
      </c>
      <c r="B16" s="140" t="s">
        <v>38</v>
      </c>
      <c r="C16" s="140" t="s">
        <v>38</v>
      </c>
      <c r="D16" s="138" t="s">
        <v>5</v>
      </c>
      <c r="E16" s="146">
        <v>42725</v>
      </c>
      <c r="F16" s="31">
        <f t="shared" si="18"/>
        <v>42725</v>
      </c>
      <c r="G16" s="32" t="str">
        <f t="shared" si="19"/>
        <v>0:0</v>
      </c>
      <c r="H16" s="33" t="str">
        <f t="shared" si="20"/>
        <v>-</v>
      </c>
      <c r="I16" s="58" t="str">
        <f>IF(D16="上班",IF(H16-1.5&gt;8,8,H16-1.5),"-")</f>
        <v>-</v>
      </c>
      <c r="J16" s="58"/>
      <c r="K16" s="34">
        <f t="shared" si="21"/>
        <v>0</v>
      </c>
      <c r="L16" s="34"/>
      <c r="M16" s="35">
        <f t="shared" si="22"/>
        <v>0</v>
      </c>
      <c r="N16" s="35">
        <f t="shared" si="23"/>
        <v>0</v>
      </c>
      <c r="O16" s="36"/>
      <c r="P16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工作表25"/>
  <dimension ref="A1:U81"/>
  <sheetViews>
    <sheetView view="pageBreakPreview" topLeftCell="D49" zoomScaleNormal="100" zoomScaleSheetLayoutView="100" workbookViewId="0">
      <selection activeCell="L10" sqref="L10"/>
    </sheetView>
  </sheetViews>
  <sheetFormatPr baseColWidth="10" defaultColWidth="8.83203125" defaultRowHeight="15" outlineLevelCol="1"/>
  <cols>
    <col min="1" max="1" width="6.6640625" hidden="1" customWidth="1" outlineLevel="1"/>
    <col min="2" max="2" width="6.83203125" hidden="1" customWidth="1" outlineLevel="1"/>
    <col min="3" max="3" width="6.5" style="3" hidden="1" customWidth="1" outlineLevel="1"/>
    <col min="4" max="4" width="9" style="3" collapsed="1"/>
    <col min="5" max="5" width="15.1640625" style="3" customWidth="1"/>
    <col min="6" max="6" width="6.1640625" style="16" customWidth="1"/>
    <col min="7" max="7" width="8.6640625" style="17" hidden="1" customWidth="1" outlineLevel="1"/>
    <col min="8" max="8" width="11.1640625" style="51" hidden="1" customWidth="1" outlineLevel="1"/>
    <col min="9" max="9" width="10.164062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10.5" style="22" customWidth="1"/>
    <col min="14" max="14" width="9.6640625" style="22" customWidth="1"/>
    <col min="15" max="15" width="18.16406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" thickBot="1">
      <c r="C1" s="5"/>
      <c r="D1" s="6"/>
      <c r="E1" s="6"/>
      <c r="F1" s="10"/>
      <c r="G1" s="11"/>
      <c r="H1" s="12"/>
      <c r="I1" s="13" t="str">
        <f>B38</f>
        <v>sam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24-8</f>
        <v>16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SUM(K15:K52)</f>
        <v>17.716666666666665</v>
      </c>
      <c r="L3" s="53">
        <f>J3</f>
        <v>0</v>
      </c>
      <c r="M3" s="53">
        <f>M6-J3</f>
        <v>18.149999999999999</v>
      </c>
      <c r="N3" s="53">
        <f>N6</f>
        <v>5.15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168</v>
      </c>
    </row>
    <row r="5" spans="1:21">
      <c r="D5" s="87">
        <v>0</v>
      </c>
      <c r="E5" s="86">
        <v>0</v>
      </c>
      <c r="F5" s="86">
        <v>8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0.14562499999999998</v>
      </c>
    </row>
    <row r="6" spans="1:21" ht="16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SUM(I7:I76)</f>
        <v>168</v>
      </c>
      <c r="J6" s="78">
        <f>SUM(J7:J62)</f>
        <v>0</v>
      </c>
      <c r="K6" s="78">
        <f>SUM(K7:K62)</f>
        <v>23.099999999999998</v>
      </c>
      <c r="L6" s="78">
        <f>SUM(L7:L62)</f>
        <v>0</v>
      </c>
      <c r="M6" s="78">
        <f>SUM(M7:M76)</f>
        <v>18.149999999999999</v>
      </c>
      <c r="N6" s="78">
        <f>SUM(N7:N74)</f>
        <v>5.15</v>
      </c>
      <c r="O6" s="45"/>
      <c r="Q6" s="47"/>
      <c r="U6" s="49"/>
    </row>
    <row r="7" spans="1:21" s="130" customFormat="1">
      <c r="A7" s="140">
        <v>4167</v>
      </c>
      <c r="B7" s="140" t="s">
        <v>49</v>
      </c>
      <c r="C7" s="140" t="s">
        <v>49</v>
      </c>
      <c r="D7" s="141" t="s">
        <v>6</v>
      </c>
      <c r="E7" s="142">
        <v>42919.357164351852</v>
      </c>
      <c r="F7" s="89">
        <f t="shared" ref="F7" si="0">E7</f>
        <v>42919.357164351852</v>
      </c>
      <c r="G7" s="90" t="str">
        <f>HOUR(E7)&amp;":"&amp;MINUTE(E7)</f>
        <v>8:34</v>
      </c>
      <c r="H7" s="91">
        <f>IF(D7="上班",(G8-G7)*24,"-")</f>
        <v>10</v>
      </c>
      <c r="I7" s="92">
        <f t="shared" ref="I7" si="1">IF(D7="上班",IF(H7-1.5&gt;8,8,H7-1.5),"-")</f>
        <v>8</v>
      </c>
      <c r="J7" s="92" t="str">
        <f>IF(I7&lt;8,8-I7,"-")</f>
        <v>-</v>
      </c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95"/>
      <c r="P7" s="149"/>
      <c r="Q7" s="149"/>
      <c r="R7" s="149"/>
      <c r="S7" s="149"/>
    </row>
    <row r="8" spans="1:21" s="16" customFormat="1">
      <c r="A8" s="140">
        <v>4181</v>
      </c>
      <c r="B8" s="140" t="s">
        <v>49</v>
      </c>
      <c r="C8" s="140" t="s">
        <v>49</v>
      </c>
      <c r="D8" s="143" t="s">
        <v>5</v>
      </c>
      <c r="E8" s="144">
        <v>42919.773877314816</v>
      </c>
      <c r="F8" s="89">
        <f t="shared" ref="F8:F70" si="5">E8</f>
        <v>42919.773877314816</v>
      </c>
      <c r="G8" s="90" t="str">
        <f t="shared" ref="G8:G70" si="6">HOUR(E8)&amp;":"&amp;MINUTE(E8)</f>
        <v>18:34</v>
      </c>
      <c r="H8" s="91" t="str">
        <f t="shared" ref="H8:H69" si="7">IF(D8="上班",(G9-G8)*24,"-")</f>
        <v>-</v>
      </c>
      <c r="I8" s="92" t="str">
        <f t="shared" ref="I8:I70" si="8">IF(D8="上班",IF(H8-1.5&gt;8,8,H8-1.5),"-")</f>
        <v>-</v>
      </c>
      <c r="J8" s="92" t="str">
        <f t="shared" ref="J8:J70" si="9">IF(I8&lt;8,8-I8,"-")</f>
        <v>-</v>
      </c>
      <c r="K8" s="93">
        <f t="shared" ref="K8:K69" si="10">IF(D8="加班",(G9-G8)*24,0)</f>
        <v>0</v>
      </c>
      <c r="L8" s="93"/>
      <c r="M8" s="94">
        <f t="shared" ref="M8:M70" si="11">IF(K8&gt;2,2,K8)</f>
        <v>0</v>
      </c>
      <c r="N8" s="94">
        <f t="shared" ref="N8:N70" si="12">IF(K8&gt;2,K8-2,0)</f>
        <v>0</v>
      </c>
      <c r="O8" s="95"/>
      <c r="P8" s="137"/>
      <c r="Q8" s="137"/>
      <c r="R8" s="137"/>
      <c r="S8" s="137"/>
    </row>
    <row r="9" spans="1:21" s="16" customFormat="1">
      <c r="A9" s="140">
        <v>4182</v>
      </c>
      <c r="B9" s="140" t="s">
        <v>49</v>
      </c>
      <c r="C9" s="140" t="s">
        <v>49</v>
      </c>
      <c r="D9" s="141" t="s">
        <v>7</v>
      </c>
      <c r="E9" s="142">
        <v>42919.773900462962</v>
      </c>
      <c r="F9" s="89">
        <f t="shared" si="5"/>
        <v>42919.773900462962</v>
      </c>
      <c r="G9" s="90" t="str">
        <f t="shared" si="6"/>
        <v>18:34</v>
      </c>
      <c r="H9" s="91" t="str">
        <f t="shared" si="7"/>
        <v>-</v>
      </c>
      <c r="I9" s="92" t="str">
        <f t="shared" si="8"/>
        <v>-</v>
      </c>
      <c r="J9" s="92" t="str">
        <f t="shared" si="9"/>
        <v>-</v>
      </c>
      <c r="K9" s="93">
        <f t="shared" si="10"/>
        <v>0.83333333333333037</v>
      </c>
      <c r="L9" s="93"/>
      <c r="M9" s="94">
        <f t="shared" si="11"/>
        <v>0.83333333333333037</v>
      </c>
      <c r="N9" s="94">
        <f t="shared" si="12"/>
        <v>0</v>
      </c>
      <c r="O9" s="95"/>
      <c r="P9" s="137"/>
      <c r="Q9" s="137"/>
      <c r="R9" s="137"/>
      <c r="S9" s="137"/>
    </row>
    <row r="10" spans="1:21" s="16" customFormat="1">
      <c r="A10" s="140">
        <v>4185</v>
      </c>
      <c r="B10" s="140" t="s">
        <v>49</v>
      </c>
      <c r="C10" s="140" t="s">
        <v>49</v>
      </c>
      <c r="D10" s="143" t="s">
        <v>8</v>
      </c>
      <c r="E10" s="144">
        <v>42919.808703703704</v>
      </c>
      <c r="F10" s="89">
        <f t="shared" si="5"/>
        <v>42919.808703703704</v>
      </c>
      <c r="G10" s="90" t="str">
        <f t="shared" si="6"/>
        <v>19:24</v>
      </c>
      <c r="H10" s="91" t="str">
        <f t="shared" si="7"/>
        <v>-</v>
      </c>
      <c r="I10" s="92" t="str">
        <f t="shared" si="8"/>
        <v>-</v>
      </c>
      <c r="J10" s="92" t="str">
        <f t="shared" si="9"/>
        <v>-</v>
      </c>
      <c r="K10" s="93">
        <f t="shared" si="10"/>
        <v>0</v>
      </c>
      <c r="L10" s="93"/>
      <c r="M10" s="94">
        <f t="shared" si="11"/>
        <v>0</v>
      </c>
      <c r="N10" s="94">
        <f t="shared" si="12"/>
        <v>0</v>
      </c>
      <c r="O10" s="95"/>
      <c r="P10" s="137"/>
      <c r="Q10" s="137"/>
      <c r="R10" s="137"/>
      <c r="S10" s="137"/>
    </row>
    <row r="11" spans="1:21" s="16" customFormat="1">
      <c r="A11" s="140">
        <v>4190</v>
      </c>
      <c r="B11" s="140" t="s">
        <v>49</v>
      </c>
      <c r="C11" s="140" t="s">
        <v>49</v>
      </c>
      <c r="D11" s="141" t="s">
        <v>6</v>
      </c>
      <c r="E11" s="142">
        <v>42920.355694444443</v>
      </c>
      <c r="F11" s="89">
        <f t="shared" si="5"/>
        <v>42920.355694444443</v>
      </c>
      <c r="G11" s="90" t="str">
        <f t="shared" si="6"/>
        <v>8:32</v>
      </c>
      <c r="H11" s="91">
        <f t="shared" si="7"/>
        <v>9.7333333333333325</v>
      </c>
      <c r="I11" s="92">
        <f t="shared" si="8"/>
        <v>8</v>
      </c>
      <c r="J11" s="92" t="str">
        <f t="shared" si="9"/>
        <v>-</v>
      </c>
      <c r="K11" s="93">
        <f t="shared" si="10"/>
        <v>0</v>
      </c>
      <c r="L11" s="93"/>
      <c r="M11" s="94">
        <f t="shared" si="11"/>
        <v>0</v>
      </c>
      <c r="N11" s="94">
        <f t="shared" si="12"/>
        <v>0</v>
      </c>
      <c r="O11" s="95"/>
      <c r="P11" s="137"/>
      <c r="Q11" s="137"/>
      <c r="R11" s="137"/>
      <c r="S11" s="137"/>
    </row>
    <row r="12" spans="1:21" s="16" customFormat="1">
      <c r="A12" s="140">
        <v>4197</v>
      </c>
      <c r="B12" s="140" t="s">
        <v>49</v>
      </c>
      <c r="C12" s="140" t="s">
        <v>49</v>
      </c>
      <c r="D12" s="143" t="s">
        <v>5</v>
      </c>
      <c r="E12" s="144">
        <v>42920.761238425926</v>
      </c>
      <c r="F12" s="89">
        <f t="shared" si="5"/>
        <v>42920.761238425926</v>
      </c>
      <c r="G12" s="90" t="str">
        <f t="shared" si="6"/>
        <v>18:16</v>
      </c>
      <c r="H12" s="91" t="str">
        <f t="shared" si="7"/>
        <v>-</v>
      </c>
      <c r="I12" s="92" t="str">
        <f t="shared" si="8"/>
        <v>-</v>
      </c>
      <c r="J12" s="92" t="str">
        <f t="shared" si="9"/>
        <v>-</v>
      </c>
      <c r="K12" s="93">
        <f t="shared" si="10"/>
        <v>0</v>
      </c>
      <c r="L12" s="93"/>
      <c r="M12" s="94">
        <f t="shared" si="11"/>
        <v>0</v>
      </c>
      <c r="N12" s="94">
        <f t="shared" si="12"/>
        <v>0</v>
      </c>
      <c r="O12" s="95"/>
      <c r="P12" s="137"/>
      <c r="Q12" s="137"/>
      <c r="R12" s="137"/>
      <c r="S12" s="137"/>
    </row>
    <row r="13" spans="1:21" s="16" customFormat="1">
      <c r="A13" s="140">
        <v>4203</v>
      </c>
      <c r="B13" s="140" t="s">
        <v>49</v>
      </c>
      <c r="C13" s="140" t="s">
        <v>49</v>
      </c>
      <c r="D13" s="141" t="s">
        <v>7</v>
      </c>
      <c r="E13" s="142">
        <v>42920.784594907411</v>
      </c>
      <c r="F13" s="89">
        <f t="shared" si="5"/>
        <v>42920.784594907411</v>
      </c>
      <c r="G13" s="90" t="str">
        <f t="shared" si="6"/>
        <v>18:49</v>
      </c>
      <c r="H13" s="91" t="str">
        <f t="shared" si="7"/>
        <v>-</v>
      </c>
      <c r="I13" s="92" t="str">
        <f t="shared" si="8"/>
        <v>-</v>
      </c>
      <c r="J13" s="92" t="str">
        <f t="shared" si="9"/>
        <v>-</v>
      </c>
      <c r="K13" s="93">
        <f t="shared" si="10"/>
        <v>1.6666666666666687</v>
      </c>
      <c r="L13" s="93"/>
      <c r="M13" s="94">
        <f t="shared" si="11"/>
        <v>1.6666666666666687</v>
      </c>
      <c r="N13" s="94">
        <f t="shared" si="12"/>
        <v>0</v>
      </c>
      <c r="O13" s="95"/>
      <c r="P13" s="137"/>
      <c r="Q13" s="137"/>
      <c r="R13" s="137"/>
      <c r="S13" s="137"/>
    </row>
    <row r="14" spans="1:21" s="16" customFormat="1">
      <c r="A14" s="140">
        <v>4209</v>
      </c>
      <c r="B14" s="140" t="s">
        <v>49</v>
      </c>
      <c r="C14" s="140" t="s">
        <v>49</v>
      </c>
      <c r="D14" s="143" t="s">
        <v>8</v>
      </c>
      <c r="E14" s="144">
        <v>42920.853530092594</v>
      </c>
      <c r="F14" s="89">
        <f t="shared" si="5"/>
        <v>42920.853530092594</v>
      </c>
      <c r="G14" s="90" t="str">
        <f t="shared" si="6"/>
        <v>20:29</v>
      </c>
      <c r="H14" s="91" t="str">
        <f t="shared" si="7"/>
        <v>-</v>
      </c>
      <c r="I14" s="92" t="str">
        <f t="shared" si="8"/>
        <v>-</v>
      </c>
      <c r="J14" s="92" t="str">
        <f t="shared" si="9"/>
        <v>-</v>
      </c>
      <c r="K14" s="93">
        <f t="shared" si="10"/>
        <v>0</v>
      </c>
      <c r="L14" s="93"/>
      <c r="M14" s="94">
        <f t="shared" si="11"/>
        <v>0</v>
      </c>
      <c r="N14" s="94">
        <f t="shared" si="12"/>
        <v>0</v>
      </c>
      <c r="O14" s="95"/>
      <c r="P14" s="137"/>
      <c r="Q14" s="137"/>
      <c r="R14" s="137"/>
      <c r="S14" s="137"/>
    </row>
    <row r="15" spans="1:21" s="16" customFormat="1">
      <c r="A15" s="140">
        <v>4211</v>
      </c>
      <c r="B15" s="140" t="s">
        <v>49</v>
      </c>
      <c r="C15" s="140" t="s">
        <v>49</v>
      </c>
      <c r="D15" s="141" t="s">
        <v>6</v>
      </c>
      <c r="E15" s="142">
        <v>42921.354641203703</v>
      </c>
      <c r="F15" s="89">
        <f t="shared" si="5"/>
        <v>42921.354641203703</v>
      </c>
      <c r="G15" s="90" t="str">
        <f t="shared" si="6"/>
        <v>8:30</v>
      </c>
      <c r="H15" s="91">
        <f t="shared" si="7"/>
        <v>10.08333333333333</v>
      </c>
      <c r="I15" s="92">
        <f t="shared" si="8"/>
        <v>8</v>
      </c>
      <c r="J15" s="92" t="str">
        <f t="shared" si="9"/>
        <v>-</v>
      </c>
      <c r="K15" s="93">
        <f t="shared" si="10"/>
        <v>0</v>
      </c>
      <c r="L15" s="93"/>
      <c r="M15" s="94">
        <f t="shared" si="11"/>
        <v>0</v>
      </c>
      <c r="N15" s="94">
        <f t="shared" si="12"/>
        <v>0</v>
      </c>
      <c r="O15" s="95"/>
      <c r="P15" s="137"/>
      <c r="Q15" s="137"/>
      <c r="R15" s="137"/>
      <c r="S15" s="137"/>
    </row>
    <row r="16" spans="1:21" s="16" customFormat="1">
      <c r="A16" s="140">
        <v>4224</v>
      </c>
      <c r="B16" s="140" t="s">
        <v>49</v>
      </c>
      <c r="C16" s="140" t="s">
        <v>49</v>
      </c>
      <c r="D16" s="143" t="s">
        <v>5</v>
      </c>
      <c r="E16" s="144">
        <v>42921.774687500001</v>
      </c>
      <c r="F16" s="89">
        <f t="shared" si="5"/>
        <v>42921.774687500001</v>
      </c>
      <c r="G16" s="90" t="str">
        <f t="shared" si="6"/>
        <v>18:35</v>
      </c>
      <c r="H16" s="91" t="str">
        <f t="shared" si="7"/>
        <v>-</v>
      </c>
      <c r="I16" s="92" t="str">
        <f t="shared" si="8"/>
        <v>-</v>
      </c>
      <c r="J16" s="92" t="str">
        <f t="shared" si="9"/>
        <v>-</v>
      </c>
      <c r="K16" s="93">
        <f t="shared" si="10"/>
        <v>0</v>
      </c>
      <c r="L16" s="93"/>
      <c r="M16" s="94">
        <f t="shared" si="11"/>
        <v>0</v>
      </c>
      <c r="N16" s="94">
        <f t="shared" si="12"/>
        <v>0</v>
      </c>
      <c r="O16" s="95"/>
      <c r="P16" s="137"/>
      <c r="Q16" s="137"/>
      <c r="R16" s="137"/>
      <c r="S16" s="137"/>
    </row>
    <row r="17" spans="1:19" s="16" customFormat="1">
      <c r="A17" s="140">
        <v>4225</v>
      </c>
      <c r="B17" s="140" t="s">
        <v>49</v>
      </c>
      <c r="C17" s="140" t="s">
        <v>49</v>
      </c>
      <c r="D17" s="141" t="s">
        <v>7</v>
      </c>
      <c r="E17" s="142">
        <v>42921.774722222224</v>
      </c>
      <c r="F17" s="89">
        <f t="shared" si="5"/>
        <v>42921.774722222224</v>
      </c>
      <c r="G17" s="90" t="str">
        <f t="shared" si="6"/>
        <v>18:35</v>
      </c>
      <c r="H17" s="91" t="str">
        <f t="shared" si="7"/>
        <v>-</v>
      </c>
      <c r="I17" s="92" t="str">
        <f t="shared" si="8"/>
        <v>-</v>
      </c>
      <c r="J17" s="92" t="str">
        <f t="shared" si="9"/>
        <v>-</v>
      </c>
      <c r="K17" s="93">
        <f t="shared" si="10"/>
        <v>1.5666666666666664</v>
      </c>
      <c r="L17" s="93"/>
      <c r="M17" s="94">
        <f t="shared" si="11"/>
        <v>1.5666666666666664</v>
      </c>
      <c r="N17" s="94">
        <f t="shared" si="12"/>
        <v>0</v>
      </c>
      <c r="O17" s="95"/>
      <c r="P17" s="137"/>
      <c r="Q17" s="137"/>
      <c r="R17" s="137"/>
      <c r="S17" s="137"/>
    </row>
    <row r="18" spans="1:19" s="16" customFormat="1">
      <c r="A18" s="140">
        <v>4230</v>
      </c>
      <c r="B18" s="140" t="s">
        <v>49</v>
      </c>
      <c r="C18" s="140" t="s">
        <v>49</v>
      </c>
      <c r="D18" s="143" t="s">
        <v>8</v>
      </c>
      <c r="E18" s="144">
        <v>42921.83965277778</v>
      </c>
      <c r="F18" s="89">
        <f t="shared" si="5"/>
        <v>42921.83965277778</v>
      </c>
      <c r="G18" s="90" t="str">
        <f t="shared" si="6"/>
        <v>20:9</v>
      </c>
      <c r="H18" s="91" t="str">
        <f t="shared" si="7"/>
        <v>-</v>
      </c>
      <c r="I18" s="92" t="str">
        <f t="shared" si="8"/>
        <v>-</v>
      </c>
      <c r="J18" s="92" t="str">
        <f t="shared" si="9"/>
        <v>-</v>
      </c>
      <c r="K18" s="93">
        <f t="shared" si="10"/>
        <v>0</v>
      </c>
      <c r="L18" s="93"/>
      <c r="M18" s="94">
        <f t="shared" si="11"/>
        <v>0</v>
      </c>
      <c r="N18" s="94">
        <f t="shared" si="12"/>
        <v>0</v>
      </c>
      <c r="O18" s="95"/>
      <c r="P18" s="137"/>
      <c r="Q18" s="137"/>
      <c r="R18" s="137"/>
      <c r="S18" s="137"/>
    </row>
    <row r="19" spans="1:19" s="16" customFormat="1">
      <c r="A19" s="140">
        <v>4233</v>
      </c>
      <c r="B19" s="140" t="s">
        <v>49</v>
      </c>
      <c r="C19" s="140" t="s">
        <v>49</v>
      </c>
      <c r="D19" s="141" t="s">
        <v>6</v>
      </c>
      <c r="E19" s="142">
        <v>42922.356909722221</v>
      </c>
      <c r="F19" s="89">
        <f t="shared" si="5"/>
        <v>42922.356909722221</v>
      </c>
      <c r="G19" s="90" t="str">
        <f t="shared" si="6"/>
        <v>8:33</v>
      </c>
      <c r="H19" s="91">
        <f t="shared" si="7"/>
        <v>9.7333333333333343</v>
      </c>
      <c r="I19" s="92">
        <f t="shared" si="8"/>
        <v>8</v>
      </c>
      <c r="J19" s="92" t="str">
        <f t="shared" si="9"/>
        <v>-</v>
      </c>
      <c r="K19" s="93">
        <f t="shared" si="10"/>
        <v>0</v>
      </c>
      <c r="L19" s="93"/>
      <c r="M19" s="94">
        <f t="shared" si="11"/>
        <v>0</v>
      </c>
      <c r="N19" s="94">
        <f t="shared" si="12"/>
        <v>0</v>
      </c>
      <c r="O19" s="95"/>
      <c r="P19" s="137"/>
      <c r="Q19" s="137"/>
      <c r="R19" s="137"/>
      <c r="S19" s="137"/>
    </row>
    <row r="20" spans="1:19" s="16" customFormat="1">
      <c r="A20" s="140">
        <v>4239</v>
      </c>
      <c r="B20" s="140" t="s">
        <v>49</v>
      </c>
      <c r="C20" s="140" t="s">
        <v>49</v>
      </c>
      <c r="D20" s="143" t="s">
        <v>5</v>
      </c>
      <c r="E20" s="144">
        <v>42922.76185185185</v>
      </c>
      <c r="F20" s="89">
        <f t="shared" si="5"/>
        <v>42922.76185185185</v>
      </c>
      <c r="G20" s="90" t="str">
        <f t="shared" si="6"/>
        <v>18:17</v>
      </c>
      <c r="H20" s="91" t="str">
        <f t="shared" si="7"/>
        <v>-</v>
      </c>
      <c r="I20" s="92" t="str">
        <f t="shared" si="8"/>
        <v>-</v>
      </c>
      <c r="J20" s="92" t="str">
        <f t="shared" si="9"/>
        <v>-</v>
      </c>
      <c r="K20" s="93">
        <f t="shared" si="10"/>
        <v>0</v>
      </c>
      <c r="L20" s="93"/>
      <c r="M20" s="94">
        <f t="shared" si="11"/>
        <v>0</v>
      </c>
      <c r="N20" s="94">
        <f t="shared" si="12"/>
        <v>0</v>
      </c>
      <c r="O20" s="95"/>
      <c r="P20" s="137"/>
      <c r="Q20" s="137"/>
      <c r="R20" s="137"/>
      <c r="S20" s="137"/>
    </row>
    <row r="21" spans="1:19" s="2" customFormat="1">
      <c r="A21" s="140">
        <v>4249</v>
      </c>
      <c r="B21" s="140" t="s">
        <v>49</v>
      </c>
      <c r="C21" s="140" t="s">
        <v>49</v>
      </c>
      <c r="D21" s="141" t="s">
        <v>6</v>
      </c>
      <c r="E21" s="142">
        <v>42923.356550925928</v>
      </c>
      <c r="F21" s="89">
        <f t="shared" si="5"/>
        <v>42923.356550925928</v>
      </c>
      <c r="G21" s="90" t="str">
        <f t="shared" si="6"/>
        <v>8:33</v>
      </c>
      <c r="H21" s="91">
        <f t="shared" si="7"/>
        <v>10.016666666666667</v>
      </c>
      <c r="I21" s="92">
        <f t="shared" si="8"/>
        <v>8</v>
      </c>
      <c r="J21" s="92" t="str">
        <f t="shared" si="9"/>
        <v>-</v>
      </c>
      <c r="K21" s="93">
        <f t="shared" si="10"/>
        <v>0</v>
      </c>
      <c r="L21" s="93"/>
      <c r="M21" s="94">
        <f t="shared" si="11"/>
        <v>0</v>
      </c>
      <c r="N21" s="94">
        <f t="shared" si="12"/>
        <v>0</v>
      </c>
      <c r="O21" s="95"/>
      <c r="P21" s="8"/>
      <c r="Q21" s="8"/>
      <c r="R21" s="8"/>
      <c r="S21" s="8"/>
    </row>
    <row r="22" spans="1:19">
      <c r="A22" s="140">
        <v>4265</v>
      </c>
      <c r="B22" s="140" t="s">
        <v>49</v>
      </c>
      <c r="C22" s="140" t="s">
        <v>49</v>
      </c>
      <c r="D22" s="143" t="s">
        <v>5</v>
      </c>
      <c r="E22" s="144">
        <v>42923.773715277777</v>
      </c>
      <c r="F22" s="89">
        <f t="shared" si="5"/>
        <v>42923.773715277777</v>
      </c>
      <c r="G22" s="90" t="str">
        <f t="shared" si="6"/>
        <v>18:34</v>
      </c>
      <c r="H22" s="91" t="str">
        <f t="shared" si="7"/>
        <v>-</v>
      </c>
      <c r="I22" s="92" t="str">
        <f t="shared" si="8"/>
        <v>-</v>
      </c>
      <c r="J22" s="92" t="str">
        <f t="shared" si="9"/>
        <v>-</v>
      </c>
      <c r="K22" s="93">
        <f t="shared" si="10"/>
        <v>0</v>
      </c>
      <c r="L22" s="93"/>
      <c r="M22" s="94">
        <f t="shared" si="11"/>
        <v>0</v>
      </c>
      <c r="N22" s="94">
        <f t="shared" si="12"/>
        <v>0</v>
      </c>
      <c r="O22" s="95"/>
    </row>
    <row r="23" spans="1:19" s="2" customFormat="1">
      <c r="A23" s="140">
        <v>4266</v>
      </c>
      <c r="B23" s="140" t="s">
        <v>49</v>
      </c>
      <c r="C23" s="140" t="s">
        <v>49</v>
      </c>
      <c r="D23" s="141" t="s">
        <v>7</v>
      </c>
      <c r="E23" s="142">
        <v>42923.77375</v>
      </c>
      <c r="F23" s="89">
        <f t="shared" si="5"/>
        <v>42923.77375</v>
      </c>
      <c r="G23" s="90" t="str">
        <f t="shared" si="6"/>
        <v>18:34</v>
      </c>
      <c r="H23" s="91" t="str">
        <f t="shared" si="7"/>
        <v>-</v>
      </c>
      <c r="I23" s="92" t="str">
        <f t="shared" si="8"/>
        <v>-</v>
      </c>
      <c r="J23" s="92" t="str">
        <f t="shared" si="9"/>
        <v>-</v>
      </c>
      <c r="K23" s="93">
        <f t="shared" si="10"/>
        <v>2.4666666666666686</v>
      </c>
      <c r="L23" s="93"/>
      <c r="M23" s="94">
        <f t="shared" si="11"/>
        <v>2</v>
      </c>
      <c r="N23" s="94">
        <f t="shared" si="12"/>
        <v>0.46666666666666856</v>
      </c>
      <c r="O23" s="95"/>
      <c r="P23" s="8"/>
      <c r="Q23" s="8"/>
      <c r="R23" s="8"/>
      <c r="S23" s="8"/>
    </row>
    <row r="24" spans="1:19">
      <c r="A24" s="140">
        <v>4271</v>
      </c>
      <c r="B24" s="140" t="s">
        <v>49</v>
      </c>
      <c r="C24" s="140" t="s">
        <v>49</v>
      </c>
      <c r="D24" s="143" t="s">
        <v>8</v>
      </c>
      <c r="E24" s="144">
        <v>42923.876851851855</v>
      </c>
      <c r="F24" s="89">
        <f t="shared" si="5"/>
        <v>42923.876851851855</v>
      </c>
      <c r="G24" s="90" t="str">
        <f t="shared" si="6"/>
        <v>21:2</v>
      </c>
      <c r="H24" s="91" t="str">
        <f t="shared" si="7"/>
        <v>-</v>
      </c>
      <c r="I24" s="92" t="str">
        <f t="shared" si="8"/>
        <v>-</v>
      </c>
      <c r="J24" s="92" t="str">
        <f t="shared" si="9"/>
        <v>-</v>
      </c>
      <c r="K24" s="93">
        <f t="shared" si="10"/>
        <v>0</v>
      </c>
      <c r="L24" s="93"/>
      <c r="M24" s="94">
        <f t="shared" si="11"/>
        <v>0</v>
      </c>
      <c r="N24" s="94">
        <f t="shared" si="12"/>
        <v>0</v>
      </c>
      <c r="O24" s="95"/>
    </row>
    <row r="25" spans="1:19" s="2" customFormat="1">
      <c r="A25" s="140">
        <v>4274</v>
      </c>
      <c r="B25" s="140" t="s">
        <v>49</v>
      </c>
      <c r="C25" s="140" t="s">
        <v>49</v>
      </c>
      <c r="D25" s="141" t="s">
        <v>6</v>
      </c>
      <c r="E25" s="142">
        <v>42926.359293981484</v>
      </c>
      <c r="F25" s="89">
        <f t="shared" si="5"/>
        <v>42926.359293981484</v>
      </c>
      <c r="G25" s="90" t="str">
        <f t="shared" si="6"/>
        <v>8:37</v>
      </c>
      <c r="H25" s="91">
        <f t="shared" si="7"/>
        <v>9.9500000000000011</v>
      </c>
      <c r="I25" s="92">
        <f t="shared" si="8"/>
        <v>8</v>
      </c>
      <c r="J25" s="92" t="str">
        <f t="shared" si="9"/>
        <v>-</v>
      </c>
      <c r="K25" s="93">
        <f t="shared" si="10"/>
        <v>0</v>
      </c>
      <c r="L25" s="93"/>
      <c r="M25" s="94">
        <f t="shared" si="11"/>
        <v>0</v>
      </c>
      <c r="N25" s="94">
        <f t="shared" si="12"/>
        <v>0</v>
      </c>
      <c r="O25" s="95"/>
      <c r="P25" s="8"/>
      <c r="Q25" s="8"/>
      <c r="R25" s="8"/>
      <c r="S25" s="8"/>
    </row>
    <row r="26" spans="1:19" s="63" customFormat="1">
      <c r="A26" s="140">
        <v>4290</v>
      </c>
      <c r="B26" s="140" t="s">
        <v>49</v>
      </c>
      <c r="C26" s="140" t="s">
        <v>49</v>
      </c>
      <c r="D26" s="143" t="s">
        <v>5</v>
      </c>
      <c r="E26" s="144">
        <v>42926.774224537039</v>
      </c>
      <c r="F26" s="89">
        <f t="shared" si="5"/>
        <v>42926.774224537039</v>
      </c>
      <c r="G26" s="90" t="str">
        <f t="shared" si="6"/>
        <v>18:34</v>
      </c>
      <c r="H26" s="91" t="str">
        <f t="shared" si="7"/>
        <v>-</v>
      </c>
      <c r="I26" s="92" t="str">
        <f t="shared" si="8"/>
        <v>-</v>
      </c>
      <c r="J26" s="92" t="str">
        <f t="shared" si="9"/>
        <v>-</v>
      </c>
      <c r="K26" s="93">
        <f t="shared" si="10"/>
        <v>0</v>
      </c>
      <c r="L26" s="93"/>
      <c r="M26" s="94">
        <f t="shared" si="11"/>
        <v>0</v>
      </c>
      <c r="N26" s="94">
        <f t="shared" si="12"/>
        <v>0</v>
      </c>
      <c r="O26" s="95"/>
      <c r="P26" s="18"/>
      <c r="Q26" s="18"/>
      <c r="R26" s="18"/>
      <c r="S26" s="18"/>
    </row>
    <row r="27" spans="1:19" s="9" customFormat="1">
      <c r="A27" s="140">
        <v>4291</v>
      </c>
      <c r="B27" s="140" t="s">
        <v>49</v>
      </c>
      <c r="C27" s="140" t="s">
        <v>49</v>
      </c>
      <c r="D27" s="143" t="s">
        <v>7</v>
      </c>
      <c r="E27" s="144">
        <v>42926.774259259262</v>
      </c>
      <c r="F27" s="89">
        <f t="shared" si="5"/>
        <v>42926.774259259262</v>
      </c>
      <c r="G27" s="90" t="str">
        <f t="shared" si="6"/>
        <v>18:34</v>
      </c>
      <c r="H27" s="91" t="str">
        <f t="shared" si="7"/>
        <v>-</v>
      </c>
      <c r="I27" s="92" t="str">
        <f t="shared" si="8"/>
        <v>-</v>
      </c>
      <c r="J27" s="92" t="str">
        <f t="shared" si="9"/>
        <v>-</v>
      </c>
      <c r="K27" s="93">
        <f t="shared" si="10"/>
        <v>2.2666666666666639</v>
      </c>
      <c r="L27" s="93"/>
      <c r="M27" s="94">
        <f t="shared" si="11"/>
        <v>2</v>
      </c>
      <c r="N27" s="94">
        <f t="shared" si="12"/>
        <v>0.26666666666666394</v>
      </c>
      <c r="O27" s="95"/>
    </row>
    <row r="28" spans="1:19" s="9" customFormat="1">
      <c r="A28" s="140">
        <v>4296</v>
      </c>
      <c r="B28" s="140" t="s">
        <v>49</v>
      </c>
      <c r="C28" s="140" t="s">
        <v>49</v>
      </c>
      <c r="D28" s="143" t="s">
        <v>8</v>
      </c>
      <c r="E28" s="144">
        <v>42926.868495370371</v>
      </c>
      <c r="F28" s="89">
        <f t="shared" si="5"/>
        <v>42926.868495370371</v>
      </c>
      <c r="G28" s="90" t="str">
        <f t="shared" si="6"/>
        <v>20:50</v>
      </c>
      <c r="H28" s="91" t="str">
        <f t="shared" si="7"/>
        <v>-</v>
      </c>
      <c r="I28" s="92" t="str">
        <f t="shared" si="8"/>
        <v>-</v>
      </c>
      <c r="J28" s="92" t="str">
        <f t="shared" si="9"/>
        <v>-</v>
      </c>
      <c r="K28" s="93">
        <f t="shared" si="10"/>
        <v>0</v>
      </c>
      <c r="L28" s="93"/>
      <c r="M28" s="94">
        <f t="shared" si="11"/>
        <v>0</v>
      </c>
      <c r="N28" s="94">
        <f t="shared" si="12"/>
        <v>0</v>
      </c>
      <c r="O28" s="95"/>
    </row>
    <row r="29" spans="1:19" s="2" customFormat="1">
      <c r="A29" s="140">
        <v>4301</v>
      </c>
      <c r="B29" s="140" t="s">
        <v>49</v>
      </c>
      <c r="C29" s="140" t="s">
        <v>49</v>
      </c>
      <c r="D29" s="141" t="s">
        <v>6</v>
      </c>
      <c r="E29" s="142">
        <v>42927.357557870368</v>
      </c>
      <c r="F29" s="89">
        <f t="shared" si="5"/>
        <v>42927.357557870368</v>
      </c>
      <c r="G29" s="90" t="str">
        <f t="shared" si="6"/>
        <v>8:34</v>
      </c>
      <c r="H29" s="91">
        <f t="shared" si="7"/>
        <v>10.149999999999997</v>
      </c>
      <c r="I29" s="92">
        <f t="shared" si="8"/>
        <v>8</v>
      </c>
      <c r="J29" s="92" t="str">
        <f t="shared" si="9"/>
        <v>-</v>
      </c>
      <c r="K29" s="93">
        <f t="shared" si="10"/>
        <v>0</v>
      </c>
      <c r="L29" s="93"/>
      <c r="M29" s="94">
        <f t="shared" si="11"/>
        <v>0</v>
      </c>
      <c r="N29" s="94">
        <f t="shared" si="12"/>
        <v>0</v>
      </c>
      <c r="O29" s="95"/>
      <c r="P29" s="8"/>
      <c r="Q29" s="8"/>
      <c r="R29" s="8"/>
      <c r="S29" s="8"/>
    </row>
    <row r="30" spans="1:19">
      <c r="A30" s="140">
        <v>4314</v>
      </c>
      <c r="B30" s="140" t="s">
        <v>49</v>
      </c>
      <c r="C30" s="140" t="s">
        <v>49</v>
      </c>
      <c r="D30" s="143" t="s">
        <v>5</v>
      </c>
      <c r="E30" s="144">
        <v>42927.779930555553</v>
      </c>
      <c r="F30" s="89">
        <f t="shared" si="5"/>
        <v>42927.779930555553</v>
      </c>
      <c r="G30" s="90" t="str">
        <f t="shared" si="6"/>
        <v>18:43</v>
      </c>
      <c r="H30" s="91" t="str">
        <f t="shared" si="7"/>
        <v>-</v>
      </c>
      <c r="I30" s="92" t="str">
        <f t="shared" si="8"/>
        <v>-</v>
      </c>
      <c r="J30" s="92" t="str">
        <f t="shared" si="9"/>
        <v>-</v>
      </c>
      <c r="K30" s="93">
        <f t="shared" si="10"/>
        <v>0</v>
      </c>
      <c r="L30" s="93"/>
      <c r="M30" s="94">
        <f t="shared" si="11"/>
        <v>0</v>
      </c>
      <c r="N30" s="94">
        <f t="shared" si="12"/>
        <v>0</v>
      </c>
      <c r="O30" s="95"/>
    </row>
    <row r="31" spans="1:19" s="137" customFormat="1">
      <c r="A31" s="140">
        <v>4324</v>
      </c>
      <c r="B31" s="140" t="s">
        <v>49</v>
      </c>
      <c r="C31" s="140" t="s">
        <v>49</v>
      </c>
      <c r="D31" s="143" t="s">
        <v>6</v>
      </c>
      <c r="E31" s="144">
        <v>42928.356631944444</v>
      </c>
      <c r="F31" s="89">
        <f t="shared" si="5"/>
        <v>42928.356631944444</v>
      </c>
      <c r="G31" s="90" t="str">
        <f t="shared" si="6"/>
        <v>8:33</v>
      </c>
      <c r="H31" s="91">
        <f t="shared" si="7"/>
        <v>10.116666666666667</v>
      </c>
      <c r="I31" s="92">
        <f t="shared" si="8"/>
        <v>8</v>
      </c>
      <c r="J31" s="92" t="str">
        <f t="shared" si="9"/>
        <v>-</v>
      </c>
      <c r="K31" s="93">
        <f t="shared" si="10"/>
        <v>0</v>
      </c>
      <c r="L31" s="93"/>
      <c r="M31" s="94">
        <f t="shared" si="11"/>
        <v>0</v>
      </c>
      <c r="N31" s="94">
        <f t="shared" si="12"/>
        <v>0</v>
      </c>
      <c r="O31" s="95"/>
    </row>
    <row r="32" spans="1:19" s="137" customFormat="1" ht="17.25" customHeight="1">
      <c r="A32" s="140">
        <v>4334</v>
      </c>
      <c r="B32" s="140" t="s">
        <v>49</v>
      </c>
      <c r="C32" s="140" t="s">
        <v>49</v>
      </c>
      <c r="D32" s="143" t="s">
        <v>5</v>
      </c>
      <c r="E32" s="144">
        <v>42928.77815972222</v>
      </c>
      <c r="F32" s="89">
        <f t="shared" si="5"/>
        <v>42928.77815972222</v>
      </c>
      <c r="G32" s="90" t="str">
        <f t="shared" si="6"/>
        <v>18:40</v>
      </c>
      <c r="H32" s="91" t="str">
        <f t="shared" si="7"/>
        <v>-</v>
      </c>
      <c r="I32" s="92" t="str">
        <f t="shared" si="8"/>
        <v>-</v>
      </c>
      <c r="J32" s="92" t="str">
        <f t="shared" si="9"/>
        <v>-</v>
      </c>
      <c r="K32" s="93">
        <f t="shared" si="10"/>
        <v>0</v>
      </c>
      <c r="L32" s="93"/>
      <c r="M32" s="94">
        <f t="shared" si="11"/>
        <v>0</v>
      </c>
      <c r="N32" s="94">
        <f t="shared" si="12"/>
        <v>0</v>
      </c>
      <c r="O32" s="95"/>
    </row>
    <row r="33" spans="1:19" s="2" customFormat="1">
      <c r="A33" s="140">
        <v>4336</v>
      </c>
      <c r="B33" s="140" t="s">
        <v>49</v>
      </c>
      <c r="C33" s="140" t="s">
        <v>49</v>
      </c>
      <c r="D33" s="143" t="s">
        <v>7</v>
      </c>
      <c r="E33" s="144">
        <v>42928.778194444443</v>
      </c>
      <c r="F33" s="89">
        <f t="shared" si="5"/>
        <v>42928.778194444443</v>
      </c>
      <c r="G33" s="90" t="str">
        <f t="shared" si="6"/>
        <v>18:40</v>
      </c>
      <c r="H33" s="91" t="str">
        <f t="shared" si="7"/>
        <v>-</v>
      </c>
      <c r="I33" s="92" t="str">
        <f t="shared" si="8"/>
        <v>-</v>
      </c>
      <c r="J33" s="92" t="str">
        <f t="shared" si="9"/>
        <v>-</v>
      </c>
      <c r="K33" s="93">
        <f t="shared" si="10"/>
        <v>3.2500000000000018</v>
      </c>
      <c r="L33" s="93"/>
      <c r="M33" s="94">
        <f t="shared" si="11"/>
        <v>2</v>
      </c>
      <c r="N33" s="94">
        <f t="shared" si="12"/>
        <v>1.2500000000000018</v>
      </c>
      <c r="O33" s="95"/>
      <c r="P33" s="8"/>
      <c r="Q33" s="8"/>
      <c r="R33" s="8"/>
      <c r="S33" s="8"/>
    </row>
    <row r="34" spans="1:19" s="63" customFormat="1">
      <c r="A34" s="140">
        <v>4347</v>
      </c>
      <c r="B34" s="140" t="s">
        <v>49</v>
      </c>
      <c r="C34" s="140" t="s">
        <v>49</v>
      </c>
      <c r="D34" s="143" t="s">
        <v>8</v>
      </c>
      <c r="E34" s="144">
        <v>42928.913506944446</v>
      </c>
      <c r="F34" s="89">
        <f t="shared" si="5"/>
        <v>42928.913506944446</v>
      </c>
      <c r="G34" s="90" t="str">
        <f t="shared" si="6"/>
        <v>21:55</v>
      </c>
      <c r="H34" s="91" t="str">
        <f t="shared" si="7"/>
        <v>-</v>
      </c>
      <c r="I34" s="92" t="str">
        <f t="shared" si="8"/>
        <v>-</v>
      </c>
      <c r="J34" s="92" t="str">
        <f t="shared" si="9"/>
        <v>-</v>
      </c>
      <c r="K34" s="93">
        <f t="shared" si="10"/>
        <v>0</v>
      </c>
      <c r="L34" s="93"/>
      <c r="M34" s="94">
        <f t="shared" si="11"/>
        <v>0</v>
      </c>
      <c r="N34" s="94">
        <f t="shared" si="12"/>
        <v>0</v>
      </c>
      <c r="O34" s="95"/>
      <c r="P34" s="18"/>
      <c r="Q34" s="18"/>
      <c r="R34" s="18"/>
      <c r="S34" s="18"/>
    </row>
    <row r="35" spans="1:19" s="9" customFormat="1">
      <c r="A35" s="140">
        <v>4352</v>
      </c>
      <c r="B35" s="140" t="s">
        <v>49</v>
      </c>
      <c r="C35" s="140" t="s">
        <v>49</v>
      </c>
      <c r="D35" s="143" t="s">
        <v>6</v>
      </c>
      <c r="E35" s="144">
        <v>42929.360590277778</v>
      </c>
      <c r="F35" s="89">
        <f t="shared" si="5"/>
        <v>42929.360590277778</v>
      </c>
      <c r="G35" s="90" t="str">
        <f t="shared" si="6"/>
        <v>8:39</v>
      </c>
      <c r="H35" s="91">
        <f t="shared" si="7"/>
        <v>9.9</v>
      </c>
      <c r="I35" s="92">
        <f t="shared" si="8"/>
        <v>8</v>
      </c>
      <c r="J35" s="92" t="str">
        <f t="shared" si="9"/>
        <v>-</v>
      </c>
      <c r="K35" s="93">
        <f t="shared" si="10"/>
        <v>0</v>
      </c>
      <c r="L35" s="93"/>
      <c r="M35" s="94">
        <f t="shared" si="11"/>
        <v>0</v>
      </c>
      <c r="N35" s="94">
        <f t="shared" si="12"/>
        <v>0</v>
      </c>
      <c r="O35" s="95"/>
    </row>
    <row r="36" spans="1:19" s="9" customFormat="1">
      <c r="A36" s="140">
        <v>4361</v>
      </c>
      <c r="B36" s="140" t="s">
        <v>49</v>
      </c>
      <c r="C36" s="140" t="s">
        <v>49</v>
      </c>
      <c r="D36" s="143" t="s">
        <v>5</v>
      </c>
      <c r="E36" s="144">
        <v>42929.773414351854</v>
      </c>
      <c r="F36" s="89">
        <f t="shared" si="5"/>
        <v>42929.773414351854</v>
      </c>
      <c r="G36" s="90" t="str">
        <f t="shared" si="6"/>
        <v>18:33</v>
      </c>
      <c r="H36" s="91" t="str">
        <f t="shared" si="7"/>
        <v>-</v>
      </c>
      <c r="I36" s="92" t="str">
        <f t="shared" si="8"/>
        <v>-</v>
      </c>
      <c r="J36" s="92" t="str">
        <f t="shared" si="9"/>
        <v>-</v>
      </c>
      <c r="K36" s="93">
        <f t="shared" si="10"/>
        <v>0</v>
      </c>
      <c r="L36" s="93"/>
      <c r="M36" s="94">
        <f t="shared" si="11"/>
        <v>0</v>
      </c>
      <c r="N36" s="94">
        <f t="shared" si="12"/>
        <v>0</v>
      </c>
      <c r="O36" s="95"/>
    </row>
    <row r="37" spans="1:19" s="130" customFormat="1">
      <c r="A37" s="140">
        <v>4362</v>
      </c>
      <c r="B37" s="140" t="s">
        <v>49</v>
      </c>
      <c r="C37" s="140" t="s">
        <v>49</v>
      </c>
      <c r="D37" s="143" t="s">
        <v>7</v>
      </c>
      <c r="E37" s="144">
        <v>42929.773449074077</v>
      </c>
      <c r="F37" s="89">
        <f t="shared" si="5"/>
        <v>42929.773449074077</v>
      </c>
      <c r="G37" s="90" t="str">
        <f t="shared" si="6"/>
        <v>18:33</v>
      </c>
      <c r="H37" s="91" t="str">
        <f t="shared" si="7"/>
        <v>-</v>
      </c>
      <c r="I37" s="92" t="str">
        <f t="shared" si="8"/>
        <v>-</v>
      </c>
      <c r="J37" s="92" t="str">
        <f t="shared" si="9"/>
        <v>-</v>
      </c>
      <c r="K37" s="93">
        <f t="shared" si="10"/>
        <v>4.0999999999999988</v>
      </c>
      <c r="L37" s="93"/>
      <c r="M37" s="94">
        <f t="shared" si="11"/>
        <v>2</v>
      </c>
      <c r="N37" s="94">
        <f t="shared" si="12"/>
        <v>2.0999999999999988</v>
      </c>
      <c r="O37" s="95"/>
      <c r="P37" s="149"/>
      <c r="Q37" s="149"/>
      <c r="R37" s="149"/>
      <c r="S37" s="149"/>
    </row>
    <row r="38" spans="1:19">
      <c r="A38" s="140">
        <v>4371</v>
      </c>
      <c r="B38" s="140" t="s">
        <v>49</v>
      </c>
      <c r="C38" s="140" t="s">
        <v>49</v>
      </c>
      <c r="D38" s="143" t="s">
        <v>8</v>
      </c>
      <c r="E38" s="144">
        <v>42929.944062499999</v>
      </c>
      <c r="F38" s="89">
        <f t="shared" si="5"/>
        <v>42929.944062499999</v>
      </c>
      <c r="G38" s="90" t="str">
        <f t="shared" si="6"/>
        <v>22:39</v>
      </c>
      <c r="H38" s="91" t="str">
        <f t="shared" si="7"/>
        <v>-</v>
      </c>
      <c r="I38" s="92" t="str">
        <f t="shared" si="8"/>
        <v>-</v>
      </c>
      <c r="J38" s="92" t="str">
        <f t="shared" si="9"/>
        <v>-</v>
      </c>
      <c r="K38" s="93">
        <f t="shared" si="10"/>
        <v>0</v>
      </c>
      <c r="L38" s="93"/>
      <c r="M38" s="94">
        <f t="shared" si="11"/>
        <v>0</v>
      </c>
      <c r="N38" s="94">
        <f t="shared" si="12"/>
        <v>0</v>
      </c>
      <c r="O38" s="95"/>
    </row>
    <row r="39" spans="1:19">
      <c r="A39" s="140">
        <v>4374</v>
      </c>
      <c r="B39" s="140" t="s">
        <v>49</v>
      </c>
      <c r="C39" s="140" t="s">
        <v>49</v>
      </c>
      <c r="D39" s="143" t="s">
        <v>6</v>
      </c>
      <c r="E39" s="144">
        <v>42930.356689814813</v>
      </c>
      <c r="F39" s="89">
        <f t="shared" si="5"/>
        <v>42930.356689814813</v>
      </c>
      <c r="G39" s="90" t="str">
        <f t="shared" si="6"/>
        <v>8:33</v>
      </c>
      <c r="H39" s="91">
        <f t="shared" si="7"/>
        <v>10.216666666666667</v>
      </c>
      <c r="I39" s="92">
        <f t="shared" si="8"/>
        <v>8</v>
      </c>
      <c r="J39" s="92" t="str">
        <f t="shared" si="9"/>
        <v>-</v>
      </c>
      <c r="K39" s="93">
        <f t="shared" si="10"/>
        <v>0</v>
      </c>
      <c r="L39" s="93"/>
      <c r="M39" s="94">
        <f t="shared" si="11"/>
        <v>0</v>
      </c>
      <c r="N39" s="94">
        <f t="shared" si="12"/>
        <v>0</v>
      </c>
      <c r="O39" s="95"/>
    </row>
    <row r="40" spans="1:19" s="2" customFormat="1">
      <c r="A40" s="140">
        <v>4389</v>
      </c>
      <c r="B40" s="140" t="s">
        <v>49</v>
      </c>
      <c r="C40" s="140" t="s">
        <v>49</v>
      </c>
      <c r="D40" s="143" t="s">
        <v>5</v>
      </c>
      <c r="E40" s="144">
        <v>42930.782141203701</v>
      </c>
      <c r="F40" s="89">
        <f t="shared" si="5"/>
        <v>42930.782141203701</v>
      </c>
      <c r="G40" s="90" t="str">
        <f t="shared" si="6"/>
        <v>18:46</v>
      </c>
      <c r="H40" s="91" t="str">
        <f t="shared" si="7"/>
        <v>-</v>
      </c>
      <c r="I40" s="92" t="str">
        <f t="shared" si="8"/>
        <v>-</v>
      </c>
      <c r="J40" s="92" t="str">
        <f t="shared" si="9"/>
        <v>-</v>
      </c>
      <c r="K40" s="93">
        <f t="shared" si="10"/>
        <v>0</v>
      </c>
      <c r="L40" s="93"/>
      <c r="M40" s="94">
        <f t="shared" si="11"/>
        <v>0</v>
      </c>
      <c r="N40" s="94">
        <f t="shared" si="12"/>
        <v>0</v>
      </c>
      <c r="O40" s="95"/>
      <c r="P40" s="8"/>
      <c r="Q40" s="8"/>
      <c r="R40" s="8"/>
      <c r="S40" s="8"/>
    </row>
    <row r="41" spans="1:19">
      <c r="A41" s="140">
        <v>4397</v>
      </c>
      <c r="B41" s="140" t="s">
        <v>49</v>
      </c>
      <c r="C41" s="140" t="s">
        <v>49</v>
      </c>
      <c r="D41" s="143" t="s">
        <v>6</v>
      </c>
      <c r="E41" s="144">
        <v>42933.357407407406</v>
      </c>
      <c r="F41" s="89">
        <f t="shared" si="5"/>
        <v>42933.357407407406</v>
      </c>
      <c r="G41" s="90" t="str">
        <f t="shared" si="6"/>
        <v>8:34</v>
      </c>
      <c r="H41" s="91">
        <f t="shared" si="7"/>
        <v>9.8666666666666671</v>
      </c>
      <c r="I41" s="92">
        <f t="shared" si="8"/>
        <v>8</v>
      </c>
      <c r="J41" s="92" t="str">
        <f t="shared" si="9"/>
        <v>-</v>
      </c>
      <c r="K41" s="93">
        <f t="shared" si="10"/>
        <v>0</v>
      </c>
      <c r="L41" s="93"/>
      <c r="M41" s="94">
        <f t="shared" si="11"/>
        <v>0</v>
      </c>
      <c r="N41" s="94">
        <f t="shared" si="12"/>
        <v>0</v>
      </c>
      <c r="O41" s="95"/>
    </row>
    <row r="42" spans="1:19">
      <c r="A42" s="140">
        <v>4409</v>
      </c>
      <c r="B42" s="140" t="s">
        <v>49</v>
      </c>
      <c r="C42" s="140" t="s">
        <v>49</v>
      </c>
      <c r="D42" s="143" t="s">
        <v>5</v>
      </c>
      <c r="E42" s="144">
        <v>42933.768125000002</v>
      </c>
      <c r="F42" s="89">
        <f t="shared" si="5"/>
        <v>42933.768125000002</v>
      </c>
      <c r="G42" s="90" t="str">
        <f t="shared" si="6"/>
        <v>18:26</v>
      </c>
      <c r="H42" s="91" t="str">
        <f t="shared" si="7"/>
        <v>-</v>
      </c>
      <c r="I42" s="92" t="str">
        <f t="shared" si="8"/>
        <v>-</v>
      </c>
      <c r="J42" s="92" t="str">
        <f t="shared" si="9"/>
        <v>-</v>
      </c>
      <c r="K42" s="93">
        <f t="shared" si="10"/>
        <v>0</v>
      </c>
      <c r="L42" s="93"/>
      <c r="M42" s="94">
        <f t="shared" si="11"/>
        <v>0</v>
      </c>
      <c r="N42" s="94">
        <f t="shared" si="12"/>
        <v>0</v>
      </c>
      <c r="O42" s="95"/>
    </row>
    <row r="43" spans="1:19" s="16" customFormat="1">
      <c r="A43" s="140">
        <v>4418</v>
      </c>
      <c r="B43" s="140" t="s">
        <v>49</v>
      </c>
      <c r="C43" s="140" t="s">
        <v>49</v>
      </c>
      <c r="D43" s="143" t="s">
        <v>6</v>
      </c>
      <c r="E43" s="144">
        <v>42934.356585648151</v>
      </c>
      <c r="F43" s="89">
        <f t="shared" si="5"/>
        <v>42934.356585648151</v>
      </c>
      <c r="G43" s="90" t="str">
        <f t="shared" si="6"/>
        <v>8:33</v>
      </c>
      <c r="H43" s="91">
        <f t="shared" si="7"/>
        <v>9.8333333333333321</v>
      </c>
      <c r="I43" s="92">
        <f t="shared" si="8"/>
        <v>8</v>
      </c>
      <c r="J43" s="92" t="str">
        <f t="shared" si="9"/>
        <v>-</v>
      </c>
      <c r="K43" s="93">
        <f t="shared" si="10"/>
        <v>0</v>
      </c>
      <c r="L43" s="93"/>
      <c r="M43" s="94">
        <f t="shared" si="11"/>
        <v>0</v>
      </c>
      <c r="N43" s="94">
        <f t="shared" si="12"/>
        <v>0</v>
      </c>
      <c r="O43" s="95"/>
      <c r="P43" s="137"/>
      <c r="Q43" s="137"/>
      <c r="R43" s="137"/>
      <c r="S43" s="137"/>
    </row>
    <row r="44" spans="1:19" s="16" customFormat="1">
      <c r="A44" s="140">
        <v>4426</v>
      </c>
      <c r="B44" s="140" t="s">
        <v>49</v>
      </c>
      <c r="C44" s="140" t="s">
        <v>49</v>
      </c>
      <c r="D44" s="143" t="s">
        <v>5</v>
      </c>
      <c r="E44" s="144">
        <v>42934.766550925924</v>
      </c>
      <c r="F44" s="89">
        <f t="shared" si="5"/>
        <v>42934.766550925924</v>
      </c>
      <c r="G44" s="90" t="str">
        <f t="shared" si="6"/>
        <v>18:23</v>
      </c>
      <c r="H44" s="91" t="str">
        <f t="shared" si="7"/>
        <v>-</v>
      </c>
      <c r="I44" s="92" t="str">
        <f t="shared" si="8"/>
        <v>-</v>
      </c>
      <c r="J44" s="92" t="str">
        <f t="shared" si="9"/>
        <v>-</v>
      </c>
      <c r="K44" s="93">
        <f t="shared" si="10"/>
        <v>0</v>
      </c>
      <c r="L44" s="93"/>
      <c r="M44" s="94">
        <f t="shared" si="11"/>
        <v>0</v>
      </c>
      <c r="N44" s="94">
        <f t="shared" si="12"/>
        <v>0</v>
      </c>
      <c r="O44" s="95"/>
      <c r="P44" s="137"/>
      <c r="Q44" s="137"/>
      <c r="R44" s="137"/>
      <c r="S44" s="137"/>
    </row>
    <row r="45" spans="1:19">
      <c r="A45" s="140">
        <v>4431</v>
      </c>
      <c r="B45" s="140" t="s">
        <v>49</v>
      </c>
      <c r="C45" s="140" t="s">
        <v>49</v>
      </c>
      <c r="D45" s="143" t="s">
        <v>7</v>
      </c>
      <c r="E45" s="144">
        <v>42934.795358796298</v>
      </c>
      <c r="F45" s="89">
        <f t="shared" si="5"/>
        <v>42934.795358796298</v>
      </c>
      <c r="G45" s="90" t="str">
        <f t="shared" si="6"/>
        <v>19:5</v>
      </c>
      <c r="H45" s="91" t="str">
        <f t="shared" si="7"/>
        <v>-</v>
      </c>
      <c r="I45" s="92" t="str">
        <f t="shared" si="8"/>
        <v>-</v>
      </c>
      <c r="J45" s="92" t="str">
        <f t="shared" si="9"/>
        <v>-</v>
      </c>
      <c r="K45" s="93">
        <f t="shared" si="10"/>
        <v>1.883333333333332</v>
      </c>
      <c r="L45" s="93"/>
      <c r="M45" s="94">
        <f t="shared" si="11"/>
        <v>1.883333333333332</v>
      </c>
      <c r="N45" s="94">
        <f t="shared" si="12"/>
        <v>0</v>
      </c>
      <c r="O45" s="95"/>
    </row>
    <row r="46" spans="1:19">
      <c r="A46" s="140">
        <v>4439</v>
      </c>
      <c r="B46" s="140" t="s">
        <v>49</v>
      </c>
      <c r="C46" s="140" t="s">
        <v>49</v>
      </c>
      <c r="D46" s="143" t="s">
        <v>8</v>
      </c>
      <c r="E46" s="144">
        <v>42934.874201388891</v>
      </c>
      <c r="F46" s="89">
        <f t="shared" si="5"/>
        <v>42934.874201388891</v>
      </c>
      <c r="G46" s="90" t="str">
        <f t="shared" si="6"/>
        <v>20:58</v>
      </c>
      <c r="H46" s="91" t="str">
        <f t="shared" si="7"/>
        <v>-</v>
      </c>
      <c r="I46" s="92" t="str">
        <f t="shared" si="8"/>
        <v>-</v>
      </c>
      <c r="J46" s="92" t="str">
        <f t="shared" si="9"/>
        <v>-</v>
      </c>
      <c r="K46" s="93">
        <f t="shared" si="10"/>
        <v>0</v>
      </c>
      <c r="L46" s="93"/>
      <c r="M46" s="94">
        <f t="shared" si="11"/>
        <v>0</v>
      </c>
      <c r="N46" s="94">
        <f t="shared" si="12"/>
        <v>0</v>
      </c>
      <c r="O46" s="95"/>
    </row>
    <row r="47" spans="1:19">
      <c r="A47" s="140">
        <v>4443</v>
      </c>
      <c r="B47" s="140" t="s">
        <v>49</v>
      </c>
      <c r="C47" s="140" t="s">
        <v>49</v>
      </c>
      <c r="D47" s="143" t="s">
        <v>6</v>
      </c>
      <c r="E47" s="144">
        <v>42935.358611111114</v>
      </c>
      <c r="F47" s="89">
        <f t="shared" si="5"/>
        <v>42935.358611111114</v>
      </c>
      <c r="G47" s="90" t="str">
        <f t="shared" si="6"/>
        <v>8:36</v>
      </c>
      <c r="H47" s="91">
        <f t="shared" si="7"/>
        <v>9.9833333333333307</v>
      </c>
      <c r="I47" s="92">
        <f t="shared" si="8"/>
        <v>8</v>
      </c>
      <c r="J47" s="92" t="str">
        <f t="shared" si="9"/>
        <v>-</v>
      </c>
      <c r="K47" s="93">
        <f t="shared" si="10"/>
        <v>0</v>
      </c>
      <c r="L47" s="93"/>
      <c r="M47" s="94">
        <f t="shared" si="11"/>
        <v>0</v>
      </c>
      <c r="N47" s="94">
        <f t="shared" si="12"/>
        <v>0</v>
      </c>
      <c r="O47" s="95"/>
    </row>
    <row r="48" spans="1:19">
      <c r="A48" s="140">
        <v>4455</v>
      </c>
      <c r="B48" s="140" t="s">
        <v>49</v>
      </c>
      <c r="C48" s="140" t="s">
        <v>49</v>
      </c>
      <c r="D48" s="143" t="s">
        <v>5</v>
      </c>
      <c r="E48" s="144">
        <v>42935.77480324074</v>
      </c>
      <c r="F48" s="89">
        <f t="shared" si="5"/>
        <v>42935.77480324074</v>
      </c>
      <c r="G48" s="90" t="str">
        <f t="shared" si="6"/>
        <v>18:35</v>
      </c>
      <c r="H48" s="91" t="str">
        <f t="shared" si="7"/>
        <v>-</v>
      </c>
      <c r="I48" s="92" t="str">
        <f t="shared" si="8"/>
        <v>-</v>
      </c>
      <c r="J48" s="92" t="str">
        <f t="shared" si="9"/>
        <v>-</v>
      </c>
      <c r="K48" s="93">
        <f t="shared" si="10"/>
        <v>0</v>
      </c>
      <c r="L48" s="93"/>
      <c r="M48" s="94">
        <f t="shared" si="11"/>
        <v>0</v>
      </c>
      <c r="N48" s="94">
        <f t="shared" si="12"/>
        <v>0</v>
      </c>
      <c r="O48" s="95"/>
    </row>
    <row r="49" spans="1:19">
      <c r="A49" s="140">
        <v>4456</v>
      </c>
      <c r="B49" s="140" t="s">
        <v>49</v>
      </c>
      <c r="C49" s="140" t="s">
        <v>49</v>
      </c>
      <c r="D49" s="143" t="s">
        <v>7</v>
      </c>
      <c r="E49" s="144">
        <v>42935.77484953704</v>
      </c>
      <c r="F49" s="89">
        <f t="shared" si="5"/>
        <v>42935.77484953704</v>
      </c>
      <c r="G49" s="90" t="str">
        <f t="shared" si="6"/>
        <v>18:35</v>
      </c>
      <c r="H49" s="91" t="str">
        <f t="shared" si="7"/>
        <v>-</v>
      </c>
      <c r="I49" s="92" t="str">
        <f t="shared" si="8"/>
        <v>-</v>
      </c>
      <c r="J49" s="92" t="str">
        <f t="shared" si="9"/>
        <v>-</v>
      </c>
      <c r="K49" s="93">
        <f t="shared" si="10"/>
        <v>2.1833333333333336</v>
      </c>
      <c r="L49" s="93"/>
      <c r="M49" s="94">
        <f t="shared" si="11"/>
        <v>2</v>
      </c>
      <c r="N49" s="94">
        <f t="shared" si="12"/>
        <v>0.18333333333333357</v>
      </c>
      <c r="O49" s="95"/>
    </row>
    <row r="50" spans="1:19">
      <c r="A50" s="140">
        <v>4464</v>
      </c>
      <c r="B50" s="140" t="s">
        <v>49</v>
      </c>
      <c r="C50" s="140" t="s">
        <v>49</v>
      </c>
      <c r="D50" s="143" t="s">
        <v>8</v>
      </c>
      <c r="E50" s="144">
        <v>42935.865590277775</v>
      </c>
      <c r="F50" s="89">
        <f t="shared" si="5"/>
        <v>42935.865590277775</v>
      </c>
      <c r="G50" s="90" t="str">
        <f t="shared" si="6"/>
        <v>20:46</v>
      </c>
      <c r="H50" s="91" t="str">
        <f t="shared" si="7"/>
        <v>-</v>
      </c>
      <c r="I50" s="92" t="str">
        <f t="shared" si="8"/>
        <v>-</v>
      </c>
      <c r="J50" s="92" t="str">
        <f t="shared" si="9"/>
        <v>-</v>
      </c>
      <c r="K50" s="93">
        <f t="shared" si="10"/>
        <v>0</v>
      </c>
      <c r="L50" s="93"/>
      <c r="M50" s="94">
        <f t="shared" si="11"/>
        <v>0</v>
      </c>
      <c r="N50" s="94">
        <f t="shared" si="12"/>
        <v>0</v>
      </c>
      <c r="O50" s="95"/>
      <c r="P50" s="9" t="s">
        <v>20</v>
      </c>
    </row>
    <row r="51" spans="1:19">
      <c r="A51" s="140">
        <v>4466</v>
      </c>
      <c r="B51" s="140" t="s">
        <v>51</v>
      </c>
      <c r="C51" s="140" t="s">
        <v>49</v>
      </c>
      <c r="D51" s="143" t="s">
        <v>6</v>
      </c>
      <c r="E51" s="144">
        <v>42936.356134259258</v>
      </c>
      <c r="F51" s="89">
        <f t="shared" si="5"/>
        <v>42936.356134259258</v>
      </c>
      <c r="G51" s="90" t="str">
        <f t="shared" si="6"/>
        <v>8:32</v>
      </c>
      <c r="H51" s="91">
        <f t="shared" si="7"/>
        <v>9.6666666666666661</v>
      </c>
      <c r="I51" s="92">
        <f t="shared" si="8"/>
        <v>8</v>
      </c>
      <c r="J51" s="92" t="str">
        <f t="shared" si="9"/>
        <v>-</v>
      </c>
      <c r="K51" s="93">
        <f t="shared" si="10"/>
        <v>0</v>
      </c>
      <c r="L51" s="93"/>
      <c r="M51" s="94">
        <f t="shared" si="11"/>
        <v>0</v>
      </c>
      <c r="N51" s="94">
        <f t="shared" si="12"/>
        <v>0</v>
      </c>
      <c r="O51" s="95"/>
    </row>
    <row r="52" spans="1:19">
      <c r="A52" s="140">
        <v>4475</v>
      </c>
      <c r="B52" s="140" t="s">
        <v>51</v>
      </c>
      <c r="C52" s="140" t="s">
        <v>49</v>
      </c>
      <c r="D52" s="143" t="s">
        <v>5</v>
      </c>
      <c r="E52" s="144">
        <v>42936.758622685185</v>
      </c>
      <c r="F52" s="89">
        <f t="shared" si="5"/>
        <v>42936.758622685185</v>
      </c>
      <c r="G52" s="90" t="str">
        <f t="shared" si="6"/>
        <v>18:12</v>
      </c>
      <c r="H52" s="91" t="str">
        <f t="shared" si="7"/>
        <v>-</v>
      </c>
      <c r="I52" s="92" t="str">
        <f t="shared" si="8"/>
        <v>-</v>
      </c>
      <c r="J52" s="92" t="str">
        <f t="shared" si="9"/>
        <v>-</v>
      </c>
      <c r="K52" s="93">
        <f t="shared" si="10"/>
        <v>0</v>
      </c>
      <c r="L52" s="93"/>
      <c r="M52" s="94">
        <f t="shared" si="11"/>
        <v>0</v>
      </c>
      <c r="N52" s="94">
        <f t="shared" si="12"/>
        <v>0</v>
      </c>
      <c r="O52" s="95"/>
    </row>
    <row r="53" spans="1:19">
      <c r="A53" s="140">
        <v>4493</v>
      </c>
      <c r="B53" s="140" t="s">
        <v>49</v>
      </c>
      <c r="C53" s="140" t="s">
        <v>49</v>
      </c>
      <c r="D53" s="143" t="s">
        <v>6</v>
      </c>
      <c r="E53" s="144">
        <v>42937.359791666669</v>
      </c>
      <c r="F53" s="89">
        <f t="shared" si="5"/>
        <v>42937.359791666669</v>
      </c>
      <c r="G53" s="90" t="str">
        <f t="shared" si="6"/>
        <v>8:38</v>
      </c>
      <c r="H53" s="91">
        <f t="shared" si="7"/>
        <v>10.25</v>
      </c>
      <c r="I53" s="92">
        <f t="shared" si="8"/>
        <v>8</v>
      </c>
      <c r="J53" s="92" t="str">
        <f t="shared" si="9"/>
        <v>-</v>
      </c>
      <c r="K53" s="93">
        <f t="shared" si="10"/>
        <v>0</v>
      </c>
      <c r="L53" s="93"/>
      <c r="M53" s="94">
        <f t="shared" si="11"/>
        <v>0</v>
      </c>
      <c r="N53" s="94">
        <f t="shared" si="12"/>
        <v>0</v>
      </c>
      <c r="O53" s="95"/>
      <c r="P53"/>
      <c r="Q53"/>
      <c r="R53"/>
      <c r="S53"/>
    </row>
    <row r="54" spans="1:19">
      <c r="A54" s="140">
        <v>4503</v>
      </c>
      <c r="B54" s="140" t="s">
        <v>49</v>
      </c>
      <c r="C54" s="140" t="s">
        <v>49</v>
      </c>
      <c r="D54" s="143" t="s">
        <v>5</v>
      </c>
      <c r="E54" s="144">
        <v>42937.786932870367</v>
      </c>
      <c r="F54" s="89">
        <f t="shared" si="5"/>
        <v>42937.786932870367</v>
      </c>
      <c r="G54" s="90" t="str">
        <f t="shared" si="6"/>
        <v>18:53</v>
      </c>
      <c r="H54" s="91" t="str">
        <f t="shared" si="7"/>
        <v>-</v>
      </c>
      <c r="I54" s="92" t="str">
        <f t="shared" si="8"/>
        <v>-</v>
      </c>
      <c r="J54" s="92" t="str">
        <f t="shared" si="9"/>
        <v>-</v>
      </c>
      <c r="K54" s="93">
        <f t="shared" si="10"/>
        <v>0</v>
      </c>
      <c r="L54" s="93"/>
      <c r="M54" s="94">
        <f t="shared" si="11"/>
        <v>0</v>
      </c>
      <c r="N54" s="94">
        <f t="shared" si="12"/>
        <v>0</v>
      </c>
      <c r="O54" s="95"/>
      <c r="P54"/>
      <c r="Q54"/>
      <c r="R54"/>
      <c r="S54"/>
    </row>
    <row r="55" spans="1:19" s="2" customFormat="1">
      <c r="A55" s="140">
        <v>4508</v>
      </c>
      <c r="B55" s="140" t="s">
        <v>49</v>
      </c>
      <c r="C55" s="140" t="s">
        <v>49</v>
      </c>
      <c r="D55" s="143" t="s">
        <v>6</v>
      </c>
      <c r="E55" s="144">
        <v>42940.356087962966</v>
      </c>
      <c r="F55" s="89">
        <f t="shared" si="5"/>
        <v>42940.356087962966</v>
      </c>
      <c r="G55" s="90" t="str">
        <f t="shared" si="6"/>
        <v>8:32</v>
      </c>
      <c r="H55" s="91">
        <f t="shared" si="7"/>
        <v>10.216666666666667</v>
      </c>
      <c r="I55" s="92">
        <f t="shared" si="8"/>
        <v>8</v>
      </c>
      <c r="J55" s="92" t="str">
        <f t="shared" si="9"/>
        <v>-</v>
      </c>
      <c r="K55" s="93">
        <f t="shared" si="10"/>
        <v>0</v>
      </c>
      <c r="L55" s="93"/>
      <c r="M55" s="94">
        <f t="shared" si="11"/>
        <v>0</v>
      </c>
      <c r="N55" s="94">
        <f t="shared" si="12"/>
        <v>0</v>
      </c>
      <c r="O55" s="95"/>
    </row>
    <row r="56" spans="1:19" s="2" customFormat="1">
      <c r="A56" s="140">
        <v>4524</v>
      </c>
      <c r="B56" s="140" t="s">
        <v>49</v>
      </c>
      <c r="C56" s="140" t="s">
        <v>49</v>
      </c>
      <c r="D56" s="143" t="s">
        <v>5</v>
      </c>
      <c r="E56" s="144">
        <v>42940.781458333331</v>
      </c>
      <c r="F56" s="89">
        <f t="shared" si="5"/>
        <v>42940.781458333331</v>
      </c>
      <c r="G56" s="90" t="str">
        <f t="shared" si="6"/>
        <v>18:45</v>
      </c>
      <c r="H56" s="91" t="str">
        <f t="shared" si="7"/>
        <v>-</v>
      </c>
      <c r="I56" s="92" t="str">
        <f t="shared" si="8"/>
        <v>-</v>
      </c>
      <c r="J56" s="92" t="str">
        <f t="shared" si="9"/>
        <v>-</v>
      </c>
      <c r="K56" s="93">
        <f t="shared" si="10"/>
        <v>0</v>
      </c>
      <c r="L56" s="93"/>
      <c r="M56" s="94">
        <f t="shared" si="11"/>
        <v>0</v>
      </c>
      <c r="N56" s="94">
        <f t="shared" si="12"/>
        <v>0</v>
      </c>
      <c r="O56" s="95"/>
    </row>
    <row r="57" spans="1:19">
      <c r="A57" s="140">
        <v>4525</v>
      </c>
      <c r="B57" s="140" t="s">
        <v>49</v>
      </c>
      <c r="C57" s="140" t="s">
        <v>49</v>
      </c>
      <c r="D57" s="143" t="s">
        <v>7</v>
      </c>
      <c r="E57" s="144">
        <v>42940.781493055554</v>
      </c>
      <c r="F57" s="89">
        <f t="shared" si="5"/>
        <v>42940.781493055554</v>
      </c>
      <c r="G57" s="90" t="str">
        <f t="shared" si="6"/>
        <v>18:45</v>
      </c>
      <c r="H57" s="91" t="str">
        <f t="shared" si="7"/>
        <v>-</v>
      </c>
      <c r="I57" s="92" t="str">
        <f t="shared" si="8"/>
        <v>-</v>
      </c>
      <c r="J57" s="92" t="str">
        <f t="shared" si="9"/>
        <v>-</v>
      </c>
      <c r="K57" s="93">
        <f t="shared" si="10"/>
        <v>2.8833333333333337</v>
      </c>
      <c r="L57" s="93"/>
      <c r="M57" s="94">
        <f t="shared" si="11"/>
        <v>2</v>
      </c>
      <c r="N57" s="94">
        <f t="shared" si="12"/>
        <v>0.88333333333333375</v>
      </c>
      <c r="O57" s="95"/>
    </row>
    <row r="58" spans="1:19">
      <c r="A58" s="140">
        <v>4531</v>
      </c>
      <c r="B58" s="140" t="s">
        <v>49</v>
      </c>
      <c r="C58" s="140" t="s">
        <v>49</v>
      </c>
      <c r="D58" s="143" t="s">
        <v>8</v>
      </c>
      <c r="E58" s="144">
        <v>42940.901689814818</v>
      </c>
      <c r="F58" s="89">
        <f t="shared" si="5"/>
        <v>42940.901689814818</v>
      </c>
      <c r="G58" s="90" t="str">
        <f t="shared" si="6"/>
        <v>21:38</v>
      </c>
      <c r="H58" s="91" t="str">
        <f t="shared" si="7"/>
        <v>-</v>
      </c>
      <c r="I58" s="92" t="str">
        <f t="shared" si="8"/>
        <v>-</v>
      </c>
      <c r="J58" s="92" t="str">
        <f t="shared" si="9"/>
        <v>-</v>
      </c>
      <c r="K58" s="93">
        <f t="shared" si="10"/>
        <v>0</v>
      </c>
      <c r="L58" s="93"/>
      <c r="M58" s="94">
        <f t="shared" si="11"/>
        <v>0</v>
      </c>
      <c r="N58" s="94">
        <f t="shared" si="12"/>
        <v>0</v>
      </c>
      <c r="O58" s="95"/>
    </row>
    <row r="59" spans="1:19" s="63" customFormat="1">
      <c r="A59" s="140">
        <v>4538</v>
      </c>
      <c r="B59" s="140" t="s">
        <v>49</v>
      </c>
      <c r="C59" s="140" t="s">
        <v>49</v>
      </c>
      <c r="D59" s="143" t="s">
        <v>6</v>
      </c>
      <c r="E59" s="144">
        <v>42941.358611111114</v>
      </c>
      <c r="F59" s="89">
        <f t="shared" si="5"/>
        <v>42941.358611111114</v>
      </c>
      <c r="G59" s="90" t="str">
        <f t="shared" si="6"/>
        <v>8:36</v>
      </c>
      <c r="H59" s="91">
        <f t="shared" si="7"/>
        <v>10.533333333333331</v>
      </c>
      <c r="I59" s="92">
        <f t="shared" si="8"/>
        <v>8</v>
      </c>
      <c r="J59" s="92" t="str">
        <f t="shared" si="9"/>
        <v>-</v>
      </c>
      <c r="K59" s="93">
        <f t="shared" si="10"/>
        <v>0</v>
      </c>
      <c r="L59" s="93"/>
      <c r="M59" s="94">
        <f t="shared" si="11"/>
        <v>0</v>
      </c>
      <c r="N59" s="94">
        <f t="shared" si="12"/>
        <v>0</v>
      </c>
      <c r="O59" s="95"/>
      <c r="P59" s="18"/>
      <c r="Q59" s="18"/>
      <c r="R59" s="18"/>
      <c r="S59" s="18"/>
    </row>
    <row r="60" spans="1:19" s="63" customFormat="1">
      <c r="A60" s="140">
        <v>4551</v>
      </c>
      <c r="B60" s="140" t="s">
        <v>49</v>
      </c>
      <c r="C60" s="140" t="s">
        <v>49</v>
      </c>
      <c r="D60" s="143" t="s">
        <v>5</v>
      </c>
      <c r="E60" s="144">
        <v>42941.797615740739</v>
      </c>
      <c r="F60" s="89">
        <f t="shared" si="5"/>
        <v>42941.797615740739</v>
      </c>
      <c r="G60" s="90" t="str">
        <f t="shared" si="6"/>
        <v>19:8</v>
      </c>
      <c r="H60" s="91" t="str">
        <f t="shared" si="7"/>
        <v>-</v>
      </c>
      <c r="I60" s="92" t="str">
        <f t="shared" si="8"/>
        <v>-</v>
      </c>
      <c r="J60" s="92" t="str">
        <f t="shared" si="9"/>
        <v>-</v>
      </c>
      <c r="K60" s="93">
        <f t="shared" si="10"/>
        <v>0</v>
      </c>
      <c r="L60" s="93"/>
      <c r="M60" s="94">
        <f t="shared" si="11"/>
        <v>0</v>
      </c>
      <c r="N60" s="94">
        <f t="shared" si="12"/>
        <v>0</v>
      </c>
      <c r="O60" s="95"/>
      <c r="P60" s="18"/>
      <c r="Q60" s="18"/>
      <c r="R60" s="18"/>
      <c r="S60" s="18"/>
    </row>
    <row r="61" spans="1:19">
      <c r="A61" s="140">
        <v>4560</v>
      </c>
      <c r="B61" s="140" t="s">
        <v>49</v>
      </c>
      <c r="C61" s="140" t="s">
        <v>49</v>
      </c>
      <c r="D61" s="143" t="s">
        <v>6</v>
      </c>
      <c r="E61" s="144">
        <v>42942.358252314814</v>
      </c>
      <c r="F61" s="89">
        <f t="shared" si="5"/>
        <v>42942.358252314814</v>
      </c>
      <c r="G61" s="90" t="str">
        <f t="shared" si="6"/>
        <v>8:35</v>
      </c>
      <c r="H61" s="91">
        <f t="shared" si="7"/>
        <v>10.65</v>
      </c>
      <c r="I61" s="92">
        <f t="shared" si="8"/>
        <v>8</v>
      </c>
      <c r="J61" s="92" t="str">
        <f t="shared" si="9"/>
        <v>-</v>
      </c>
      <c r="K61" s="93">
        <f t="shared" si="10"/>
        <v>0</v>
      </c>
      <c r="L61" s="93"/>
      <c r="M61" s="94">
        <f t="shared" si="11"/>
        <v>0</v>
      </c>
      <c r="N61" s="94">
        <f t="shared" si="12"/>
        <v>0</v>
      </c>
      <c r="O61" s="95"/>
    </row>
    <row r="62" spans="1:19">
      <c r="A62" s="140">
        <v>4574</v>
      </c>
      <c r="B62" s="140" t="s">
        <v>49</v>
      </c>
      <c r="C62" s="140" t="s">
        <v>49</v>
      </c>
      <c r="D62" s="143" t="s">
        <v>5</v>
      </c>
      <c r="E62" s="144">
        <v>42942.801655092589</v>
      </c>
      <c r="F62" s="89">
        <f t="shared" si="5"/>
        <v>42942.801655092589</v>
      </c>
      <c r="G62" s="90" t="str">
        <f t="shared" si="6"/>
        <v>19:14</v>
      </c>
      <c r="H62" s="91" t="str">
        <f t="shared" si="7"/>
        <v>-</v>
      </c>
      <c r="I62" s="92" t="str">
        <f t="shared" si="8"/>
        <v>-</v>
      </c>
      <c r="J62" s="92" t="str">
        <f t="shared" si="9"/>
        <v>-</v>
      </c>
      <c r="K62" s="93">
        <f t="shared" si="10"/>
        <v>0</v>
      </c>
      <c r="L62" s="93"/>
      <c r="M62" s="94">
        <f t="shared" si="11"/>
        <v>0</v>
      </c>
      <c r="N62" s="94">
        <f t="shared" si="12"/>
        <v>0</v>
      </c>
      <c r="O62" s="95"/>
    </row>
    <row r="63" spans="1:19">
      <c r="A63">
        <v>4575</v>
      </c>
      <c r="B63" t="s">
        <v>49</v>
      </c>
      <c r="C63" t="s">
        <v>49</v>
      </c>
      <c r="D63" s="143" t="s">
        <v>7</v>
      </c>
      <c r="E63" s="144">
        <v>42942.801701388889</v>
      </c>
      <c r="F63" s="89">
        <f t="shared" si="5"/>
        <v>42942.801701388889</v>
      </c>
      <c r="G63" s="90" t="str">
        <f t="shared" si="6"/>
        <v>19:14</v>
      </c>
      <c r="H63" s="91" t="str">
        <f t="shared" si="7"/>
        <v>-</v>
      </c>
      <c r="I63" s="92" t="str">
        <f t="shared" si="8"/>
        <v>-</v>
      </c>
      <c r="J63" s="92" t="str">
        <f t="shared" si="9"/>
        <v>-</v>
      </c>
      <c r="K63" s="93">
        <f t="shared" si="10"/>
        <v>0.19999999999999929</v>
      </c>
      <c r="L63" s="93"/>
      <c r="M63" s="94">
        <f t="shared" si="11"/>
        <v>0.19999999999999929</v>
      </c>
      <c r="N63" s="94">
        <f t="shared" si="12"/>
        <v>0</v>
      </c>
      <c r="O63" s="95"/>
    </row>
    <row r="64" spans="1:19" s="63" customFormat="1">
      <c r="A64">
        <v>4576</v>
      </c>
      <c r="B64" t="s">
        <v>51</v>
      </c>
      <c r="C64" t="s">
        <v>49</v>
      </c>
      <c r="D64" s="143" t="s">
        <v>8</v>
      </c>
      <c r="E64" s="144">
        <v>42942.810173611113</v>
      </c>
      <c r="F64" s="89">
        <f t="shared" si="5"/>
        <v>42942.810173611113</v>
      </c>
      <c r="G64" s="90" t="str">
        <f t="shared" si="6"/>
        <v>19:26</v>
      </c>
      <c r="H64" s="91" t="str">
        <f t="shared" si="7"/>
        <v>-</v>
      </c>
      <c r="I64" s="92" t="str">
        <f t="shared" si="8"/>
        <v>-</v>
      </c>
      <c r="J64" s="92" t="str">
        <f t="shared" si="9"/>
        <v>-</v>
      </c>
      <c r="K64" s="93">
        <f t="shared" si="10"/>
        <v>0</v>
      </c>
      <c r="L64" s="93"/>
      <c r="M64" s="94">
        <f t="shared" si="11"/>
        <v>0</v>
      </c>
      <c r="N64" s="94">
        <f t="shared" si="12"/>
        <v>0</v>
      </c>
      <c r="O64" s="95"/>
      <c r="P64" s="18"/>
      <c r="Q64" s="18"/>
      <c r="R64" s="18"/>
      <c r="S64" s="18"/>
    </row>
    <row r="65" spans="1:19">
      <c r="A65">
        <v>4584</v>
      </c>
      <c r="B65" t="s">
        <v>51</v>
      </c>
      <c r="C65" t="s">
        <v>49</v>
      </c>
      <c r="D65" s="143" t="s">
        <v>6</v>
      </c>
      <c r="E65" s="144">
        <v>42943.359733796293</v>
      </c>
      <c r="F65" s="89">
        <f t="shared" si="5"/>
        <v>42943.359733796293</v>
      </c>
      <c r="G65" s="90" t="str">
        <f t="shared" si="6"/>
        <v>8:38</v>
      </c>
      <c r="H65" s="91">
        <f t="shared" si="7"/>
        <v>9.7666666666666657</v>
      </c>
      <c r="I65" s="92">
        <f t="shared" si="8"/>
        <v>8</v>
      </c>
      <c r="J65" s="92" t="str">
        <f t="shared" si="9"/>
        <v>-</v>
      </c>
      <c r="K65" s="93">
        <f t="shared" si="10"/>
        <v>0</v>
      </c>
      <c r="L65" s="93"/>
      <c r="M65" s="94">
        <f t="shared" si="11"/>
        <v>0</v>
      </c>
      <c r="N65" s="94">
        <f t="shared" si="12"/>
        <v>0</v>
      </c>
      <c r="O65" s="95"/>
    </row>
    <row r="66" spans="1:19">
      <c r="A66">
        <v>4594</v>
      </c>
      <c r="B66" t="s">
        <v>49</v>
      </c>
      <c r="C66" t="s">
        <v>49</v>
      </c>
      <c r="D66" s="143" t="s">
        <v>5</v>
      </c>
      <c r="E66" s="144">
        <v>42943.767094907409</v>
      </c>
      <c r="F66" s="89">
        <f t="shared" si="5"/>
        <v>42943.767094907409</v>
      </c>
      <c r="G66" s="90" t="str">
        <f t="shared" si="6"/>
        <v>18:24</v>
      </c>
      <c r="H66" s="91" t="str">
        <f t="shared" si="7"/>
        <v>-</v>
      </c>
      <c r="I66" s="92" t="str">
        <f t="shared" si="8"/>
        <v>-</v>
      </c>
      <c r="J66" s="92" t="str">
        <f t="shared" si="9"/>
        <v>-</v>
      </c>
      <c r="K66" s="93">
        <f t="shared" si="10"/>
        <v>0</v>
      </c>
      <c r="L66" s="93"/>
      <c r="M66" s="94">
        <f t="shared" si="11"/>
        <v>0</v>
      </c>
      <c r="N66" s="94">
        <f t="shared" si="12"/>
        <v>0</v>
      </c>
      <c r="O66" s="95"/>
    </row>
    <row r="67" spans="1:19">
      <c r="A67">
        <v>4603</v>
      </c>
      <c r="B67" t="s">
        <v>49</v>
      </c>
      <c r="C67" t="s">
        <v>49</v>
      </c>
      <c r="D67" s="143" t="s">
        <v>6</v>
      </c>
      <c r="E67" s="144">
        <v>42944.356435185182</v>
      </c>
      <c r="F67" s="89">
        <f t="shared" si="5"/>
        <v>42944.356435185182</v>
      </c>
      <c r="G67" s="90" t="str">
        <f t="shared" si="6"/>
        <v>8:33</v>
      </c>
      <c r="H67" s="91">
        <f t="shared" si="7"/>
        <v>10.316666666666666</v>
      </c>
      <c r="I67" s="92">
        <f t="shared" si="8"/>
        <v>8</v>
      </c>
      <c r="J67" s="92" t="str">
        <f t="shared" si="9"/>
        <v>-</v>
      </c>
      <c r="K67" s="93">
        <f t="shared" si="10"/>
        <v>0</v>
      </c>
      <c r="L67" s="93"/>
      <c r="M67" s="94">
        <f t="shared" si="11"/>
        <v>0</v>
      </c>
      <c r="N67" s="94">
        <f t="shared" si="12"/>
        <v>0</v>
      </c>
      <c r="O67" s="95"/>
    </row>
    <row r="68" spans="1:19">
      <c r="A68">
        <v>4618</v>
      </c>
      <c r="B68" t="s">
        <v>49</v>
      </c>
      <c r="C68" t="s">
        <v>49</v>
      </c>
      <c r="D68" s="143" t="s">
        <v>5</v>
      </c>
      <c r="E68" s="144">
        <v>42944.786377314813</v>
      </c>
      <c r="F68" s="89">
        <f t="shared" si="5"/>
        <v>42944.786377314813</v>
      </c>
      <c r="G68" s="90" t="str">
        <f t="shared" si="6"/>
        <v>18:52</v>
      </c>
      <c r="H68" s="91" t="str">
        <f t="shared" si="7"/>
        <v>-</v>
      </c>
      <c r="I68" s="92" t="str">
        <f t="shared" si="8"/>
        <v>-</v>
      </c>
      <c r="J68" s="92" t="str">
        <f t="shared" si="9"/>
        <v>-</v>
      </c>
      <c r="K68" s="93">
        <f t="shared" si="10"/>
        <v>0</v>
      </c>
      <c r="L68" s="93"/>
      <c r="M68" s="94">
        <f t="shared" si="11"/>
        <v>0</v>
      </c>
      <c r="N68" s="94">
        <f t="shared" si="12"/>
        <v>0</v>
      </c>
      <c r="O68" s="95"/>
    </row>
    <row r="69" spans="1:19" s="63" customFormat="1">
      <c r="A69" s="63">
        <v>4603</v>
      </c>
      <c r="B69" s="63" t="s">
        <v>49</v>
      </c>
      <c r="C69" s="63" t="s">
        <v>49</v>
      </c>
      <c r="D69" s="181" t="s">
        <v>6</v>
      </c>
      <c r="E69" s="180">
        <v>42947.354351851849</v>
      </c>
      <c r="F69" s="135">
        <f t="shared" si="5"/>
        <v>42947.354351851849</v>
      </c>
      <c r="G69" s="67" t="str">
        <f t="shared" si="6"/>
        <v>8:30</v>
      </c>
      <c r="H69" s="64">
        <f t="shared" si="7"/>
        <v>9.5</v>
      </c>
      <c r="I69" s="66">
        <f t="shared" si="8"/>
        <v>8</v>
      </c>
      <c r="J69" s="66" t="str">
        <f t="shared" si="9"/>
        <v>-</v>
      </c>
      <c r="K69" s="68">
        <f t="shared" si="10"/>
        <v>0</v>
      </c>
      <c r="L69" s="68"/>
      <c r="M69" s="65">
        <f t="shared" si="11"/>
        <v>0</v>
      </c>
      <c r="N69" s="65">
        <f t="shared" si="12"/>
        <v>0</v>
      </c>
      <c r="O69" s="147" t="s">
        <v>81</v>
      </c>
      <c r="P69" s="18"/>
      <c r="Q69" s="18"/>
      <c r="R69" s="18"/>
      <c r="S69" s="18"/>
    </row>
    <row r="70" spans="1:19" s="63" customFormat="1">
      <c r="A70" s="63">
        <v>4618</v>
      </c>
      <c r="B70" s="63" t="s">
        <v>49</v>
      </c>
      <c r="C70" s="63" t="s">
        <v>49</v>
      </c>
      <c r="D70" s="181" t="s">
        <v>5</v>
      </c>
      <c r="E70" s="180">
        <v>42947.7502662037</v>
      </c>
      <c r="F70" s="135">
        <f t="shared" si="5"/>
        <v>42947.7502662037</v>
      </c>
      <c r="G70" s="67" t="str">
        <f t="shared" si="6"/>
        <v>18:0</v>
      </c>
      <c r="H70" s="64" t="str">
        <f>IF(D70="上班",(#REF!-G70)*24,"-")</f>
        <v>-</v>
      </c>
      <c r="I70" s="66" t="str">
        <f t="shared" si="8"/>
        <v>-</v>
      </c>
      <c r="J70" s="66" t="str">
        <f t="shared" si="9"/>
        <v>-</v>
      </c>
      <c r="K70" s="68">
        <f>IF(D70="加班",(#REF!-G70)*24,0)</f>
        <v>0</v>
      </c>
      <c r="L70" s="68"/>
      <c r="M70" s="65">
        <f t="shared" si="11"/>
        <v>0</v>
      </c>
      <c r="N70" s="65">
        <f t="shared" si="12"/>
        <v>0</v>
      </c>
      <c r="O70" s="147"/>
      <c r="P70" s="18"/>
      <c r="Q70" s="18"/>
      <c r="R70" s="18"/>
      <c r="S70" s="18"/>
    </row>
    <row r="71" spans="1:19">
      <c r="D71"/>
    </row>
    <row r="72" spans="1:19">
      <c r="D72"/>
    </row>
    <row r="73" spans="1:19">
      <c r="D73" s="9" t="s">
        <v>50</v>
      </c>
      <c r="E73" s="9"/>
      <c r="F73" s="55"/>
      <c r="G73" s="55"/>
      <c r="H73" s="9"/>
      <c r="I73" s="60"/>
      <c r="J73" s="61"/>
      <c r="K73" s="61"/>
      <c r="L73" s="59"/>
    </row>
    <row r="74" spans="1:19">
      <c r="D74" s="9" t="s">
        <v>40</v>
      </c>
      <c r="E74"/>
      <c r="F74" s="3"/>
      <c r="G74"/>
      <c r="H74"/>
      <c r="I74" s="62"/>
      <c r="J74" s="62"/>
      <c r="K74" s="62"/>
      <c r="L74" s="59"/>
    </row>
    <row r="75" spans="1:19">
      <c r="D75" s="172" t="s">
        <v>64</v>
      </c>
      <c r="E75" s="173"/>
      <c r="F75" s="130"/>
      <c r="G75" s="174"/>
      <c r="H75" s="175"/>
      <c r="I75" s="176"/>
      <c r="J75" s="176"/>
      <c r="K75" s="177"/>
      <c r="L75" s="177"/>
      <c r="M75" s="177"/>
    </row>
    <row r="76" spans="1:19">
      <c r="D76" t="s">
        <v>67</v>
      </c>
    </row>
    <row r="77" spans="1:19">
      <c r="D77" t="s">
        <v>65</v>
      </c>
    </row>
    <row r="78" spans="1:19">
      <c r="D78" t="s">
        <v>69</v>
      </c>
    </row>
    <row r="79" spans="1:19">
      <c r="D79" t="s">
        <v>70</v>
      </c>
    </row>
    <row r="80" spans="1:19">
      <c r="D80" t="s">
        <v>66</v>
      </c>
    </row>
    <row r="81" spans="4:4">
      <c r="D81" t="s">
        <v>68</v>
      </c>
    </row>
  </sheetData>
  <phoneticPr fontId="18" type="noConversion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工作表26"/>
  <dimension ref="A1:U39"/>
  <sheetViews>
    <sheetView topLeftCell="D13" workbookViewId="0">
      <selection sqref="A1:E467"/>
    </sheetView>
  </sheetViews>
  <sheetFormatPr baseColWidth="10" defaultColWidth="8.83203125" defaultRowHeight="15" outlineLevelCol="1"/>
  <cols>
    <col min="1" max="1" width="5.33203125" hidden="1" customWidth="1" outlineLevel="1"/>
    <col min="2" max="2" width="6.83203125" hidden="1" customWidth="1" outlineLevel="1"/>
    <col min="3" max="3" width="6.5" style="3" hidden="1" customWidth="1" outlineLevel="1"/>
    <col min="4" max="4" width="10.5" style="3" customWidth="1" collapsed="1"/>
    <col min="5" max="5" width="15.1640625" style="3" customWidth="1"/>
    <col min="6" max="6" width="6.1640625" style="16" customWidth="1"/>
    <col min="7" max="7" width="8.6640625" style="17" hidden="1" customWidth="1" outlineLevel="1"/>
    <col min="8" max="8" width="11.1640625" style="51" hidden="1" customWidth="1" outlineLevel="1"/>
    <col min="9" max="9" width="10.164062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10.5" style="22" customWidth="1"/>
    <col min="14" max="14" width="8.6640625" style="22" customWidth="1"/>
    <col min="15" max="15" width="18.16406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" thickBot="1">
      <c r="C1" s="5"/>
      <c r="D1" s="6"/>
      <c r="E1" s="6"/>
      <c r="F1" s="10"/>
      <c r="G1" s="11"/>
      <c r="H1" s="12"/>
      <c r="I1" s="13" t="str">
        <f>B7</f>
        <v>LZ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29</v>
      </c>
      <c r="E2" s="29"/>
      <c r="F2" s="79"/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" thickBot="1">
      <c r="D3" s="24"/>
      <c r="E3" s="30"/>
      <c r="F3" s="25"/>
      <c r="G3" s="26"/>
      <c r="H3" s="26"/>
      <c r="I3" s="88"/>
      <c r="J3" s="54">
        <f>D5+E5</f>
        <v>5.0000000000000711E-2</v>
      </c>
      <c r="K3" s="53">
        <f>SUM(K15:K41)</f>
        <v>4.1333333333333346</v>
      </c>
      <c r="L3" s="53">
        <v>0.05</v>
      </c>
      <c r="M3" s="53">
        <f>M6-L3</f>
        <v>4.8500000000000014</v>
      </c>
      <c r="N3" s="53">
        <f>N6</f>
        <v>0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59</v>
      </c>
    </row>
    <row r="5" spans="1:21">
      <c r="D5" s="162">
        <f>J27</f>
        <v>5.0000000000000711E-2</v>
      </c>
      <c r="E5" s="150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3.0625000000000006E-2</v>
      </c>
    </row>
    <row r="6" spans="1:21" ht="16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SUM(I7:I36)</f>
        <v>58.95</v>
      </c>
      <c r="J6" s="78">
        <f t="shared" ref="J6:N6" si="0">SUM(J7:J36)</f>
        <v>5.0000000000000711E-2</v>
      </c>
      <c r="K6" s="78">
        <f t="shared" si="0"/>
        <v>4.9000000000000012</v>
      </c>
      <c r="L6" s="78">
        <f t="shared" si="0"/>
        <v>0</v>
      </c>
      <c r="M6" s="78">
        <f t="shared" si="0"/>
        <v>4.9000000000000012</v>
      </c>
      <c r="N6" s="78">
        <f t="shared" si="0"/>
        <v>0</v>
      </c>
      <c r="O6" s="45"/>
      <c r="Q6" s="47"/>
    </row>
    <row r="7" spans="1:21" s="137" customFormat="1">
      <c r="A7" s="152">
        <v>2100</v>
      </c>
      <c r="B7" s="152" t="s">
        <v>60</v>
      </c>
      <c r="C7" s="152" t="s">
        <v>14</v>
      </c>
      <c r="D7" s="153" t="s">
        <v>6</v>
      </c>
      <c r="E7" s="154">
        <v>42738.365381944444</v>
      </c>
      <c r="F7" s="89">
        <f t="shared" ref="F7:F36" si="1">E7</f>
        <v>42738.365381944444</v>
      </c>
      <c r="G7" s="32" t="str">
        <f t="shared" ref="G7" si="2">HOUR(E7)&amp;":"&amp;MINUTE(E7)</f>
        <v>8:46</v>
      </c>
      <c r="H7" s="33">
        <f t="shared" ref="H7" si="3">IF(D7="上班",(G8-G7)*24,"-")</f>
        <v>9.8666666666666671</v>
      </c>
      <c r="I7" s="92">
        <f t="shared" ref="I7:I8" si="4">IF(D7="上班",IF(H7-1.5&gt;8,8,H7-1.5),"-")</f>
        <v>8</v>
      </c>
      <c r="J7" s="92" t="str">
        <f t="shared" ref="J7:J8" si="5">IF(I7&lt;8,8-I7,"-")</f>
        <v>-</v>
      </c>
      <c r="K7" s="93">
        <f t="shared" ref="K7:K8" si="6">IF(D7="加班",(G8-G7)*24,0)</f>
        <v>0</v>
      </c>
      <c r="L7" s="93"/>
      <c r="M7" s="94">
        <f t="shared" ref="M7:M8" si="7">IF(K7&gt;2,2,K7)</f>
        <v>0</v>
      </c>
      <c r="N7" s="94">
        <f t="shared" ref="N7:N8" si="8">IF(K7&gt;2,K7-2,0)</f>
        <v>0</v>
      </c>
      <c r="O7" s="20"/>
    </row>
    <row r="8" spans="1:21" s="137" customFormat="1">
      <c r="A8" s="152">
        <v>2108</v>
      </c>
      <c r="B8" s="152" t="s">
        <v>14</v>
      </c>
      <c r="C8" s="152" t="s">
        <v>14</v>
      </c>
      <c r="D8" s="155" t="s">
        <v>5</v>
      </c>
      <c r="E8" s="156">
        <v>42738.776435185187</v>
      </c>
      <c r="F8" s="89">
        <f t="shared" si="1"/>
        <v>42738.776435185187</v>
      </c>
      <c r="G8" s="90" t="str">
        <f t="shared" ref="G8:G34" si="9">HOUR(E8)&amp;":"&amp;MINUTE(E8)</f>
        <v>18:38</v>
      </c>
      <c r="H8" s="91" t="str">
        <f t="shared" ref="H8:H33" si="10">IF(D8="上班",(G9-G8)*24,"-")</f>
        <v>-</v>
      </c>
      <c r="I8" s="92" t="str">
        <f t="shared" si="4"/>
        <v>-</v>
      </c>
      <c r="J8" s="92" t="str">
        <f t="shared" si="5"/>
        <v>-</v>
      </c>
      <c r="K8" s="93">
        <f t="shared" si="6"/>
        <v>0</v>
      </c>
      <c r="L8" s="93"/>
      <c r="M8" s="94">
        <f t="shared" si="7"/>
        <v>0</v>
      </c>
      <c r="N8" s="94">
        <f t="shared" si="8"/>
        <v>0</v>
      </c>
      <c r="O8" s="20"/>
    </row>
    <row r="9" spans="1:21">
      <c r="A9" s="152">
        <v>2112</v>
      </c>
      <c r="B9" s="152" t="s">
        <v>14</v>
      </c>
      <c r="C9" s="152" t="s">
        <v>14</v>
      </c>
      <c r="D9" s="155" t="s">
        <v>6</v>
      </c>
      <c r="E9" s="156">
        <v>42739.358425925922</v>
      </c>
      <c r="F9" s="89">
        <f t="shared" si="1"/>
        <v>42739.358425925922</v>
      </c>
      <c r="G9" s="90" t="str">
        <f t="shared" si="9"/>
        <v>8:36</v>
      </c>
      <c r="H9" s="91">
        <f t="shared" si="10"/>
        <v>10.066666666666666</v>
      </c>
      <c r="I9" s="92">
        <f t="shared" ref="I9:I10" si="11">IF(D9="上班",IF(H9-1.5&gt;8,8,H9-1.5),"-")</f>
        <v>8</v>
      </c>
      <c r="J9" s="92" t="str">
        <f t="shared" ref="J9:J10" si="12">IF(I9&lt;8,8-I9,"-")</f>
        <v>-</v>
      </c>
      <c r="K9" s="93">
        <f t="shared" ref="K9:K10" si="13">IF(D9="加班",(G10-G9)*24,0)</f>
        <v>0</v>
      </c>
      <c r="L9" s="93"/>
      <c r="M9" s="94">
        <f t="shared" ref="M9:M10" si="14">IF(K9&gt;2,2,K9)</f>
        <v>0</v>
      </c>
      <c r="N9" s="94">
        <f t="shared" ref="N9:N10" si="15">IF(K9&gt;2,K9-2,0)</f>
        <v>0</v>
      </c>
      <c r="O9" s="20"/>
    </row>
    <row r="10" spans="1:21">
      <c r="A10" s="152">
        <v>2122</v>
      </c>
      <c r="B10" s="152" t="s">
        <v>14</v>
      </c>
      <c r="C10" s="152" t="s">
        <v>14</v>
      </c>
      <c r="D10" s="155" t="s">
        <v>5</v>
      </c>
      <c r="E10" s="156">
        <v>42739.777812499997</v>
      </c>
      <c r="F10" s="89">
        <f t="shared" si="1"/>
        <v>42739.777812499997</v>
      </c>
      <c r="G10" s="90" t="str">
        <f t="shared" si="9"/>
        <v>18:40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</row>
    <row r="11" spans="1:21" s="16" customFormat="1">
      <c r="A11" s="152">
        <v>2123</v>
      </c>
      <c r="B11" s="152" t="s">
        <v>14</v>
      </c>
      <c r="C11" s="152" t="s">
        <v>14</v>
      </c>
      <c r="D11" s="155" t="s">
        <v>7</v>
      </c>
      <c r="E11" s="156">
        <v>42739.77784722222</v>
      </c>
      <c r="F11" s="89">
        <f t="shared" si="1"/>
        <v>42739.77784722222</v>
      </c>
      <c r="G11" s="32" t="str">
        <f t="shared" si="9"/>
        <v>18:40</v>
      </c>
      <c r="H11" s="33" t="str">
        <f t="shared" si="10"/>
        <v>-</v>
      </c>
      <c r="I11" s="92" t="str">
        <f t="shared" ref="I11:I36" si="16">IF(D11="上班",IF(H11-1.5&gt;8,8,H11-1.5),"-")</f>
        <v>-</v>
      </c>
      <c r="J11" s="92" t="str">
        <f t="shared" ref="J11:J36" si="17">IF(I11&lt;8,8-I11,"-")</f>
        <v>-</v>
      </c>
      <c r="K11" s="93">
        <f t="shared" ref="K11:K36" si="18">IF(D11="加班",(G12-G11)*24,0)</f>
        <v>0.76666666666666661</v>
      </c>
      <c r="L11" s="93"/>
      <c r="M11" s="94">
        <f t="shared" ref="M11:M36" si="19">IF(K11&gt;2,2,K11)</f>
        <v>0.76666666666666661</v>
      </c>
      <c r="N11" s="94">
        <f t="shared" ref="N11:N36" si="20">IF(K11&gt;2,K11-2,0)</f>
        <v>0</v>
      </c>
      <c r="O11" s="20"/>
      <c r="P11" s="137"/>
      <c r="Q11" s="137"/>
      <c r="R11" s="137"/>
      <c r="S11" s="137"/>
    </row>
    <row r="12" spans="1:21" s="16" customFormat="1">
      <c r="A12" s="152">
        <v>2124</v>
      </c>
      <c r="B12" s="152" t="s">
        <v>14</v>
      </c>
      <c r="C12" s="152" t="s">
        <v>14</v>
      </c>
      <c r="D12" s="155" t="s">
        <v>8</v>
      </c>
      <c r="E12" s="156">
        <v>42739.809872685182</v>
      </c>
      <c r="F12" s="89">
        <f t="shared" si="1"/>
        <v>42739.809872685182</v>
      </c>
      <c r="G12" s="32" t="str">
        <f t="shared" si="9"/>
        <v>19:26</v>
      </c>
      <c r="H12" s="33" t="str">
        <f t="shared" si="10"/>
        <v>-</v>
      </c>
      <c r="I12" s="92" t="str">
        <f t="shared" si="16"/>
        <v>-</v>
      </c>
      <c r="J12" s="92" t="str">
        <f t="shared" si="17"/>
        <v>-</v>
      </c>
      <c r="K12" s="93">
        <f t="shared" si="18"/>
        <v>0</v>
      </c>
      <c r="L12" s="93"/>
      <c r="M12" s="94">
        <f t="shared" si="19"/>
        <v>0</v>
      </c>
      <c r="N12" s="94">
        <f t="shared" si="20"/>
        <v>0</v>
      </c>
      <c r="O12" s="20"/>
      <c r="P12" s="137"/>
      <c r="Q12" s="137"/>
      <c r="R12" s="137"/>
      <c r="S12" s="137"/>
    </row>
    <row r="13" spans="1:21">
      <c r="A13" s="152">
        <v>2131</v>
      </c>
      <c r="B13" s="152" t="s">
        <v>14</v>
      </c>
      <c r="C13" s="152" t="s">
        <v>14</v>
      </c>
      <c r="D13" s="155" t="s">
        <v>6</v>
      </c>
      <c r="E13" s="156">
        <v>42740.368576388886</v>
      </c>
      <c r="F13" s="89">
        <f t="shared" si="1"/>
        <v>42740.368576388886</v>
      </c>
      <c r="G13" s="90" t="str">
        <f t="shared" si="9"/>
        <v>8:50</v>
      </c>
      <c r="H13" s="91">
        <f t="shared" si="10"/>
        <v>9.6666666666666679</v>
      </c>
      <c r="I13" s="92">
        <f t="shared" si="16"/>
        <v>8</v>
      </c>
      <c r="J13" s="92" t="str">
        <f t="shared" si="17"/>
        <v>-</v>
      </c>
      <c r="K13" s="93">
        <f t="shared" si="18"/>
        <v>0</v>
      </c>
      <c r="L13" s="93"/>
      <c r="M13" s="94">
        <f t="shared" si="19"/>
        <v>0</v>
      </c>
      <c r="N13" s="94">
        <f t="shared" si="20"/>
        <v>0</v>
      </c>
      <c r="O13" s="20"/>
    </row>
    <row r="14" spans="1:21">
      <c r="A14" s="152">
        <v>2136</v>
      </c>
      <c r="B14" s="152" t="s">
        <v>14</v>
      </c>
      <c r="C14" s="152" t="s">
        <v>14</v>
      </c>
      <c r="D14" s="155" t="s">
        <v>5</v>
      </c>
      <c r="E14" s="156">
        <v>42740.770972222221</v>
      </c>
      <c r="F14" s="89">
        <f t="shared" si="1"/>
        <v>42740.770972222221</v>
      </c>
      <c r="G14" s="90" t="str">
        <f t="shared" si="9"/>
        <v>18:30</v>
      </c>
      <c r="H14" s="91" t="str">
        <f t="shared" si="10"/>
        <v>-</v>
      </c>
      <c r="I14" s="92" t="str">
        <f t="shared" si="16"/>
        <v>-</v>
      </c>
      <c r="J14" s="92" t="str">
        <f t="shared" si="17"/>
        <v>-</v>
      </c>
      <c r="K14" s="93">
        <f t="shared" si="18"/>
        <v>0</v>
      </c>
      <c r="L14" s="93"/>
      <c r="M14" s="94">
        <f t="shared" si="19"/>
        <v>0</v>
      </c>
      <c r="N14" s="94">
        <f t="shared" si="20"/>
        <v>0</v>
      </c>
      <c r="O14" s="20"/>
    </row>
    <row r="15" spans="1:21" s="2" customFormat="1">
      <c r="A15" s="152">
        <v>2137</v>
      </c>
      <c r="B15" s="152" t="s">
        <v>14</v>
      </c>
      <c r="C15" s="152" t="s">
        <v>14</v>
      </c>
      <c r="D15" s="155" t="s">
        <v>7</v>
      </c>
      <c r="E15" s="156">
        <v>42740.771006944444</v>
      </c>
      <c r="F15" s="89">
        <f t="shared" si="1"/>
        <v>42740.771006944444</v>
      </c>
      <c r="G15" s="90" t="str">
        <f t="shared" si="9"/>
        <v>18:30</v>
      </c>
      <c r="H15" s="91" t="str">
        <f t="shared" si="10"/>
        <v>-</v>
      </c>
      <c r="I15" s="92" t="str">
        <f t="shared" si="16"/>
        <v>-</v>
      </c>
      <c r="J15" s="92" t="str">
        <f t="shared" si="17"/>
        <v>-</v>
      </c>
      <c r="K15" s="93">
        <f t="shared" si="18"/>
        <v>0.16666666666666607</v>
      </c>
      <c r="L15" s="93"/>
      <c r="M15" s="94">
        <f t="shared" si="19"/>
        <v>0.16666666666666607</v>
      </c>
      <c r="N15" s="94">
        <f t="shared" si="20"/>
        <v>0</v>
      </c>
      <c r="O15" s="20"/>
      <c r="P15" s="8"/>
      <c r="Q15" s="8"/>
      <c r="R15" s="8"/>
      <c r="S15" s="8"/>
    </row>
    <row r="16" spans="1:21">
      <c r="A16" s="152">
        <v>2143</v>
      </c>
      <c r="B16" s="152" t="s">
        <v>14</v>
      </c>
      <c r="C16" s="152" t="s">
        <v>14</v>
      </c>
      <c r="D16" s="155" t="s">
        <v>8</v>
      </c>
      <c r="E16" s="156">
        <v>42740.777824074074</v>
      </c>
      <c r="F16" s="89">
        <f t="shared" si="1"/>
        <v>42740.777824074074</v>
      </c>
      <c r="G16" s="90" t="str">
        <f t="shared" si="9"/>
        <v>18:40</v>
      </c>
      <c r="H16" s="91" t="str">
        <f t="shared" si="10"/>
        <v>-</v>
      </c>
      <c r="I16" s="92" t="str">
        <f t="shared" si="16"/>
        <v>-</v>
      </c>
      <c r="J16" s="92" t="str">
        <f t="shared" si="17"/>
        <v>-</v>
      </c>
      <c r="K16" s="93">
        <f t="shared" si="18"/>
        <v>0</v>
      </c>
      <c r="L16" s="93"/>
      <c r="M16" s="94">
        <f t="shared" si="19"/>
        <v>0</v>
      </c>
      <c r="N16" s="94">
        <f t="shared" si="20"/>
        <v>0</v>
      </c>
      <c r="O16" s="20"/>
    </row>
    <row r="17" spans="1:19">
      <c r="A17" s="152">
        <v>2150</v>
      </c>
      <c r="B17" s="152" t="s">
        <v>14</v>
      </c>
      <c r="C17" s="152" t="s">
        <v>14</v>
      </c>
      <c r="D17" s="155" t="s">
        <v>6</v>
      </c>
      <c r="E17" s="156">
        <v>42741.36550925926</v>
      </c>
      <c r="F17" s="89">
        <f t="shared" si="1"/>
        <v>42741.36550925926</v>
      </c>
      <c r="G17" s="90" t="str">
        <f t="shared" si="9"/>
        <v>8:46</v>
      </c>
      <c r="H17" s="91">
        <f t="shared" si="10"/>
        <v>9.7333333333333343</v>
      </c>
      <c r="I17" s="92">
        <f t="shared" si="16"/>
        <v>8</v>
      </c>
      <c r="J17" s="92" t="str">
        <f t="shared" si="17"/>
        <v>-</v>
      </c>
      <c r="K17" s="93">
        <f t="shared" si="18"/>
        <v>0</v>
      </c>
      <c r="L17" s="93"/>
      <c r="M17" s="94">
        <f t="shared" si="19"/>
        <v>0</v>
      </c>
      <c r="N17" s="94">
        <f t="shared" si="20"/>
        <v>0</v>
      </c>
      <c r="O17" s="20"/>
    </row>
    <row r="18" spans="1:19" s="16" customFormat="1">
      <c r="A18" s="157">
        <v>2136</v>
      </c>
      <c r="B18" s="157" t="s">
        <v>14</v>
      </c>
      <c r="C18" s="157" t="s">
        <v>14</v>
      </c>
      <c r="D18" s="160" t="s">
        <v>5</v>
      </c>
      <c r="E18" s="158">
        <v>42741.770833333336</v>
      </c>
      <c r="F18" s="31">
        <f t="shared" si="1"/>
        <v>42741.770833333336</v>
      </c>
      <c r="G18" s="32" t="str">
        <f t="shared" si="9"/>
        <v>18:30</v>
      </c>
      <c r="H18" s="33" t="str">
        <f t="shared" si="10"/>
        <v>-</v>
      </c>
      <c r="I18" s="58" t="str">
        <f t="shared" si="16"/>
        <v>-</v>
      </c>
      <c r="J18" s="58" t="str">
        <f t="shared" si="17"/>
        <v>-</v>
      </c>
      <c r="K18" s="34">
        <f t="shared" si="18"/>
        <v>0</v>
      </c>
      <c r="L18" s="34"/>
      <c r="M18" s="35">
        <f t="shared" si="19"/>
        <v>0</v>
      </c>
      <c r="N18" s="35">
        <f t="shared" si="20"/>
        <v>0</v>
      </c>
      <c r="O18" s="20"/>
      <c r="P18" s="137"/>
      <c r="Q18" s="137"/>
      <c r="R18" s="137"/>
      <c r="S18" s="137"/>
    </row>
    <row r="19" spans="1:19" s="16" customFormat="1">
      <c r="A19" s="157">
        <v>2137</v>
      </c>
      <c r="B19" s="157" t="s">
        <v>14</v>
      </c>
      <c r="C19" s="159" t="s">
        <v>14</v>
      </c>
      <c r="D19" s="160" t="s">
        <v>7</v>
      </c>
      <c r="E19" s="158">
        <v>42741.771006944444</v>
      </c>
      <c r="F19" s="31">
        <f t="shared" si="1"/>
        <v>42741.771006944444</v>
      </c>
      <c r="G19" s="32" t="str">
        <f t="shared" si="9"/>
        <v>18:30</v>
      </c>
      <c r="H19" s="33" t="str">
        <f t="shared" si="10"/>
        <v>-</v>
      </c>
      <c r="I19" s="58" t="str">
        <f t="shared" si="16"/>
        <v>-</v>
      </c>
      <c r="J19" s="58" t="str">
        <f t="shared" si="17"/>
        <v>-</v>
      </c>
      <c r="K19" s="34">
        <f t="shared" si="18"/>
        <v>0.5333333333333341</v>
      </c>
      <c r="L19" s="34"/>
      <c r="M19" s="35">
        <f t="shared" si="19"/>
        <v>0.5333333333333341</v>
      </c>
      <c r="N19" s="35">
        <f t="shared" si="20"/>
        <v>0</v>
      </c>
      <c r="O19" s="20"/>
      <c r="P19" s="137"/>
      <c r="Q19" s="137"/>
      <c r="R19" s="137"/>
      <c r="S19" s="137"/>
    </row>
    <row r="20" spans="1:19">
      <c r="A20" s="152">
        <v>2158</v>
      </c>
      <c r="B20" s="152" t="s">
        <v>14</v>
      </c>
      <c r="C20" s="152" t="s">
        <v>14</v>
      </c>
      <c r="D20" s="155" t="s">
        <v>8</v>
      </c>
      <c r="E20" s="156">
        <v>42741.793240740742</v>
      </c>
      <c r="F20" s="89">
        <f t="shared" si="1"/>
        <v>42741.793240740742</v>
      </c>
      <c r="G20" s="90" t="str">
        <f t="shared" si="9"/>
        <v>19:2</v>
      </c>
      <c r="H20" s="91" t="str">
        <f t="shared" si="10"/>
        <v>-</v>
      </c>
      <c r="I20" s="92" t="str">
        <f t="shared" si="16"/>
        <v>-</v>
      </c>
      <c r="J20" s="92" t="str">
        <f t="shared" si="17"/>
        <v>-</v>
      </c>
      <c r="K20" s="93">
        <f t="shared" si="18"/>
        <v>0</v>
      </c>
      <c r="L20" s="93"/>
      <c r="M20" s="94">
        <f t="shared" si="19"/>
        <v>0</v>
      </c>
      <c r="N20" s="94">
        <f t="shared" si="20"/>
        <v>0</v>
      </c>
      <c r="O20" s="20"/>
    </row>
    <row r="21" spans="1:19">
      <c r="A21" s="152">
        <v>2164</v>
      </c>
      <c r="B21" s="152" t="s">
        <v>14</v>
      </c>
      <c r="C21" s="152" t="s">
        <v>14</v>
      </c>
      <c r="D21" s="155" t="s">
        <v>6</v>
      </c>
      <c r="E21" s="156">
        <v>42744.361875000002</v>
      </c>
      <c r="F21" s="89">
        <f t="shared" si="1"/>
        <v>42744.361875000002</v>
      </c>
      <c r="G21" s="90" t="str">
        <f t="shared" si="9"/>
        <v>8:41</v>
      </c>
      <c r="H21" s="91">
        <f t="shared" si="10"/>
        <v>9.8333333333333321</v>
      </c>
      <c r="I21" s="92">
        <f t="shared" si="16"/>
        <v>8</v>
      </c>
      <c r="J21" s="92" t="str">
        <f t="shared" si="17"/>
        <v>-</v>
      </c>
      <c r="K21" s="93">
        <f t="shared" si="18"/>
        <v>0</v>
      </c>
      <c r="L21" s="93"/>
      <c r="M21" s="94">
        <f t="shared" si="19"/>
        <v>0</v>
      </c>
      <c r="N21" s="94">
        <f t="shared" si="20"/>
        <v>0</v>
      </c>
      <c r="O21" s="20"/>
    </row>
    <row r="22" spans="1:19">
      <c r="A22" s="152">
        <v>2171</v>
      </c>
      <c r="B22" s="152" t="s">
        <v>14</v>
      </c>
      <c r="C22" s="152" t="s">
        <v>14</v>
      </c>
      <c r="D22" s="155" t="s">
        <v>5</v>
      </c>
      <c r="E22" s="156">
        <v>42744.771631944444</v>
      </c>
      <c r="F22" s="89">
        <f t="shared" si="1"/>
        <v>42744.771631944444</v>
      </c>
      <c r="G22" s="90" t="str">
        <f t="shared" si="9"/>
        <v>18:31</v>
      </c>
      <c r="H22" s="91" t="str">
        <f t="shared" si="10"/>
        <v>-</v>
      </c>
      <c r="I22" s="92" t="str">
        <f t="shared" si="16"/>
        <v>-</v>
      </c>
      <c r="J22" s="92" t="str">
        <f t="shared" si="17"/>
        <v>-</v>
      </c>
      <c r="K22" s="93">
        <f t="shared" si="18"/>
        <v>0</v>
      </c>
      <c r="L22" s="93"/>
      <c r="M22" s="94">
        <f t="shared" si="19"/>
        <v>0</v>
      </c>
      <c r="N22" s="94">
        <f t="shared" si="20"/>
        <v>0</v>
      </c>
      <c r="O22" s="20"/>
    </row>
    <row r="23" spans="1:19" s="16" customFormat="1">
      <c r="A23" s="152">
        <v>2172</v>
      </c>
      <c r="B23" s="152" t="s">
        <v>14</v>
      </c>
      <c r="C23" s="152" t="s">
        <v>14</v>
      </c>
      <c r="D23" s="155" t="s">
        <v>7</v>
      </c>
      <c r="E23" s="156">
        <v>42744.771666666667</v>
      </c>
      <c r="F23" s="89">
        <f t="shared" si="1"/>
        <v>42744.771666666667</v>
      </c>
      <c r="G23" s="32" t="str">
        <f t="shared" si="9"/>
        <v>18:31</v>
      </c>
      <c r="H23" s="33" t="str">
        <f t="shared" si="10"/>
        <v>-</v>
      </c>
      <c r="I23" s="92" t="str">
        <f t="shared" si="16"/>
        <v>-</v>
      </c>
      <c r="J23" s="92" t="str">
        <f t="shared" si="17"/>
        <v>-</v>
      </c>
      <c r="K23" s="93">
        <f t="shared" si="18"/>
        <v>0.50000000000000089</v>
      </c>
      <c r="L23" s="93"/>
      <c r="M23" s="94">
        <f t="shared" si="19"/>
        <v>0.50000000000000089</v>
      </c>
      <c r="N23" s="94">
        <f t="shared" si="20"/>
        <v>0</v>
      </c>
      <c r="O23" s="20"/>
      <c r="P23" s="137"/>
      <c r="Q23" s="137"/>
      <c r="R23" s="137"/>
      <c r="S23" s="137"/>
    </row>
    <row r="24" spans="1:19" s="16" customFormat="1">
      <c r="A24" s="152">
        <v>2176</v>
      </c>
      <c r="B24" s="152" t="s">
        <v>14</v>
      </c>
      <c r="C24" s="152" t="s">
        <v>14</v>
      </c>
      <c r="D24" s="155" t="s">
        <v>8</v>
      </c>
      <c r="E24" s="161">
        <v>42744.792847222219</v>
      </c>
      <c r="F24" s="89">
        <f t="shared" si="1"/>
        <v>42744.792847222219</v>
      </c>
      <c r="G24" s="32" t="str">
        <f t="shared" si="9"/>
        <v>19:1</v>
      </c>
      <c r="H24" s="33" t="str">
        <f t="shared" si="10"/>
        <v>-</v>
      </c>
      <c r="I24" s="92" t="str">
        <f t="shared" si="16"/>
        <v>-</v>
      </c>
      <c r="J24" s="92" t="str">
        <f t="shared" si="17"/>
        <v>-</v>
      </c>
      <c r="K24" s="93">
        <f t="shared" si="18"/>
        <v>0</v>
      </c>
      <c r="L24" s="93"/>
      <c r="M24" s="94">
        <f t="shared" si="19"/>
        <v>0</v>
      </c>
      <c r="N24" s="94">
        <f t="shared" si="20"/>
        <v>0</v>
      </c>
      <c r="O24" s="20"/>
      <c r="P24" s="137"/>
      <c r="Q24" s="137"/>
      <c r="R24" s="137"/>
      <c r="S24" s="137"/>
    </row>
    <row r="25" spans="1:19">
      <c r="A25" s="152">
        <v>2181</v>
      </c>
      <c r="B25" s="152" t="s">
        <v>14</v>
      </c>
      <c r="C25" s="152" t="s">
        <v>14</v>
      </c>
      <c r="D25" s="155" t="s">
        <v>6</v>
      </c>
      <c r="E25" s="156">
        <v>42745.364907407406</v>
      </c>
      <c r="F25" s="89">
        <f t="shared" si="1"/>
        <v>42745.364907407406</v>
      </c>
      <c r="G25" s="90" t="str">
        <f t="shared" si="9"/>
        <v>8:45</v>
      </c>
      <c r="H25" s="91">
        <f t="shared" si="10"/>
        <v>3.2500000000000004</v>
      </c>
      <c r="I25" s="92">
        <f>IF(D25="上班",IF(H25-1.5&gt;8,8,H25-1.5),"-")+1.5</f>
        <v>3.2500000000000004</v>
      </c>
      <c r="J25" s="92"/>
      <c r="K25" s="93">
        <f t="shared" si="18"/>
        <v>0</v>
      </c>
      <c r="L25" s="93"/>
      <c r="M25" s="94">
        <f t="shared" si="19"/>
        <v>0</v>
      </c>
      <c r="N25" s="94">
        <f t="shared" si="20"/>
        <v>0</v>
      </c>
      <c r="O25" s="20"/>
    </row>
    <row r="26" spans="1:19" s="16" customFormat="1">
      <c r="A26" s="157">
        <v>2171</v>
      </c>
      <c r="B26" s="157" t="s">
        <v>14</v>
      </c>
      <c r="C26" s="157" t="s">
        <v>14</v>
      </c>
      <c r="D26" s="160" t="s">
        <v>5</v>
      </c>
      <c r="E26" s="158">
        <v>42745.5</v>
      </c>
      <c r="F26" s="31">
        <f t="shared" si="1"/>
        <v>42745.5</v>
      </c>
      <c r="G26" s="32" t="str">
        <f t="shared" si="9"/>
        <v>12:0</v>
      </c>
      <c r="H26" s="33" t="str">
        <f t="shared" si="10"/>
        <v>-</v>
      </c>
      <c r="I26" s="58" t="str">
        <f t="shared" si="16"/>
        <v>-</v>
      </c>
      <c r="J26" s="58" t="str">
        <f t="shared" si="17"/>
        <v>-</v>
      </c>
      <c r="K26" s="34">
        <f t="shared" si="18"/>
        <v>0</v>
      </c>
      <c r="L26" s="34"/>
      <c r="M26" s="35">
        <f t="shared" si="19"/>
        <v>0</v>
      </c>
      <c r="N26" s="35">
        <f t="shared" si="20"/>
        <v>0</v>
      </c>
      <c r="O26" s="20"/>
      <c r="P26" s="137"/>
      <c r="Q26" s="137"/>
      <c r="R26" s="137"/>
      <c r="S26" s="137"/>
    </row>
    <row r="27" spans="1:19" s="16" customFormat="1">
      <c r="A27" s="157">
        <v>2189</v>
      </c>
      <c r="B27" s="157" t="s">
        <v>14</v>
      </c>
      <c r="C27" s="157" t="s">
        <v>14</v>
      </c>
      <c r="D27" s="160" t="s">
        <v>52</v>
      </c>
      <c r="E27" s="158">
        <v>42745.574999999997</v>
      </c>
      <c r="F27" s="31">
        <f t="shared" si="1"/>
        <v>42745.574999999997</v>
      </c>
      <c r="G27" s="32" t="str">
        <f t="shared" si="9"/>
        <v>13:48</v>
      </c>
      <c r="H27" s="33">
        <f t="shared" si="10"/>
        <v>4.6999999999999993</v>
      </c>
      <c r="I27" s="58">
        <f>IF(D27="上班",IF(H27-1.5&gt;8,8,H27-1.5),"-")+1.5</f>
        <v>4.6999999999999993</v>
      </c>
      <c r="J27" s="58">
        <f>8-I25-I27</f>
        <v>5.0000000000000711E-2</v>
      </c>
      <c r="K27" s="34">
        <f t="shared" si="18"/>
        <v>0</v>
      </c>
      <c r="L27" s="34"/>
      <c r="M27" s="35">
        <f t="shared" si="19"/>
        <v>0</v>
      </c>
      <c r="N27" s="35">
        <f t="shared" si="20"/>
        <v>0</v>
      </c>
      <c r="O27" s="20" t="s">
        <v>62</v>
      </c>
      <c r="P27" s="137"/>
      <c r="Q27" s="137"/>
      <c r="R27" s="137"/>
      <c r="S27" s="137"/>
    </row>
    <row r="28" spans="1:19">
      <c r="A28" s="152">
        <v>2189</v>
      </c>
      <c r="B28" s="152" t="s">
        <v>14</v>
      </c>
      <c r="C28" s="152" t="s">
        <v>14</v>
      </c>
      <c r="D28" s="155" t="s">
        <v>5</v>
      </c>
      <c r="E28" s="156">
        <v>42745.771423611113</v>
      </c>
      <c r="F28" s="89">
        <f t="shared" si="1"/>
        <v>42745.771423611113</v>
      </c>
      <c r="G28" s="90" t="str">
        <f t="shared" si="9"/>
        <v>18:30</v>
      </c>
      <c r="H28" s="91" t="str">
        <f t="shared" si="10"/>
        <v>-</v>
      </c>
      <c r="I28" s="92" t="str">
        <f t="shared" si="16"/>
        <v>-</v>
      </c>
      <c r="J28" s="92" t="str">
        <f t="shared" si="17"/>
        <v>-</v>
      </c>
      <c r="K28" s="93">
        <f t="shared" si="18"/>
        <v>0</v>
      </c>
      <c r="L28" s="93"/>
      <c r="M28" s="94">
        <f t="shared" si="19"/>
        <v>0</v>
      </c>
      <c r="N28" s="94">
        <f t="shared" si="20"/>
        <v>0</v>
      </c>
      <c r="O28" s="20"/>
    </row>
    <row r="29" spans="1:19">
      <c r="A29" s="152">
        <v>2190</v>
      </c>
      <c r="B29" s="152" t="s">
        <v>14</v>
      </c>
      <c r="C29" s="152" t="s">
        <v>14</v>
      </c>
      <c r="D29" s="155" t="s">
        <v>7</v>
      </c>
      <c r="E29" s="156">
        <v>42745.771458333336</v>
      </c>
      <c r="F29" s="89">
        <f t="shared" si="1"/>
        <v>42745.771458333336</v>
      </c>
      <c r="G29" s="90" t="str">
        <f t="shared" si="9"/>
        <v>18:30</v>
      </c>
      <c r="H29" s="91" t="str">
        <f t="shared" si="10"/>
        <v>-</v>
      </c>
      <c r="I29" s="92" t="str">
        <f t="shared" si="16"/>
        <v>-</v>
      </c>
      <c r="J29" s="92" t="str">
        <f t="shared" si="17"/>
        <v>-</v>
      </c>
      <c r="K29" s="93">
        <f t="shared" si="18"/>
        <v>1.133333333333332</v>
      </c>
      <c r="L29" s="93"/>
      <c r="M29" s="94">
        <f t="shared" si="19"/>
        <v>1.133333333333332</v>
      </c>
      <c r="N29" s="94">
        <f t="shared" si="20"/>
        <v>0</v>
      </c>
      <c r="O29" s="20"/>
    </row>
    <row r="30" spans="1:19">
      <c r="A30" s="152">
        <v>2193</v>
      </c>
      <c r="B30" s="152" t="s">
        <v>14</v>
      </c>
      <c r="C30" s="152" t="s">
        <v>14</v>
      </c>
      <c r="D30" s="155" t="s">
        <v>8</v>
      </c>
      <c r="E30" s="156">
        <v>42745.818726851852</v>
      </c>
      <c r="F30" s="89">
        <f t="shared" si="1"/>
        <v>42745.818726851852</v>
      </c>
      <c r="G30" s="90" t="str">
        <f t="shared" si="9"/>
        <v>19:38</v>
      </c>
      <c r="H30" s="91" t="str">
        <f t="shared" si="10"/>
        <v>-</v>
      </c>
      <c r="I30" s="92" t="str">
        <f t="shared" si="16"/>
        <v>-</v>
      </c>
      <c r="J30" s="92" t="str">
        <f t="shared" si="17"/>
        <v>-</v>
      </c>
      <c r="K30" s="93">
        <f t="shared" si="18"/>
        <v>0</v>
      </c>
      <c r="L30" s="93"/>
      <c r="M30" s="94">
        <f t="shared" si="19"/>
        <v>0</v>
      </c>
      <c r="N30" s="94">
        <f t="shared" si="20"/>
        <v>0</v>
      </c>
      <c r="O30" s="20"/>
    </row>
    <row r="31" spans="1:19" s="137" customFormat="1">
      <c r="A31" s="152">
        <v>2199</v>
      </c>
      <c r="B31" s="152" t="s">
        <v>14</v>
      </c>
      <c r="C31" s="152" t="s">
        <v>14</v>
      </c>
      <c r="D31" s="155" t="s">
        <v>6</v>
      </c>
      <c r="E31" s="156">
        <v>42746.370474537034</v>
      </c>
      <c r="F31" s="89">
        <f t="shared" si="1"/>
        <v>42746.370474537034</v>
      </c>
      <c r="G31" s="32" t="str">
        <f t="shared" si="9"/>
        <v>8:53</v>
      </c>
      <c r="H31" s="33">
        <f t="shared" si="10"/>
        <v>9.6333333333333329</v>
      </c>
      <c r="I31" s="92">
        <f t="shared" si="16"/>
        <v>8</v>
      </c>
      <c r="J31" s="92" t="str">
        <f t="shared" si="17"/>
        <v>-</v>
      </c>
      <c r="K31" s="93">
        <f t="shared" si="18"/>
        <v>0</v>
      </c>
      <c r="L31" s="93"/>
      <c r="M31" s="94">
        <f t="shared" si="19"/>
        <v>0</v>
      </c>
      <c r="N31" s="94">
        <f t="shared" si="20"/>
        <v>0</v>
      </c>
      <c r="O31" s="20"/>
    </row>
    <row r="32" spans="1:19" s="137" customFormat="1">
      <c r="A32" s="152">
        <v>2206</v>
      </c>
      <c r="B32" s="152" t="s">
        <v>14</v>
      </c>
      <c r="C32" s="152" t="s">
        <v>14</v>
      </c>
      <c r="D32" s="155" t="s">
        <v>5</v>
      </c>
      <c r="E32" s="156">
        <v>42746.772118055553</v>
      </c>
      <c r="F32" s="89">
        <f t="shared" si="1"/>
        <v>42746.772118055553</v>
      </c>
      <c r="G32" s="32" t="str">
        <f t="shared" si="9"/>
        <v>18:31</v>
      </c>
      <c r="H32" s="33" t="str">
        <f t="shared" si="10"/>
        <v>-</v>
      </c>
      <c r="I32" s="92" t="str">
        <f t="shared" si="16"/>
        <v>-</v>
      </c>
      <c r="J32" s="92" t="str">
        <f t="shared" si="17"/>
        <v>-</v>
      </c>
      <c r="K32" s="93">
        <f t="shared" si="18"/>
        <v>0</v>
      </c>
      <c r="L32" s="93"/>
      <c r="M32" s="94">
        <f t="shared" si="19"/>
        <v>0</v>
      </c>
      <c r="N32" s="94">
        <f t="shared" si="20"/>
        <v>0</v>
      </c>
      <c r="O32" s="20"/>
    </row>
    <row r="33" spans="1:19" s="137" customFormat="1">
      <c r="A33" s="152">
        <v>2207</v>
      </c>
      <c r="B33" s="152" t="s">
        <v>14</v>
      </c>
      <c r="C33" s="152" t="s">
        <v>14</v>
      </c>
      <c r="D33" s="155" t="s">
        <v>7</v>
      </c>
      <c r="E33" s="156">
        <v>42746.772175925929</v>
      </c>
      <c r="F33" s="89">
        <f t="shared" si="1"/>
        <v>42746.772175925929</v>
      </c>
      <c r="G33" s="32" t="str">
        <f t="shared" si="9"/>
        <v>18:31</v>
      </c>
      <c r="H33" s="33" t="str">
        <f t="shared" si="10"/>
        <v>-</v>
      </c>
      <c r="I33" s="92" t="str">
        <f t="shared" si="16"/>
        <v>-</v>
      </c>
      <c r="J33" s="92" t="str">
        <f t="shared" si="17"/>
        <v>-</v>
      </c>
      <c r="K33" s="93">
        <f t="shared" si="18"/>
        <v>1.8000000000000016</v>
      </c>
      <c r="L33" s="93"/>
      <c r="M33" s="94">
        <f t="shared" si="19"/>
        <v>1.8000000000000016</v>
      </c>
      <c r="N33" s="94">
        <f t="shared" si="20"/>
        <v>0</v>
      </c>
      <c r="O33" s="20"/>
    </row>
    <row r="34" spans="1:19" s="137" customFormat="1">
      <c r="A34" s="152">
        <v>2211</v>
      </c>
      <c r="B34" s="152" t="s">
        <v>14</v>
      </c>
      <c r="C34" s="152" t="s">
        <v>14</v>
      </c>
      <c r="D34" s="155" t="s">
        <v>8</v>
      </c>
      <c r="E34" s="156">
        <v>42746.847118055557</v>
      </c>
      <c r="F34" s="89">
        <f t="shared" si="1"/>
        <v>42746.847118055557</v>
      </c>
      <c r="G34" s="32" t="str">
        <f t="shared" si="9"/>
        <v>20:19</v>
      </c>
      <c r="H34" s="33" t="str">
        <f>IF(D34="上班",(#REF!-G34)*24,"-")</f>
        <v>-</v>
      </c>
      <c r="I34" s="92" t="str">
        <f t="shared" si="16"/>
        <v>-</v>
      </c>
      <c r="J34" s="92" t="str">
        <f t="shared" si="17"/>
        <v>-</v>
      </c>
      <c r="K34" s="93">
        <f t="shared" si="18"/>
        <v>0</v>
      </c>
      <c r="L34" s="93"/>
      <c r="M34" s="94">
        <f t="shared" si="19"/>
        <v>0</v>
      </c>
      <c r="N34" s="94">
        <f t="shared" si="20"/>
        <v>0</v>
      </c>
      <c r="O34" s="20"/>
    </row>
    <row r="35" spans="1:19" s="137" customFormat="1">
      <c r="A35" s="152">
        <v>2199</v>
      </c>
      <c r="B35" s="152" t="s">
        <v>14</v>
      </c>
      <c r="C35" s="152" t="s">
        <v>14</v>
      </c>
      <c r="D35" s="163" t="s">
        <v>6</v>
      </c>
      <c r="E35" s="158">
        <v>42751.375</v>
      </c>
      <c r="F35" s="31">
        <f t="shared" si="1"/>
        <v>42751.375</v>
      </c>
      <c r="G35" s="32" t="str">
        <f t="shared" ref="G35:G36" si="21">HOUR(E35)&amp;":"&amp;MINUTE(E35)</f>
        <v>9:0</v>
      </c>
      <c r="H35" s="33">
        <f t="shared" ref="H35:H36" si="22">IF(D35="上班",(G36-G35)*24,"-")</f>
        <v>3</v>
      </c>
      <c r="I35" s="58">
        <f>IF(D35="上班",IF(H35-1.5&gt;8,8,H35-1.5),"-")+1.5</f>
        <v>3</v>
      </c>
      <c r="J35" s="58">
        <v>0</v>
      </c>
      <c r="K35" s="34">
        <f t="shared" si="18"/>
        <v>0</v>
      </c>
      <c r="L35" s="34"/>
      <c r="M35" s="35">
        <f t="shared" si="19"/>
        <v>0</v>
      </c>
      <c r="N35" s="35">
        <f t="shared" si="20"/>
        <v>0</v>
      </c>
      <c r="O35" s="20" t="s">
        <v>61</v>
      </c>
    </row>
    <row r="36" spans="1:19" s="137" customFormat="1">
      <c r="A36" s="152">
        <v>2206</v>
      </c>
      <c r="B36" s="152" t="s">
        <v>14</v>
      </c>
      <c r="C36" s="152" t="s">
        <v>14</v>
      </c>
      <c r="D36" s="163" t="s">
        <v>5</v>
      </c>
      <c r="E36" s="158">
        <v>42751.5</v>
      </c>
      <c r="F36" s="31">
        <f t="shared" si="1"/>
        <v>42751.5</v>
      </c>
      <c r="G36" s="32" t="str">
        <f t="shared" si="21"/>
        <v>12:0</v>
      </c>
      <c r="H36" s="33" t="str">
        <f t="shared" si="22"/>
        <v>-</v>
      </c>
      <c r="I36" s="58" t="str">
        <f t="shared" si="16"/>
        <v>-</v>
      </c>
      <c r="J36" s="58" t="str">
        <f t="shared" si="17"/>
        <v>-</v>
      </c>
      <c r="K36" s="34">
        <f t="shared" si="18"/>
        <v>0</v>
      </c>
      <c r="L36" s="34"/>
      <c r="M36" s="35">
        <f t="shared" si="19"/>
        <v>0</v>
      </c>
      <c r="N36" s="35">
        <f t="shared" si="20"/>
        <v>0</v>
      </c>
      <c r="O36" s="20"/>
    </row>
    <row r="37" spans="1:19">
      <c r="D37" s="9" t="s">
        <v>37</v>
      </c>
      <c r="E37" s="9"/>
      <c r="F37" s="55"/>
      <c r="G37" s="55"/>
      <c r="H37" s="9"/>
      <c r="I37" s="55"/>
      <c r="J37" s="9"/>
      <c r="K37" s="9"/>
      <c r="M37" s="56"/>
      <c r="N37" s="56"/>
    </row>
    <row r="38" spans="1:19">
      <c r="D38" s="9" t="s">
        <v>36</v>
      </c>
      <c r="E38"/>
      <c r="F38" s="3"/>
      <c r="G38"/>
      <c r="H38"/>
      <c r="I38"/>
      <c r="J38"/>
      <c r="K38"/>
    </row>
    <row r="39" spans="1:19" s="2" customFormat="1">
      <c r="C39" s="165"/>
      <c r="D39" s="8" t="s">
        <v>64</v>
      </c>
      <c r="E39" s="165"/>
      <c r="F39" s="63"/>
      <c r="G39" s="166"/>
      <c r="H39" s="167"/>
      <c r="I39" s="168"/>
      <c r="J39" s="168"/>
      <c r="K39" s="169"/>
      <c r="L39" s="169"/>
      <c r="M39" s="169"/>
      <c r="N39" s="169"/>
      <c r="O39" s="170"/>
      <c r="P39" s="8"/>
      <c r="Q39" s="8"/>
      <c r="R39" s="8"/>
      <c r="S39" s="8"/>
    </row>
  </sheetData>
  <phoneticPr fontId="18" type="noConversion"/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26</vt:i4>
      </vt:variant>
      <vt:variant>
        <vt:lpstr>具名範圍</vt:lpstr>
      </vt:variant>
      <vt:variant>
        <vt:i4>37</vt:i4>
      </vt:variant>
    </vt:vector>
  </HeadingPairs>
  <TitlesOfParts>
    <vt:vector size="63" baseType="lpstr">
      <vt:lpstr>原始DATA</vt:lpstr>
      <vt:lpstr>修改後DATA</vt:lpstr>
      <vt:lpstr>MY</vt:lpstr>
      <vt:lpstr>Justin </vt:lpstr>
      <vt:lpstr>Amber</vt:lpstr>
      <vt:lpstr>Ruby</vt:lpstr>
      <vt:lpstr>Lorah</vt:lpstr>
      <vt:lpstr>Nick</vt:lpstr>
      <vt:lpstr>Jason</vt:lpstr>
      <vt:lpstr>Owen</vt:lpstr>
      <vt:lpstr>Leo</vt:lpstr>
      <vt:lpstr>工作表1</vt:lpstr>
      <vt:lpstr>Paul </vt:lpstr>
      <vt:lpstr>Willy</vt:lpstr>
      <vt:lpstr>Albert</vt:lpstr>
      <vt:lpstr>Denver</vt:lpstr>
      <vt:lpstr>未使用</vt:lpstr>
      <vt:lpstr>Wilson</vt:lpstr>
      <vt:lpstr>統計</vt:lpstr>
      <vt:lpstr>Anne</vt:lpstr>
      <vt:lpstr>Yvonne</vt:lpstr>
      <vt:lpstr>B6</vt:lpstr>
      <vt:lpstr>TL</vt:lpstr>
      <vt:lpstr>吳悠 </vt:lpstr>
      <vt:lpstr>Sam</vt:lpstr>
      <vt:lpstr>LZ(done)</vt:lpstr>
      <vt:lpstr>Albert!列印標題</vt:lpstr>
      <vt:lpstr>Amber!列印標題</vt:lpstr>
      <vt:lpstr>Anne!列印標題</vt:lpstr>
      <vt:lpstr>'B6'!列印標題</vt:lpstr>
      <vt:lpstr>Denver!列印標題</vt:lpstr>
      <vt:lpstr>Jason!列印標題</vt:lpstr>
      <vt:lpstr>'Justin '!列印標題</vt:lpstr>
      <vt:lpstr>Leo!列印標題</vt:lpstr>
      <vt:lpstr>Lorah!列印標題</vt:lpstr>
      <vt:lpstr>'LZ(done)'!列印標題</vt:lpstr>
      <vt:lpstr>MY!列印標題</vt:lpstr>
      <vt:lpstr>Nick!列印標題</vt:lpstr>
      <vt:lpstr>Owen!列印標題</vt:lpstr>
      <vt:lpstr>'Paul '!列印標題</vt:lpstr>
      <vt:lpstr>Ruby!列印標題</vt:lpstr>
      <vt:lpstr>Sam!列印標題</vt:lpstr>
      <vt:lpstr>TL!列印標題</vt:lpstr>
      <vt:lpstr>Willy!列印標題</vt:lpstr>
      <vt:lpstr>Wilson!列印標題</vt:lpstr>
      <vt:lpstr>Yvonne!列印標題</vt:lpstr>
      <vt:lpstr>'吳悠 '!列印標題</vt:lpstr>
      <vt:lpstr>Amber!列印範圍</vt:lpstr>
      <vt:lpstr>Anne!列印範圍</vt:lpstr>
      <vt:lpstr>Denver!列印範圍</vt:lpstr>
      <vt:lpstr>Jason!列印範圍</vt:lpstr>
      <vt:lpstr>'Justin '!列印範圍</vt:lpstr>
      <vt:lpstr>Leo!列印範圍</vt:lpstr>
      <vt:lpstr>Lorah!列印範圍</vt:lpstr>
      <vt:lpstr>MY!列印範圍</vt:lpstr>
      <vt:lpstr>Nick!列印範圍</vt:lpstr>
      <vt:lpstr>Owen!列印範圍</vt:lpstr>
      <vt:lpstr>'Paul '!列印範圍</vt:lpstr>
      <vt:lpstr>Ruby!列印範圍</vt:lpstr>
      <vt:lpstr>Sam!列印範圍</vt:lpstr>
      <vt:lpstr>Willy!列印範圍</vt:lpstr>
      <vt:lpstr>Wilson!列印範圍</vt:lpstr>
      <vt:lpstr>Yvonne!列印範圍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sky ran</cp:lastModifiedBy>
  <cp:lastPrinted>2018-04-05T14:45:37Z</cp:lastPrinted>
  <dcterms:created xsi:type="dcterms:W3CDTF">2016-08-28T16:20:00Z</dcterms:created>
  <dcterms:modified xsi:type="dcterms:W3CDTF">2018-05-11T08:48:10Z</dcterms:modified>
</cp:coreProperties>
</file>