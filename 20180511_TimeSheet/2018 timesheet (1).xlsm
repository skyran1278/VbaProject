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ipei03\Desktop\"/>
    </mc:Choice>
  </mc:AlternateContent>
  <xr:revisionPtr revIDLastSave="0" documentId="13_ncr:1_{22E61DAA-508E-4544-AE60-5AE2154490C5}" xr6:coauthVersionLast="32" xr6:coauthVersionMax="32" xr10:uidLastSave="{00000000-0000-0000-0000-000000000000}"/>
  <bookViews>
    <workbookView xWindow="0" yWindow="0" windowWidth="28800" windowHeight="12180" firstSheet="5" activeTab="6" xr2:uid="{E3A290AA-DCC9-4183-9E67-836710F05322}"/>
  </bookViews>
  <sheets>
    <sheet name="原始DATA" sheetId="66" r:id="rId1"/>
    <sheet name="修改後DATA" sheetId="65" r:id="rId2"/>
    <sheet name="VBA_DATA" sheetId="68" r:id="rId3"/>
    <sheet name="MY" sheetId="46" r:id="rId4"/>
    <sheet name="Justin " sheetId="13" r:id="rId5"/>
    <sheet name="Amber" sheetId="9" r:id="rId6"/>
    <sheet name="Ruby" sheetId="20" r:id="rId7"/>
    <sheet name="Lorah" sheetId="37" r:id="rId8"/>
    <sheet name="Nick" sheetId="48" r:id="rId9"/>
    <sheet name="Jason" sheetId="57" r:id="rId10"/>
    <sheet name="Owen" sheetId="56" r:id="rId11"/>
    <sheet name="Leo" sheetId="67" r:id="rId12"/>
    <sheet name="工作表1" sheetId="27" r:id="rId13"/>
    <sheet name="Paul " sheetId="41" r:id="rId14"/>
    <sheet name="Willy" sheetId="59" r:id="rId15"/>
    <sheet name="Albert" sheetId="33" r:id="rId16"/>
    <sheet name="Denver" sheetId="14" r:id="rId17"/>
    <sheet name="未使用" sheetId="42" r:id="rId18"/>
    <sheet name="Wilson" sheetId="55" r:id="rId19"/>
    <sheet name="統計" sheetId="63" r:id="rId20"/>
    <sheet name="Anne" sheetId="50" r:id="rId21"/>
    <sheet name="Yvonne" sheetId="58" r:id="rId22"/>
    <sheet name="B6" sheetId="38" r:id="rId23"/>
    <sheet name="TL" sheetId="25" r:id="rId24"/>
    <sheet name="吳悠 " sheetId="35" r:id="rId25"/>
    <sheet name="Sam" sheetId="21" r:id="rId26"/>
    <sheet name="LZ(done)" sheetId="16" r:id="rId27"/>
  </sheets>
  <definedNames>
    <definedName name="_xlnm.Print_Area" localSheetId="5">Amber!$D$1:$O$73</definedName>
    <definedName name="_xlnm.Print_Area" localSheetId="20">Anne!$D$1:$O$21</definedName>
    <definedName name="_xlnm.Print_Area" localSheetId="16">Denver!$D$1:$O$10</definedName>
    <definedName name="_xlnm.Print_Area" localSheetId="9">Jason!$D$1:$O$107</definedName>
    <definedName name="_xlnm.Print_Area" localSheetId="4">'Justin '!$D$1:$O$69</definedName>
    <definedName name="_xlnm.Print_Area" localSheetId="11">Leo!$D$1:$O$113</definedName>
    <definedName name="_xlnm.Print_Area" localSheetId="7">Lorah!$D$1:$O$99</definedName>
    <definedName name="_xlnm.Print_Area" localSheetId="3">MY!$D$1:$O$129</definedName>
    <definedName name="_xlnm.Print_Area" localSheetId="8">Nick!$D$1:$O$111</definedName>
    <definedName name="_xlnm.Print_Area" localSheetId="10">Owen!$D$1:$O$81</definedName>
    <definedName name="_xlnm.Print_Area" localSheetId="13">'Paul '!$D$1:$N$22</definedName>
    <definedName name="_xlnm.Print_Area" localSheetId="6">Ruby!$D$1:$O$107</definedName>
    <definedName name="_xlnm.Print_Area" localSheetId="25">Sam!$D$1:$O$81</definedName>
    <definedName name="_xlnm.Print_Area" localSheetId="14">Willy!$D$1:$M$38</definedName>
    <definedName name="_xlnm.Print_Area" localSheetId="18">Wilson!$D$1:$O$52</definedName>
    <definedName name="_xlnm.Print_Area" localSheetId="21">Yvonne!$D$1:$O$23</definedName>
    <definedName name="_xlnm.Print_Titles" localSheetId="15">Albert!$1:$6</definedName>
    <definedName name="_xlnm.Print_Titles" localSheetId="5">Amber!$1:$6</definedName>
    <definedName name="_xlnm.Print_Titles" localSheetId="20">Anne!$1:$6</definedName>
    <definedName name="_xlnm.Print_Titles" localSheetId="22">'B6'!$1:$6</definedName>
    <definedName name="_xlnm.Print_Titles" localSheetId="16">Denver!$1:$6</definedName>
    <definedName name="_xlnm.Print_Titles" localSheetId="9">Jason!$1:$6</definedName>
    <definedName name="_xlnm.Print_Titles" localSheetId="4">'Justin '!$1:$6</definedName>
    <definedName name="_xlnm.Print_Titles" localSheetId="11">Leo!$1:$6</definedName>
    <definedName name="_xlnm.Print_Titles" localSheetId="7">Lorah!$1:$6</definedName>
    <definedName name="_xlnm.Print_Titles" localSheetId="26">'LZ(done)'!$1:$6</definedName>
    <definedName name="_xlnm.Print_Titles" localSheetId="3">MY!$1:$6</definedName>
    <definedName name="_xlnm.Print_Titles" localSheetId="8">Nick!$1:$6</definedName>
    <definedName name="_xlnm.Print_Titles" localSheetId="10">Owen!$1:$6</definedName>
    <definedName name="_xlnm.Print_Titles" localSheetId="13">'Paul '!$1:$6</definedName>
    <definedName name="_xlnm.Print_Titles" localSheetId="6">Ruby!$1:$6</definedName>
    <definedName name="_xlnm.Print_Titles" localSheetId="25">Sam!$1:$6</definedName>
    <definedName name="_xlnm.Print_Titles" localSheetId="23">TL!$1:$6</definedName>
    <definedName name="_xlnm.Print_Titles" localSheetId="14">Willy!$1:$6</definedName>
    <definedName name="_xlnm.Print_Titles" localSheetId="18">Wilson!$1:$6</definedName>
    <definedName name="_xlnm.Print_Titles" localSheetId="21">Yvonne!$1:$6</definedName>
    <definedName name="_xlnm.Print_Titles" localSheetId="24">'吳悠 '!$1:$6</definedName>
  </definedNames>
  <calcPr calcId="179017"/>
  <fileRecoveryPr autoRecover="0"/>
</workbook>
</file>

<file path=xl/calcChain.xml><?xml version="1.0" encoding="utf-8"?>
<calcChain xmlns="http://schemas.openxmlformats.org/spreadsheetml/2006/main">
  <c r="AF410" i="68" l="1"/>
  <c r="AG410" i="68"/>
  <c r="AH410" i="68"/>
  <c r="AI410" i="68"/>
  <c r="AJ410" i="68"/>
  <c r="AK410" i="68"/>
  <c r="AL410" i="68"/>
  <c r="AF411" i="68"/>
  <c r="AG411" i="68"/>
  <c r="AH411" i="68"/>
  <c r="AI411" i="68"/>
  <c r="AJ411" i="68"/>
  <c r="AK411" i="68"/>
  <c r="AL411" i="68"/>
  <c r="AF412" i="68"/>
  <c r="AG412" i="68"/>
  <c r="AH412" i="68"/>
  <c r="AI412" i="68"/>
  <c r="AJ412" i="68"/>
  <c r="AK412" i="68"/>
  <c r="AL412" i="68"/>
  <c r="AF413" i="68"/>
  <c r="AG413" i="68"/>
  <c r="AH413" i="68"/>
  <c r="AI413" i="68"/>
  <c r="AJ413" i="68"/>
  <c r="AK413" i="68"/>
  <c r="AL413" i="68"/>
  <c r="AF414" i="68"/>
  <c r="AG414" i="68"/>
  <c r="AH414" i="68"/>
  <c r="AI414" i="68"/>
  <c r="AJ414" i="68"/>
  <c r="AK414" i="68"/>
  <c r="AL414" i="68"/>
  <c r="AF415" i="68"/>
  <c r="AG415" i="68"/>
  <c r="AH415" i="68"/>
  <c r="AI415" i="68"/>
  <c r="AJ415" i="68"/>
  <c r="AK415" i="68"/>
  <c r="AL415" i="68"/>
  <c r="AF416" i="68"/>
  <c r="AG416" i="68"/>
  <c r="AH416" i="68"/>
  <c r="AI416" i="68"/>
  <c r="AJ416" i="68"/>
  <c r="AK416" i="68"/>
  <c r="AL416" i="68"/>
  <c r="AF417" i="68"/>
  <c r="AG417" i="68"/>
  <c r="AH417" i="68"/>
  <c r="AI417" i="68"/>
  <c r="AJ417" i="68"/>
  <c r="AK417" i="68"/>
  <c r="AL417" i="68"/>
  <c r="AF418" i="68"/>
  <c r="AG418" i="68"/>
  <c r="AH418" i="68"/>
  <c r="AI418" i="68"/>
  <c r="AJ418" i="68"/>
  <c r="AK418" i="68"/>
  <c r="AL418" i="68"/>
  <c r="AF419" i="68"/>
  <c r="AG419" i="68"/>
  <c r="AH419" i="68"/>
  <c r="AI419" i="68"/>
  <c r="AJ419" i="68"/>
  <c r="AK419" i="68"/>
  <c r="AL419" i="68"/>
  <c r="AF420" i="68"/>
  <c r="AG420" i="68"/>
  <c r="AH420" i="68"/>
  <c r="AI420" i="68"/>
  <c r="AJ420" i="68"/>
  <c r="AK420" i="68"/>
  <c r="AL420" i="68"/>
  <c r="AF421" i="68"/>
  <c r="AG421" i="68"/>
  <c r="AH421" i="68"/>
  <c r="AI421" i="68"/>
  <c r="AJ421" i="68"/>
  <c r="AK421" i="68"/>
  <c r="AL421" i="68"/>
  <c r="AF422" i="68"/>
  <c r="AG422" i="68"/>
  <c r="AH422" i="68"/>
  <c r="AI422" i="68"/>
  <c r="AJ422" i="68"/>
  <c r="AK422" i="68"/>
  <c r="AL422" i="68"/>
  <c r="AF423" i="68"/>
  <c r="AG423" i="68"/>
  <c r="AH423" i="68"/>
  <c r="AI423" i="68"/>
  <c r="AJ423" i="68"/>
  <c r="AK423" i="68"/>
  <c r="AL423" i="68"/>
  <c r="AF424" i="68"/>
  <c r="AG424" i="68"/>
  <c r="AH424" i="68"/>
  <c r="AI424" i="68"/>
  <c r="AJ424" i="68"/>
  <c r="AK424" i="68"/>
  <c r="AL424" i="68"/>
  <c r="AF425" i="68"/>
  <c r="AG425" i="68"/>
  <c r="AH425" i="68"/>
  <c r="AI425" i="68"/>
  <c r="AJ425" i="68"/>
  <c r="AK425" i="68"/>
  <c r="AL425" i="68"/>
  <c r="AF426" i="68"/>
  <c r="AG426" i="68"/>
  <c r="AH426" i="68"/>
  <c r="AI426" i="68"/>
  <c r="AJ426" i="68"/>
  <c r="AK426" i="68"/>
  <c r="AL426" i="68"/>
  <c r="AF427" i="68"/>
  <c r="AG427" i="68"/>
  <c r="AH427" i="68"/>
  <c r="AI427" i="68"/>
  <c r="AJ427" i="68"/>
  <c r="AK427" i="68"/>
  <c r="AL427" i="68"/>
  <c r="AF428" i="68"/>
  <c r="AG428" i="68"/>
  <c r="AH428" i="68"/>
  <c r="AI428" i="68"/>
  <c r="AJ428" i="68"/>
  <c r="AK428" i="68"/>
  <c r="AL428" i="68"/>
  <c r="AF429" i="68"/>
  <c r="AG429" i="68"/>
  <c r="AH429" i="68"/>
  <c r="AI429" i="68"/>
  <c r="AJ429" i="68"/>
  <c r="AK429" i="68"/>
  <c r="AL429" i="68"/>
  <c r="AF430" i="68"/>
  <c r="AG430" i="68"/>
  <c r="AH430" i="68"/>
  <c r="AI430" i="68"/>
  <c r="AJ430" i="68"/>
  <c r="AK430" i="68"/>
  <c r="AL430" i="68"/>
  <c r="AF431" i="68"/>
  <c r="AG431" i="68"/>
  <c r="AH431" i="68"/>
  <c r="AI431" i="68"/>
  <c r="AJ431" i="68"/>
  <c r="AK431" i="68"/>
  <c r="AL431" i="68"/>
  <c r="AF432" i="68"/>
  <c r="AG432" i="68"/>
  <c r="AH432" i="68"/>
  <c r="AI432" i="68"/>
  <c r="AJ432" i="68"/>
  <c r="AK432" i="68"/>
  <c r="AL432" i="68"/>
  <c r="AF433" i="68"/>
  <c r="AG433" i="68"/>
  <c r="AH433" i="68"/>
  <c r="AI433" i="68"/>
  <c r="AJ433" i="68"/>
  <c r="AK433" i="68"/>
  <c r="AL433" i="68"/>
  <c r="AF434" i="68"/>
  <c r="AG434" i="68"/>
  <c r="AH434" i="68"/>
  <c r="AI434" i="68"/>
  <c r="AJ434" i="68"/>
  <c r="AK434" i="68"/>
  <c r="AL434" i="68"/>
  <c r="AF435" i="68"/>
  <c r="AG435" i="68"/>
  <c r="AH435" i="68"/>
  <c r="AI435" i="68"/>
  <c r="AJ435" i="68"/>
  <c r="AK435" i="68"/>
  <c r="AL435" i="68"/>
  <c r="AF436" i="68"/>
  <c r="AG436" i="68"/>
  <c r="AH436" i="68"/>
  <c r="AI436" i="68"/>
  <c r="AJ436" i="68"/>
  <c r="AK436" i="68"/>
  <c r="AL436" i="68"/>
  <c r="AF437" i="68"/>
  <c r="AG437" i="68"/>
  <c r="AH437" i="68"/>
  <c r="AI437" i="68"/>
  <c r="AJ437" i="68"/>
  <c r="AK437" i="68"/>
  <c r="AL437" i="68"/>
  <c r="AF438" i="68"/>
  <c r="AG438" i="68"/>
  <c r="AH438" i="68"/>
  <c r="AI438" i="68"/>
  <c r="AJ438" i="68"/>
  <c r="AK438" i="68"/>
  <c r="AL438" i="68"/>
  <c r="AF439" i="68"/>
  <c r="AG439" i="68"/>
  <c r="AH439" i="68"/>
  <c r="AI439" i="68"/>
  <c r="AJ439" i="68"/>
  <c r="AK439" i="68"/>
  <c r="AL439" i="68"/>
  <c r="AF440" i="68"/>
  <c r="AG440" i="68"/>
  <c r="AH440" i="68"/>
  <c r="AI440" i="68"/>
  <c r="AJ440" i="68"/>
  <c r="AK440" i="68"/>
  <c r="AL440" i="68"/>
  <c r="AF441" i="68"/>
  <c r="AG441" i="68"/>
  <c r="AH441" i="68"/>
  <c r="AI441" i="68"/>
  <c r="AJ441" i="68"/>
  <c r="AK441" i="68"/>
  <c r="AL441" i="68"/>
  <c r="AF442" i="68"/>
  <c r="AG442" i="68"/>
  <c r="AH442" i="68"/>
  <c r="AI442" i="68"/>
  <c r="AJ442" i="68"/>
  <c r="AK442" i="68"/>
  <c r="AL442" i="68"/>
  <c r="AF443" i="68"/>
  <c r="AG443" i="68"/>
  <c r="AH443" i="68"/>
  <c r="AI443" i="68"/>
  <c r="AJ443" i="68"/>
  <c r="AK443" i="68"/>
  <c r="AL443" i="68"/>
  <c r="AF444" i="68"/>
  <c r="AG444" i="68"/>
  <c r="AH444" i="68"/>
  <c r="AI444" i="68"/>
  <c r="AJ444" i="68"/>
  <c r="AK444" i="68"/>
  <c r="AL444" i="68"/>
  <c r="AF445" i="68"/>
  <c r="AG445" i="68"/>
  <c r="AH445" i="68"/>
  <c r="AI445" i="68"/>
  <c r="AJ445" i="68"/>
  <c r="AK445" i="68"/>
  <c r="AL445" i="68"/>
  <c r="AF446" i="68"/>
  <c r="AG446" i="68"/>
  <c r="AH446" i="68"/>
  <c r="AI446" i="68"/>
  <c r="AJ446" i="68"/>
  <c r="AK446" i="68"/>
  <c r="AL446" i="68"/>
  <c r="AF447" i="68"/>
  <c r="AG447" i="68"/>
  <c r="AH447" i="68"/>
  <c r="AI447" i="68"/>
  <c r="AJ447" i="68"/>
  <c r="AK447" i="68"/>
  <c r="AL447" i="68"/>
  <c r="AF448" i="68"/>
  <c r="AG448" i="68"/>
  <c r="AH448" i="68"/>
  <c r="AI448" i="68"/>
  <c r="AJ448" i="68"/>
  <c r="AK448" i="68"/>
  <c r="AL448" i="68"/>
  <c r="AF449" i="68"/>
  <c r="AG449" i="68"/>
  <c r="AH449" i="68"/>
  <c r="AI449" i="68"/>
  <c r="AJ449" i="68"/>
  <c r="AK449" i="68"/>
  <c r="AL449" i="68"/>
  <c r="AF450" i="68"/>
  <c r="AG450" i="68"/>
  <c r="AH450" i="68"/>
  <c r="AI450" i="68"/>
  <c r="AJ450" i="68"/>
  <c r="AK450" i="68"/>
  <c r="AL450" i="68"/>
  <c r="AF451" i="68"/>
  <c r="AG451" i="68"/>
  <c r="AH451" i="68"/>
  <c r="AI451" i="68"/>
  <c r="AJ451" i="68"/>
  <c r="AK451" i="68"/>
  <c r="AL451" i="68"/>
  <c r="AF452" i="68"/>
  <c r="AG452" i="68"/>
  <c r="AH452" i="68"/>
  <c r="AI452" i="68"/>
  <c r="AJ452" i="68"/>
  <c r="AK452" i="68"/>
  <c r="AL452" i="68"/>
  <c r="AF453" i="68"/>
  <c r="AG453" i="68"/>
  <c r="AH453" i="68"/>
  <c r="AI453" i="68"/>
  <c r="AJ453" i="68"/>
  <c r="AK453" i="68"/>
  <c r="AL453" i="68"/>
  <c r="AF454" i="68"/>
  <c r="AG454" i="68"/>
  <c r="AH454" i="68"/>
  <c r="AI454" i="68"/>
  <c r="AJ454" i="68"/>
  <c r="AK454" i="68"/>
  <c r="AL454" i="68"/>
  <c r="AF455" i="68"/>
  <c r="AG455" i="68"/>
  <c r="AH455" i="68"/>
  <c r="AI455" i="68"/>
  <c r="AJ455" i="68"/>
  <c r="AK455" i="68"/>
  <c r="AL455" i="68"/>
  <c r="AF456" i="68"/>
  <c r="AG456" i="68"/>
  <c r="AH456" i="68"/>
  <c r="AI456" i="68"/>
  <c r="AJ456" i="68"/>
  <c r="AK456" i="68"/>
  <c r="AL456" i="68"/>
  <c r="AF457" i="68"/>
  <c r="AG457" i="68"/>
  <c r="AH457" i="68"/>
  <c r="AI457" i="68"/>
  <c r="AJ457" i="68"/>
  <c r="AK457" i="68"/>
  <c r="AL457" i="68"/>
  <c r="AF458" i="68"/>
  <c r="AG458" i="68"/>
  <c r="AH458" i="68"/>
  <c r="AI458" i="68"/>
  <c r="AJ458" i="68"/>
  <c r="AK458" i="68"/>
  <c r="AL458" i="68"/>
  <c r="AF459" i="68"/>
  <c r="AG459" i="68"/>
  <c r="AH459" i="68"/>
  <c r="AI459" i="68"/>
  <c r="AJ459" i="68"/>
  <c r="AK459" i="68"/>
  <c r="AL459" i="68"/>
  <c r="AF460" i="68"/>
  <c r="AG460" i="68"/>
  <c r="AH460" i="68"/>
  <c r="AI460" i="68"/>
  <c r="AJ460" i="68"/>
  <c r="AK460" i="68"/>
  <c r="AL460" i="68"/>
  <c r="AF461" i="68"/>
  <c r="AG461" i="68"/>
  <c r="AH461" i="68"/>
  <c r="AI461" i="68"/>
  <c r="AJ461" i="68"/>
  <c r="AK461" i="68"/>
  <c r="AL461" i="68"/>
  <c r="AF462" i="68"/>
  <c r="AG462" i="68"/>
  <c r="AH462" i="68"/>
  <c r="AI462" i="68"/>
  <c r="AJ462" i="68"/>
  <c r="AK462" i="68"/>
  <c r="AL462" i="68"/>
  <c r="AF463" i="68"/>
  <c r="AG463" i="68"/>
  <c r="AH463" i="68"/>
  <c r="AI463" i="68"/>
  <c r="AJ463" i="68"/>
  <c r="AK463" i="68"/>
  <c r="AL463" i="68"/>
  <c r="AF464" i="68"/>
  <c r="AG464" i="68"/>
  <c r="AH464" i="68"/>
  <c r="AI464" i="68"/>
  <c r="AJ464" i="68"/>
  <c r="AK464" i="68"/>
  <c r="AL464" i="68"/>
  <c r="AF465" i="68"/>
  <c r="AG465" i="68"/>
  <c r="AH465" i="68"/>
  <c r="AI465" i="68"/>
  <c r="AJ465" i="68"/>
  <c r="AK465" i="68"/>
  <c r="AL465" i="68"/>
  <c r="AF466" i="68"/>
  <c r="AG466" i="68"/>
  <c r="AH466" i="68"/>
  <c r="AI466" i="68"/>
  <c r="AJ466" i="68"/>
  <c r="AK466" i="68"/>
  <c r="AL466" i="68"/>
  <c r="AF467" i="68"/>
  <c r="AG467" i="68"/>
  <c r="AH467" i="68"/>
  <c r="AI467" i="68"/>
  <c r="AJ467" i="68"/>
  <c r="AK467" i="68"/>
  <c r="AL467" i="68"/>
  <c r="AF468" i="68"/>
  <c r="AG468" i="68"/>
  <c r="AH468" i="68"/>
  <c r="AI468" i="68"/>
  <c r="AJ468" i="68"/>
  <c r="AK468" i="68"/>
  <c r="AL468" i="68"/>
  <c r="AF469" i="68"/>
  <c r="AG469" i="68"/>
  <c r="AH469" i="68"/>
  <c r="AI469" i="68"/>
  <c r="AJ469" i="68"/>
  <c r="AK469" i="68"/>
  <c r="AL469" i="68"/>
  <c r="AF470" i="68"/>
  <c r="AG470" i="68"/>
  <c r="AH470" i="68"/>
  <c r="AI470" i="68"/>
  <c r="AJ470" i="68"/>
  <c r="AK470" i="68"/>
  <c r="AL470" i="68"/>
  <c r="AF471" i="68"/>
  <c r="AG471" i="68"/>
  <c r="AH471" i="68"/>
  <c r="AI471" i="68"/>
  <c r="AJ471" i="68"/>
  <c r="AK471" i="68"/>
  <c r="AL471" i="68"/>
  <c r="AF472" i="68"/>
  <c r="AG472" i="68"/>
  <c r="AH472" i="68"/>
  <c r="AI472" i="68"/>
  <c r="AJ472" i="68"/>
  <c r="AK472" i="68"/>
  <c r="AL472" i="68"/>
  <c r="AF473" i="68"/>
  <c r="AG473" i="68"/>
  <c r="AH473" i="68"/>
  <c r="AI473" i="68"/>
  <c r="AJ473" i="68"/>
  <c r="AK473" i="68"/>
  <c r="AL473" i="68"/>
  <c r="AF474" i="68"/>
  <c r="AG474" i="68"/>
  <c r="AH474" i="68"/>
  <c r="AI474" i="68"/>
  <c r="AJ474" i="68"/>
  <c r="AK474" i="68"/>
  <c r="AL474" i="68"/>
  <c r="AF475" i="68"/>
  <c r="AG475" i="68"/>
  <c r="AH475" i="68"/>
  <c r="AI475" i="68"/>
  <c r="AJ475" i="68"/>
  <c r="AK475" i="68"/>
  <c r="AL475" i="68"/>
  <c r="AF476" i="68"/>
  <c r="AG476" i="68"/>
  <c r="AH476" i="68"/>
  <c r="AI476" i="68"/>
  <c r="AJ476" i="68"/>
  <c r="AK476" i="68"/>
  <c r="AL476" i="68"/>
  <c r="AF477" i="68"/>
  <c r="AG477" i="68"/>
  <c r="AH477" i="68"/>
  <c r="AI477" i="68"/>
  <c r="AJ477" i="68"/>
  <c r="AK477" i="68"/>
  <c r="AL477" i="68"/>
  <c r="AF478" i="68"/>
  <c r="AG478" i="68"/>
  <c r="AH478" i="68"/>
  <c r="AI478" i="68"/>
  <c r="AJ478" i="68"/>
  <c r="AK478" i="68"/>
  <c r="AL478" i="68"/>
  <c r="AF479" i="68"/>
  <c r="AG479" i="68"/>
  <c r="AH479" i="68"/>
  <c r="AI479" i="68"/>
  <c r="AJ479" i="68"/>
  <c r="AK479" i="68"/>
  <c r="AL479" i="68"/>
  <c r="AF480" i="68"/>
  <c r="AG480" i="68"/>
  <c r="AH480" i="68"/>
  <c r="AI480" i="68"/>
  <c r="AJ480" i="68"/>
  <c r="AK480" i="68"/>
  <c r="AL480" i="68"/>
  <c r="AF481" i="68"/>
  <c r="AG481" i="68"/>
  <c r="AH481" i="68"/>
  <c r="AI481" i="68"/>
  <c r="AJ481" i="68"/>
  <c r="AK481" i="68"/>
  <c r="AL481" i="68"/>
  <c r="AF482" i="68"/>
  <c r="AG482" i="68"/>
  <c r="AH482" i="68"/>
  <c r="AI482" i="68"/>
  <c r="AJ482" i="68"/>
  <c r="AK482" i="68"/>
  <c r="AL482" i="68"/>
  <c r="AF483" i="68"/>
  <c r="AG483" i="68"/>
  <c r="AH483" i="68"/>
  <c r="AI483" i="68"/>
  <c r="AJ483" i="68"/>
  <c r="AK483" i="68"/>
  <c r="AL483" i="68"/>
  <c r="AF484" i="68"/>
  <c r="AG484" i="68"/>
  <c r="AH484" i="68"/>
  <c r="AI484" i="68"/>
  <c r="AJ484" i="68"/>
  <c r="AK484" i="68"/>
  <c r="AL484" i="68"/>
  <c r="AF485" i="68"/>
  <c r="AG485" i="68"/>
  <c r="AH485" i="68"/>
  <c r="AI485" i="68"/>
  <c r="AJ485" i="68"/>
  <c r="AK485" i="68"/>
  <c r="AL485" i="68"/>
  <c r="AF486" i="68"/>
  <c r="AG486" i="68"/>
  <c r="AH486" i="68"/>
  <c r="AI486" i="68"/>
  <c r="AJ486" i="68"/>
  <c r="AK486" i="68"/>
  <c r="AL486" i="68"/>
  <c r="AF487" i="68"/>
  <c r="AG487" i="68"/>
  <c r="AH487" i="68"/>
  <c r="AI487" i="68"/>
  <c r="AJ487" i="68"/>
  <c r="AK487" i="68"/>
  <c r="AL487" i="68"/>
  <c r="AF488" i="68"/>
  <c r="AG488" i="68"/>
  <c r="AH488" i="68"/>
  <c r="AI488" i="68"/>
  <c r="AJ488" i="68"/>
  <c r="AK488" i="68"/>
  <c r="AL488" i="68"/>
  <c r="AF489" i="68"/>
  <c r="AG489" i="68"/>
  <c r="AH489" i="68"/>
  <c r="AI489" i="68"/>
  <c r="AJ489" i="68"/>
  <c r="AK489" i="68"/>
  <c r="AL489" i="68"/>
  <c r="AF490" i="68"/>
  <c r="AG490" i="68"/>
  <c r="AH490" i="68"/>
  <c r="AI490" i="68"/>
  <c r="AJ490" i="68"/>
  <c r="AK490" i="68"/>
  <c r="AL490" i="68"/>
  <c r="AF491" i="68"/>
  <c r="AG491" i="68"/>
  <c r="AH491" i="68"/>
  <c r="AI491" i="68"/>
  <c r="AJ491" i="68"/>
  <c r="AK491" i="68"/>
  <c r="AL491" i="68"/>
  <c r="AF492" i="68"/>
  <c r="AG492" i="68"/>
  <c r="AH492" i="68"/>
  <c r="AI492" i="68"/>
  <c r="AJ492" i="68"/>
  <c r="AK492" i="68"/>
  <c r="AL492" i="68"/>
  <c r="AF493" i="68"/>
  <c r="AG493" i="68"/>
  <c r="AH493" i="68"/>
  <c r="AI493" i="68"/>
  <c r="AJ493" i="68"/>
  <c r="AK493" i="68"/>
  <c r="AL493" i="68"/>
  <c r="AF494" i="68"/>
  <c r="AG494" i="68"/>
  <c r="AH494" i="68"/>
  <c r="AI494" i="68"/>
  <c r="AJ494" i="68"/>
  <c r="AK494" i="68"/>
  <c r="AL494" i="68"/>
  <c r="AF495" i="68"/>
  <c r="AG495" i="68"/>
  <c r="AH495" i="68"/>
  <c r="AI495" i="68"/>
  <c r="AJ495" i="68"/>
  <c r="AK495" i="68"/>
  <c r="AL495" i="68"/>
  <c r="AF496" i="68"/>
  <c r="AG496" i="68"/>
  <c r="AH496" i="68"/>
  <c r="AI496" i="68"/>
  <c r="AJ496" i="68"/>
  <c r="AK496" i="68"/>
  <c r="AL496" i="68"/>
  <c r="AF497" i="68"/>
  <c r="AG497" i="68"/>
  <c r="AH497" i="68"/>
  <c r="AI497" i="68"/>
  <c r="AJ497" i="68"/>
  <c r="AK497" i="68"/>
  <c r="AL497" i="68"/>
  <c r="AF498" i="68"/>
  <c r="AG498" i="68"/>
  <c r="AH498" i="68"/>
  <c r="AI498" i="68"/>
  <c r="AJ498" i="68"/>
  <c r="AK498" i="68"/>
  <c r="AL498" i="68"/>
  <c r="AF499" i="68"/>
  <c r="AG499" i="68"/>
  <c r="AH499" i="68"/>
  <c r="AI499" i="68"/>
  <c r="AJ499" i="68"/>
  <c r="AK499" i="68"/>
  <c r="AL499" i="68"/>
  <c r="AF500" i="68"/>
  <c r="AG500" i="68"/>
  <c r="AH500" i="68"/>
  <c r="AI500" i="68"/>
  <c r="AJ500" i="68"/>
  <c r="AK500" i="68"/>
  <c r="AL500" i="68"/>
  <c r="AF501" i="68"/>
  <c r="AG501" i="68"/>
  <c r="AH501" i="68"/>
  <c r="AI501" i="68"/>
  <c r="AJ501" i="68"/>
  <c r="AK501" i="68"/>
  <c r="AL501" i="68"/>
  <c r="AF502" i="68"/>
  <c r="AG502" i="68"/>
  <c r="AH502" i="68"/>
  <c r="AI502" i="68"/>
  <c r="AJ502" i="68"/>
  <c r="AK502" i="68"/>
  <c r="AL502" i="68"/>
  <c r="AF503" i="68"/>
  <c r="AG503" i="68"/>
  <c r="AH503" i="68"/>
  <c r="AI503" i="68"/>
  <c r="AJ503" i="68"/>
  <c r="AK503" i="68"/>
  <c r="AL503" i="68"/>
  <c r="AF504" i="68"/>
  <c r="AG504" i="68"/>
  <c r="AH504" i="68"/>
  <c r="AI504" i="68"/>
  <c r="AJ504" i="68"/>
  <c r="AK504" i="68"/>
  <c r="AL504" i="68"/>
  <c r="AF505" i="68"/>
  <c r="AG505" i="68"/>
  <c r="AH505" i="68"/>
  <c r="AI505" i="68"/>
  <c r="AJ505" i="68"/>
  <c r="AK505" i="68"/>
  <c r="AL505" i="68"/>
  <c r="AF506" i="68"/>
  <c r="AG506" i="68"/>
  <c r="AH506" i="68"/>
  <c r="AI506" i="68"/>
  <c r="AJ506" i="68"/>
  <c r="AK506" i="68"/>
  <c r="AL506" i="68"/>
  <c r="AF507" i="68"/>
  <c r="AG507" i="68"/>
  <c r="AH507" i="68"/>
  <c r="AI507" i="68"/>
  <c r="AJ507" i="68"/>
  <c r="AK507" i="68"/>
  <c r="AL507" i="68"/>
  <c r="AF508" i="68"/>
  <c r="AG508" i="68"/>
  <c r="AH508" i="68"/>
  <c r="AI508" i="68"/>
  <c r="AJ508" i="68"/>
  <c r="AK508" i="68"/>
  <c r="AL508" i="68"/>
  <c r="AF509" i="68"/>
  <c r="AG509" i="68"/>
  <c r="AH509" i="68"/>
  <c r="AI509" i="68"/>
  <c r="AJ509" i="68"/>
  <c r="AK509" i="68"/>
  <c r="AL509" i="68"/>
  <c r="AF510" i="68"/>
  <c r="AG510" i="68"/>
  <c r="AH510" i="68"/>
  <c r="AI510" i="68"/>
  <c r="AJ510" i="68"/>
  <c r="AK510" i="68"/>
  <c r="AL510" i="68"/>
  <c r="AF511" i="68"/>
  <c r="AG511" i="68"/>
  <c r="AH511" i="68"/>
  <c r="AI511" i="68"/>
  <c r="AJ511" i="68"/>
  <c r="AK511" i="68"/>
  <c r="AL511" i="68"/>
  <c r="AF512" i="68"/>
  <c r="AG512" i="68"/>
  <c r="AH512" i="68"/>
  <c r="AI512" i="68"/>
  <c r="AJ512" i="68"/>
  <c r="AK512" i="68"/>
  <c r="AL512" i="68"/>
  <c r="AF513" i="68"/>
  <c r="AG513" i="68"/>
  <c r="AH513" i="68"/>
  <c r="AI513" i="68"/>
  <c r="AJ513" i="68"/>
  <c r="AK513" i="68"/>
  <c r="AL513" i="68"/>
  <c r="AF514" i="68"/>
  <c r="AG514" i="68"/>
  <c r="AH514" i="68"/>
  <c r="AI514" i="68"/>
  <c r="AJ514" i="68"/>
  <c r="AK514" i="68"/>
  <c r="AL514" i="68"/>
  <c r="AF515" i="68"/>
  <c r="AG515" i="68"/>
  <c r="AH515" i="68"/>
  <c r="AI515" i="68"/>
  <c r="AJ515" i="68"/>
  <c r="AK515" i="68"/>
  <c r="AL515" i="68"/>
  <c r="AF516" i="68"/>
  <c r="AG516" i="68"/>
  <c r="AH516" i="68"/>
  <c r="AI516" i="68"/>
  <c r="AJ516" i="68"/>
  <c r="AK516" i="68"/>
  <c r="AL516" i="68"/>
  <c r="AF517" i="68"/>
  <c r="AG517" i="68"/>
  <c r="AH517" i="68"/>
  <c r="AI517" i="68"/>
  <c r="AJ517" i="68"/>
  <c r="AK517" i="68"/>
  <c r="AL517" i="68"/>
  <c r="AF518" i="68"/>
  <c r="AG518" i="68"/>
  <c r="AH518" i="68"/>
  <c r="AI518" i="68"/>
  <c r="AJ518" i="68"/>
  <c r="AK518" i="68"/>
  <c r="AL518" i="68"/>
  <c r="AF519" i="68"/>
  <c r="AG519" i="68"/>
  <c r="AH519" i="68"/>
  <c r="AI519" i="68"/>
  <c r="AJ519" i="68"/>
  <c r="AK519" i="68"/>
  <c r="AL519" i="68"/>
  <c r="AF520" i="68"/>
  <c r="AG520" i="68"/>
  <c r="AH520" i="68"/>
  <c r="AI520" i="68"/>
  <c r="AJ520" i="68"/>
  <c r="AK520" i="68"/>
  <c r="AL520" i="68"/>
  <c r="AF521" i="68"/>
  <c r="AG521" i="68"/>
  <c r="AH521" i="68"/>
  <c r="AI521" i="68"/>
  <c r="AJ521" i="68"/>
  <c r="AK521" i="68"/>
  <c r="AL521" i="68"/>
  <c r="AF522" i="68"/>
  <c r="AG522" i="68"/>
  <c r="AH522" i="68"/>
  <c r="AI522" i="68"/>
  <c r="AJ522" i="68"/>
  <c r="AK522" i="68"/>
  <c r="AL522" i="68"/>
  <c r="AF523" i="68"/>
  <c r="AG523" i="68"/>
  <c r="AH523" i="68"/>
  <c r="AI523" i="68"/>
  <c r="AJ523" i="68"/>
  <c r="AK523" i="68"/>
  <c r="AL523" i="68"/>
  <c r="AF524" i="68"/>
  <c r="AG524" i="68"/>
  <c r="AH524" i="68"/>
  <c r="AI524" i="68"/>
  <c r="AJ524" i="68"/>
  <c r="AK524" i="68"/>
  <c r="AL524" i="68"/>
  <c r="AF525" i="68"/>
  <c r="AG525" i="68"/>
  <c r="AH525" i="68"/>
  <c r="AI525" i="68"/>
  <c r="AJ525" i="68"/>
  <c r="AK525" i="68"/>
  <c r="AL525" i="68"/>
  <c r="AF526" i="68"/>
  <c r="AG526" i="68"/>
  <c r="AH526" i="68"/>
  <c r="AI526" i="68"/>
  <c r="AJ526" i="68"/>
  <c r="AK526" i="68"/>
  <c r="AL526" i="68"/>
  <c r="AF527" i="68"/>
  <c r="AG527" i="68"/>
  <c r="AH527" i="68"/>
  <c r="AI527" i="68"/>
  <c r="AJ527" i="68"/>
  <c r="AK527" i="68"/>
  <c r="AL527" i="68"/>
  <c r="AF528" i="68"/>
  <c r="AG528" i="68"/>
  <c r="AH528" i="68"/>
  <c r="AI528" i="68"/>
  <c r="AJ528" i="68"/>
  <c r="AK528" i="68"/>
  <c r="AL528" i="68"/>
  <c r="AF529" i="68"/>
  <c r="AG529" i="68"/>
  <c r="AH529" i="68"/>
  <c r="AI529" i="68"/>
  <c r="AJ529" i="68"/>
  <c r="AK529" i="68"/>
  <c r="AL529" i="68"/>
  <c r="AF530" i="68"/>
  <c r="AG530" i="68"/>
  <c r="AH530" i="68"/>
  <c r="AI530" i="68"/>
  <c r="AJ530" i="68"/>
  <c r="AK530" i="68"/>
  <c r="AL530" i="68"/>
  <c r="AF531" i="68"/>
  <c r="AG531" i="68"/>
  <c r="AH531" i="68"/>
  <c r="AI531" i="68"/>
  <c r="AJ531" i="68"/>
  <c r="AK531" i="68"/>
  <c r="AL531" i="68"/>
  <c r="AF532" i="68"/>
  <c r="AG532" i="68"/>
  <c r="AH532" i="68"/>
  <c r="AI532" i="68"/>
  <c r="AJ532" i="68"/>
  <c r="AK532" i="68"/>
  <c r="AL532" i="68"/>
  <c r="AF533" i="68"/>
  <c r="AG533" i="68"/>
  <c r="AH533" i="68"/>
  <c r="AI533" i="68"/>
  <c r="AJ533" i="68"/>
  <c r="AK533" i="68"/>
  <c r="AL533" i="68"/>
  <c r="AF534" i="68"/>
  <c r="AG534" i="68"/>
  <c r="AH534" i="68"/>
  <c r="AI534" i="68"/>
  <c r="AJ534" i="68"/>
  <c r="AK534" i="68"/>
  <c r="AL534" i="68"/>
  <c r="AF535" i="68"/>
  <c r="AG535" i="68"/>
  <c r="AH535" i="68"/>
  <c r="AI535" i="68"/>
  <c r="AJ535" i="68"/>
  <c r="AK535" i="68"/>
  <c r="AL535" i="68"/>
  <c r="AF536" i="68"/>
  <c r="AG536" i="68"/>
  <c r="AH536" i="68"/>
  <c r="AI536" i="68"/>
  <c r="AJ536" i="68"/>
  <c r="AK536" i="68"/>
  <c r="AL536" i="68"/>
  <c r="AF537" i="68"/>
  <c r="AG537" i="68"/>
  <c r="AH537" i="68"/>
  <c r="AI537" i="68"/>
  <c r="AJ537" i="68"/>
  <c r="AK537" i="68"/>
  <c r="AL537" i="68"/>
  <c r="AF538" i="68"/>
  <c r="AG538" i="68"/>
  <c r="AH538" i="68"/>
  <c r="AI538" i="68"/>
  <c r="AJ538" i="68"/>
  <c r="AK538" i="68"/>
  <c r="AL538" i="68"/>
  <c r="AF539" i="68"/>
  <c r="AG539" i="68"/>
  <c r="AH539" i="68"/>
  <c r="AI539" i="68"/>
  <c r="AJ539" i="68"/>
  <c r="AK539" i="68"/>
  <c r="AL539" i="68"/>
  <c r="AF540" i="68"/>
  <c r="AG540" i="68"/>
  <c r="AH540" i="68"/>
  <c r="AI540" i="68"/>
  <c r="AJ540" i="68"/>
  <c r="AK540" i="68"/>
  <c r="AL540" i="68"/>
  <c r="AF541" i="68"/>
  <c r="AG541" i="68"/>
  <c r="AH541" i="68"/>
  <c r="AI541" i="68"/>
  <c r="AJ541" i="68"/>
  <c r="AK541" i="68"/>
  <c r="AL541" i="68"/>
  <c r="AF542" i="68"/>
  <c r="AG542" i="68"/>
  <c r="AH542" i="68"/>
  <c r="AI542" i="68"/>
  <c r="AJ542" i="68"/>
  <c r="AK542" i="68"/>
  <c r="AL542" i="68"/>
  <c r="AF543" i="68"/>
  <c r="AG543" i="68"/>
  <c r="AH543" i="68"/>
  <c r="AI543" i="68"/>
  <c r="AJ543" i="68"/>
  <c r="AK543" i="68"/>
  <c r="AL543" i="68"/>
  <c r="AF544" i="68"/>
  <c r="AG544" i="68"/>
  <c r="AH544" i="68"/>
  <c r="AI544" i="68"/>
  <c r="AJ544" i="68"/>
  <c r="AK544" i="68"/>
  <c r="AL544" i="68"/>
  <c r="AF545" i="68"/>
  <c r="AG545" i="68"/>
  <c r="AH545" i="68"/>
  <c r="AI545" i="68"/>
  <c r="AJ545" i="68"/>
  <c r="AK545" i="68"/>
  <c r="AL545" i="68"/>
  <c r="AF546" i="68"/>
  <c r="AG546" i="68"/>
  <c r="AH546" i="68"/>
  <c r="AI546" i="68"/>
  <c r="AJ546" i="68"/>
  <c r="AK546" i="68"/>
  <c r="AL546" i="68"/>
  <c r="AF547" i="68"/>
  <c r="AG547" i="68"/>
  <c r="AH547" i="68"/>
  <c r="AI547" i="68"/>
  <c r="AJ547" i="68"/>
  <c r="AK547" i="68"/>
  <c r="AL547" i="68"/>
  <c r="AF548" i="68"/>
  <c r="AG548" i="68"/>
  <c r="AH548" i="68"/>
  <c r="AI548" i="68"/>
  <c r="AJ548" i="68"/>
  <c r="AK548" i="68"/>
  <c r="AL548" i="68"/>
  <c r="AF549" i="68"/>
  <c r="AG549" i="68"/>
  <c r="AH549" i="68"/>
  <c r="AI549" i="68"/>
  <c r="AJ549" i="68"/>
  <c r="AK549" i="68"/>
  <c r="AL549" i="68"/>
  <c r="AF550" i="68"/>
  <c r="AG550" i="68"/>
  <c r="AH550" i="68"/>
  <c r="AI550" i="68"/>
  <c r="AJ550" i="68"/>
  <c r="AK550" i="68"/>
  <c r="AL550" i="68"/>
  <c r="AF551" i="68"/>
  <c r="AG551" i="68"/>
  <c r="AH551" i="68"/>
  <c r="AI551" i="68"/>
  <c r="AJ551" i="68"/>
  <c r="AK551" i="68"/>
  <c r="AL551" i="68"/>
  <c r="AF552" i="68"/>
  <c r="AG552" i="68"/>
  <c r="AH552" i="68"/>
  <c r="AI552" i="68"/>
  <c r="AJ552" i="68"/>
  <c r="AK552" i="68"/>
  <c r="AL552" i="68"/>
  <c r="AF553" i="68"/>
  <c r="AG553" i="68"/>
  <c r="AH553" i="68"/>
  <c r="AI553" i="68"/>
  <c r="AJ553" i="68"/>
  <c r="AK553" i="68"/>
  <c r="AL553" i="68"/>
  <c r="AF554" i="68"/>
  <c r="AG554" i="68"/>
  <c r="AH554" i="68"/>
  <c r="AI554" i="68"/>
  <c r="AJ554" i="68"/>
  <c r="AK554" i="68"/>
  <c r="AL554" i="68"/>
  <c r="AF555" i="68"/>
  <c r="AG555" i="68"/>
  <c r="AH555" i="68"/>
  <c r="AI555" i="68"/>
  <c r="AJ555" i="68"/>
  <c r="AK555" i="68"/>
  <c r="AL555" i="68"/>
  <c r="AF556" i="68"/>
  <c r="AG556" i="68"/>
  <c r="AH556" i="68"/>
  <c r="AI556" i="68"/>
  <c r="AJ556" i="68"/>
  <c r="AK556" i="68"/>
  <c r="AL556" i="68"/>
  <c r="AF557" i="68"/>
  <c r="AG557" i="68"/>
  <c r="AH557" i="68"/>
  <c r="AI557" i="68"/>
  <c r="AJ557" i="68"/>
  <c r="AK557" i="68"/>
  <c r="AL557" i="68"/>
  <c r="AF558" i="68"/>
  <c r="AG558" i="68"/>
  <c r="AH558" i="68"/>
  <c r="AI558" i="68"/>
  <c r="AJ558" i="68"/>
  <c r="AK558" i="68"/>
  <c r="AL558" i="68"/>
  <c r="AF559" i="68"/>
  <c r="AG559" i="68"/>
  <c r="AH559" i="68"/>
  <c r="AI559" i="68"/>
  <c r="AJ559" i="68"/>
  <c r="AK559" i="68"/>
  <c r="AL559" i="68"/>
  <c r="AF560" i="68"/>
  <c r="AG560" i="68"/>
  <c r="AH560" i="68"/>
  <c r="AI560" i="68"/>
  <c r="AJ560" i="68"/>
  <c r="AK560" i="68"/>
  <c r="AL560" i="68"/>
  <c r="AF561" i="68"/>
  <c r="AG561" i="68"/>
  <c r="AH561" i="68"/>
  <c r="AI561" i="68"/>
  <c r="AJ561" i="68"/>
  <c r="AK561" i="68"/>
  <c r="AL561" i="68"/>
  <c r="AF562" i="68"/>
  <c r="AG562" i="68"/>
  <c r="AH562" i="68"/>
  <c r="AI562" i="68"/>
  <c r="AJ562" i="68"/>
  <c r="AK562" i="68"/>
  <c r="AL562" i="68"/>
  <c r="AF563" i="68"/>
  <c r="AG563" i="68"/>
  <c r="AH563" i="68"/>
  <c r="AI563" i="68"/>
  <c r="AJ563" i="68"/>
  <c r="AK563" i="68"/>
  <c r="AL563" i="68"/>
  <c r="AF564" i="68"/>
  <c r="AG564" i="68"/>
  <c r="AH564" i="68"/>
  <c r="AI564" i="68"/>
  <c r="AJ564" i="68"/>
  <c r="AK564" i="68"/>
  <c r="AL564" i="68"/>
  <c r="AF565" i="68"/>
  <c r="AG565" i="68"/>
  <c r="AH565" i="68"/>
  <c r="AI565" i="68"/>
  <c r="AJ565" i="68"/>
  <c r="AK565" i="68"/>
  <c r="AL565" i="68"/>
  <c r="AF566" i="68"/>
  <c r="AG566" i="68"/>
  <c r="AH566" i="68"/>
  <c r="AI566" i="68"/>
  <c r="AJ566" i="68"/>
  <c r="AK566" i="68"/>
  <c r="AL566" i="68"/>
  <c r="AF567" i="68"/>
  <c r="AG567" i="68"/>
  <c r="AH567" i="68"/>
  <c r="AI567" i="68"/>
  <c r="AJ567" i="68"/>
  <c r="AK567" i="68"/>
  <c r="AL567" i="68"/>
  <c r="AF568" i="68"/>
  <c r="AG568" i="68"/>
  <c r="AH568" i="68"/>
  <c r="AI568" i="68"/>
  <c r="AJ568" i="68"/>
  <c r="AK568" i="68"/>
  <c r="AL568" i="68"/>
  <c r="AF569" i="68"/>
  <c r="AG569" i="68"/>
  <c r="AH569" i="68"/>
  <c r="AI569" i="68"/>
  <c r="AJ569" i="68"/>
  <c r="AK569" i="68"/>
  <c r="AL569" i="68"/>
  <c r="AF570" i="68"/>
  <c r="AG570" i="68"/>
  <c r="AH570" i="68"/>
  <c r="AI570" i="68"/>
  <c r="AJ570" i="68"/>
  <c r="AK570" i="68"/>
  <c r="AL570" i="68"/>
  <c r="AF571" i="68"/>
  <c r="AG571" i="68"/>
  <c r="AH571" i="68"/>
  <c r="AI571" i="68"/>
  <c r="AJ571" i="68"/>
  <c r="AK571" i="68"/>
  <c r="AL571" i="68"/>
  <c r="AL409" i="68"/>
  <c r="AF572" i="68"/>
  <c r="AG572" i="68"/>
  <c r="AH572" i="68"/>
  <c r="AI572" i="68"/>
  <c r="AJ572" i="68"/>
  <c r="AK572" i="68"/>
  <c r="AF573" i="68"/>
  <c r="AG573" i="68"/>
  <c r="AH573" i="68"/>
  <c r="AI573" i="68"/>
  <c r="AJ573" i="68"/>
  <c r="AK573" i="68"/>
  <c r="AF574" i="68"/>
  <c r="AG574" i="68"/>
  <c r="AH574" i="68"/>
  <c r="AI574" i="68"/>
  <c r="AJ574" i="68"/>
  <c r="AK574" i="68"/>
  <c r="AF575" i="68"/>
  <c r="AG575" i="68"/>
  <c r="AH575" i="68"/>
  <c r="AI575" i="68"/>
  <c r="AJ575" i="68"/>
  <c r="AK575" i="68"/>
  <c r="AF576" i="68"/>
  <c r="AG576" i="68"/>
  <c r="AH576" i="68"/>
  <c r="AI576" i="68"/>
  <c r="AJ576" i="68"/>
  <c r="AK576" i="68"/>
  <c r="AF577" i="68"/>
  <c r="AG577" i="68"/>
  <c r="AH577" i="68"/>
  <c r="AI577" i="68"/>
  <c r="AJ577" i="68"/>
  <c r="AK577" i="68"/>
  <c r="AF578" i="68"/>
  <c r="AG578" i="68"/>
  <c r="AH578" i="68"/>
  <c r="AI578" i="68"/>
  <c r="AJ578" i="68"/>
  <c r="AK578" i="68"/>
  <c r="AF579" i="68"/>
  <c r="AG579" i="68"/>
  <c r="AH579" i="68"/>
  <c r="AI579" i="68"/>
  <c r="AJ579" i="68"/>
  <c r="AK579" i="68"/>
  <c r="AF580" i="68"/>
  <c r="AG580" i="68"/>
  <c r="AH580" i="68"/>
  <c r="AI580" i="68"/>
  <c r="AJ580" i="68"/>
  <c r="AK580" i="68"/>
  <c r="AF581" i="68"/>
  <c r="AG581" i="68"/>
  <c r="AH581" i="68"/>
  <c r="AI581" i="68"/>
  <c r="AJ581" i="68"/>
  <c r="AK581" i="68"/>
  <c r="AF582" i="68"/>
  <c r="AG582" i="68"/>
  <c r="AH582" i="68"/>
  <c r="AI582" i="68"/>
  <c r="AJ582" i="68"/>
  <c r="AK582" i="68"/>
  <c r="AF583" i="68"/>
  <c r="AG583" i="68"/>
  <c r="AH583" i="68"/>
  <c r="AI583" i="68"/>
  <c r="AJ583" i="68"/>
  <c r="AK583" i="68"/>
  <c r="AF584" i="68"/>
  <c r="AG584" i="68"/>
  <c r="AH584" i="68"/>
  <c r="AI584" i="68"/>
  <c r="AJ584" i="68"/>
  <c r="AK584" i="68"/>
  <c r="AF585" i="68"/>
  <c r="AG585" i="68"/>
  <c r="AH585" i="68"/>
  <c r="AI585" i="68"/>
  <c r="AJ585" i="68"/>
  <c r="AK585" i="68"/>
  <c r="AF586" i="68"/>
  <c r="AG586" i="68"/>
  <c r="AH586" i="68"/>
  <c r="AI586" i="68"/>
  <c r="AJ586" i="68"/>
  <c r="AK586" i="68"/>
  <c r="AF587" i="68"/>
  <c r="AG587" i="68"/>
  <c r="AH587" i="68"/>
  <c r="AI587" i="68"/>
  <c r="AJ587" i="68"/>
  <c r="AK587" i="68"/>
  <c r="AF588" i="68"/>
  <c r="AG588" i="68"/>
  <c r="AH588" i="68"/>
  <c r="AI588" i="68"/>
  <c r="AJ588" i="68"/>
  <c r="AK588" i="68"/>
  <c r="AF589" i="68"/>
  <c r="AG589" i="68"/>
  <c r="AH589" i="68"/>
  <c r="AI589" i="68"/>
  <c r="AJ589" i="68"/>
  <c r="AK589" i="68"/>
  <c r="AF590" i="68"/>
  <c r="AG590" i="68"/>
  <c r="AH590" i="68"/>
  <c r="AI590" i="68"/>
  <c r="AJ590" i="68"/>
  <c r="AK590" i="68"/>
  <c r="AF591" i="68"/>
  <c r="AG591" i="68"/>
  <c r="AH591" i="68"/>
  <c r="AI591" i="68"/>
  <c r="AJ591" i="68"/>
  <c r="AK591" i="68"/>
  <c r="AF592" i="68"/>
  <c r="AG592" i="68"/>
  <c r="AH592" i="68"/>
  <c r="AI592" i="68"/>
  <c r="AJ592" i="68"/>
  <c r="AK592" i="68"/>
  <c r="AF593" i="68"/>
  <c r="AG593" i="68"/>
  <c r="AH593" i="68"/>
  <c r="AI593" i="68"/>
  <c r="AJ593" i="68"/>
  <c r="AK593" i="68"/>
  <c r="AF594" i="68"/>
  <c r="AG594" i="68"/>
  <c r="AH594" i="68"/>
  <c r="AI594" i="68"/>
  <c r="AJ594" i="68"/>
  <c r="AK594" i="68"/>
  <c r="AF595" i="68"/>
  <c r="AG595" i="68"/>
  <c r="AH595" i="68"/>
  <c r="AI595" i="68"/>
  <c r="AJ595" i="68"/>
  <c r="AK595" i="68"/>
  <c r="AF596" i="68"/>
  <c r="AG596" i="68"/>
  <c r="AH596" i="68"/>
  <c r="AI596" i="68"/>
  <c r="AJ596" i="68"/>
  <c r="AK596" i="68"/>
  <c r="AF597" i="68"/>
  <c r="AG597" i="68"/>
  <c r="AH597" i="68"/>
  <c r="AI597" i="68"/>
  <c r="AJ597" i="68"/>
  <c r="AK597" i="68"/>
  <c r="AF598" i="68"/>
  <c r="AG598" i="68"/>
  <c r="AH598" i="68"/>
  <c r="AI598" i="68"/>
  <c r="AJ598" i="68"/>
  <c r="AK598" i="68"/>
  <c r="AF599" i="68"/>
  <c r="AG599" i="68"/>
  <c r="AH599" i="68"/>
  <c r="AI599" i="68"/>
  <c r="AJ599" i="68"/>
  <c r="AK599" i="68"/>
  <c r="AF600" i="68"/>
  <c r="AG600" i="68"/>
  <c r="AH600" i="68"/>
  <c r="AI600" i="68"/>
  <c r="AJ600" i="68"/>
  <c r="AK600" i="68"/>
  <c r="AF601" i="68"/>
  <c r="AG601" i="68"/>
  <c r="AH601" i="68"/>
  <c r="AI601" i="68"/>
  <c r="AJ601" i="68"/>
  <c r="AK601" i="68"/>
  <c r="AF602" i="68"/>
  <c r="AG602" i="68"/>
  <c r="AH602" i="68"/>
  <c r="AI602" i="68"/>
  <c r="AJ602" i="68"/>
  <c r="AK602" i="68"/>
  <c r="AF603" i="68"/>
  <c r="AG603" i="68"/>
  <c r="AH603" i="68"/>
  <c r="AI603" i="68"/>
  <c r="AJ603" i="68"/>
  <c r="AK603" i="68"/>
  <c r="AF604" i="68"/>
  <c r="AG604" i="68"/>
  <c r="AH604" i="68"/>
  <c r="AI604" i="68"/>
  <c r="AJ604" i="68"/>
  <c r="AK604" i="68"/>
  <c r="AF605" i="68"/>
  <c r="AG605" i="68"/>
  <c r="AH605" i="68"/>
  <c r="AI605" i="68"/>
  <c r="AJ605" i="68"/>
  <c r="AK605" i="68"/>
  <c r="AF606" i="68"/>
  <c r="AG606" i="68"/>
  <c r="AH606" i="68"/>
  <c r="AI606" i="68"/>
  <c r="AJ606" i="68"/>
  <c r="AK606" i="68"/>
  <c r="AF607" i="68"/>
  <c r="AG607" i="68"/>
  <c r="AH607" i="68"/>
  <c r="AI607" i="68"/>
  <c r="AJ607" i="68"/>
  <c r="AK607" i="68"/>
  <c r="AF608" i="68"/>
  <c r="AG608" i="68"/>
  <c r="AH608" i="68"/>
  <c r="AI608" i="68"/>
  <c r="AJ608" i="68"/>
  <c r="AK608" i="68"/>
  <c r="AF609" i="68"/>
  <c r="AG609" i="68"/>
  <c r="AH609" i="68"/>
  <c r="AI609" i="68"/>
  <c r="AJ609" i="68"/>
  <c r="AK609" i="68"/>
  <c r="AF610" i="68"/>
  <c r="AG610" i="68"/>
  <c r="AH610" i="68"/>
  <c r="AI610" i="68"/>
  <c r="AJ610" i="68"/>
  <c r="AK610" i="68"/>
  <c r="AF611" i="68"/>
  <c r="AG611" i="68"/>
  <c r="AH611" i="68"/>
  <c r="AI611" i="68"/>
  <c r="AJ611" i="68"/>
  <c r="AK611" i="68"/>
  <c r="AF612" i="68"/>
  <c r="AG612" i="68"/>
  <c r="AH612" i="68"/>
  <c r="AI612" i="68"/>
  <c r="AJ612" i="68"/>
  <c r="AK612" i="68"/>
  <c r="AF613" i="68"/>
  <c r="AG613" i="68"/>
  <c r="AH613" i="68"/>
  <c r="AI613" i="68"/>
  <c r="AJ613" i="68"/>
  <c r="AK613" i="68"/>
  <c r="AF614" i="68"/>
  <c r="AG614" i="68"/>
  <c r="AH614" i="68"/>
  <c r="AI614" i="68"/>
  <c r="AJ614" i="68"/>
  <c r="AK614" i="68"/>
  <c r="AF615" i="68"/>
  <c r="AG615" i="68"/>
  <c r="AH615" i="68"/>
  <c r="AI615" i="68"/>
  <c r="AJ615" i="68"/>
  <c r="AK615" i="68"/>
  <c r="AF616" i="68"/>
  <c r="AG616" i="68"/>
  <c r="AH616" i="68"/>
  <c r="AI616" i="68"/>
  <c r="AJ616" i="68"/>
  <c r="AK616" i="68"/>
  <c r="AF617" i="68"/>
  <c r="AG617" i="68"/>
  <c r="AH617" i="68"/>
  <c r="AI617" i="68"/>
  <c r="AJ617" i="68"/>
  <c r="AK617" i="68"/>
  <c r="AF618" i="68"/>
  <c r="AG618" i="68"/>
  <c r="AH618" i="68"/>
  <c r="AI618" i="68"/>
  <c r="AJ618" i="68"/>
  <c r="AK618" i="68"/>
  <c r="AF619" i="68"/>
  <c r="AG619" i="68"/>
  <c r="AH619" i="68"/>
  <c r="AI619" i="68"/>
  <c r="AJ619" i="68"/>
  <c r="AK619" i="68"/>
  <c r="AF620" i="68"/>
  <c r="AG620" i="68"/>
  <c r="AH620" i="68"/>
  <c r="AI620" i="68"/>
  <c r="AJ620" i="68"/>
  <c r="AK620" i="68"/>
  <c r="AF621" i="68"/>
  <c r="AG621" i="68"/>
  <c r="AH621" i="68"/>
  <c r="AI621" i="68"/>
  <c r="AJ621" i="68"/>
  <c r="AK621" i="68"/>
  <c r="AF622" i="68"/>
  <c r="AG622" i="68"/>
  <c r="AH622" i="68"/>
  <c r="AI622" i="68"/>
  <c r="AJ622" i="68"/>
  <c r="AK622" i="68"/>
  <c r="AF623" i="68"/>
  <c r="AG623" i="68"/>
  <c r="AH623" i="68"/>
  <c r="AI623" i="68"/>
  <c r="AJ623" i="68"/>
  <c r="AK623" i="68"/>
  <c r="AF624" i="68"/>
  <c r="AG624" i="68"/>
  <c r="AH624" i="68"/>
  <c r="AI624" i="68"/>
  <c r="AJ624" i="68"/>
  <c r="AK624" i="68"/>
  <c r="AF625" i="68"/>
  <c r="AG625" i="68"/>
  <c r="AH625" i="68"/>
  <c r="AI625" i="68"/>
  <c r="AJ625" i="68"/>
  <c r="AK625" i="68"/>
  <c r="AF626" i="68"/>
  <c r="AG626" i="68"/>
  <c r="AH626" i="68"/>
  <c r="AI626" i="68"/>
  <c r="AJ626" i="68"/>
  <c r="AK626" i="68"/>
  <c r="AF627" i="68"/>
  <c r="AG627" i="68"/>
  <c r="AH627" i="68"/>
  <c r="AI627" i="68"/>
  <c r="AJ627" i="68"/>
  <c r="AK627" i="68"/>
  <c r="AF628" i="68"/>
  <c r="AG628" i="68"/>
  <c r="AH628" i="68"/>
  <c r="AI628" i="68"/>
  <c r="AJ628" i="68"/>
  <c r="AK628" i="68"/>
  <c r="AF629" i="68"/>
  <c r="AG629" i="68"/>
  <c r="AH629" i="68"/>
  <c r="AI629" i="68"/>
  <c r="AJ629" i="68"/>
  <c r="AK629" i="68"/>
  <c r="AF630" i="68"/>
  <c r="AG630" i="68"/>
  <c r="AH630" i="68"/>
  <c r="AI630" i="68"/>
  <c r="AJ630" i="68"/>
  <c r="AK630" i="68"/>
  <c r="AF631" i="68"/>
  <c r="AG631" i="68"/>
  <c r="AH631" i="68"/>
  <c r="AI631" i="68"/>
  <c r="AJ631" i="68"/>
  <c r="AK631" i="68"/>
  <c r="AF632" i="68"/>
  <c r="AG632" i="68"/>
  <c r="AH632" i="68"/>
  <c r="AI632" i="68"/>
  <c r="AJ632" i="68"/>
  <c r="AK632" i="68"/>
  <c r="AF633" i="68"/>
  <c r="AG633" i="68"/>
  <c r="AH633" i="68"/>
  <c r="AI633" i="68"/>
  <c r="AJ633" i="68"/>
  <c r="AK633" i="68"/>
  <c r="AF634" i="68"/>
  <c r="AG634" i="68"/>
  <c r="AH634" i="68"/>
  <c r="AI634" i="68"/>
  <c r="AJ634" i="68"/>
  <c r="AK634" i="68"/>
  <c r="AF635" i="68"/>
  <c r="AG635" i="68"/>
  <c r="AH635" i="68"/>
  <c r="AI635" i="68"/>
  <c r="AJ635" i="68"/>
  <c r="AK635" i="68"/>
  <c r="AF636" i="68"/>
  <c r="AG636" i="68"/>
  <c r="AH636" i="68"/>
  <c r="AI636" i="68"/>
  <c r="AJ636" i="68"/>
  <c r="AK636" i="68"/>
  <c r="AF637" i="68"/>
  <c r="AG637" i="68"/>
  <c r="AH637" i="68"/>
  <c r="AI637" i="68"/>
  <c r="AJ637" i="68"/>
  <c r="AK637" i="68"/>
  <c r="AF638" i="68"/>
  <c r="AG638" i="68"/>
  <c r="AH638" i="68"/>
  <c r="AI638" i="68"/>
  <c r="AJ638" i="68"/>
  <c r="AK638" i="68"/>
  <c r="AF639" i="68"/>
  <c r="AG639" i="68"/>
  <c r="AH639" i="68"/>
  <c r="AI639" i="68"/>
  <c r="AJ639" i="68"/>
  <c r="AK639" i="68"/>
  <c r="AF640" i="68"/>
  <c r="AG640" i="68"/>
  <c r="AH640" i="68"/>
  <c r="AI640" i="68"/>
  <c r="AJ640" i="68"/>
  <c r="AK640" i="68"/>
  <c r="AF641" i="68"/>
  <c r="AG641" i="68"/>
  <c r="AH641" i="68"/>
  <c r="AI641" i="68"/>
  <c r="AJ641" i="68"/>
  <c r="AK641" i="68"/>
  <c r="AF409" i="68"/>
  <c r="AG409" i="68"/>
  <c r="AH409" i="68"/>
  <c r="AI409" i="68"/>
  <c r="AJ409" i="68"/>
  <c r="AK409" i="68"/>
  <c r="AC520" i="68"/>
  <c r="AB520" i="68"/>
  <c r="Z520" i="68"/>
  <c r="X520" i="68"/>
  <c r="Y520" i="68" s="1"/>
  <c r="W520" i="68"/>
  <c r="V520" i="68"/>
  <c r="Z519" i="68" s="1"/>
  <c r="U520" i="68"/>
  <c r="X519" i="68"/>
  <c r="Y519" i="68" s="1"/>
  <c r="W519" i="68"/>
  <c r="V519" i="68"/>
  <c r="U519" i="68"/>
  <c r="AC518" i="68"/>
  <c r="AB518" i="68"/>
  <c r="Z518" i="68"/>
  <c r="X518" i="68"/>
  <c r="Y518" i="68" s="1"/>
  <c r="W518" i="68"/>
  <c r="V518" i="68"/>
  <c r="W517" i="68" s="1"/>
  <c r="X517" i="68" s="1"/>
  <c r="Y517" i="68" s="1"/>
  <c r="U518" i="68"/>
  <c r="AC517" i="68"/>
  <c r="AB517" i="68"/>
  <c r="Z517" i="68"/>
  <c r="V517" i="68"/>
  <c r="U517" i="68"/>
  <c r="AC516" i="68"/>
  <c r="AB516" i="68"/>
  <c r="Z516" i="68"/>
  <c r="X516" i="68"/>
  <c r="Y516" i="68" s="1"/>
  <c r="W516" i="68"/>
  <c r="V516" i="68"/>
  <c r="Z515" i="68" s="1"/>
  <c r="U516" i="68"/>
  <c r="X515" i="68"/>
  <c r="Y515" i="68" s="1"/>
  <c r="W515" i="68"/>
  <c r="V515" i="68"/>
  <c r="U515" i="68"/>
  <c r="AC514" i="68"/>
  <c r="AB514" i="68"/>
  <c r="Z514" i="68"/>
  <c r="X514" i="68"/>
  <c r="Y514" i="68" s="1"/>
  <c r="W514" i="68"/>
  <c r="V514" i="68"/>
  <c r="W513" i="68" s="1"/>
  <c r="X513" i="68" s="1"/>
  <c r="Y513" i="68" s="1"/>
  <c r="U514" i="68"/>
  <c r="AC513" i="68"/>
  <c r="AB513" i="68"/>
  <c r="Z513" i="68"/>
  <c r="V513" i="68"/>
  <c r="U513" i="68"/>
  <c r="AC512" i="68"/>
  <c r="AB512" i="68"/>
  <c r="Z512" i="68"/>
  <c r="X512" i="68"/>
  <c r="Y512" i="68" s="1"/>
  <c r="W512" i="68"/>
  <c r="V512" i="68"/>
  <c r="Z511" i="68" s="1"/>
  <c r="U512" i="68"/>
  <c r="X511" i="68"/>
  <c r="Y511" i="68" s="1"/>
  <c r="W511" i="68"/>
  <c r="V511" i="68"/>
  <c r="U511" i="68"/>
  <c r="AC510" i="68"/>
  <c r="AB510" i="68"/>
  <c r="Z510" i="68"/>
  <c r="X510" i="68"/>
  <c r="Y510" i="68" s="1"/>
  <c r="W510" i="68"/>
  <c r="V510" i="68"/>
  <c r="W509" i="68" s="1"/>
  <c r="X509" i="68" s="1"/>
  <c r="Y509" i="68" s="1"/>
  <c r="U510" i="68"/>
  <c r="AC509" i="68"/>
  <c r="AB509" i="68"/>
  <c r="Z509" i="68"/>
  <c r="V509" i="68"/>
  <c r="U509" i="68"/>
  <c r="AC508" i="68"/>
  <c r="AB508" i="68"/>
  <c r="Z508" i="68"/>
  <c r="X508" i="68"/>
  <c r="Y508" i="68" s="1"/>
  <c r="W508" i="68"/>
  <c r="V508" i="68"/>
  <c r="Z507" i="68" s="1"/>
  <c r="U508" i="68"/>
  <c r="X507" i="68"/>
  <c r="Y507" i="68" s="1"/>
  <c r="W507" i="68"/>
  <c r="V507" i="68"/>
  <c r="U507" i="68"/>
  <c r="AC506" i="68"/>
  <c r="AB506" i="68"/>
  <c r="Z506" i="68"/>
  <c r="X506" i="68"/>
  <c r="Y506" i="68" s="1"/>
  <c r="W506" i="68"/>
  <c r="V506" i="68"/>
  <c r="W505" i="68" s="1"/>
  <c r="X505" i="68" s="1"/>
  <c r="Y505" i="68" s="1"/>
  <c r="U506" i="68"/>
  <c r="AC505" i="68"/>
  <c r="AB505" i="68"/>
  <c r="Z505" i="68"/>
  <c r="V505" i="68"/>
  <c r="U505" i="68"/>
  <c r="AC504" i="68"/>
  <c r="AB504" i="68"/>
  <c r="Z504" i="68"/>
  <c r="X504" i="68"/>
  <c r="Y504" i="68" s="1"/>
  <c r="W504" i="68"/>
  <c r="V504" i="68"/>
  <c r="Z503" i="68" s="1"/>
  <c r="U504" i="68"/>
  <c r="X503" i="68"/>
  <c r="Y503" i="68" s="1"/>
  <c r="W503" i="68"/>
  <c r="V503" i="68"/>
  <c r="U503" i="68"/>
  <c r="AC502" i="68"/>
  <c r="AB502" i="68"/>
  <c r="Z502" i="68"/>
  <c r="X502" i="68"/>
  <c r="Y502" i="68" s="1"/>
  <c r="W502" i="68"/>
  <c r="V502" i="68"/>
  <c r="W501" i="68" s="1"/>
  <c r="X501" i="68" s="1"/>
  <c r="Y501" i="68" s="1"/>
  <c r="U502" i="68"/>
  <c r="AB501" i="68"/>
  <c r="Z501" i="68"/>
  <c r="AC501" i="68" s="1"/>
  <c r="V501" i="68"/>
  <c r="U501" i="68"/>
  <c r="Z500" i="68"/>
  <c r="AC500" i="68" s="1"/>
  <c r="X500" i="68"/>
  <c r="Y500" i="68" s="1"/>
  <c r="W500" i="68"/>
  <c r="V500" i="68"/>
  <c r="Z499" i="68" s="1"/>
  <c r="U500" i="68"/>
  <c r="X499" i="68"/>
  <c r="Y499" i="68" s="1"/>
  <c r="W499" i="68"/>
  <c r="V499" i="68"/>
  <c r="U499" i="68"/>
  <c r="Z498" i="68"/>
  <c r="AC498" i="68" s="1"/>
  <c r="X498" i="68"/>
  <c r="Y498" i="68" s="1"/>
  <c r="W498" i="68"/>
  <c r="V498" i="68"/>
  <c r="W497" i="68" s="1"/>
  <c r="X497" i="68" s="1"/>
  <c r="Y497" i="68" s="1"/>
  <c r="U498" i="68"/>
  <c r="Z497" i="68"/>
  <c r="AC497" i="68" s="1"/>
  <c r="V497" i="68"/>
  <c r="U497" i="68"/>
  <c r="Z496" i="68"/>
  <c r="AC496" i="68" s="1"/>
  <c r="X496" i="68"/>
  <c r="Y496" i="68" s="1"/>
  <c r="W496" i="68"/>
  <c r="V496" i="68"/>
  <c r="W495" i="68" s="1"/>
  <c r="U496" i="68"/>
  <c r="Z495" i="68"/>
  <c r="AC495" i="68" s="1"/>
  <c r="X495" i="68"/>
  <c r="V495" i="68"/>
  <c r="U495" i="68"/>
  <c r="AC494" i="68"/>
  <c r="Z494" i="68"/>
  <c r="AB494" i="68" s="1"/>
  <c r="X494" i="68"/>
  <c r="Y494" i="68" s="1"/>
  <c r="W494" i="68"/>
  <c r="V494" i="68"/>
  <c r="Z493" i="68" s="1"/>
  <c r="U494" i="68"/>
  <c r="X493" i="68"/>
  <c r="Y493" i="68" s="1"/>
  <c r="W493" i="68"/>
  <c r="V493" i="68"/>
  <c r="U493" i="68"/>
  <c r="AC492" i="68"/>
  <c r="Z492" i="68"/>
  <c r="AB492" i="68" s="1"/>
  <c r="X492" i="68"/>
  <c r="Y492" i="68" s="1"/>
  <c r="W492" i="68"/>
  <c r="V492" i="68"/>
  <c r="U492" i="68"/>
  <c r="AC491" i="68"/>
  <c r="Z491" i="68"/>
  <c r="AB491" i="68" s="1"/>
  <c r="W491" i="68"/>
  <c r="X491" i="68" s="1"/>
  <c r="Y491" i="68" s="1"/>
  <c r="V491" i="68"/>
  <c r="U491" i="68"/>
  <c r="AC490" i="68"/>
  <c r="Z490" i="68"/>
  <c r="AB490" i="68" s="1"/>
  <c r="X490" i="68"/>
  <c r="Y490" i="68" s="1"/>
  <c r="W490" i="68"/>
  <c r="V490" i="68"/>
  <c r="Z489" i="68" s="1"/>
  <c r="U490" i="68"/>
  <c r="X489" i="68"/>
  <c r="Y489" i="68" s="1"/>
  <c r="W489" i="68"/>
  <c r="V489" i="68"/>
  <c r="U489" i="68"/>
  <c r="AC488" i="68"/>
  <c r="Z488" i="68"/>
  <c r="AB488" i="68" s="1"/>
  <c r="X488" i="68"/>
  <c r="Y488" i="68" s="1"/>
  <c r="W488" i="68"/>
  <c r="V488" i="68"/>
  <c r="Z487" i="68" s="1"/>
  <c r="AC487" i="68" s="1"/>
  <c r="U488" i="68"/>
  <c r="Y487" i="68"/>
  <c r="X487" i="68"/>
  <c r="W487" i="68"/>
  <c r="V487" i="68"/>
  <c r="U487" i="68"/>
  <c r="AC486" i="68"/>
  <c r="AB486" i="68"/>
  <c r="Z486" i="68"/>
  <c r="Y486" i="68"/>
  <c r="X486" i="68"/>
  <c r="W486" i="68"/>
  <c r="V486" i="68"/>
  <c r="W485" i="68" s="1"/>
  <c r="X485" i="68" s="1"/>
  <c r="Y485" i="68" s="1"/>
  <c r="U486" i="68"/>
  <c r="AC485" i="68"/>
  <c r="AB485" i="68"/>
  <c r="Z485" i="68"/>
  <c r="V485" i="68"/>
  <c r="U485" i="68"/>
  <c r="AC484" i="68"/>
  <c r="AB484" i="68"/>
  <c r="Z484" i="68"/>
  <c r="Y484" i="68"/>
  <c r="X484" i="68"/>
  <c r="W484" i="68"/>
  <c r="V484" i="68"/>
  <c r="Z483" i="68" s="1"/>
  <c r="U484" i="68"/>
  <c r="X483" i="68"/>
  <c r="Y483" i="68" s="1"/>
  <c r="W483" i="68"/>
  <c r="V483" i="68"/>
  <c r="U483" i="68"/>
  <c r="AC482" i="68"/>
  <c r="AB482" i="68"/>
  <c r="Z482" i="68"/>
  <c r="X482" i="68"/>
  <c r="Y482" i="68" s="1"/>
  <c r="W482" i="68"/>
  <c r="V482" i="68"/>
  <c r="W481" i="68" s="1"/>
  <c r="X481" i="68" s="1"/>
  <c r="Y481" i="68" s="1"/>
  <c r="U482" i="68"/>
  <c r="AC481" i="68"/>
  <c r="AB481" i="68"/>
  <c r="Z481" i="68"/>
  <c r="V481" i="68"/>
  <c r="U481" i="68"/>
  <c r="AC480" i="68"/>
  <c r="AB480" i="68"/>
  <c r="Z480" i="68"/>
  <c r="X480" i="68"/>
  <c r="Y480" i="68" s="1"/>
  <c r="W480" i="68"/>
  <c r="V480" i="68"/>
  <c r="Z479" i="68" s="1"/>
  <c r="U480" i="68"/>
  <c r="X479" i="68"/>
  <c r="Y479" i="68" s="1"/>
  <c r="W479" i="68"/>
  <c r="V479" i="68"/>
  <c r="U479" i="68"/>
  <c r="AC478" i="68"/>
  <c r="AB478" i="68"/>
  <c r="Z478" i="68"/>
  <c r="X478" i="68"/>
  <c r="Y478" i="68" s="1"/>
  <c r="W478" i="68"/>
  <c r="V478" i="68"/>
  <c r="W477" i="68" s="1"/>
  <c r="X477" i="68" s="1"/>
  <c r="Y477" i="68" s="1"/>
  <c r="U478" i="68"/>
  <c r="AC477" i="68"/>
  <c r="AB477" i="68"/>
  <c r="Z477" i="68"/>
  <c r="V477" i="68"/>
  <c r="U477" i="68"/>
  <c r="AC476" i="68"/>
  <c r="AB476" i="68"/>
  <c r="Z476" i="68"/>
  <c r="X476" i="68"/>
  <c r="Y476" i="68" s="1"/>
  <c r="W476" i="68"/>
  <c r="V476" i="68"/>
  <c r="U476" i="68"/>
  <c r="Z475" i="68"/>
  <c r="AC475" i="68" s="1"/>
  <c r="X475" i="68"/>
  <c r="Y475" i="68" s="1"/>
  <c r="W475" i="68"/>
  <c r="V475" i="68"/>
  <c r="U475" i="68"/>
  <c r="Z474" i="68"/>
  <c r="AC474" i="68" s="1"/>
  <c r="X474" i="68"/>
  <c r="Y474" i="68" s="1"/>
  <c r="W474" i="68"/>
  <c r="V474" i="68"/>
  <c r="U474" i="68"/>
  <c r="Z473" i="68"/>
  <c r="AC473" i="68" s="1"/>
  <c r="X473" i="68"/>
  <c r="Y473" i="68" s="1"/>
  <c r="W473" i="68"/>
  <c r="V473" i="68"/>
  <c r="U473" i="68"/>
  <c r="Z472" i="68"/>
  <c r="AC472" i="68" s="1"/>
  <c r="X472" i="68"/>
  <c r="Y472" i="68" s="1"/>
  <c r="W472" i="68"/>
  <c r="V472" i="68"/>
  <c r="U472" i="68"/>
  <c r="Z471" i="68"/>
  <c r="AC471" i="68" s="1"/>
  <c r="Y471" i="68"/>
  <c r="X471" i="68"/>
  <c r="W471" i="68"/>
  <c r="V471" i="68"/>
  <c r="U471" i="68"/>
  <c r="AC470" i="68"/>
  <c r="Z470" i="68"/>
  <c r="AB470" i="68" s="1"/>
  <c r="Y470" i="68"/>
  <c r="X470" i="68"/>
  <c r="W470" i="68"/>
  <c r="V470" i="68"/>
  <c r="U470" i="68"/>
  <c r="AC469" i="68"/>
  <c r="Z469" i="68"/>
  <c r="AB469" i="68" s="1"/>
  <c r="Y469" i="68"/>
  <c r="X469" i="68"/>
  <c r="W469" i="68"/>
  <c r="V469" i="68"/>
  <c r="U469" i="68"/>
  <c r="AC468" i="68"/>
  <c r="Z468" i="68"/>
  <c r="AB468" i="68" s="1"/>
  <c r="Y468" i="68"/>
  <c r="X468" i="68"/>
  <c r="W468" i="68"/>
  <c r="V468" i="68"/>
  <c r="U468" i="68"/>
  <c r="AC467" i="68"/>
  <c r="Z467" i="68"/>
  <c r="AB467" i="68" s="1"/>
  <c r="Y467" i="68"/>
  <c r="X467" i="68"/>
  <c r="W467" i="68"/>
  <c r="V467" i="68"/>
  <c r="U467" i="68"/>
  <c r="AC466" i="68"/>
  <c r="Z466" i="68"/>
  <c r="AB466" i="68" s="1"/>
  <c r="Y466" i="68"/>
  <c r="X466" i="68"/>
  <c r="W466" i="68"/>
  <c r="V466" i="68"/>
  <c r="W465" i="68" s="1"/>
  <c r="X465" i="68" s="1"/>
  <c r="Y465" i="68" s="1"/>
  <c r="U466" i="68"/>
  <c r="AC465" i="68"/>
  <c r="Z465" i="68"/>
  <c r="AB465" i="68" s="1"/>
  <c r="V465" i="68"/>
  <c r="U465" i="68"/>
  <c r="AC464" i="68"/>
  <c r="Z464" i="68"/>
  <c r="AB464" i="68" s="1"/>
  <c r="Y464" i="68"/>
  <c r="X464" i="68"/>
  <c r="W464" i="68"/>
  <c r="V464" i="68"/>
  <c r="U464" i="68"/>
  <c r="Z463" i="68"/>
  <c r="AC463" i="68" s="1"/>
  <c r="Y463" i="68"/>
  <c r="X463" i="68"/>
  <c r="W463" i="68"/>
  <c r="V463" i="68"/>
  <c r="U463" i="68"/>
  <c r="AC462" i="68"/>
  <c r="Z462" i="68"/>
  <c r="AB462" i="68" s="1"/>
  <c r="Y462" i="68"/>
  <c r="X462" i="68"/>
  <c r="W462" i="68"/>
  <c r="V462" i="68"/>
  <c r="W461" i="68" s="1"/>
  <c r="X461" i="68" s="1"/>
  <c r="Y461" i="68" s="1"/>
  <c r="U462" i="68"/>
  <c r="AC461" i="68"/>
  <c r="Z461" i="68"/>
  <c r="AB461" i="68" s="1"/>
  <c r="V461" i="68"/>
  <c r="U461" i="68"/>
  <c r="AC460" i="68"/>
  <c r="Z460" i="68"/>
  <c r="AB460" i="68" s="1"/>
  <c r="Y460" i="68"/>
  <c r="X460" i="68"/>
  <c r="W460" i="68"/>
  <c r="V460" i="68"/>
  <c r="U460" i="68"/>
  <c r="Z459" i="68"/>
  <c r="AC459" i="68" s="1"/>
  <c r="Y459" i="68"/>
  <c r="X459" i="68"/>
  <c r="W459" i="68"/>
  <c r="V459" i="68"/>
  <c r="U459" i="68"/>
  <c r="Z458" i="68"/>
  <c r="AC458" i="68" s="1"/>
  <c r="Y458" i="68"/>
  <c r="X458" i="68"/>
  <c r="W458" i="68"/>
  <c r="V458" i="68"/>
  <c r="W457" i="68" s="1"/>
  <c r="X457" i="68" s="1"/>
  <c r="Y457" i="68" s="1"/>
  <c r="U458" i="68"/>
  <c r="Z457" i="68"/>
  <c r="AC457" i="68" s="1"/>
  <c r="V457" i="68"/>
  <c r="U457" i="68"/>
  <c r="Z456" i="68"/>
  <c r="AC456" i="68" s="1"/>
  <c r="Y456" i="68"/>
  <c r="X456" i="68"/>
  <c r="W456" i="68"/>
  <c r="V456" i="68"/>
  <c r="U456" i="68"/>
  <c r="Z455" i="68"/>
  <c r="AC455" i="68" s="1"/>
  <c r="Y455" i="68"/>
  <c r="X455" i="68"/>
  <c r="W455" i="68"/>
  <c r="V455" i="68"/>
  <c r="U455" i="68"/>
  <c r="Z454" i="68"/>
  <c r="AC454" i="68" s="1"/>
  <c r="Y454" i="68"/>
  <c r="X454" i="68"/>
  <c r="W454" i="68"/>
  <c r="V454" i="68"/>
  <c r="W453" i="68" s="1"/>
  <c r="X453" i="68" s="1"/>
  <c r="Y453" i="68" s="1"/>
  <c r="U454" i="68"/>
  <c r="Z453" i="68"/>
  <c r="AC453" i="68" s="1"/>
  <c r="V453" i="68"/>
  <c r="U453" i="68"/>
  <c r="Z452" i="68"/>
  <c r="AC452" i="68" s="1"/>
  <c r="Y452" i="68"/>
  <c r="X452" i="68"/>
  <c r="W452" i="68"/>
  <c r="V452" i="68"/>
  <c r="U452" i="68"/>
  <c r="Z451" i="68"/>
  <c r="AC451" i="68" s="1"/>
  <c r="Y451" i="68"/>
  <c r="X451" i="68"/>
  <c r="W451" i="68"/>
  <c r="V451" i="68"/>
  <c r="U451" i="68"/>
  <c r="Z450" i="68"/>
  <c r="AC450" i="68" s="1"/>
  <c r="Y450" i="68"/>
  <c r="X450" i="68"/>
  <c r="W450" i="68"/>
  <c r="V450" i="68"/>
  <c r="Z449" i="68" s="1"/>
  <c r="AC449" i="68" s="1"/>
  <c r="U450" i="68"/>
  <c r="X449" i="68"/>
  <c r="Y449" i="68" s="1"/>
  <c r="W449" i="68"/>
  <c r="V449" i="68"/>
  <c r="U449" i="68"/>
  <c r="AC448" i="68"/>
  <c r="AB448" i="68"/>
  <c r="Z448" i="68"/>
  <c r="X448" i="68"/>
  <c r="Y448" i="68" s="1"/>
  <c r="W448" i="68"/>
  <c r="V448" i="68"/>
  <c r="W447" i="68" s="1"/>
  <c r="X447" i="68" s="1"/>
  <c r="Y447" i="68" s="1"/>
  <c r="U448" i="68"/>
  <c r="AC447" i="68"/>
  <c r="AB447" i="68"/>
  <c r="Z447" i="68"/>
  <c r="V447" i="68"/>
  <c r="U447" i="68"/>
  <c r="AC446" i="68"/>
  <c r="AB446" i="68"/>
  <c r="Z446" i="68"/>
  <c r="X446" i="68"/>
  <c r="Y446" i="68" s="1"/>
  <c r="W446" i="68"/>
  <c r="V446" i="68"/>
  <c r="U446" i="68"/>
  <c r="Z445" i="68"/>
  <c r="AC445" i="68" s="1"/>
  <c r="X445" i="68"/>
  <c r="Y445" i="68" s="1"/>
  <c r="W445" i="68"/>
  <c r="V445" i="68"/>
  <c r="U445" i="68"/>
  <c r="Z444" i="68"/>
  <c r="AC444" i="68" s="1"/>
  <c r="X444" i="68"/>
  <c r="Y444" i="68" s="1"/>
  <c r="W444" i="68"/>
  <c r="V444" i="68"/>
  <c r="U444" i="68"/>
  <c r="X443" i="68"/>
  <c r="Y443" i="68" s="1"/>
  <c r="W443" i="68"/>
  <c r="V443" i="68"/>
  <c r="Z443" i="68" s="1"/>
  <c r="U443" i="68"/>
  <c r="Z442" i="68"/>
  <c r="AC442" i="68" s="1"/>
  <c r="X442" i="68"/>
  <c r="Y442" i="68" s="1"/>
  <c r="W442" i="68"/>
  <c r="V442" i="68"/>
  <c r="Z441" i="68" s="1"/>
  <c r="U442" i="68"/>
  <c r="X441" i="68"/>
  <c r="Y441" i="68" s="1"/>
  <c r="W441" i="68"/>
  <c r="V441" i="68"/>
  <c r="U441" i="68"/>
  <c r="Z440" i="68"/>
  <c r="AC440" i="68" s="1"/>
  <c r="X440" i="68"/>
  <c r="Y440" i="68" s="1"/>
  <c r="W440" i="68"/>
  <c r="V440" i="68"/>
  <c r="Z439" i="68" s="1"/>
  <c r="AC439" i="68" s="1"/>
  <c r="U440" i="68"/>
  <c r="Y439" i="68"/>
  <c r="X439" i="68"/>
  <c r="W439" i="68"/>
  <c r="V439" i="68"/>
  <c r="U439" i="68"/>
  <c r="AC438" i="68"/>
  <c r="Z438" i="68"/>
  <c r="AB438" i="68" s="1"/>
  <c r="Y438" i="68"/>
  <c r="X438" i="68"/>
  <c r="W438" i="68"/>
  <c r="V438" i="68"/>
  <c r="U438" i="68"/>
  <c r="AC437" i="68"/>
  <c r="Z437" i="68"/>
  <c r="AB437" i="68" s="1"/>
  <c r="Y437" i="68"/>
  <c r="X437" i="68"/>
  <c r="W437" i="68"/>
  <c r="V437" i="68"/>
  <c r="U437" i="68"/>
  <c r="AC436" i="68"/>
  <c r="Z436" i="68"/>
  <c r="AB436" i="68" s="1"/>
  <c r="Y436" i="68"/>
  <c r="X436" i="68"/>
  <c r="W436" i="68"/>
  <c r="V436" i="68"/>
  <c r="U436" i="68"/>
  <c r="AC435" i="68"/>
  <c r="Z435" i="68"/>
  <c r="AB435" i="68" s="1"/>
  <c r="Y435" i="68"/>
  <c r="X435" i="68"/>
  <c r="W435" i="68"/>
  <c r="V435" i="68"/>
  <c r="U435" i="68"/>
  <c r="AC434" i="68"/>
  <c r="Z434" i="68"/>
  <c r="AB434" i="68" s="1"/>
  <c r="Y434" i="68"/>
  <c r="X434" i="68"/>
  <c r="W434" i="68"/>
  <c r="V434" i="68"/>
  <c r="W433" i="68" s="1"/>
  <c r="U434" i="68"/>
  <c r="AC433" i="68"/>
  <c r="Z433" i="68"/>
  <c r="AB433" i="68" s="1"/>
  <c r="X433" i="68"/>
  <c r="V433" i="68"/>
  <c r="U433" i="68"/>
  <c r="AC432" i="68"/>
  <c r="AB432" i="68"/>
  <c r="Z432" i="68"/>
  <c r="Y432" i="68"/>
  <c r="X432" i="68"/>
  <c r="W432" i="68"/>
  <c r="V432" i="68"/>
  <c r="Z431" i="68" s="1"/>
  <c r="U432" i="68"/>
  <c r="Y431" i="68"/>
  <c r="X431" i="68"/>
  <c r="W431" i="68"/>
  <c r="V431" i="68"/>
  <c r="U431" i="68"/>
  <c r="AC430" i="68"/>
  <c r="AB430" i="68"/>
  <c r="Z430" i="68"/>
  <c r="Y430" i="68"/>
  <c r="X430" i="68"/>
  <c r="W430" i="68"/>
  <c r="V430" i="68"/>
  <c r="W429" i="68" s="1"/>
  <c r="X429" i="68" s="1"/>
  <c r="Y429" i="68" s="1"/>
  <c r="U430" i="68"/>
  <c r="AC429" i="68"/>
  <c r="AB429" i="68"/>
  <c r="Z429" i="68"/>
  <c r="V429" i="68"/>
  <c r="U429" i="68"/>
  <c r="AC428" i="68"/>
  <c r="AB428" i="68"/>
  <c r="Z428" i="68"/>
  <c r="Y428" i="68"/>
  <c r="X428" i="68"/>
  <c r="W428" i="68"/>
  <c r="V428" i="68"/>
  <c r="Z427" i="68" s="1"/>
  <c r="U428" i="68"/>
  <c r="Y427" i="68"/>
  <c r="X427" i="68"/>
  <c r="W427" i="68"/>
  <c r="V427" i="68"/>
  <c r="U427" i="68"/>
  <c r="AC426" i="68"/>
  <c r="AB426" i="68"/>
  <c r="Z426" i="68"/>
  <c r="X426" i="68"/>
  <c r="Y426" i="68" s="1"/>
  <c r="W426" i="68"/>
  <c r="V426" i="68"/>
  <c r="W425" i="68" s="1"/>
  <c r="X425" i="68" s="1"/>
  <c r="Y425" i="68" s="1"/>
  <c r="U426" i="68"/>
  <c r="AC425" i="68"/>
  <c r="AB425" i="68"/>
  <c r="Z425" i="68"/>
  <c r="V425" i="68"/>
  <c r="U425" i="68"/>
  <c r="AC424" i="68"/>
  <c r="AB424" i="68"/>
  <c r="Z424" i="68"/>
  <c r="X424" i="68"/>
  <c r="Y424" i="68" s="1"/>
  <c r="W424" i="68"/>
  <c r="V424" i="68"/>
  <c r="Z423" i="68" s="1"/>
  <c r="U424" i="68"/>
  <c r="X423" i="68"/>
  <c r="Y423" i="68" s="1"/>
  <c r="W423" i="68"/>
  <c r="V423" i="68"/>
  <c r="U423" i="68"/>
  <c r="AC422" i="68"/>
  <c r="AB422" i="68"/>
  <c r="Z422" i="68"/>
  <c r="X422" i="68"/>
  <c r="Y422" i="68" s="1"/>
  <c r="W422" i="68"/>
  <c r="V422" i="68"/>
  <c r="W421" i="68" s="1"/>
  <c r="X421" i="68" s="1"/>
  <c r="Y421" i="68" s="1"/>
  <c r="U422" i="68"/>
  <c r="AC421" i="68"/>
  <c r="AB421" i="68"/>
  <c r="Z421" i="68"/>
  <c r="V421" i="68"/>
  <c r="U421" i="68"/>
  <c r="AC420" i="68"/>
  <c r="AB420" i="68"/>
  <c r="Z420" i="68"/>
  <c r="X420" i="68"/>
  <c r="Y420" i="68" s="1"/>
  <c r="W420" i="68"/>
  <c r="V420" i="68"/>
  <c r="Z419" i="68" s="1"/>
  <c r="U420" i="68"/>
  <c r="X419" i="68"/>
  <c r="Y419" i="68" s="1"/>
  <c r="W419" i="68"/>
  <c r="V419" i="68"/>
  <c r="U419" i="68"/>
  <c r="AC418" i="68"/>
  <c r="AB418" i="68"/>
  <c r="Z418" i="68"/>
  <c r="X418" i="68"/>
  <c r="Y418" i="68" s="1"/>
  <c r="W418" i="68"/>
  <c r="V418" i="68"/>
  <c r="W417" i="68" s="1"/>
  <c r="X417" i="68" s="1"/>
  <c r="Y417" i="68" s="1"/>
  <c r="U418" i="68"/>
  <c r="AC417" i="68"/>
  <c r="AB417" i="68"/>
  <c r="Z417" i="68"/>
  <c r="V417" i="68"/>
  <c r="U417" i="68"/>
  <c r="AC416" i="68"/>
  <c r="AB416" i="68"/>
  <c r="Z416" i="68"/>
  <c r="X416" i="68"/>
  <c r="Y416" i="68" s="1"/>
  <c r="W416" i="68"/>
  <c r="V416" i="68"/>
  <c r="Z415" i="68" s="1"/>
  <c r="U416" i="68"/>
  <c r="X415" i="68"/>
  <c r="Y415" i="68" s="1"/>
  <c r="W415" i="68"/>
  <c r="V415" i="68"/>
  <c r="U415" i="68"/>
  <c r="AC414" i="68"/>
  <c r="AB414" i="68"/>
  <c r="Z414" i="68"/>
  <c r="X414" i="68"/>
  <c r="Y414" i="68" s="1"/>
  <c r="W414" i="68"/>
  <c r="V414" i="68"/>
  <c r="W413" i="68" s="1"/>
  <c r="X413" i="68" s="1"/>
  <c r="Y413" i="68" s="1"/>
  <c r="U414" i="68"/>
  <c r="AC413" i="68"/>
  <c r="AB413" i="68"/>
  <c r="Z413" i="68"/>
  <c r="V413" i="68"/>
  <c r="U413" i="68"/>
  <c r="AC412" i="68"/>
  <c r="AB412" i="68"/>
  <c r="Z412" i="68"/>
  <c r="X412" i="68"/>
  <c r="Y412" i="68" s="1"/>
  <c r="W412" i="68"/>
  <c r="V412" i="68"/>
  <c r="Z411" i="68" s="1"/>
  <c r="U412" i="68"/>
  <c r="X411" i="68"/>
  <c r="Y411" i="68" s="1"/>
  <c r="W411" i="68"/>
  <c r="V411" i="68"/>
  <c r="U411" i="68"/>
  <c r="AC410" i="68"/>
  <c r="AB410" i="68"/>
  <c r="Z410" i="68"/>
  <c r="X410" i="68"/>
  <c r="Y410" i="68" s="1"/>
  <c r="W410" i="68"/>
  <c r="V410" i="68"/>
  <c r="W409" i="68" s="1"/>
  <c r="X409" i="68" s="1"/>
  <c r="Y409" i="68" s="1"/>
  <c r="U410" i="68"/>
  <c r="AC409" i="68"/>
  <c r="AB409" i="68"/>
  <c r="Z409" i="68"/>
  <c r="V409" i="68"/>
  <c r="U409" i="68"/>
  <c r="AB427" i="68" l="1"/>
  <c r="AC427" i="68"/>
  <c r="AB419" i="68"/>
  <c r="AC419" i="68"/>
  <c r="AC423" i="68"/>
  <c r="AB423" i="68"/>
  <c r="AB489" i="68"/>
  <c r="AC489" i="68"/>
  <c r="AC499" i="68"/>
  <c r="AB499" i="68"/>
  <c r="AC519" i="68"/>
  <c r="AB519" i="68"/>
  <c r="AB431" i="68"/>
  <c r="AC431" i="68"/>
  <c r="AC515" i="68"/>
  <c r="AB515" i="68"/>
  <c r="AC441" i="68"/>
  <c r="AB441" i="68"/>
  <c r="AC411" i="68"/>
  <c r="AB411" i="68"/>
  <c r="AC511" i="68"/>
  <c r="AB511" i="68"/>
  <c r="AC507" i="68"/>
  <c r="AB507" i="68"/>
  <c r="AC415" i="68"/>
  <c r="AB415" i="68"/>
  <c r="AB483" i="68"/>
  <c r="AC483" i="68"/>
  <c r="AC503" i="68"/>
  <c r="AB503" i="68"/>
  <c r="AB479" i="68"/>
  <c r="AC479" i="68"/>
  <c r="AB493" i="68"/>
  <c r="AC493" i="68"/>
  <c r="AB472" i="68"/>
  <c r="AB473" i="68"/>
  <c r="AB474" i="68"/>
  <c r="AB450" i="68"/>
  <c r="AB451" i="68"/>
  <c r="AB452" i="68"/>
  <c r="AB453" i="68"/>
  <c r="AB454" i="68"/>
  <c r="AB455" i="68"/>
  <c r="AB456" i="68"/>
  <c r="AB457" i="68"/>
  <c r="AB458" i="68"/>
  <c r="AB459" i="68"/>
  <c r="AB463" i="68"/>
  <c r="AB444" i="68"/>
  <c r="AB440" i="68"/>
  <c r="AB442" i="68"/>
  <c r="AB495" i="68"/>
  <c r="AB496" i="68"/>
  <c r="AB497" i="68"/>
  <c r="AB498" i="68"/>
  <c r="AB500" i="68"/>
  <c r="K7" i="46"/>
  <c r="M7" i="46" s="1"/>
  <c r="H7" i="46"/>
  <c r="I7" i="46" s="1"/>
  <c r="J7" i="46" s="1"/>
  <c r="J8" i="46"/>
  <c r="G7" i="46"/>
  <c r="E2" i="56" l="1"/>
  <c r="H8" i="33" l="1"/>
  <c r="I8" i="33"/>
  <c r="J8" i="33"/>
  <c r="K8" i="33"/>
  <c r="H10" i="33"/>
  <c r="I10" i="33"/>
  <c r="J10" i="33"/>
  <c r="K10" i="33"/>
  <c r="K11" i="33"/>
  <c r="H12" i="33"/>
  <c r="I12" i="33"/>
  <c r="J12" i="33"/>
  <c r="K12" i="33"/>
  <c r="K13" i="33"/>
  <c r="H14" i="33"/>
  <c r="I14" i="33"/>
  <c r="J14" i="33"/>
  <c r="K14" i="33"/>
  <c r="K15" i="33"/>
  <c r="H16" i="33"/>
  <c r="I16" i="33"/>
  <c r="J16" i="33"/>
  <c r="K16" i="33"/>
  <c r="K17" i="33"/>
  <c r="H18" i="33"/>
  <c r="I18" i="33"/>
  <c r="J18" i="33"/>
  <c r="K18" i="33"/>
  <c r="K19" i="33"/>
  <c r="H20" i="33"/>
  <c r="I20" i="33"/>
  <c r="J20" i="33"/>
  <c r="K20" i="33"/>
  <c r="K21" i="33"/>
  <c r="H22" i="33"/>
  <c r="I22" i="33"/>
  <c r="J22" i="33"/>
  <c r="K22" i="33"/>
  <c r="K23" i="33"/>
  <c r="H24" i="33"/>
  <c r="I24" i="33"/>
  <c r="J24" i="33"/>
  <c r="K24" i="33"/>
  <c r="K25" i="33"/>
  <c r="H26" i="33"/>
  <c r="I26" i="33"/>
  <c r="J26" i="33"/>
  <c r="K26" i="33"/>
  <c r="K27" i="33"/>
  <c r="H28" i="33"/>
  <c r="I28" i="33"/>
  <c r="J28" i="33"/>
  <c r="K28" i="33"/>
  <c r="K29" i="33"/>
  <c r="H30" i="33"/>
  <c r="I30" i="33"/>
  <c r="J30" i="33"/>
  <c r="K30" i="33"/>
  <c r="K9" i="33"/>
  <c r="K7" i="33"/>
  <c r="L6" i="33"/>
  <c r="K22" i="41" l="1"/>
  <c r="M22" i="41" s="1"/>
  <c r="J22" i="41"/>
  <c r="H22" i="41"/>
  <c r="G22" i="41"/>
  <c r="F22" i="41"/>
  <c r="K21" i="41"/>
  <c r="M21" i="41" s="1"/>
  <c r="G21" i="41"/>
  <c r="F21" i="41"/>
  <c r="K20" i="41"/>
  <c r="M20" i="41" s="1"/>
  <c r="J20" i="41"/>
  <c r="H20" i="41"/>
  <c r="G20" i="41"/>
  <c r="F20" i="41"/>
  <c r="K19" i="41"/>
  <c r="M19" i="41" s="1"/>
  <c r="G19" i="41"/>
  <c r="F19" i="41"/>
  <c r="K18" i="41"/>
  <c r="M18" i="41" s="1"/>
  <c r="J18" i="41"/>
  <c r="H18" i="41"/>
  <c r="G18" i="41"/>
  <c r="F18" i="41"/>
  <c r="K17" i="41"/>
  <c r="M17" i="41" s="1"/>
  <c r="G17" i="41"/>
  <c r="F17" i="41"/>
  <c r="K16" i="41"/>
  <c r="M16" i="41" s="1"/>
  <c r="J16" i="41"/>
  <c r="H16" i="41"/>
  <c r="G16" i="41"/>
  <c r="F16" i="41"/>
  <c r="K15" i="41"/>
  <c r="M15" i="41" s="1"/>
  <c r="G15" i="41"/>
  <c r="F15" i="41"/>
  <c r="K14" i="41"/>
  <c r="M14" i="41" s="1"/>
  <c r="J14" i="41"/>
  <c r="H14" i="41"/>
  <c r="G14" i="41"/>
  <c r="K13" i="41"/>
  <c r="M13" i="41" s="1"/>
  <c r="G13" i="41"/>
  <c r="F13" i="41"/>
  <c r="H19" i="41" l="1"/>
  <c r="J19" i="41" s="1"/>
  <c r="H21" i="41"/>
  <c r="J21" i="41" s="1"/>
  <c r="H17" i="41"/>
  <c r="J17" i="41" s="1"/>
  <c r="H15" i="41"/>
  <c r="J15" i="41" s="1"/>
  <c r="H13" i="41"/>
  <c r="J13" i="41" s="1"/>
  <c r="L6" i="20" l="1"/>
  <c r="L6" i="37"/>
  <c r="L6" i="48"/>
  <c r="L6" i="57"/>
  <c r="E2" i="20"/>
  <c r="G48" i="67"/>
  <c r="H48" i="67"/>
  <c r="I48" i="67"/>
  <c r="G49" i="67"/>
  <c r="H49" i="67"/>
  <c r="I49" i="67"/>
  <c r="J49" i="67" s="1"/>
  <c r="G50" i="67"/>
  <c r="H50" i="67"/>
  <c r="I50" i="67"/>
  <c r="J50" i="67" s="1"/>
  <c r="K50" i="67"/>
  <c r="M50" i="67" s="1"/>
  <c r="K49" i="67"/>
  <c r="N49" i="67" s="1"/>
  <c r="F49" i="67"/>
  <c r="L6" i="13"/>
  <c r="L6" i="46"/>
  <c r="L6" i="9"/>
  <c r="N50" i="67" l="1"/>
  <c r="M49" i="67"/>
  <c r="K7" i="13"/>
  <c r="I93" i="46" l="1"/>
  <c r="I31" i="46"/>
  <c r="F30" i="33" l="1"/>
  <c r="G30" i="33"/>
  <c r="F12" i="33"/>
  <c r="G12" i="33"/>
  <c r="F13" i="33"/>
  <c r="G13" i="33"/>
  <c r="F14" i="33"/>
  <c r="G14" i="33"/>
  <c r="F15" i="33"/>
  <c r="G15" i="33"/>
  <c r="F16" i="33"/>
  <c r="G16" i="33"/>
  <c r="F17" i="33"/>
  <c r="G17" i="33"/>
  <c r="F18" i="33"/>
  <c r="G18" i="33"/>
  <c r="F19" i="33"/>
  <c r="G19" i="33"/>
  <c r="F20" i="33"/>
  <c r="G20" i="33"/>
  <c r="F21" i="33"/>
  <c r="G21" i="33"/>
  <c r="F22" i="33"/>
  <c r="G22" i="33"/>
  <c r="F23" i="33"/>
  <c r="G23" i="33"/>
  <c r="F24" i="33"/>
  <c r="G24" i="33"/>
  <c r="F25" i="33"/>
  <c r="G25" i="33"/>
  <c r="F26" i="33"/>
  <c r="G26" i="33"/>
  <c r="F27" i="33"/>
  <c r="G27" i="33"/>
  <c r="F28" i="33"/>
  <c r="G28" i="33"/>
  <c r="F29" i="33"/>
  <c r="G29" i="33"/>
  <c r="F7" i="33"/>
  <c r="G7" i="33"/>
  <c r="F8" i="33"/>
  <c r="G8" i="33"/>
  <c r="F9" i="33"/>
  <c r="G9" i="33"/>
  <c r="F10" i="33"/>
  <c r="G10" i="33"/>
  <c r="I10" i="14"/>
  <c r="I8" i="14"/>
  <c r="F8" i="14"/>
  <c r="G8" i="14"/>
  <c r="H8" i="14"/>
  <c r="K8" i="14"/>
  <c r="M8" i="14" s="1"/>
  <c r="F9" i="14"/>
  <c r="G9" i="14"/>
  <c r="K9" i="14"/>
  <c r="M9" i="14" s="1"/>
  <c r="F10" i="14"/>
  <c r="G10" i="14"/>
  <c r="H9" i="14" s="1"/>
  <c r="I9" i="14" s="1"/>
  <c r="H10" i="14"/>
  <c r="K10" i="14"/>
  <c r="N10" i="14" s="1"/>
  <c r="F8" i="55"/>
  <c r="G8" i="55"/>
  <c r="H8" i="55"/>
  <c r="I8" i="55"/>
  <c r="J8" i="55"/>
  <c r="K8" i="55"/>
  <c r="N8" i="55" s="1"/>
  <c r="F9" i="55"/>
  <c r="G9" i="55"/>
  <c r="K9" i="55"/>
  <c r="M9" i="55" s="1"/>
  <c r="F10" i="55"/>
  <c r="G10" i="55"/>
  <c r="H9" i="55" s="1"/>
  <c r="H10" i="55"/>
  <c r="I10" i="55"/>
  <c r="J10" i="55"/>
  <c r="K10" i="55"/>
  <c r="M10" i="55" s="1"/>
  <c r="F11" i="55"/>
  <c r="G11" i="55"/>
  <c r="K11" i="55"/>
  <c r="N11" i="55" s="1"/>
  <c r="M11" i="55"/>
  <c r="F12" i="55"/>
  <c r="G12" i="55"/>
  <c r="H12" i="55"/>
  <c r="I12" i="55"/>
  <c r="J12" i="55"/>
  <c r="K12" i="55"/>
  <c r="N12" i="55" s="1"/>
  <c r="M12" i="55"/>
  <c r="F13" i="55"/>
  <c r="G13" i="55"/>
  <c r="K13" i="55"/>
  <c r="M13" i="55" s="1"/>
  <c r="F14" i="55"/>
  <c r="G14" i="55"/>
  <c r="H13" i="55" s="1"/>
  <c r="I13" i="55" s="1"/>
  <c r="H14" i="55"/>
  <c r="I14" i="55"/>
  <c r="J14" i="55"/>
  <c r="K14" i="55"/>
  <c r="M14" i="55" s="1"/>
  <c r="N14" i="55"/>
  <c r="F15" i="55"/>
  <c r="G15" i="55"/>
  <c r="K15" i="55"/>
  <c r="N15" i="55" s="1"/>
  <c r="M15" i="55"/>
  <c r="F16" i="55"/>
  <c r="G16" i="55"/>
  <c r="H16" i="55"/>
  <c r="I16" i="55"/>
  <c r="J16" i="55"/>
  <c r="K16" i="55"/>
  <c r="N16" i="55" s="1"/>
  <c r="F17" i="55"/>
  <c r="G17" i="55"/>
  <c r="K17" i="55"/>
  <c r="M17" i="55" s="1"/>
  <c r="F18" i="55"/>
  <c r="G18" i="55"/>
  <c r="H17" i="55" s="1"/>
  <c r="H18" i="55"/>
  <c r="I18" i="55"/>
  <c r="J18" i="55"/>
  <c r="K18" i="55"/>
  <c r="M18" i="55" s="1"/>
  <c r="F19" i="55"/>
  <c r="G19" i="55"/>
  <c r="K19" i="55"/>
  <c r="M19" i="55"/>
  <c r="N19" i="55"/>
  <c r="F20" i="55"/>
  <c r="G20" i="55"/>
  <c r="H20" i="55"/>
  <c r="I20" i="55"/>
  <c r="J20" i="55"/>
  <c r="K20" i="55"/>
  <c r="M20" i="55"/>
  <c r="N20" i="55"/>
  <c r="F21" i="55"/>
  <c r="G21" i="55"/>
  <c r="K21" i="55"/>
  <c r="M21" i="55" s="1"/>
  <c r="F22" i="55"/>
  <c r="G22" i="55"/>
  <c r="H22" i="55"/>
  <c r="I22" i="55"/>
  <c r="J22" i="55"/>
  <c r="K22" i="55"/>
  <c r="M22" i="55" s="1"/>
  <c r="N22" i="55"/>
  <c r="F23" i="55"/>
  <c r="G23" i="55"/>
  <c r="K23" i="55"/>
  <c r="N23" i="55" s="1"/>
  <c r="M23" i="55"/>
  <c r="F24" i="55"/>
  <c r="G24" i="55"/>
  <c r="H24" i="55"/>
  <c r="I24" i="55"/>
  <c r="J24" i="55"/>
  <c r="K24" i="55"/>
  <c r="N24" i="55" s="1"/>
  <c r="F25" i="55"/>
  <c r="G25" i="55"/>
  <c r="K25" i="55"/>
  <c r="M25" i="55" s="1"/>
  <c r="F26" i="55"/>
  <c r="G26" i="55"/>
  <c r="H25" i="55" s="1"/>
  <c r="I25" i="55" s="1"/>
  <c r="H26" i="55"/>
  <c r="I26" i="55"/>
  <c r="J26" i="55"/>
  <c r="K26" i="55"/>
  <c r="M26" i="55" s="1"/>
  <c r="F27" i="55"/>
  <c r="G27" i="55"/>
  <c r="K27" i="55"/>
  <c r="N27" i="55" s="1"/>
  <c r="M27" i="55"/>
  <c r="F28" i="55"/>
  <c r="G28" i="55"/>
  <c r="H28" i="55"/>
  <c r="I28" i="55"/>
  <c r="J28" i="55"/>
  <c r="K28" i="55"/>
  <c r="N28" i="55" s="1"/>
  <c r="M28" i="55"/>
  <c r="F29" i="55"/>
  <c r="G29" i="55"/>
  <c r="K29" i="55"/>
  <c r="M29" i="55" s="1"/>
  <c r="F30" i="55"/>
  <c r="G30" i="55"/>
  <c r="H29" i="55" s="1"/>
  <c r="I29" i="55" s="1"/>
  <c r="H30" i="55"/>
  <c r="I30" i="55"/>
  <c r="J30" i="55"/>
  <c r="K30" i="55"/>
  <c r="M30" i="55" s="1"/>
  <c r="N30" i="55"/>
  <c r="F31" i="55"/>
  <c r="G31" i="55"/>
  <c r="K31" i="55"/>
  <c r="N31" i="55" s="1"/>
  <c r="F32" i="55"/>
  <c r="G32" i="55"/>
  <c r="H32" i="55"/>
  <c r="I32" i="55"/>
  <c r="J32" i="55"/>
  <c r="K32" i="55"/>
  <c r="N32" i="55" s="1"/>
  <c r="F33" i="55"/>
  <c r="G33" i="55"/>
  <c r="K33" i="55"/>
  <c r="M33" i="55" s="1"/>
  <c r="F34" i="55"/>
  <c r="G34" i="55"/>
  <c r="H33" i="55" s="1"/>
  <c r="H34" i="55"/>
  <c r="I34" i="55"/>
  <c r="J34" i="55"/>
  <c r="K34" i="55"/>
  <c r="M34" i="55" s="1"/>
  <c r="F35" i="55"/>
  <c r="G35" i="55"/>
  <c r="K35" i="55"/>
  <c r="N35" i="55" s="1"/>
  <c r="M35" i="55"/>
  <c r="F36" i="55"/>
  <c r="G36" i="55"/>
  <c r="H36" i="55"/>
  <c r="I36" i="55"/>
  <c r="J36" i="55"/>
  <c r="K36" i="55"/>
  <c r="N36" i="55" s="1"/>
  <c r="M36" i="55"/>
  <c r="F37" i="55"/>
  <c r="G37" i="55"/>
  <c r="K37" i="55"/>
  <c r="M37" i="55" s="1"/>
  <c r="F38" i="55"/>
  <c r="G38" i="55"/>
  <c r="H38" i="55"/>
  <c r="I38" i="55"/>
  <c r="J38" i="55"/>
  <c r="K38" i="55"/>
  <c r="M38" i="55" s="1"/>
  <c r="F39" i="55"/>
  <c r="G39" i="55"/>
  <c r="K39" i="55"/>
  <c r="N39" i="55" s="1"/>
  <c r="M39" i="55"/>
  <c r="F40" i="55"/>
  <c r="G40" i="55"/>
  <c r="H40" i="55"/>
  <c r="I40" i="55"/>
  <c r="J40" i="55"/>
  <c r="K40" i="55"/>
  <c r="N40" i="55" s="1"/>
  <c r="F41" i="55"/>
  <c r="G41" i="55"/>
  <c r="K41" i="55"/>
  <c r="M41" i="55" s="1"/>
  <c r="F42" i="55"/>
  <c r="G42" i="55"/>
  <c r="H41" i="55" s="1"/>
  <c r="H42" i="55"/>
  <c r="I42" i="55"/>
  <c r="J42" i="55"/>
  <c r="K42" i="55"/>
  <c r="M42" i="55" s="1"/>
  <c r="F43" i="55"/>
  <c r="G43" i="55"/>
  <c r="K43" i="55"/>
  <c r="N43" i="55" s="1"/>
  <c r="M43" i="55"/>
  <c r="F44" i="55"/>
  <c r="G44" i="55"/>
  <c r="H44" i="55"/>
  <c r="I44" i="55"/>
  <c r="J44" i="55"/>
  <c r="K44" i="55"/>
  <c r="N44" i="55" s="1"/>
  <c r="M44" i="55"/>
  <c r="F45" i="55"/>
  <c r="G45" i="55"/>
  <c r="H45" i="55"/>
  <c r="I45" i="55"/>
  <c r="J45" i="55"/>
  <c r="F46" i="55"/>
  <c r="G46" i="55"/>
  <c r="K45" i="55" s="1"/>
  <c r="H46" i="55"/>
  <c r="I46" i="55"/>
  <c r="J46" i="55"/>
  <c r="K46" i="55"/>
  <c r="M46" i="55" s="1"/>
  <c r="F47" i="55"/>
  <c r="G47" i="55"/>
  <c r="K47" i="55"/>
  <c r="N47" i="55" s="1"/>
  <c r="F48" i="55"/>
  <c r="G48" i="55"/>
  <c r="H48" i="55"/>
  <c r="I48" i="55"/>
  <c r="J48" i="55"/>
  <c r="K48" i="55"/>
  <c r="N48" i="55" s="1"/>
  <c r="M48" i="55"/>
  <c r="F49" i="55"/>
  <c r="G49" i="55"/>
  <c r="K49" i="55"/>
  <c r="M49" i="55" s="1"/>
  <c r="F50" i="55"/>
  <c r="G50" i="55"/>
  <c r="H50" i="55"/>
  <c r="I50" i="55"/>
  <c r="J50" i="55"/>
  <c r="K50" i="55"/>
  <c r="M50" i="55" s="1"/>
  <c r="F51" i="55"/>
  <c r="G51" i="55"/>
  <c r="H51" i="55"/>
  <c r="I51" i="55"/>
  <c r="J51" i="55"/>
  <c r="F52" i="55"/>
  <c r="G52" i="55"/>
  <c r="H52" i="55"/>
  <c r="I52" i="55"/>
  <c r="J52" i="55"/>
  <c r="K52" i="55"/>
  <c r="M52" i="55" s="1"/>
  <c r="N52" i="55"/>
  <c r="F8" i="59"/>
  <c r="G8" i="59"/>
  <c r="H8" i="59"/>
  <c r="I8" i="59"/>
  <c r="J8" i="59"/>
  <c r="K8" i="59"/>
  <c r="F9" i="59"/>
  <c r="G9" i="59"/>
  <c r="K9" i="59"/>
  <c r="F10" i="59"/>
  <c r="G10" i="59"/>
  <c r="H10" i="59"/>
  <c r="I10" i="59"/>
  <c r="J10" i="59"/>
  <c r="K10" i="59"/>
  <c r="F11" i="59"/>
  <c r="G11" i="59"/>
  <c r="K11" i="59"/>
  <c r="F12" i="59"/>
  <c r="G12" i="59"/>
  <c r="H12" i="59"/>
  <c r="I12" i="59"/>
  <c r="J12" i="59"/>
  <c r="K12" i="59"/>
  <c r="F13" i="59"/>
  <c r="G13" i="59"/>
  <c r="K13" i="59"/>
  <c r="F14" i="59"/>
  <c r="G14" i="59"/>
  <c r="H14" i="59"/>
  <c r="I14" i="59"/>
  <c r="J14" i="59"/>
  <c r="K14" i="59"/>
  <c r="F15" i="59"/>
  <c r="G15" i="59"/>
  <c r="F16" i="59"/>
  <c r="G16" i="59"/>
  <c r="H15" i="59" s="1"/>
  <c r="I15" i="59" s="1"/>
  <c r="H16" i="59"/>
  <c r="I16" i="59"/>
  <c r="J16" i="59"/>
  <c r="K16" i="59"/>
  <c r="F17" i="59"/>
  <c r="G17" i="59"/>
  <c r="K17" i="59"/>
  <c r="F18" i="59"/>
  <c r="G18" i="59"/>
  <c r="H18" i="59"/>
  <c r="I18" i="59"/>
  <c r="J18" i="59"/>
  <c r="K18" i="59"/>
  <c r="F19" i="59"/>
  <c r="G19" i="59"/>
  <c r="K19" i="59"/>
  <c r="F20" i="59"/>
  <c r="G20" i="59"/>
  <c r="H20" i="59"/>
  <c r="I20" i="59"/>
  <c r="J20" i="59"/>
  <c r="K20" i="59"/>
  <c r="F21" i="59"/>
  <c r="G21" i="59"/>
  <c r="K21" i="59"/>
  <c r="F22" i="59"/>
  <c r="G22" i="59"/>
  <c r="H21" i="59" s="1"/>
  <c r="I21" i="59" s="1"/>
  <c r="H22" i="59"/>
  <c r="I22" i="59"/>
  <c r="J22" i="59"/>
  <c r="K22" i="59"/>
  <c r="F23" i="59"/>
  <c r="G23" i="59"/>
  <c r="K23" i="59"/>
  <c r="F24" i="59"/>
  <c r="G24" i="59"/>
  <c r="H24" i="59"/>
  <c r="I24" i="59"/>
  <c r="J24" i="59"/>
  <c r="K24" i="59"/>
  <c r="F25" i="59"/>
  <c r="G25" i="59"/>
  <c r="K25" i="59"/>
  <c r="F26" i="59"/>
  <c r="G26" i="59"/>
  <c r="H25" i="59" s="1"/>
  <c r="H26" i="59"/>
  <c r="I26" i="59"/>
  <c r="J26" i="59"/>
  <c r="K26" i="59"/>
  <c r="F27" i="59"/>
  <c r="G27" i="59"/>
  <c r="K27" i="59"/>
  <c r="F28" i="59"/>
  <c r="G28" i="59"/>
  <c r="H28" i="59"/>
  <c r="I28" i="59"/>
  <c r="J28" i="59"/>
  <c r="K28" i="59"/>
  <c r="F29" i="59"/>
  <c r="G29" i="59"/>
  <c r="K29" i="59"/>
  <c r="F30" i="59"/>
  <c r="G30" i="59"/>
  <c r="H30" i="59"/>
  <c r="I30" i="59"/>
  <c r="J30" i="59"/>
  <c r="K30" i="59"/>
  <c r="F31" i="59"/>
  <c r="G31" i="59"/>
  <c r="K31" i="59"/>
  <c r="F32" i="59"/>
  <c r="G32" i="59"/>
  <c r="H32" i="59"/>
  <c r="I32" i="59"/>
  <c r="J32" i="59"/>
  <c r="K32" i="59"/>
  <c r="F33" i="59"/>
  <c r="G33" i="59"/>
  <c r="K33" i="59"/>
  <c r="F34" i="59"/>
  <c r="G34" i="59"/>
  <c r="H34" i="59"/>
  <c r="I34" i="59"/>
  <c r="J34" i="59"/>
  <c r="K34" i="59"/>
  <c r="F35" i="59"/>
  <c r="G35" i="59"/>
  <c r="K35" i="59"/>
  <c r="F36" i="59"/>
  <c r="G36" i="59"/>
  <c r="H36" i="59"/>
  <c r="I36" i="59"/>
  <c r="J36" i="59"/>
  <c r="K36" i="59"/>
  <c r="F37" i="59"/>
  <c r="G37" i="59"/>
  <c r="K37" i="59"/>
  <c r="F38" i="59"/>
  <c r="G38" i="59"/>
  <c r="H37" i="59" s="1"/>
  <c r="I37" i="59" s="1"/>
  <c r="H38" i="59"/>
  <c r="I38" i="59"/>
  <c r="J38" i="59"/>
  <c r="K38" i="59"/>
  <c r="I1" i="41"/>
  <c r="F8" i="41"/>
  <c r="G8" i="41"/>
  <c r="H8" i="41"/>
  <c r="I8" i="41"/>
  <c r="J8" i="41"/>
  <c r="K8" i="41"/>
  <c r="M8" i="41" s="1"/>
  <c r="F9" i="41"/>
  <c r="G9" i="41"/>
  <c r="K9" i="41"/>
  <c r="M9" i="41" s="1"/>
  <c r="F10" i="41"/>
  <c r="G10" i="41"/>
  <c r="H10" i="41"/>
  <c r="I10" i="41"/>
  <c r="J10" i="41"/>
  <c r="K10" i="41"/>
  <c r="M10" i="41" s="1"/>
  <c r="F11" i="41"/>
  <c r="G11" i="41"/>
  <c r="K11" i="41"/>
  <c r="M11" i="41" s="1"/>
  <c r="F12" i="41"/>
  <c r="G12" i="41"/>
  <c r="H12" i="41"/>
  <c r="I12" i="41"/>
  <c r="J12" i="41"/>
  <c r="K12" i="41"/>
  <c r="M12" i="41" s="1"/>
  <c r="H49" i="55" l="1"/>
  <c r="N46" i="55"/>
  <c r="N29" i="55"/>
  <c r="N13" i="55"/>
  <c r="H9" i="33"/>
  <c r="H13" i="59"/>
  <c r="I13" i="59" s="1"/>
  <c r="M40" i="55"/>
  <c r="H37" i="55"/>
  <c r="M24" i="55"/>
  <c r="H21" i="55"/>
  <c r="J21" i="55" s="1"/>
  <c r="M8" i="55"/>
  <c r="M10" i="14"/>
  <c r="H9" i="59"/>
  <c r="I9" i="59" s="1"/>
  <c r="M47" i="55"/>
  <c r="N37" i="55"/>
  <c r="N21" i="55"/>
  <c r="N38" i="55"/>
  <c r="M31" i="55"/>
  <c r="H7" i="33"/>
  <c r="I7" i="33" s="1"/>
  <c r="M32" i="55"/>
  <c r="M16" i="55"/>
  <c r="N26" i="55"/>
  <c r="N25" i="55"/>
  <c r="N10" i="55"/>
  <c r="N9" i="55"/>
  <c r="H25" i="33"/>
  <c r="H21" i="33"/>
  <c r="H17" i="33"/>
  <c r="H13" i="33"/>
  <c r="N42" i="55"/>
  <c r="N41" i="55"/>
  <c r="H27" i="59"/>
  <c r="I27" i="59" s="1"/>
  <c r="H11" i="59"/>
  <c r="I11" i="59" s="1"/>
  <c r="H43" i="55"/>
  <c r="I43" i="55" s="1"/>
  <c r="H27" i="55"/>
  <c r="I27" i="55" s="1"/>
  <c r="H11" i="55"/>
  <c r="I11" i="55" s="1"/>
  <c r="J9" i="33"/>
  <c r="I9" i="33"/>
  <c r="H11" i="41"/>
  <c r="J11" i="41" s="1"/>
  <c r="H23" i="59"/>
  <c r="H39" i="55"/>
  <c r="H23" i="55"/>
  <c r="J23" i="55" s="1"/>
  <c r="N8" i="14"/>
  <c r="N50" i="55"/>
  <c r="N49" i="55"/>
  <c r="N34" i="55"/>
  <c r="N33" i="55"/>
  <c r="N18" i="55"/>
  <c r="N17" i="55"/>
  <c r="H27" i="33"/>
  <c r="H23" i="33"/>
  <c r="H19" i="33"/>
  <c r="H15" i="33"/>
  <c r="H35" i="59"/>
  <c r="I35" i="59" s="1"/>
  <c r="H19" i="59"/>
  <c r="I19" i="59" s="1"/>
  <c r="K51" i="55"/>
  <c r="N51" i="55" s="1"/>
  <c r="H35" i="55"/>
  <c r="J35" i="55" s="1"/>
  <c r="H19" i="55"/>
  <c r="J19" i="55" s="1"/>
  <c r="H29" i="33"/>
  <c r="H47" i="55"/>
  <c r="J47" i="55" s="1"/>
  <c r="H31" i="55"/>
  <c r="I31" i="55" s="1"/>
  <c r="H15" i="55"/>
  <c r="J15" i="55" s="1"/>
  <c r="J7" i="33"/>
  <c r="J15" i="59"/>
  <c r="H33" i="59"/>
  <c r="I33" i="59" s="1"/>
  <c r="H17" i="59"/>
  <c r="J17" i="59" s="1"/>
  <c r="K15" i="59"/>
  <c r="H31" i="59"/>
  <c r="J31" i="59" s="1"/>
  <c r="H29" i="59"/>
  <c r="I29" i="59" s="1"/>
  <c r="H9" i="41"/>
  <c r="I9" i="41" s="1"/>
  <c r="I11" i="41"/>
  <c r="N9" i="14"/>
  <c r="M45" i="55"/>
  <c r="N45" i="55"/>
  <c r="M51" i="55"/>
  <c r="I47" i="55"/>
  <c r="J31" i="55"/>
  <c r="I15" i="55"/>
  <c r="J9" i="55"/>
  <c r="I9" i="55"/>
  <c r="J37" i="55"/>
  <c r="I37" i="55"/>
  <c r="J25" i="55"/>
  <c r="J43" i="55"/>
  <c r="J27" i="55"/>
  <c r="J11" i="55"/>
  <c r="J41" i="55"/>
  <c r="I41" i="55"/>
  <c r="J49" i="55"/>
  <c r="I49" i="55"/>
  <c r="I33" i="55"/>
  <c r="J33" i="55"/>
  <c r="I17" i="55"/>
  <c r="J17" i="55"/>
  <c r="J39" i="55"/>
  <c r="I39" i="55"/>
  <c r="J29" i="55"/>
  <c r="J13" i="55"/>
  <c r="J21" i="59"/>
  <c r="J11" i="59"/>
  <c r="I25" i="59"/>
  <c r="J25" i="59"/>
  <c r="J37" i="59"/>
  <c r="J9" i="59"/>
  <c r="J29" i="59"/>
  <c r="I23" i="59"/>
  <c r="J23" i="59"/>
  <c r="J13" i="59"/>
  <c r="J35" i="59"/>
  <c r="J19" i="59"/>
  <c r="J27" i="59"/>
  <c r="L6" i="56"/>
  <c r="F8" i="56"/>
  <c r="G8" i="56"/>
  <c r="H8" i="56"/>
  <c r="I8" i="56"/>
  <c r="J8" i="56" s="1"/>
  <c r="K8" i="56"/>
  <c r="N8" i="56" s="1"/>
  <c r="F9" i="56"/>
  <c r="G9" i="56"/>
  <c r="K9" i="56"/>
  <c r="N9" i="56" s="1"/>
  <c r="M9" i="56"/>
  <c r="F10" i="56"/>
  <c r="G10" i="56"/>
  <c r="H10" i="56"/>
  <c r="I10" i="56"/>
  <c r="J10" i="56" s="1"/>
  <c r="K10" i="56"/>
  <c r="N10" i="56" s="1"/>
  <c r="F11" i="56"/>
  <c r="G11" i="56"/>
  <c r="K11" i="56"/>
  <c r="N11" i="56" s="1"/>
  <c r="F12" i="56"/>
  <c r="G12" i="56"/>
  <c r="H11" i="56" s="1"/>
  <c r="J11" i="56" s="1"/>
  <c r="H12" i="56"/>
  <c r="I12" i="56"/>
  <c r="J12" i="56" s="1"/>
  <c r="K12" i="56"/>
  <c r="N12" i="56" s="1"/>
  <c r="M12" i="56"/>
  <c r="F13" i="56"/>
  <c r="G13" i="56"/>
  <c r="K13" i="56"/>
  <c r="N13" i="56" s="1"/>
  <c r="F14" i="56"/>
  <c r="G14" i="56"/>
  <c r="H14" i="56"/>
  <c r="I14" i="56"/>
  <c r="J14" i="56" s="1"/>
  <c r="K14" i="56"/>
  <c r="N14" i="56" s="1"/>
  <c r="F15" i="56"/>
  <c r="G15" i="56"/>
  <c r="H15" i="56"/>
  <c r="I15" i="56"/>
  <c r="J15" i="56" s="1"/>
  <c r="F16" i="56"/>
  <c r="G16" i="56"/>
  <c r="H16" i="56"/>
  <c r="I16" i="56"/>
  <c r="J16" i="56" s="1"/>
  <c r="K16" i="56"/>
  <c r="N16" i="56" s="1"/>
  <c r="F17" i="56"/>
  <c r="G17" i="56"/>
  <c r="K17" i="56"/>
  <c r="N17" i="56" s="1"/>
  <c r="F18" i="56"/>
  <c r="G18" i="56"/>
  <c r="H18" i="56"/>
  <c r="I18" i="56"/>
  <c r="J18" i="56" s="1"/>
  <c r="K18" i="56"/>
  <c r="N18" i="56" s="1"/>
  <c r="M18" i="56"/>
  <c r="F19" i="56"/>
  <c r="G19" i="56"/>
  <c r="H19" i="56"/>
  <c r="I19" i="56"/>
  <c r="J19" i="56" s="1"/>
  <c r="F20" i="56"/>
  <c r="G20" i="56"/>
  <c r="K19" i="56" s="1"/>
  <c r="H20" i="56"/>
  <c r="I20" i="56"/>
  <c r="J20" i="56" s="1"/>
  <c r="K20" i="56"/>
  <c r="N20" i="56" s="1"/>
  <c r="F21" i="56"/>
  <c r="G21" i="56"/>
  <c r="K21" i="56"/>
  <c r="N21" i="56" s="1"/>
  <c r="F22" i="56"/>
  <c r="G22" i="56"/>
  <c r="H22" i="56"/>
  <c r="I22" i="56"/>
  <c r="J22" i="56" s="1"/>
  <c r="K22" i="56"/>
  <c r="N22" i="56" s="1"/>
  <c r="F23" i="56"/>
  <c r="G23" i="56"/>
  <c r="K23" i="56"/>
  <c r="N23" i="56" s="1"/>
  <c r="F24" i="56"/>
  <c r="G24" i="56"/>
  <c r="H24" i="56"/>
  <c r="I24" i="56"/>
  <c r="J24" i="56" s="1"/>
  <c r="K24" i="56"/>
  <c r="N24" i="56" s="1"/>
  <c r="M24" i="56"/>
  <c r="F25" i="56"/>
  <c r="G25" i="56"/>
  <c r="H25" i="56"/>
  <c r="I25" i="56"/>
  <c r="J25" i="56" s="1"/>
  <c r="F26" i="56"/>
  <c r="G26" i="56"/>
  <c r="H26" i="56"/>
  <c r="I26" i="56"/>
  <c r="J26" i="56" s="1"/>
  <c r="K26" i="56"/>
  <c r="N26" i="56" s="1"/>
  <c r="F27" i="56"/>
  <c r="G27" i="56"/>
  <c r="K27" i="56"/>
  <c r="N27" i="56" s="1"/>
  <c r="F28" i="56"/>
  <c r="G28" i="56"/>
  <c r="H27" i="56" s="1"/>
  <c r="I27" i="56" s="1"/>
  <c r="J27" i="56" s="1"/>
  <c r="H28" i="56"/>
  <c r="I28" i="56"/>
  <c r="J28" i="56" s="1"/>
  <c r="K28" i="56"/>
  <c r="N28" i="56" s="1"/>
  <c r="M28" i="56"/>
  <c r="F29" i="56"/>
  <c r="G29" i="56"/>
  <c r="H29" i="56"/>
  <c r="I29" i="56"/>
  <c r="J29" i="56" s="1"/>
  <c r="F30" i="56"/>
  <c r="G30" i="56"/>
  <c r="K29" i="56" s="1"/>
  <c r="H30" i="56"/>
  <c r="I30" i="56"/>
  <c r="J30" i="56" s="1"/>
  <c r="K30" i="56"/>
  <c r="N30" i="56" s="1"/>
  <c r="F31" i="56"/>
  <c r="G31" i="56"/>
  <c r="K31" i="56"/>
  <c r="N31" i="56" s="1"/>
  <c r="F32" i="56"/>
  <c r="G32" i="56"/>
  <c r="H32" i="56"/>
  <c r="I32" i="56"/>
  <c r="J32" i="56" s="1"/>
  <c r="K32" i="56"/>
  <c r="N32" i="56" s="1"/>
  <c r="M32" i="56"/>
  <c r="F33" i="56"/>
  <c r="G33" i="56"/>
  <c r="H33" i="56"/>
  <c r="I33" i="56"/>
  <c r="J33" i="56" s="1"/>
  <c r="F34" i="56"/>
  <c r="G34" i="56"/>
  <c r="H34" i="56"/>
  <c r="I34" i="56"/>
  <c r="J34" i="56" s="1"/>
  <c r="K34" i="56"/>
  <c r="N34" i="56" s="1"/>
  <c r="F35" i="56"/>
  <c r="G35" i="56"/>
  <c r="K35" i="56"/>
  <c r="N35" i="56" s="1"/>
  <c r="F36" i="56"/>
  <c r="G36" i="56"/>
  <c r="H35" i="56" s="1"/>
  <c r="I35" i="56" s="1"/>
  <c r="J35" i="56" s="1"/>
  <c r="H36" i="56"/>
  <c r="I36" i="56"/>
  <c r="J36" i="56" s="1"/>
  <c r="K36" i="56"/>
  <c r="N36" i="56" s="1"/>
  <c r="M36" i="56"/>
  <c r="F37" i="56"/>
  <c r="G37" i="56"/>
  <c r="H37" i="56"/>
  <c r="I37" i="56"/>
  <c r="J37" i="56" s="1"/>
  <c r="F38" i="56"/>
  <c r="G38" i="56"/>
  <c r="K37" i="56" s="1"/>
  <c r="H38" i="56"/>
  <c r="I38" i="56"/>
  <c r="J38" i="56" s="1"/>
  <c r="K38" i="56"/>
  <c r="N38" i="56" s="1"/>
  <c r="F39" i="56"/>
  <c r="G39" i="56"/>
  <c r="K39" i="56"/>
  <c r="N39" i="56" s="1"/>
  <c r="F40" i="56"/>
  <c r="G40" i="56"/>
  <c r="H40" i="56"/>
  <c r="I40" i="56"/>
  <c r="J40" i="56" s="1"/>
  <c r="K40" i="56"/>
  <c r="N40" i="56" s="1"/>
  <c r="M40" i="56"/>
  <c r="F41" i="56"/>
  <c r="G41" i="56"/>
  <c r="K41" i="56"/>
  <c r="N41" i="56" s="1"/>
  <c r="M41" i="56"/>
  <c r="F42" i="56"/>
  <c r="G42" i="56"/>
  <c r="H42" i="56"/>
  <c r="I42" i="56"/>
  <c r="J42" i="56" s="1"/>
  <c r="K42" i="56"/>
  <c r="N42" i="56" s="1"/>
  <c r="F43" i="56"/>
  <c r="G43" i="56"/>
  <c r="K43" i="56"/>
  <c r="N43" i="56" s="1"/>
  <c r="F44" i="56"/>
  <c r="G44" i="56"/>
  <c r="H43" i="56" s="1"/>
  <c r="I43" i="56" s="1"/>
  <c r="J43" i="56" s="1"/>
  <c r="H44" i="56"/>
  <c r="I44" i="56"/>
  <c r="J44" i="56" s="1"/>
  <c r="K44" i="56"/>
  <c r="N44" i="56" s="1"/>
  <c r="M44" i="56"/>
  <c r="F45" i="56"/>
  <c r="G45" i="56"/>
  <c r="H45" i="56"/>
  <c r="I45" i="56"/>
  <c r="J45" i="56" s="1"/>
  <c r="F46" i="56"/>
  <c r="G46" i="56"/>
  <c r="K45" i="56" s="1"/>
  <c r="H46" i="56"/>
  <c r="I46" i="56"/>
  <c r="J46" i="56" s="1"/>
  <c r="K46" i="56"/>
  <c r="N46" i="56" s="1"/>
  <c r="F47" i="56"/>
  <c r="G47" i="56"/>
  <c r="K47" i="56"/>
  <c r="N47" i="56" s="1"/>
  <c r="F48" i="56"/>
  <c r="G48" i="56"/>
  <c r="H48" i="56"/>
  <c r="I48" i="56"/>
  <c r="J48" i="56" s="1"/>
  <c r="K48" i="56"/>
  <c r="N48" i="56" s="1"/>
  <c r="M48" i="56"/>
  <c r="F49" i="56"/>
  <c r="G49" i="56"/>
  <c r="H49" i="56"/>
  <c r="I49" i="56"/>
  <c r="J49" i="56" s="1"/>
  <c r="F50" i="56"/>
  <c r="G50" i="56"/>
  <c r="H50" i="56"/>
  <c r="I50" i="56"/>
  <c r="J50" i="56" s="1"/>
  <c r="K50" i="56"/>
  <c r="N50" i="56" s="1"/>
  <c r="F51" i="56"/>
  <c r="G51" i="56"/>
  <c r="K51" i="56"/>
  <c r="N51" i="56" s="1"/>
  <c r="F52" i="56"/>
  <c r="G52" i="56"/>
  <c r="H51" i="56" s="1"/>
  <c r="I51" i="56" s="1"/>
  <c r="J51" i="56" s="1"/>
  <c r="H52" i="56"/>
  <c r="I52" i="56"/>
  <c r="J52" i="56" s="1"/>
  <c r="K52" i="56"/>
  <c r="N52" i="56" s="1"/>
  <c r="M52" i="56"/>
  <c r="F53" i="56"/>
  <c r="G53" i="56"/>
  <c r="K53" i="56"/>
  <c r="N53" i="56" s="1"/>
  <c r="M53" i="56"/>
  <c r="F54" i="56"/>
  <c r="G54" i="56"/>
  <c r="H53" i="56" s="1"/>
  <c r="I53" i="56" s="1"/>
  <c r="J53" i="56" s="1"/>
  <c r="H54" i="56"/>
  <c r="I54" i="56"/>
  <c r="J54" i="56" s="1"/>
  <c r="K54" i="56"/>
  <c r="N54" i="56" s="1"/>
  <c r="F55" i="56"/>
  <c r="G55" i="56"/>
  <c r="H55" i="56"/>
  <c r="I55" i="56"/>
  <c r="J55" i="56" s="1"/>
  <c r="F56" i="56"/>
  <c r="G56" i="56"/>
  <c r="H56" i="56"/>
  <c r="I56" i="56"/>
  <c r="J56" i="56" s="1"/>
  <c r="K56" i="56"/>
  <c r="N56" i="56" s="1"/>
  <c r="M56" i="56"/>
  <c r="F57" i="56"/>
  <c r="G57" i="56"/>
  <c r="K57" i="56"/>
  <c r="N57" i="56" s="1"/>
  <c r="M57" i="56"/>
  <c r="F58" i="56"/>
  <c r="G58" i="56"/>
  <c r="H58" i="56"/>
  <c r="I58" i="56"/>
  <c r="J58" i="56" s="1"/>
  <c r="K58" i="56"/>
  <c r="N58" i="56" s="1"/>
  <c r="F59" i="56"/>
  <c r="G59" i="56"/>
  <c r="K59" i="56"/>
  <c r="N59" i="56" s="1"/>
  <c r="F60" i="56"/>
  <c r="G60" i="56"/>
  <c r="H59" i="56" s="1"/>
  <c r="I59" i="56" s="1"/>
  <c r="J59" i="56" s="1"/>
  <c r="H60" i="56"/>
  <c r="I60" i="56"/>
  <c r="J60" i="56" s="1"/>
  <c r="K60" i="56"/>
  <c r="N60" i="56" s="1"/>
  <c r="M60" i="56"/>
  <c r="F61" i="56"/>
  <c r="G61" i="56"/>
  <c r="K61" i="56"/>
  <c r="N61" i="56" s="1"/>
  <c r="M61" i="56"/>
  <c r="F62" i="56"/>
  <c r="G62" i="56"/>
  <c r="H61" i="56" s="1"/>
  <c r="I61" i="56" s="1"/>
  <c r="J61" i="56" s="1"/>
  <c r="H62" i="56"/>
  <c r="I62" i="56"/>
  <c r="J62" i="56" s="1"/>
  <c r="K62" i="56"/>
  <c r="N62" i="56" s="1"/>
  <c r="F63" i="56"/>
  <c r="G63" i="56"/>
  <c r="K63" i="56"/>
  <c r="N63" i="56" s="1"/>
  <c r="F64" i="56"/>
  <c r="G64" i="56"/>
  <c r="H64" i="56"/>
  <c r="I64" i="56"/>
  <c r="J64" i="56" s="1"/>
  <c r="K64" i="56"/>
  <c r="N64" i="56" s="1"/>
  <c r="M64" i="56"/>
  <c r="F65" i="56"/>
  <c r="G65" i="56"/>
  <c r="K65" i="56"/>
  <c r="N65" i="56" s="1"/>
  <c r="M65" i="56"/>
  <c r="F66" i="56"/>
  <c r="G66" i="56"/>
  <c r="H66" i="56"/>
  <c r="I66" i="56"/>
  <c r="J66" i="56" s="1"/>
  <c r="K66" i="56"/>
  <c r="N66" i="56" s="1"/>
  <c r="F67" i="56"/>
  <c r="G67" i="56"/>
  <c r="K67" i="56"/>
  <c r="N67" i="56" s="1"/>
  <c r="F68" i="56"/>
  <c r="G68" i="56"/>
  <c r="H67" i="56" s="1"/>
  <c r="I67" i="56" s="1"/>
  <c r="J67" i="56" s="1"/>
  <c r="H68" i="56"/>
  <c r="I68" i="56"/>
  <c r="J68" i="56" s="1"/>
  <c r="K68" i="56"/>
  <c r="N68" i="56" s="1"/>
  <c r="M68" i="56"/>
  <c r="F69" i="56"/>
  <c r="G69" i="56"/>
  <c r="K69" i="56"/>
  <c r="N69" i="56" s="1"/>
  <c r="M69" i="56"/>
  <c r="F70" i="56"/>
  <c r="G70" i="56"/>
  <c r="H69" i="56" s="1"/>
  <c r="I69" i="56" s="1"/>
  <c r="J69" i="56" s="1"/>
  <c r="H70" i="56"/>
  <c r="I70" i="56"/>
  <c r="J70" i="56" s="1"/>
  <c r="K70" i="56"/>
  <c r="N70" i="56" s="1"/>
  <c r="J17" i="9"/>
  <c r="F8" i="9"/>
  <c r="G8" i="9"/>
  <c r="H8" i="9"/>
  <c r="I8" i="9"/>
  <c r="J8" i="9" s="1"/>
  <c r="K8" i="9"/>
  <c r="N8" i="9" s="1"/>
  <c r="F9" i="9"/>
  <c r="G9" i="9"/>
  <c r="K9" i="9"/>
  <c r="N9" i="9" s="1"/>
  <c r="F10" i="9"/>
  <c r="G10" i="9"/>
  <c r="H10" i="9"/>
  <c r="I10" i="9"/>
  <c r="J10" i="9" s="1"/>
  <c r="K10" i="9"/>
  <c r="N10" i="9" s="1"/>
  <c r="F11" i="9"/>
  <c r="G11" i="9"/>
  <c r="K11" i="9"/>
  <c r="N11" i="9" s="1"/>
  <c r="F12" i="9"/>
  <c r="G12" i="9"/>
  <c r="H12" i="9"/>
  <c r="I12" i="9"/>
  <c r="J12" i="9" s="1"/>
  <c r="K12" i="9"/>
  <c r="N12" i="9" s="1"/>
  <c r="F13" i="9"/>
  <c r="G13" i="9"/>
  <c r="K13" i="9"/>
  <c r="N13" i="9" s="1"/>
  <c r="F14" i="9"/>
  <c r="G14" i="9"/>
  <c r="H13" i="9" s="1"/>
  <c r="J13" i="9" s="1"/>
  <c r="H14" i="9"/>
  <c r="I14" i="9"/>
  <c r="J14" i="9" s="1"/>
  <c r="K14" i="9"/>
  <c r="N14" i="9" s="1"/>
  <c r="F15" i="9"/>
  <c r="G15" i="9"/>
  <c r="K15" i="9"/>
  <c r="N15" i="9" s="1"/>
  <c r="M15" i="9"/>
  <c r="F16" i="9"/>
  <c r="G16" i="9"/>
  <c r="H15" i="9" s="1"/>
  <c r="J15" i="9" s="1"/>
  <c r="H16" i="9"/>
  <c r="I16" i="9"/>
  <c r="J16" i="9" s="1"/>
  <c r="K16" i="9"/>
  <c r="N16" i="9" s="1"/>
  <c r="F17" i="9"/>
  <c r="G17" i="9"/>
  <c r="K17" i="9"/>
  <c r="N17" i="9" s="1"/>
  <c r="F18" i="9"/>
  <c r="G18" i="9"/>
  <c r="H18" i="9"/>
  <c r="I18" i="9"/>
  <c r="J18" i="9" s="1"/>
  <c r="K18" i="9"/>
  <c r="N18" i="9" s="1"/>
  <c r="F19" i="9"/>
  <c r="G19" i="9"/>
  <c r="K19" i="9"/>
  <c r="N19" i="9" s="1"/>
  <c r="F20" i="9"/>
  <c r="G20" i="9"/>
  <c r="H20" i="9"/>
  <c r="I20" i="9"/>
  <c r="J20" i="9" s="1"/>
  <c r="K20" i="9"/>
  <c r="N20" i="9" s="1"/>
  <c r="F21" i="9"/>
  <c r="G21" i="9"/>
  <c r="K21" i="9"/>
  <c r="N21" i="9" s="1"/>
  <c r="F22" i="9"/>
  <c r="G22" i="9"/>
  <c r="H22" i="9"/>
  <c r="I22" i="9"/>
  <c r="J22" i="9" s="1"/>
  <c r="K22" i="9"/>
  <c r="N22" i="9" s="1"/>
  <c r="F23" i="9"/>
  <c r="G23" i="9"/>
  <c r="H23" i="9"/>
  <c r="I23" i="9"/>
  <c r="J23" i="9" s="1"/>
  <c r="F24" i="9"/>
  <c r="G24" i="9"/>
  <c r="H24" i="9"/>
  <c r="I24" i="9"/>
  <c r="J24" i="9" s="1"/>
  <c r="K24" i="9"/>
  <c r="N24" i="9" s="1"/>
  <c r="F25" i="9"/>
  <c r="G25" i="9"/>
  <c r="K25" i="9"/>
  <c r="N25" i="9" s="1"/>
  <c r="F26" i="9"/>
  <c r="G26" i="9"/>
  <c r="H26" i="9"/>
  <c r="I26" i="9"/>
  <c r="J26" i="9" s="1"/>
  <c r="K26" i="9"/>
  <c r="N26" i="9" s="1"/>
  <c r="M26" i="9"/>
  <c r="F27" i="9"/>
  <c r="G27" i="9"/>
  <c r="K27" i="9"/>
  <c r="N27" i="9" s="1"/>
  <c r="F28" i="9"/>
  <c r="G28" i="9"/>
  <c r="H28" i="9"/>
  <c r="I28" i="9"/>
  <c r="J28" i="9" s="1"/>
  <c r="K28" i="9"/>
  <c r="N28" i="9" s="1"/>
  <c r="F29" i="9"/>
  <c r="G29" i="9"/>
  <c r="K29" i="9"/>
  <c r="N29" i="9" s="1"/>
  <c r="F30" i="9"/>
  <c r="G30" i="9"/>
  <c r="H30" i="9"/>
  <c r="I30" i="9"/>
  <c r="J30" i="9" s="1"/>
  <c r="K30" i="9"/>
  <c r="N30" i="9" s="1"/>
  <c r="F31" i="9"/>
  <c r="G31" i="9"/>
  <c r="K31" i="9"/>
  <c r="N31" i="9" s="1"/>
  <c r="F32" i="9"/>
  <c r="G32" i="9"/>
  <c r="H32" i="9"/>
  <c r="I32" i="9"/>
  <c r="J32" i="9" s="1"/>
  <c r="K32" i="9"/>
  <c r="N32" i="9" s="1"/>
  <c r="F33" i="9"/>
  <c r="G33" i="9"/>
  <c r="K33" i="9"/>
  <c r="N33" i="9" s="1"/>
  <c r="F34" i="9"/>
  <c r="G34" i="9"/>
  <c r="H34" i="9"/>
  <c r="I34" i="9"/>
  <c r="J34" i="9" s="1"/>
  <c r="K34" i="9"/>
  <c r="N34" i="9" s="1"/>
  <c r="M34" i="9"/>
  <c r="F35" i="9"/>
  <c r="G35" i="9"/>
  <c r="H35" i="9"/>
  <c r="I35" i="9"/>
  <c r="J35" i="9" s="1"/>
  <c r="F36" i="9"/>
  <c r="G36" i="9"/>
  <c r="H36" i="9"/>
  <c r="I36" i="9"/>
  <c r="J36" i="9" s="1"/>
  <c r="K36" i="9"/>
  <c r="N36" i="9" s="1"/>
  <c r="F37" i="9"/>
  <c r="G37" i="9"/>
  <c r="K37" i="9"/>
  <c r="N37" i="9" s="1"/>
  <c r="F38" i="9"/>
  <c r="G38" i="9"/>
  <c r="H37" i="9" s="1"/>
  <c r="I37" i="9" s="1"/>
  <c r="J37" i="9" s="1"/>
  <c r="H38" i="9"/>
  <c r="I38" i="9"/>
  <c r="J38" i="9" s="1"/>
  <c r="K38" i="9"/>
  <c r="N38" i="9" s="1"/>
  <c r="F39" i="9"/>
  <c r="G39" i="9"/>
  <c r="K39" i="9"/>
  <c r="N39" i="9" s="1"/>
  <c r="F40" i="9"/>
  <c r="G40" i="9"/>
  <c r="H39" i="9" s="1"/>
  <c r="J39" i="9" s="1"/>
  <c r="H40" i="9"/>
  <c r="I40" i="9"/>
  <c r="J40" i="9" s="1"/>
  <c r="K40" i="9"/>
  <c r="N40" i="9" s="1"/>
  <c r="F41" i="9"/>
  <c r="G41" i="9"/>
  <c r="K41" i="9"/>
  <c r="N41" i="9" s="1"/>
  <c r="F42" i="9"/>
  <c r="G42" i="9"/>
  <c r="H42" i="9"/>
  <c r="I42" i="9"/>
  <c r="J42" i="9" s="1"/>
  <c r="K42" i="9"/>
  <c r="N42" i="9" s="1"/>
  <c r="F43" i="9"/>
  <c r="G43" i="9"/>
  <c r="K43" i="9"/>
  <c r="N43" i="9" s="1"/>
  <c r="F44" i="9"/>
  <c r="G44" i="9"/>
  <c r="H44" i="9"/>
  <c r="I44" i="9"/>
  <c r="J44" i="9" s="1"/>
  <c r="K44" i="9"/>
  <c r="N44" i="9" s="1"/>
  <c r="F45" i="9"/>
  <c r="G45" i="9"/>
  <c r="K45" i="9"/>
  <c r="N45" i="9" s="1"/>
  <c r="F46" i="9"/>
  <c r="G46" i="9"/>
  <c r="H45" i="9" s="1"/>
  <c r="I45" i="9" s="1"/>
  <c r="J45" i="9" s="1"/>
  <c r="H46" i="9"/>
  <c r="I46" i="9"/>
  <c r="J46" i="9" s="1"/>
  <c r="K46" i="9"/>
  <c r="N46" i="9" s="1"/>
  <c r="F47" i="9"/>
  <c r="G47" i="9"/>
  <c r="K47" i="9"/>
  <c r="N47" i="9" s="1"/>
  <c r="F48" i="9"/>
  <c r="G48" i="9"/>
  <c r="H47" i="9" s="1"/>
  <c r="J47" i="9" s="1"/>
  <c r="H48" i="9"/>
  <c r="I48" i="9"/>
  <c r="J48" i="9" s="1"/>
  <c r="K48" i="9"/>
  <c r="N48" i="9" s="1"/>
  <c r="F49" i="9"/>
  <c r="G49" i="9"/>
  <c r="K49" i="9"/>
  <c r="N49" i="9" s="1"/>
  <c r="F50" i="9"/>
  <c r="G50" i="9"/>
  <c r="H50" i="9"/>
  <c r="I50" i="9"/>
  <c r="J50" i="9" s="1"/>
  <c r="K50" i="9"/>
  <c r="N50" i="9" s="1"/>
  <c r="F51" i="9"/>
  <c r="G51" i="9"/>
  <c r="K51" i="9"/>
  <c r="N51" i="9" s="1"/>
  <c r="F52" i="9"/>
  <c r="G52" i="9"/>
  <c r="H52" i="9"/>
  <c r="I52" i="9"/>
  <c r="J52" i="9" s="1"/>
  <c r="K52" i="9"/>
  <c r="N52" i="9" s="1"/>
  <c r="F53" i="9"/>
  <c r="G53" i="9"/>
  <c r="K53" i="9"/>
  <c r="N53" i="9" s="1"/>
  <c r="F54" i="9"/>
  <c r="G54" i="9"/>
  <c r="H54" i="9"/>
  <c r="I54" i="9"/>
  <c r="J54" i="9" s="1"/>
  <c r="K54" i="9"/>
  <c r="N54" i="9" s="1"/>
  <c r="F55" i="9"/>
  <c r="G55" i="9"/>
  <c r="K55" i="9"/>
  <c r="N55" i="9" s="1"/>
  <c r="F56" i="9"/>
  <c r="G56" i="9"/>
  <c r="H56" i="9"/>
  <c r="I56" i="9"/>
  <c r="J56" i="9" s="1"/>
  <c r="K56" i="9"/>
  <c r="N56" i="9" s="1"/>
  <c r="F57" i="9"/>
  <c r="G57" i="9"/>
  <c r="H57" i="9"/>
  <c r="I57" i="9"/>
  <c r="J57" i="9" s="1"/>
  <c r="F58" i="9"/>
  <c r="G58" i="9"/>
  <c r="H58" i="9"/>
  <c r="I58" i="9"/>
  <c r="J58" i="9" s="1"/>
  <c r="K58" i="9"/>
  <c r="N58" i="9" s="1"/>
  <c r="M58" i="9"/>
  <c r="F59" i="9"/>
  <c r="G59" i="9"/>
  <c r="K59" i="9"/>
  <c r="N59" i="9" s="1"/>
  <c r="F60" i="9"/>
  <c r="G60" i="9"/>
  <c r="H60" i="9"/>
  <c r="I60" i="9"/>
  <c r="J60" i="9" s="1"/>
  <c r="K60" i="9"/>
  <c r="N60" i="9" s="1"/>
  <c r="F61" i="9"/>
  <c r="G61" i="9"/>
  <c r="H61" i="9"/>
  <c r="I61" i="9"/>
  <c r="J61" i="9" s="1"/>
  <c r="F62" i="9"/>
  <c r="G62" i="9"/>
  <c r="K61" i="9" s="1"/>
  <c r="H62" i="9"/>
  <c r="I62" i="9"/>
  <c r="J62" i="9" s="1"/>
  <c r="K62" i="9"/>
  <c r="N62" i="9" s="1"/>
  <c r="F7" i="9"/>
  <c r="G7" i="9"/>
  <c r="K7" i="9"/>
  <c r="M7" i="9" s="1"/>
  <c r="H7" i="9"/>
  <c r="J7" i="9" s="1"/>
  <c r="L6" i="67"/>
  <c r="F8" i="67"/>
  <c r="G8" i="67"/>
  <c r="H8" i="67"/>
  <c r="I8" i="67"/>
  <c r="J8" i="67" s="1"/>
  <c r="K8" i="67"/>
  <c r="N8" i="67" s="1"/>
  <c r="F9" i="67"/>
  <c r="G9" i="67"/>
  <c r="K9" i="67"/>
  <c r="N9" i="67" s="1"/>
  <c r="F10" i="67"/>
  <c r="G10" i="67"/>
  <c r="H10" i="67"/>
  <c r="I10" i="67"/>
  <c r="J10" i="67" s="1"/>
  <c r="K10" i="67"/>
  <c r="M10" i="67" s="1"/>
  <c r="F11" i="67"/>
  <c r="G11" i="67"/>
  <c r="H11" i="67"/>
  <c r="I11" i="67"/>
  <c r="J11" i="67" s="1"/>
  <c r="F12" i="67"/>
  <c r="G12" i="67"/>
  <c r="H12" i="67"/>
  <c r="I12" i="67"/>
  <c r="J12" i="67" s="1"/>
  <c r="K12" i="67"/>
  <c r="N12" i="67" s="1"/>
  <c r="F13" i="67"/>
  <c r="G13" i="67"/>
  <c r="H13" i="67"/>
  <c r="I13" i="67"/>
  <c r="J13" i="67" s="1"/>
  <c r="F14" i="67"/>
  <c r="G14" i="67"/>
  <c r="H14" i="67"/>
  <c r="I14" i="67"/>
  <c r="J14" i="67" s="1"/>
  <c r="K14" i="67"/>
  <c r="M14" i="67" s="1"/>
  <c r="F15" i="67"/>
  <c r="G15" i="67"/>
  <c r="H15" i="67"/>
  <c r="I15" i="67"/>
  <c r="J15" i="67" s="1"/>
  <c r="F16" i="67"/>
  <c r="G16" i="67"/>
  <c r="H16" i="67"/>
  <c r="I16" i="67"/>
  <c r="J16" i="67" s="1"/>
  <c r="K16" i="67"/>
  <c r="N16" i="67" s="1"/>
  <c r="F17" i="67"/>
  <c r="G17" i="67"/>
  <c r="K17" i="67"/>
  <c r="N17" i="67" s="1"/>
  <c r="F18" i="67"/>
  <c r="G18" i="67"/>
  <c r="H18" i="67"/>
  <c r="I18" i="67"/>
  <c r="J18" i="67" s="1"/>
  <c r="K18" i="67"/>
  <c r="M18" i="67" s="1"/>
  <c r="F19" i="67"/>
  <c r="G19" i="67"/>
  <c r="H19" i="67"/>
  <c r="I19" i="67"/>
  <c r="J19" i="67" s="1"/>
  <c r="F20" i="67"/>
  <c r="G20" i="67"/>
  <c r="H20" i="67"/>
  <c r="I20" i="67"/>
  <c r="J20" i="67" s="1"/>
  <c r="K20" i="67"/>
  <c r="N20" i="67" s="1"/>
  <c r="F21" i="67"/>
  <c r="G21" i="67"/>
  <c r="K21" i="67"/>
  <c r="M21" i="67" s="1"/>
  <c r="N21" i="67"/>
  <c r="F22" i="67"/>
  <c r="G22" i="67"/>
  <c r="H22" i="67"/>
  <c r="I22" i="67"/>
  <c r="J22" i="67" s="1"/>
  <c r="K22" i="67"/>
  <c r="N22" i="67" s="1"/>
  <c r="F23" i="67"/>
  <c r="G23" i="67"/>
  <c r="K23" i="67"/>
  <c r="M23" i="67" s="1"/>
  <c r="F24" i="67"/>
  <c r="G24" i="67"/>
  <c r="H24" i="67"/>
  <c r="I24" i="67"/>
  <c r="J24" i="67" s="1"/>
  <c r="K24" i="67"/>
  <c r="N24" i="67" s="1"/>
  <c r="F25" i="67"/>
  <c r="G25" i="67"/>
  <c r="H25" i="67"/>
  <c r="I25" i="67"/>
  <c r="J25" i="67" s="1"/>
  <c r="F26" i="67"/>
  <c r="G26" i="67"/>
  <c r="H26" i="67"/>
  <c r="I26" i="67"/>
  <c r="J26" i="67" s="1"/>
  <c r="K26" i="67"/>
  <c r="N26" i="67" s="1"/>
  <c r="F27" i="67"/>
  <c r="G27" i="67"/>
  <c r="K27" i="67"/>
  <c r="M27" i="67" s="1"/>
  <c r="F28" i="67"/>
  <c r="G28" i="67"/>
  <c r="H28" i="67"/>
  <c r="I28" i="67"/>
  <c r="J28" i="67" s="1"/>
  <c r="K28" i="67"/>
  <c r="N28" i="67" s="1"/>
  <c r="F29" i="67"/>
  <c r="G29" i="67"/>
  <c r="H29" i="67"/>
  <c r="I29" i="67"/>
  <c r="J29" i="67" s="1"/>
  <c r="F30" i="67"/>
  <c r="G30" i="67"/>
  <c r="H30" i="67"/>
  <c r="I30" i="67"/>
  <c r="J30" i="67" s="1"/>
  <c r="K30" i="67"/>
  <c r="M30" i="67" s="1"/>
  <c r="F31" i="67"/>
  <c r="G31" i="67"/>
  <c r="K31" i="67"/>
  <c r="N31" i="67" s="1"/>
  <c r="F32" i="67"/>
  <c r="G32" i="67"/>
  <c r="H32" i="67"/>
  <c r="I32" i="67"/>
  <c r="J32" i="67" s="1"/>
  <c r="K32" i="67"/>
  <c r="N32" i="67" s="1"/>
  <c r="F33" i="67"/>
  <c r="G33" i="67"/>
  <c r="H33" i="67"/>
  <c r="I33" i="67"/>
  <c r="J33" i="67" s="1"/>
  <c r="F34" i="67"/>
  <c r="G34" i="67"/>
  <c r="H34" i="67"/>
  <c r="I34" i="67"/>
  <c r="J34" i="67" s="1"/>
  <c r="K34" i="67"/>
  <c r="N34" i="67" s="1"/>
  <c r="M34" i="67"/>
  <c r="F35" i="67"/>
  <c r="G35" i="67"/>
  <c r="H35" i="67"/>
  <c r="I35" i="67"/>
  <c r="J35" i="67" s="1"/>
  <c r="F36" i="67"/>
  <c r="G36" i="67"/>
  <c r="H36" i="67"/>
  <c r="I36" i="67"/>
  <c r="J36" i="67" s="1"/>
  <c r="K36" i="67"/>
  <c r="M36" i="67" s="1"/>
  <c r="F37" i="67"/>
  <c r="G37" i="67"/>
  <c r="H37" i="67"/>
  <c r="I37" i="67"/>
  <c r="J37" i="67" s="1"/>
  <c r="F38" i="67"/>
  <c r="G38" i="67"/>
  <c r="H38" i="67"/>
  <c r="I38" i="67"/>
  <c r="J38" i="67" s="1"/>
  <c r="K38" i="67"/>
  <c r="F39" i="67"/>
  <c r="G39" i="67"/>
  <c r="K39" i="67"/>
  <c r="M39" i="67" s="1"/>
  <c r="F40" i="67"/>
  <c r="G40" i="67"/>
  <c r="H39" i="67" s="1"/>
  <c r="I39" i="67" s="1"/>
  <c r="J39" i="67" s="1"/>
  <c r="H40" i="67"/>
  <c r="I40" i="67"/>
  <c r="J40" i="67" s="1"/>
  <c r="K40" i="67"/>
  <c r="N40" i="67" s="1"/>
  <c r="F41" i="67"/>
  <c r="G41" i="67"/>
  <c r="H41" i="67"/>
  <c r="I41" i="67"/>
  <c r="J41" i="67" s="1"/>
  <c r="F42" i="67"/>
  <c r="G42" i="67"/>
  <c r="K41" i="67" s="1"/>
  <c r="N41" i="67" s="1"/>
  <c r="H42" i="67"/>
  <c r="I42" i="67"/>
  <c r="J42" i="67" s="1"/>
  <c r="K42" i="67"/>
  <c r="M42" i="67" s="1"/>
  <c r="F43" i="67"/>
  <c r="G43" i="67"/>
  <c r="K43" i="67"/>
  <c r="N43" i="67" s="1"/>
  <c r="F44" i="67"/>
  <c r="G44" i="67"/>
  <c r="H44" i="67"/>
  <c r="I44" i="67"/>
  <c r="J44" i="67" s="1"/>
  <c r="K44" i="67"/>
  <c r="M44" i="67" s="1"/>
  <c r="F45" i="67"/>
  <c r="G45" i="67"/>
  <c r="H45" i="67"/>
  <c r="I45" i="67"/>
  <c r="J45" i="67" s="1"/>
  <c r="F46" i="67"/>
  <c r="G46" i="67"/>
  <c r="H46" i="67"/>
  <c r="I46" i="67"/>
  <c r="J46" i="67" s="1"/>
  <c r="K46" i="67"/>
  <c r="M46" i="67" s="1"/>
  <c r="F47" i="67"/>
  <c r="G47" i="67"/>
  <c r="H47" i="67" s="1"/>
  <c r="I47" i="67" s="1"/>
  <c r="J47" i="67" s="1"/>
  <c r="K47" i="67"/>
  <c r="N47" i="67" s="1"/>
  <c r="F48" i="67"/>
  <c r="J48" i="67"/>
  <c r="K48" i="67"/>
  <c r="N48" i="67" s="1"/>
  <c r="F50" i="67"/>
  <c r="F51" i="67"/>
  <c r="G51" i="67"/>
  <c r="K51" i="67"/>
  <c r="N51" i="67" s="1"/>
  <c r="F52" i="67"/>
  <c r="G52" i="67"/>
  <c r="H52" i="67"/>
  <c r="I52" i="67"/>
  <c r="J52" i="67" s="1"/>
  <c r="K52" i="67"/>
  <c r="N52" i="67" s="1"/>
  <c r="F53" i="67"/>
  <c r="G53" i="67"/>
  <c r="H53" i="67"/>
  <c r="I53" i="67"/>
  <c r="J53" i="67" s="1"/>
  <c r="F54" i="67"/>
  <c r="G54" i="67"/>
  <c r="H54" i="67"/>
  <c r="I54" i="67"/>
  <c r="J54" i="67" s="1"/>
  <c r="K54" i="67"/>
  <c r="M54" i="67" s="1"/>
  <c r="F55" i="67"/>
  <c r="G55" i="67"/>
  <c r="K55" i="67"/>
  <c r="M55" i="67" s="1"/>
  <c r="F56" i="67"/>
  <c r="G56" i="67"/>
  <c r="H56" i="67"/>
  <c r="I56" i="67"/>
  <c r="J56" i="67" s="1"/>
  <c r="K56" i="67"/>
  <c r="N56" i="67" s="1"/>
  <c r="M56" i="67"/>
  <c r="F57" i="67"/>
  <c r="G57" i="67"/>
  <c r="H57" i="67"/>
  <c r="I57" i="67"/>
  <c r="J57" i="67" s="1"/>
  <c r="F58" i="67"/>
  <c r="G58" i="67"/>
  <c r="H58" i="67"/>
  <c r="I58" i="67"/>
  <c r="J58" i="67" s="1"/>
  <c r="K58" i="67"/>
  <c r="N58" i="67" s="1"/>
  <c r="F59" i="67"/>
  <c r="G59" i="67"/>
  <c r="H59" i="67"/>
  <c r="I59" i="67"/>
  <c r="J59" i="67" s="1"/>
  <c r="F60" i="67"/>
  <c r="G60" i="67"/>
  <c r="H60" i="67"/>
  <c r="I60" i="67"/>
  <c r="J60" i="67" s="1"/>
  <c r="K60" i="67"/>
  <c r="M60" i="67" s="1"/>
  <c r="F61" i="67"/>
  <c r="G61" i="67"/>
  <c r="K61" i="67"/>
  <c r="M61" i="67" s="1"/>
  <c r="F62" i="67"/>
  <c r="G62" i="67"/>
  <c r="H62" i="67"/>
  <c r="I62" i="67"/>
  <c r="J62" i="67" s="1"/>
  <c r="K62" i="67"/>
  <c r="N62" i="67" s="1"/>
  <c r="F63" i="67"/>
  <c r="G63" i="67"/>
  <c r="H63" i="67"/>
  <c r="I63" i="67"/>
  <c r="J63" i="67" s="1"/>
  <c r="F64" i="67"/>
  <c r="G64" i="67"/>
  <c r="K63" i="67" s="1"/>
  <c r="N63" i="67" s="1"/>
  <c r="H64" i="67"/>
  <c r="I64" i="67"/>
  <c r="J64" i="67" s="1"/>
  <c r="K64" i="67"/>
  <c r="N64" i="67" s="1"/>
  <c r="F65" i="67"/>
  <c r="G65" i="67"/>
  <c r="K65" i="67"/>
  <c r="N65" i="67" s="1"/>
  <c r="F66" i="67"/>
  <c r="G66" i="67"/>
  <c r="H66" i="67"/>
  <c r="I66" i="67"/>
  <c r="J66" i="67" s="1"/>
  <c r="K66" i="67"/>
  <c r="M66" i="67" s="1"/>
  <c r="F67" i="67"/>
  <c r="G67" i="67"/>
  <c r="H67" i="67"/>
  <c r="I67" i="67"/>
  <c r="J67" i="67" s="1"/>
  <c r="F68" i="67"/>
  <c r="G68" i="67"/>
  <c r="H68" i="67"/>
  <c r="I68" i="67"/>
  <c r="J68" i="67" s="1"/>
  <c r="K68" i="67"/>
  <c r="F69" i="67"/>
  <c r="G69" i="67"/>
  <c r="H69" i="67"/>
  <c r="I69" i="67"/>
  <c r="J69" i="67" s="1"/>
  <c r="F70" i="67"/>
  <c r="G70" i="67"/>
  <c r="H70" i="67"/>
  <c r="I70" i="67"/>
  <c r="J70" i="67" s="1"/>
  <c r="K70" i="67"/>
  <c r="M70" i="67" s="1"/>
  <c r="F71" i="67"/>
  <c r="G71" i="67"/>
  <c r="K71" i="67"/>
  <c r="N71" i="67" s="1"/>
  <c r="F72" i="67"/>
  <c r="G72" i="67"/>
  <c r="H72" i="67"/>
  <c r="I72" i="67"/>
  <c r="J72" i="67" s="1"/>
  <c r="K72" i="67"/>
  <c r="N72" i="67" s="1"/>
  <c r="F73" i="67"/>
  <c r="G73" i="67"/>
  <c r="K73" i="67"/>
  <c r="M73" i="67" s="1"/>
  <c r="F74" i="67"/>
  <c r="G74" i="67"/>
  <c r="H74" i="67"/>
  <c r="I74" i="67"/>
  <c r="J74" i="67" s="1"/>
  <c r="K74" i="67"/>
  <c r="N74" i="67" s="1"/>
  <c r="M74" i="67"/>
  <c r="F75" i="67"/>
  <c r="G75" i="67"/>
  <c r="H75" i="67"/>
  <c r="I75" i="67"/>
  <c r="J75" i="67" s="1"/>
  <c r="F76" i="67"/>
  <c r="G76" i="67"/>
  <c r="H76" i="67"/>
  <c r="I76" i="67"/>
  <c r="J76" i="67" s="1"/>
  <c r="K76" i="67"/>
  <c r="F77" i="67"/>
  <c r="G77" i="67"/>
  <c r="H77" i="67"/>
  <c r="I77" i="67"/>
  <c r="J77" i="67" s="1"/>
  <c r="F78" i="67"/>
  <c r="G78" i="67"/>
  <c r="H78" i="67"/>
  <c r="I78" i="67"/>
  <c r="J78" i="67" s="1"/>
  <c r="K78" i="67"/>
  <c r="M78" i="67" s="1"/>
  <c r="F79" i="67"/>
  <c r="G79" i="67"/>
  <c r="K79" i="67"/>
  <c r="N79" i="67" s="1"/>
  <c r="F80" i="67"/>
  <c r="G80" i="67"/>
  <c r="H80" i="67"/>
  <c r="I80" i="67"/>
  <c r="J80" i="67" s="1"/>
  <c r="K80" i="67"/>
  <c r="N80" i="67" s="1"/>
  <c r="F81" i="67"/>
  <c r="G81" i="67"/>
  <c r="K81" i="67"/>
  <c r="N81" i="67" s="1"/>
  <c r="F82" i="67"/>
  <c r="G82" i="67"/>
  <c r="H82" i="67"/>
  <c r="I82" i="67"/>
  <c r="J82" i="67" s="1"/>
  <c r="K82" i="67"/>
  <c r="N82" i="67" s="1"/>
  <c r="F83" i="67"/>
  <c r="G83" i="67"/>
  <c r="H83" i="67"/>
  <c r="I83" i="67"/>
  <c r="J83" i="67" s="1"/>
  <c r="F84" i="67"/>
  <c r="G84" i="67"/>
  <c r="H84" i="67"/>
  <c r="I84" i="67"/>
  <c r="J84" i="67" s="1"/>
  <c r="K84" i="67"/>
  <c r="M84" i="67" s="1"/>
  <c r="F85" i="67"/>
  <c r="G85" i="67"/>
  <c r="K85" i="67"/>
  <c r="N85" i="67" s="1"/>
  <c r="F86" i="67"/>
  <c r="G86" i="67"/>
  <c r="H86" i="67"/>
  <c r="I86" i="67"/>
  <c r="J86" i="67" s="1"/>
  <c r="K86" i="67"/>
  <c r="M86" i="67" s="1"/>
  <c r="N86" i="67"/>
  <c r="F87" i="67"/>
  <c r="G87" i="67"/>
  <c r="H87" i="67"/>
  <c r="I87" i="67"/>
  <c r="J87" i="67" s="1"/>
  <c r="F88" i="67"/>
  <c r="G88" i="67"/>
  <c r="H88" i="67"/>
  <c r="I88" i="67"/>
  <c r="J88" i="67" s="1"/>
  <c r="K88" i="67"/>
  <c r="N88" i="67" s="1"/>
  <c r="F89" i="67"/>
  <c r="G89" i="67"/>
  <c r="K89" i="67"/>
  <c r="M89" i="67" s="1"/>
  <c r="F90" i="67"/>
  <c r="G90" i="67"/>
  <c r="H90" i="67"/>
  <c r="I90" i="67"/>
  <c r="J90" i="67" s="1"/>
  <c r="K90" i="67"/>
  <c r="N90" i="67" s="1"/>
  <c r="F91" i="67"/>
  <c r="G91" i="67"/>
  <c r="H91" i="67"/>
  <c r="I91" i="67"/>
  <c r="J91" i="67" s="1"/>
  <c r="F92" i="67"/>
  <c r="G92" i="67"/>
  <c r="H92" i="67"/>
  <c r="I92" i="67"/>
  <c r="J92" i="67" s="1"/>
  <c r="K92" i="67"/>
  <c r="N92" i="67" s="1"/>
  <c r="F93" i="67"/>
  <c r="G93" i="67"/>
  <c r="K93" i="67"/>
  <c r="M93" i="67" s="1"/>
  <c r="F94" i="67"/>
  <c r="G94" i="67"/>
  <c r="H94" i="67"/>
  <c r="I94" i="67"/>
  <c r="J94" i="67" s="1"/>
  <c r="K94" i="67"/>
  <c r="N94" i="67" s="1"/>
  <c r="F95" i="67"/>
  <c r="G95" i="67"/>
  <c r="H95" i="67"/>
  <c r="I95" i="67"/>
  <c r="J95" i="67" s="1"/>
  <c r="F96" i="67"/>
  <c r="G96" i="67"/>
  <c r="H96" i="67"/>
  <c r="I96" i="67"/>
  <c r="J96" i="67" s="1"/>
  <c r="K96" i="67"/>
  <c r="M96" i="67" s="1"/>
  <c r="F97" i="67"/>
  <c r="G97" i="67"/>
  <c r="K97" i="67"/>
  <c r="M97" i="67" s="1"/>
  <c r="F98" i="67"/>
  <c r="G98" i="67"/>
  <c r="H98" i="67"/>
  <c r="I98" i="67"/>
  <c r="J98" i="67" s="1"/>
  <c r="K98" i="67"/>
  <c r="N98" i="67" s="1"/>
  <c r="M98" i="67"/>
  <c r="F99" i="67"/>
  <c r="G99" i="67"/>
  <c r="H99" i="67"/>
  <c r="I99" i="67"/>
  <c r="J99" i="67" s="1"/>
  <c r="F100" i="67"/>
  <c r="G100" i="67"/>
  <c r="H100" i="67"/>
  <c r="I100" i="67"/>
  <c r="J100" i="67" s="1"/>
  <c r="K100" i="67"/>
  <c r="N100" i="67" s="1"/>
  <c r="F101" i="67"/>
  <c r="G101" i="67"/>
  <c r="K101" i="67"/>
  <c r="M101" i="67" s="1"/>
  <c r="F102" i="67"/>
  <c r="G102" i="67"/>
  <c r="H102" i="67"/>
  <c r="I102" i="67"/>
  <c r="J102" i="67" s="1"/>
  <c r="K102" i="67"/>
  <c r="N102" i="67" s="1"/>
  <c r="K7" i="67"/>
  <c r="M7" i="67" s="1"/>
  <c r="G7" i="67"/>
  <c r="F7" i="67"/>
  <c r="I1" i="67"/>
  <c r="F8" i="48"/>
  <c r="G8" i="48"/>
  <c r="H8" i="48"/>
  <c r="I8" i="48"/>
  <c r="J8" i="48" s="1"/>
  <c r="K8" i="48"/>
  <c r="N8" i="48" s="1"/>
  <c r="F9" i="48"/>
  <c r="G9" i="48"/>
  <c r="H9" i="48"/>
  <c r="I9" i="48"/>
  <c r="J9" i="48" s="1"/>
  <c r="F10" i="48"/>
  <c r="G10" i="48"/>
  <c r="H10" i="48"/>
  <c r="I10" i="48"/>
  <c r="J10" i="48" s="1"/>
  <c r="K10" i="48"/>
  <c r="N10" i="48" s="1"/>
  <c r="F11" i="48"/>
  <c r="G11" i="48"/>
  <c r="K11" i="48"/>
  <c r="N11" i="48" s="1"/>
  <c r="M11" i="48"/>
  <c r="F12" i="48"/>
  <c r="G12" i="48"/>
  <c r="H12" i="48"/>
  <c r="I12" i="48"/>
  <c r="J12" i="48" s="1"/>
  <c r="K12" i="48"/>
  <c r="N12" i="48" s="1"/>
  <c r="F13" i="48"/>
  <c r="G13" i="48"/>
  <c r="K13" i="48"/>
  <c r="N13" i="48" s="1"/>
  <c r="F14" i="48"/>
  <c r="G14" i="48"/>
  <c r="H14" i="48"/>
  <c r="I14" i="48"/>
  <c r="J14" i="48" s="1"/>
  <c r="K14" i="48"/>
  <c r="N14" i="48" s="1"/>
  <c r="M14" i="48"/>
  <c r="F15" i="48"/>
  <c r="G15" i="48"/>
  <c r="H15" i="48"/>
  <c r="I15" i="48"/>
  <c r="J15" i="48" s="1"/>
  <c r="F16" i="48"/>
  <c r="G16" i="48"/>
  <c r="H16" i="48"/>
  <c r="I16" i="48"/>
  <c r="J16" i="48" s="1"/>
  <c r="K16" i="48"/>
  <c r="N16" i="48" s="1"/>
  <c r="F17" i="48"/>
  <c r="G17" i="48"/>
  <c r="K17" i="48"/>
  <c r="N17" i="48" s="1"/>
  <c r="F18" i="48"/>
  <c r="G18" i="48"/>
  <c r="H18" i="48"/>
  <c r="I18" i="48"/>
  <c r="J18" i="48" s="1"/>
  <c r="K18" i="48"/>
  <c r="N18" i="48" s="1"/>
  <c r="M18" i="48"/>
  <c r="F19" i="48"/>
  <c r="G19" i="48"/>
  <c r="H19" i="48"/>
  <c r="I19" i="48"/>
  <c r="J19" i="48" s="1"/>
  <c r="F20" i="48"/>
  <c r="G20" i="48"/>
  <c r="H20" i="48"/>
  <c r="I20" i="48"/>
  <c r="J20" i="48" s="1"/>
  <c r="K20" i="48"/>
  <c r="N20" i="48" s="1"/>
  <c r="F21" i="48"/>
  <c r="G21" i="48"/>
  <c r="K21" i="48"/>
  <c r="N21" i="48" s="1"/>
  <c r="F22" i="48"/>
  <c r="G22" i="48"/>
  <c r="H22" i="48"/>
  <c r="I22" i="48"/>
  <c r="J22" i="48" s="1"/>
  <c r="K22" i="48"/>
  <c r="N22" i="48" s="1"/>
  <c r="M22" i="48"/>
  <c r="F23" i="48"/>
  <c r="G23" i="48"/>
  <c r="H23" i="48"/>
  <c r="I23" i="48"/>
  <c r="J23" i="48" s="1"/>
  <c r="F24" i="48"/>
  <c r="G24" i="48"/>
  <c r="H24" i="48"/>
  <c r="I24" i="48"/>
  <c r="J24" i="48" s="1"/>
  <c r="K24" i="48"/>
  <c r="N24" i="48" s="1"/>
  <c r="F25" i="48"/>
  <c r="G25" i="48"/>
  <c r="K25" i="48"/>
  <c r="N25" i="48" s="1"/>
  <c r="F26" i="48"/>
  <c r="G26" i="48"/>
  <c r="H26" i="48"/>
  <c r="I26" i="48"/>
  <c r="J26" i="48" s="1"/>
  <c r="K26" i="48"/>
  <c r="N26" i="48" s="1"/>
  <c r="F27" i="48"/>
  <c r="G27" i="48"/>
  <c r="H27" i="48"/>
  <c r="I27" i="48"/>
  <c r="J27" i="48" s="1"/>
  <c r="F28" i="48"/>
  <c r="G28" i="48"/>
  <c r="H28" i="48"/>
  <c r="I28" i="48"/>
  <c r="J28" i="48" s="1"/>
  <c r="K28" i="48"/>
  <c r="N28" i="48" s="1"/>
  <c r="F29" i="48"/>
  <c r="G29" i="48"/>
  <c r="K29" i="48"/>
  <c r="N29" i="48" s="1"/>
  <c r="F30" i="48"/>
  <c r="G30" i="48"/>
  <c r="H29" i="48" s="1"/>
  <c r="I29" i="48" s="1"/>
  <c r="J29" i="48" s="1"/>
  <c r="H30" i="48"/>
  <c r="I30" i="48"/>
  <c r="J30" i="48" s="1"/>
  <c r="K30" i="48"/>
  <c r="N30" i="48" s="1"/>
  <c r="F31" i="48"/>
  <c r="G31" i="48"/>
  <c r="H31" i="48"/>
  <c r="I31" i="48"/>
  <c r="J31" i="48" s="1"/>
  <c r="F32" i="48"/>
  <c r="G32" i="48"/>
  <c r="K31" i="48" s="1"/>
  <c r="H32" i="48"/>
  <c r="I32" i="48"/>
  <c r="J32" i="48" s="1"/>
  <c r="K32" i="48"/>
  <c r="N32" i="48" s="1"/>
  <c r="F33" i="48"/>
  <c r="G33" i="48"/>
  <c r="H33" i="48"/>
  <c r="I33" i="48"/>
  <c r="J33" i="48" s="1"/>
  <c r="F34" i="48"/>
  <c r="G34" i="48"/>
  <c r="K33" i="48" s="1"/>
  <c r="H34" i="48"/>
  <c r="I34" i="48"/>
  <c r="J34" i="48" s="1"/>
  <c r="K34" i="48"/>
  <c r="N34" i="48" s="1"/>
  <c r="F35" i="48"/>
  <c r="G35" i="48"/>
  <c r="K35" i="48"/>
  <c r="N35" i="48" s="1"/>
  <c r="M35" i="48"/>
  <c r="F36" i="48"/>
  <c r="G36" i="48"/>
  <c r="H36" i="48"/>
  <c r="I36" i="48"/>
  <c r="J36" i="48" s="1"/>
  <c r="K36" i="48"/>
  <c r="N36" i="48" s="1"/>
  <c r="M36" i="48"/>
  <c r="F37" i="48"/>
  <c r="G37" i="48"/>
  <c r="H37" i="48"/>
  <c r="I37" i="48"/>
  <c r="J37" i="48" s="1"/>
  <c r="F38" i="48"/>
  <c r="G38" i="48"/>
  <c r="H38" i="48"/>
  <c r="I38" i="48"/>
  <c r="J38" i="48" s="1"/>
  <c r="K38" i="48"/>
  <c r="N38" i="48" s="1"/>
  <c r="M38" i="48"/>
  <c r="F39" i="48"/>
  <c r="G39" i="48"/>
  <c r="K39" i="48"/>
  <c r="N39" i="48" s="1"/>
  <c r="F40" i="48"/>
  <c r="G40" i="48"/>
  <c r="H40" i="48"/>
  <c r="I40" i="48"/>
  <c r="J40" i="48" s="1"/>
  <c r="K40" i="48"/>
  <c r="N40" i="48" s="1"/>
  <c r="F41" i="48"/>
  <c r="G41" i="48"/>
  <c r="H41" i="48"/>
  <c r="I41" i="48"/>
  <c r="J41" i="48" s="1"/>
  <c r="F42" i="48"/>
  <c r="G42" i="48"/>
  <c r="K41" i="48" s="1"/>
  <c r="H42" i="48"/>
  <c r="I42" i="48"/>
  <c r="J42" i="48" s="1"/>
  <c r="K42" i="48"/>
  <c r="N42" i="48" s="1"/>
  <c r="F43" i="48"/>
  <c r="G43" i="48"/>
  <c r="K43" i="48"/>
  <c r="N43" i="48" s="1"/>
  <c r="M43" i="48"/>
  <c r="F44" i="48"/>
  <c r="G44" i="48"/>
  <c r="H44" i="48"/>
  <c r="I44" i="48"/>
  <c r="J44" i="48" s="1"/>
  <c r="K44" i="48"/>
  <c r="N44" i="48" s="1"/>
  <c r="M44" i="48"/>
  <c r="F45" i="48"/>
  <c r="G45" i="48"/>
  <c r="H45" i="48"/>
  <c r="I45" i="48"/>
  <c r="J45" i="48" s="1"/>
  <c r="F46" i="48"/>
  <c r="G46" i="48"/>
  <c r="H46" i="48"/>
  <c r="I46" i="48"/>
  <c r="J46" i="48" s="1"/>
  <c r="K46" i="48"/>
  <c r="N46" i="48" s="1"/>
  <c r="M46" i="48"/>
  <c r="F47" i="48"/>
  <c r="G47" i="48"/>
  <c r="K47" i="48"/>
  <c r="N47" i="48" s="1"/>
  <c r="F48" i="48"/>
  <c r="G48" i="48"/>
  <c r="H48" i="48"/>
  <c r="I48" i="48"/>
  <c r="J48" i="48" s="1"/>
  <c r="K48" i="48"/>
  <c r="N48" i="48" s="1"/>
  <c r="F49" i="48"/>
  <c r="G49" i="48"/>
  <c r="H49" i="48"/>
  <c r="I49" i="48"/>
  <c r="J49" i="48" s="1"/>
  <c r="F50" i="48"/>
  <c r="G50" i="48"/>
  <c r="K49" i="48" s="1"/>
  <c r="H50" i="48"/>
  <c r="I50" i="48"/>
  <c r="J50" i="48" s="1"/>
  <c r="K50" i="48"/>
  <c r="N50" i="48" s="1"/>
  <c r="F51" i="48"/>
  <c r="G51" i="48"/>
  <c r="K51" i="48"/>
  <c r="N51" i="48" s="1"/>
  <c r="M51" i="48"/>
  <c r="F52" i="48"/>
  <c r="G52" i="48"/>
  <c r="H52" i="48"/>
  <c r="I52" i="48"/>
  <c r="J52" i="48" s="1"/>
  <c r="K52" i="48"/>
  <c r="N52" i="48" s="1"/>
  <c r="M52" i="48"/>
  <c r="F53" i="48"/>
  <c r="G53" i="48"/>
  <c r="H53" i="48"/>
  <c r="I53" i="48"/>
  <c r="J53" i="48" s="1"/>
  <c r="F54" i="48"/>
  <c r="G54" i="48"/>
  <c r="H54" i="48"/>
  <c r="I54" i="48"/>
  <c r="J54" i="48" s="1"/>
  <c r="K54" i="48"/>
  <c r="N54" i="48" s="1"/>
  <c r="M54" i="48"/>
  <c r="F55" i="48"/>
  <c r="G55" i="48"/>
  <c r="H55" i="48"/>
  <c r="I55" i="48"/>
  <c r="J55" i="48" s="1"/>
  <c r="F56" i="48"/>
  <c r="G56" i="48"/>
  <c r="H56" i="48"/>
  <c r="I56" i="48"/>
  <c r="J56" i="48" s="1"/>
  <c r="K56" i="48"/>
  <c r="N56" i="48" s="1"/>
  <c r="F57" i="48"/>
  <c r="G57" i="48"/>
  <c r="H57" i="48"/>
  <c r="I57" i="48"/>
  <c r="J57" i="48" s="1"/>
  <c r="F58" i="48"/>
  <c r="G58" i="48"/>
  <c r="K57" i="48" s="1"/>
  <c r="N57" i="48" s="1"/>
  <c r="H58" i="48"/>
  <c r="I58" i="48"/>
  <c r="J58" i="48" s="1"/>
  <c r="K58" i="48"/>
  <c r="N58" i="48" s="1"/>
  <c r="F59" i="48"/>
  <c r="G59" i="48"/>
  <c r="K59" i="48"/>
  <c r="N59" i="48" s="1"/>
  <c r="M59" i="48"/>
  <c r="F60" i="48"/>
  <c r="G60" i="48"/>
  <c r="H60" i="48"/>
  <c r="I60" i="48"/>
  <c r="J60" i="48" s="1"/>
  <c r="K60" i="48"/>
  <c r="N60" i="48" s="1"/>
  <c r="M60" i="48"/>
  <c r="F61" i="48"/>
  <c r="G61" i="48"/>
  <c r="H61" i="48"/>
  <c r="I61" i="48"/>
  <c r="J61" i="48" s="1"/>
  <c r="F62" i="48"/>
  <c r="G62" i="48"/>
  <c r="H62" i="48"/>
  <c r="I62" i="48"/>
  <c r="J62" i="48" s="1"/>
  <c r="K62" i="48"/>
  <c r="N62" i="48" s="1"/>
  <c r="M62" i="48"/>
  <c r="F63" i="48"/>
  <c r="G63" i="48"/>
  <c r="K63" i="48"/>
  <c r="N63" i="48" s="1"/>
  <c r="F64" i="48"/>
  <c r="G64" i="48"/>
  <c r="H64" i="48"/>
  <c r="I64" i="48"/>
  <c r="J64" i="48" s="1"/>
  <c r="K64" i="48"/>
  <c r="N64" i="48" s="1"/>
  <c r="F65" i="48"/>
  <c r="G65" i="48"/>
  <c r="H65" i="48"/>
  <c r="I65" i="48"/>
  <c r="J65" i="48" s="1"/>
  <c r="F66" i="48"/>
  <c r="G66" i="48"/>
  <c r="K65" i="48" s="1"/>
  <c r="H66" i="48"/>
  <c r="I66" i="48"/>
  <c r="J66" i="48" s="1"/>
  <c r="K66" i="48"/>
  <c r="N66" i="48" s="1"/>
  <c r="F67" i="48"/>
  <c r="G67" i="48"/>
  <c r="H67" i="48"/>
  <c r="I67" i="48"/>
  <c r="J67" i="48" s="1"/>
  <c r="F68" i="48"/>
  <c r="G68" i="48"/>
  <c r="H68" i="48"/>
  <c r="I68" i="48"/>
  <c r="J68" i="48" s="1"/>
  <c r="K68" i="48"/>
  <c r="N68" i="48" s="1"/>
  <c r="M68" i="48"/>
  <c r="F69" i="48"/>
  <c r="G69" i="48"/>
  <c r="K69" i="48"/>
  <c r="N69" i="48" s="1"/>
  <c r="F70" i="48"/>
  <c r="G70" i="48"/>
  <c r="H70" i="48"/>
  <c r="I70" i="48"/>
  <c r="J70" i="48" s="1"/>
  <c r="K70" i="48"/>
  <c r="N70" i="48" s="1"/>
  <c r="M70" i="48"/>
  <c r="F71" i="48"/>
  <c r="G71" i="48"/>
  <c r="H71" i="48"/>
  <c r="I71" i="48"/>
  <c r="J71" i="48" s="1"/>
  <c r="F72" i="48"/>
  <c r="G72" i="48"/>
  <c r="H72" i="48"/>
  <c r="I72" i="48"/>
  <c r="J72" i="48" s="1"/>
  <c r="K72" i="48"/>
  <c r="N72" i="48" s="1"/>
  <c r="F73" i="48"/>
  <c r="G73" i="48"/>
  <c r="K73" i="48"/>
  <c r="N73" i="48" s="1"/>
  <c r="M73" i="48"/>
  <c r="F74" i="48"/>
  <c r="G74" i="48"/>
  <c r="H73" i="48" s="1"/>
  <c r="I73" i="48" s="1"/>
  <c r="J73" i="48" s="1"/>
  <c r="H74" i="48"/>
  <c r="I74" i="48"/>
  <c r="J74" i="48" s="1"/>
  <c r="K74" i="48"/>
  <c r="N74" i="48" s="1"/>
  <c r="M74" i="48"/>
  <c r="F75" i="48"/>
  <c r="G75" i="48"/>
  <c r="K75" i="48" s="1"/>
  <c r="H75" i="48"/>
  <c r="I75" i="48"/>
  <c r="J75" i="48" s="1"/>
  <c r="F76" i="48"/>
  <c r="G76" i="48"/>
  <c r="H76" i="48"/>
  <c r="I76" i="48"/>
  <c r="J76" i="48" s="1"/>
  <c r="K76" i="48"/>
  <c r="M76" i="48"/>
  <c r="N76" i="48"/>
  <c r="F77" i="48"/>
  <c r="G77" i="48"/>
  <c r="H77" i="48"/>
  <c r="I77" i="48"/>
  <c r="J77" i="48" s="1"/>
  <c r="F78" i="48"/>
  <c r="G78" i="48"/>
  <c r="H78" i="48"/>
  <c r="I78" i="48"/>
  <c r="J78" i="48" s="1"/>
  <c r="K78" i="48"/>
  <c r="N78" i="48" s="1"/>
  <c r="F79" i="48"/>
  <c r="G79" i="48"/>
  <c r="K79" i="48"/>
  <c r="M79" i="48" s="1"/>
  <c r="N79" i="48"/>
  <c r="F80" i="48"/>
  <c r="G80" i="48"/>
  <c r="H79" i="48" s="1"/>
  <c r="I79" i="48" s="1"/>
  <c r="J79" i="48" s="1"/>
  <c r="H80" i="48"/>
  <c r="I80" i="48"/>
  <c r="J80" i="48" s="1"/>
  <c r="K80" i="48"/>
  <c r="N80" i="48" s="1"/>
  <c r="M80" i="48"/>
  <c r="F81" i="48"/>
  <c r="G81" i="48"/>
  <c r="K81" i="48"/>
  <c r="M81" i="48" s="1"/>
  <c r="F82" i="48"/>
  <c r="G82" i="48"/>
  <c r="H82" i="48"/>
  <c r="I82" i="48"/>
  <c r="J82" i="48" s="1"/>
  <c r="K82" i="48"/>
  <c r="N82" i="48" s="1"/>
  <c r="F83" i="48"/>
  <c r="G83" i="48"/>
  <c r="H83" i="48"/>
  <c r="I83" i="48"/>
  <c r="J83" i="48" s="1"/>
  <c r="F84" i="48"/>
  <c r="G84" i="48"/>
  <c r="H84" i="48"/>
  <c r="I84" i="48"/>
  <c r="J84" i="48" s="1"/>
  <c r="K84" i="48"/>
  <c r="M84" i="48" s="1"/>
  <c r="N84" i="48"/>
  <c r="F85" i="48"/>
  <c r="G85" i="48"/>
  <c r="K85" i="48"/>
  <c r="M85" i="48" s="1"/>
  <c r="F86" i="48"/>
  <c r="G86" i="48"/>
  <c r="H86" i="48"/>
  <c r="I86" i="48"/>
  <c r="J86" i="48" s="1"/>
  <c r="K86" i="48"/>
  <c r="N86" i="48" s="1"/>
  <c r="F87" i="48"/>
  <c r="G87" i="48"/>
  <c r="H87" i="48"/>
  <c r="I87" i="48"/>
  <c r="J87" i="48" s="1"/>
  <c r="F88" i="48"/>
  <c r="G88" i="48"/>
  <c r="K87" i="48" s="1"/>
  <c r="H88" i="48"/>
  <c r="I88" i="48"/>
  <c r="J88" i="48" s="1"/>
  <c r="K88" i="48"/>
  <c r="N88" i="48" s="1"/>
  <c r="F89" i="48"/>
  <c r="G89" i="48"/>
  <c r="K89" i="48"/>
  <c r="M89" i="48" s="1"/>
  <c r="F90" i="48"/>
  <c r="G90" i="48"/>
  <c r="H90" i="48"/>
  <c r="I90" i="48"/>
  <c r="J90" i="48" s="1"/>
  <c r="K90" i="48"/>
  <c r="N90" i="48" s="1"/>
  <c r="F91" i="48"/>
  <c r="G91" i="48"/>
  <c r="H91" i="48"/>
  <c r="I91" i="48"/>
  <c r="J91" i="48" s="1"/>
  <c r="F92" i="48"/>
  <c r="G92" i="48"/>
  <c r="H92" i="48"/>
  <c r="I92" i="48"/>
  <c r="J92" i="48" s="1"/>
  <c r="K92" i="48"/>
  <c r="M92" i="48" s="1"/>
  <c r="F93" i="48"/>
  <c r="G93" i="48"/>
  <c r="H93" i="48"/>
  <c r="I93" i="48" s="1"/>
  <c r="J93" i="48" s="1"/>
  <c r="K93" i="48"/>
  <c r="M93" i="48" s="1"/>
  <c r="F94" i="48"/>
  <c r="G94" i="48"/>
  <c r="H94" i="48"/>
  <c r="I94" i="48"/>
  <c r="J94" i="48"/>
  <c r="K94" i="48"/>
  <c r="M94" i="48" s="1"/>
  <c r="F95" i="48"/>
  <c r="G95" i="48"/>
  <c r="H95" i="48"/>
  <c r="I95" i="48"/>
  <c r="J95" i="48"/>
  <c r="F96" i="48"/>
  <c r="G96" i="48"/>
  <c r="K95" i="48" s="1"/>
  <c r="H96" i="48"/>
  <c r="I96" i="48"/>
  <c r="J96" i="48" s="1"/>
  <c r="K96" i="48"/>
  <c r="M96" i="48" s="1"/>
  <c r="N96" i="48"/>
  <c r="F97" i="48"/>
  <c r="G97" i="48"/>
  <c r="K97" i="48"/>
  <c r="M97" i="48" s="1"/>
  <c r="F98" i="48"/>
  <c r="G98" i="48"/>
  <c r="H97" i="48" s="1"/>
  <c r="I97" i="48" s="1"/>
  <c r="J97" i="48" s="1"/>
  <c r="H98" i="48"/>
  <c r="I98" i="48"/>
  <c r="J98" i="48" s="1"/>
  <c r="K98" i="48"/>
  <c r="M98" i="48" s="1"/>
  <c r="F99" i="48"/>
  <c r="G99" i="48"/>
  <c r="H99" i="48"/>
  <c r="I99" i="48" s="1"/>
  <c r="J99" i="48" s="1"/>
  <c r="K99" i="48"/>
  <c r="N99" i="48" s="1"/>
  <c r="F100" i="48"/>
  <c r="G100" i="48"/>
  <c r="H100" i="48"/>
  <c r="I100" i="48"/>
  <c r="J100" i="48"/>
  <c r="K100" i="48"/>
  <c r="N100" i="48" s="1"/>
  <c r="M100" i="48"/>
  <c r="H89" i="48" l="1"/>
  <c r="I89" i="48" s="1"/>
  <c r="J89" i="48" s="1"/>
  <c r="H85" i="48"/>
  <c r="I85" i="48" s="1"/>
  <c r="J85" i="48" s="1"/>
  <c r="M82" i="48"/>
  <c r="M20" i="48"/>
  <c r="M17" i="48"/>
  <c r="M12" i="48"/>
  <c r="M81" i="67"/>
  <c r="H61" i="67"/>
  <c r="I61" i="67" s="1"/>
  <c r="J61" i="67" s="1"/>
  <c r="M8" i="67"/>
  <c r="M50" i="9"/>
  <c r="M39" i="9"/>
  <c r="I23" i="55"/>
  <c r="I21" i="55"/>
  <c r="N98" i="48"/>
  <c r="N97" i="48"/>
  <c r="M90" i="48"/>
  <c r="M66" i="48"/>
  <c r="M63" i="48"/>
  <c r="M58" i="48"/>
  <c r="M50" i="48"/>
  <c r="M47" i="48"/>
  <c r="M42" i="48"/>
  <c r="M39" i="48"/>
  <c r="H101" i="67"/>
  <c r="I101" i="67" s="1"/>
  <c r="J101" i="67" s="1"/>
  <c r="M92" i="67"/>
  <c r="N89" i="67"/>
  <c r="K75" i="67"/>
  <c r="N42" i="67"/>
  <c r="M22" i="67"/>
  <c r="M17" i="67"/>
  <c r="H31" i="9"/>
  <c r="I31" i="9" s="1"/>
  <c r="J31" i="9" s="1"/>
  <c r="M18" i="9"/>
  <c r="M70" i="56"/>
  <c r="M67" i="56"/>
  <c r="M62" i="56"/>
  <c r="M59" i="56"/>
  <c r="M54" i="56"/>
  <c r="M51" i="56"/>
  <c r="M46" i="56"/>
  <c r="M43" i="56"/>
  <c r="M38" i="56"/>
  <c r="M35" i="56"/>
  <c r="M30" i="56"/>
  <c r="M20" i="56"/>
  <c r="M17" i="56"/>
  <c r="M88" i="48"/>
  <c r="N85" i="48"/>
  <c r="K83" i="48"/>
  <c r="N83" i="48" s="1"/>
  <c r="M10" i="48"/>
  <c r="M82" i="67"/>
  <c r="N66" i="67"/>
  <c r="H55" i="9"/>
  <c r="I55" i="9" s="1"/>
  <c r="J55" i="9" s="1"/>
  <c r="M42" i="9"/>
  <c r="H29" i="9"/>
  <c r="J29" i="9" s="1"/>
  <c r="H13" i="56"/>
  <c r="I13" i="56" s="1"/>
  <c r="J13" i="56" s="1"/>
  <c r="N93" i="48"/>
  <c r="K91" i="48"/>
  <c r="M91" i="48" s="1"/>
  <c r="M78" i="48"/>
  <c r="M72" i="48"/>
  <c r="M69" i="48"/>
  <c r="K67" i="48"/>
  <c r="M64" i="48"/>
  <c r="H59" i="48"/>
  <c r="I59" i="48" s="1"/>
  <c r="J59" i="48" s="1"/>
  <c r="M56" i="48"/>
  <c r="H51" i="48"/>
  <c r="I51" i="48" s="1"/>
  <c r="J51" i="48" s="1"/>
  <c r="M48" i="48"/>
  <c r="H43" i="48"/>
  <c r="I43" i="48" s="1"/>
  <c r="J43" i="48" s="1"/>
  <c r="M40" i="48"/>
  <c r="H35" i="48"/>
  <c r="I35" i="48" s="1"/>
  <c r="J35" i="48" s="1"/>
  <c r="M90" i="67"/>
  <c r="H53" i="9"/>
  <c r="I53" i="9" s="1"/>
  <c r="J53" i="9" s="1"/>
  <c r="M31" i="9"/>
  <c r="K23" i="9"/>
  <c r="H21" i="56"/>
  <c r="I21" i="56" s="1"/>
  <c r="J21" i="56" s="1"/>
  <c r="I19" i="55"/>
  <c r="M99" i="48"/>
  <c r="N94" i="48"/>
  <c r="M86" i="48"/>
  <c r="H81" i="48"/>
  <c r="I81" i="48" s="1"/>
  <c r="J81" i="48" s="1"/>
  <c r="M24" i="48"/>
  <c r="M21" i="48"/>
  <c r="M16" i="48"/>
  <c r="M13" i="48"/>
  <c r="M8" i="48"/>
  <c r="H93" i="67"/>
  <c r="I93" i="67" s="1"/>
  <c r="J93" i="67" s="1"/>
  <c r="N78" i="67"/>
  <c r="M55" i="9"/>
  <c r="H21" i="9"/>
  <c r="I21" i="9" s="1"/>
  <c r="J21" i="9" s="1"/>
  <c r="M26" i="56"/>
  <c r="M23" i="56"/>
  <c r="M13" i="56"/>
  <c r="M88" i="67"/>
  <c r="M85" i="67"/>
  <c r="M66" i="56"/>
  <c r="M63" i="56"/>
  <c r="M58" i="56"/>
  <c r="M50" i="56"/>
  <c r="M47" i="56"/>
  <c r="M42" i="56"/>
  <c r="M39" i="56"/>
  <c r="M34" i="56"/>
  <c r="M31" i="56"/>
  <c r="M21" i="56"/>
  <c r="M16" i="56"/>
  <c r="M47" i="9"/>
  <c r="H31" i="67"/>
  <c r="I31" i="67" s="1"/>
  <c r="J31" i="67" s="1"/>
  <c r="N10" i="67"/>
  <c r="M10" i="56"/>
  <c r="I17" i="59"/>
  <c r="J15" i="33"/>
  <c r="I15" i="33"/>
  <c r="J13" i="33"/>
  <c r="I13" i="33"/>
  <c r="M28" i="48"/>
  <c r="M100" i="67"/>
  <c r="N97" i="67"/>
  <c r="M58" i="67"/>
  <c r="M60" i="9"/>
  <c r="M52" i="9"/>
  <c r="M49" i="9"/>
  <c r="M44" i="9"/>
  <c r="M41" i="9"/>
  <c r="M36" i="9"/>
  <c r="M33" i="9"/>
  <c r="M28" i="9"/>
  <c r="M25" i="9"/>
  <c r="M20" i="9"/>
  <c r="M17" i="9"/>
  <c r="M12" i="9"/>
  <c r="M9" i="9"/>
  <c r="J29" i="33"/>
  <c r="I29" i="33"/>
  <c r="J19" i="33"/>
  <c r="I19" i="33"/>
  <c r="I17" i="33"/>
  <c r="J17" i="33"/>
  <c r="M8" i="56"/>
  <c r="I23" i="33"/>
  <c r="J23" i="33"/>
  <c r="J21" i="33"/>
  <c r="I21" i="33"/>
  <c r="M10" i="9"/>
  <c r="J27" i="33"/>
  <c r="I27" i="33"/>
  <c r="I25" i="33"/>
  <c r="J25" i="33"/>
  <c r="K77" i="48"/>
  <c r="H63" i="48"/>
  <c r="I63" i="48" s="1"/>
  <c r="J63" i="48" s="1"/>
  <c r="K55" i="48"/>
  <c r="H47" i="48"/>
  <c r="I47" i="48" s="1"/>
  <c r="J47" i="48" s="1"/>
  <c r="H39" i="48"/>
  <c r="I39" i="48" s="1"/>
  <c r="J39" i="48" s="1"/>
  <c r="H11" i="48"/>
  <c r="I11" i="48" s="1"/>
  <c r="J11" i="48" s="1"/>
  <c r="K29" i="67"/>
  <c r="M16" i="67"/>
  <c r="N7" i="9"/>
  <c r="H65" i="56"/>
  <c r="I65" i="56" s="1"/>
  <c r="J65" i="56" s="1"/>
  <c r="H57" i="56"/>
  <c r="I57" i="56" s="1"/>
  <c r="J57" i="56" s="1"/>
  <c r="K49" i="56"/>
  <c r="H41" i="56"/>
  <c r="I41" i="56" s="1"/>
  <c r="J41" i="56" s="1"/>
  <c r="K33" i="56"/>
  <c r="M27" i="56"/>
  <c r="K25" i="56"/>
  <c r="M22" i="56"/>
  <c r="H17" i="56"/>
  <c r="I17" i="56" s="1"/>
  <c r="J17" i="56" s="1"/>
  <c r="M14" i="56"/>
  <c r="M11" i="56"/>
  <c r="H9" i="56"/>
  <c r="I9" i="56" s="1"/>
  <c r="J9" i="56" s="1"/>
  <c r="I31" i="59"/>
  <c r="K71" i="48"/>
  <c r="K27" i="48"/>
  <c r="N101" i="67"/>
  <c r="N96" i="67"/>
  <c r="K19" i="67"/>
  <c r="N19" i="67" s="1"/>
  <c r="H59" i="9"/>
  <c r="I59" i="9" s="1"/>
  <c r="J59" i="9" s="1"/>
  <c r="M56" i="9"/>
  <c r="M53" i="9"/>
  <c r="H51" i="9"/>
  <c r="I51" i="9" s="1"/>
  <c r="J51" i="9" s="1"/>
  <c r="M48" i="9"/>
  <c r="M45" i="9"/>
  <c r="H43" i="9"/>
  <c r="J43" i="9" s="1"/>
  <c r="M40" i="9"/>
  <c r="M37" i="9"/>
  <c r="K35" i="9"/>
  <c r="N35" i="9" s="1"/>
  <c r="M32" i="9"/>
  <c r="M29" i="9"/>
  <c r="H27" i="9"/>
  <c r="J27" i="9" s="1"/>
  <c r="M24" i="9"/>
  <c r="M21" i="9"/>
  <c r="H19" i="9"/>
  <c r="I19" i="9" s="1"/>
  <c r="J19" i="9" s="1"/>
  <c r="M16" i="9"/>
  <c r="M13" i="9"/>
  <c r="H11" i="9"/>
  <c r="M8" i="9"/>
  <c r="N92" i="48"/>
  <c r="H69" i="48"/>
  <c r="I69" i="48" s="1"/>
  <c r="J69" i="48" s="1"/>
  <c r="K61" i="48"/>
  <c r="K53" i="48"/>
  <c r="K45" i="48"/>
  <c r="K37" i="48"/>
  <c r="H25" i="48"/>
  <c r="I25" i="48" s="1"/>
  <c r="J25" i="48" s="1"/>
  <c r="H21" i="48"/>
  <c r="I21" i="48" s="1"/>
  <c r="J21" i="48" s="1"/>
  <c r="H17" i="48"/>
  <c r="I17" i="48" s="1"/>
  <c r="J17" i="48" s="1"/>
  <c r="K9" i="48"/>
  <c r="N9" i="48" s="1"/>
  <c r="H89" i="67"/>
  <c r="I89" i="67" s="1"/>
  <c r="J89" i="67" s="1"/>
  <c r="N73" i="67"/>
  <c r="H71" i="67"/>
  <c r="I71" i="67" s="1"/>
  <c r="J71" i="67" s="1"/>
  <c r="H63" i="56"/>
  <c r="I63" i="56" s="1"/>
  <c r="J63" i="56" s="1"/>
  <c r="K55" i="56"/>
  <c r="M55" i="56" s="1"/>
  <c r="H47" i="56"/>
  <c r="I47" i="56" s="1"/>
  <c r="J47" i="56" s="1"/>
  <c r="H39" i="56"/>
  <c r="I39" i="56" s="1"/>
  <c r="J39" i="56" s="1"/>
  <c r="H31" i="56"/>
  <c r="I31" i="56" s="1"/>
  <c r="J31" i="56" s="1"/>
  <c r="H23" i="56"/>
  <c r="I23" i="56" s="1"/>
  <c r="J23" i="56" s="1"/>
  <c r="K15" i="56"/>
  <c r="N15" i="56" s="1"/>
  <c r="I35" i="55"/>
  <c r="M32" i="48"/>
  <c r="K23" i="48"/>
  <c r="H79" i="67"/>
  <c r="I79" i="67" s="1"/>
  <c r="J79" i="67" s="1"/>
  <c r="H55" i="67"/>
  <c r="I55" i="67" s="1"/>
  <c r="J55" i="67" s="1"/>
  <c r="M24" i="67"/>
  <c r="M9" i="67"/>
  <c r="M62" i="9"/>
  <c r="M59" i="9"/>
  <c r="K57" i="9"/>
  <c r="M57" i="9" s="1"/>
  <c r="M54" i="9"/>
  <c r="M51" i="9"/>
  <c r="H49" i="9"/>
  <c r="I49" i="9" s="1"/>
  <c r="J49" i="9" s="1"/>
  <c r="M46" i="9"/>
  <c r="M43" i="9"/>
  <c r="H41" i="9"/>
  <c r="J41" i="9" s="1"/>
  <c r="M38" i="9"/>
  <c r="H33" i="9"/>
  <c r="I33" i="9" s="1"/>
  <c r="J33" i="9" s="1"/>
  <c r="M30" i="9"/>
  <c r="M27" i="9"/>
  <c r="H25" i="9"/>
  <c r="J25" i="9" s="1"/>
  <c r="M22" i="9"/>
  <c r="M19" i="9"/>
  <c r="H17" i="9"/>
  <c r="M14" i="9"/>
  <c r="M11" i="9"/>
  <c r="H9" i="9"/>
  <c r="I9" i="9" s="1"/>
  <c r="I11" i="9" s="1"/>
  <c r="J33" i="59"/>
  <c r="J9" i="41"/>
  <c r="M47" i="67"/>
  <c r="K53" i="67"/>
  <c r="M65" i="67"/>
  <c r="M41" i="67"/>
  <c r="N14" i="67"/>
  <c r="N18" i="67"/>
  <c r="K15" i="67"/>
  <c r="N15" i="67" s="1"/>
  <c r="M64" i="67"/>
  <c r="K45" i="67"/>
  <c r="M12" i="67"/>
  <c r="M45" i="56"/>
  <c r="N45" i="56"/>
  <c r="M37" i="56"/>
  <c r="N37" i="56"/>
  <c r="M29" i="56"/>
  <c r="N29" i="56"/>
  <c r="M19" i="56"/>
  <c r="N19" i="56"/>
  <c r="M25" i="56"/>
  <c r="N25" i="56"/>
  <c r="M49" i="56"/>
  <c r="N49" i="56"/>
  <c r="M33" i="56"/>
  <c r="N33" i="56"/>
  <c r="M15" i="56"/>
  <c r="M35" i="9"/>
  <c r="M61" i="9"/>
  <c r="N61" i="9"/>
  <c r="M23" i="9"/>
  <c r="N23" i="9"/>
  <c r="M94" i="67"/>
  <c r="M62" i="67"/>
  <c r="M52" i="67"/>
  <c r="M31" i="67"/>
  <c r="M26" i="67"/>
  <c r="M20" i="67"/>
  <c r="K11" i="67"/>
  <c r="M11" i="67" s="1"/>
  <c r="H85" i="67"/>
  <c r="I85" i="67" s="1"/>
  <c r="J85" i="67" s="1"/>
  <c r="K33" i="67"/>
  <c r="M33" i="67" s="1"/>
  <c r="M102" i="67"/>
  <c r="N93" i="67"/>
  <c r="K83" i="67"/>
  <c r="N83" i="67" s="1"/>
  <c r="M72" i="67"/>
  <c r="H65" i="67"/>
  <c r="I65" i="67" s="1"/>
  <c r="J65" i="67" s="1"/>
  <c r="M51" i="67"/>
  <c r="M43" i="67"/>
  <c r="K37" i="67"/>
  <c r="N37" i="67" s="1"/>
  <c r="M28" i="67"/>
  <c r="H23" i="67"/>
  <c r="I23" i="67" s="1"/>
  <c r="J23" i="67" s="1"/>
  <c r="H97" i="67"/>
  <c r="I97" i="67" s="1"/>
  <c r="J97" i="67" s="1"/>
  <c r="K87" i="67"/>
  <c r="N87" i="67" s="1"/>
  <c r="K57" i="67"/>
  <c r="N57" i="67" s="1"/>
  <c r="H9" i="67"/>
  <c r="I9" i="67" s="1"/>
  <c r="J9" i="67" s="1"/>
  <c r="N39" i="67"/>
  <c r="N27" i="67"/>
  <c r="N23" i="67"/>
  <c r="M80" i="67"/>
  <c r="K67" i="67"/>
  <c r="M19" i="67"/>
  <c r="K25" i="67"/>
  <c r="K99" i="67"/>
  <c r="K95" i="67"/>
  <c r="N95" i="67" s="1"/>
  <c r="K91" i="67"/>
  <c r="N91" i="67" s="1"/>
  <c r="K77" i="67"/>
  <c r="N77" i="67" s="1"/>
  <c r="H73" i="67"/>
  <c r="I73" i="67" s="1"/>
  <c r="J73" i="67" s="1"/>
  <c r="N70" i="67"/>
  <c r="K35" i="67"/>
  <c r="H27" i="67"/>
  <c r="I27" i="67" s="1"/>
  <c r="J27" i="67" s="1"/>
  <c r="H21" i="67"/>
  <c r="I21" i="67" s="1"/>
  <c r="J21" i="67" s="1"/>
  <c r="H17" i="67"/>
  <c r="I17" i="67" s="1"/>
  <c r="J17" i="67" s="1"/>
  <c r="K13" i="67"/>
  <c r="M13" i="67" s="1"/>
  <c r="H81" i="67"/>
  <c r="I81" i="67" s="1"/>
  <c r="J81" i="67" s="1"/>
  <c r="H51" i="67"/>
  <c r="I51" i="67" s="1"/>
  <c r="J51" i="67" s="1"/>
  <c r="K69" i="67"/>
  <c r="M69" i="67" s="1"/>
  <c r="K59" i="67"/>
  <c r="M59" i="67" s="1"/>
  <c r="H43" i="67"/>
  <c r="I43" i="67" s="1"/>
  <c r="J43" i="67" s="1"/>
  <c r="M45" i="67"/>
  <c r="N45" i="67"/>
  <c r="N33" i="67"/>
  <c r="M53" i="67"/>
  <c r="N53" i="67"/>
  <c r="M29" i="67"/>
  <c r="N29" i="67"/>
  <c r="M99" i="67"/>
  <c r="N99" i="67"/>
  <c r="M83" i="67"/>
  <c r="N75" i="67"/>
  <c r="N67" i="67"/>
  <c r="M91" i="67"/>
  <c r="M79" i="67"/>
  <c r="M71" i="67"/>
  <c r="M63" i="67"/>
  <c r="M57" i="67"/>
  <c r="M48" i="67"/>
  <c r="M40" i="67"/>
  <c r="M32" i="67"/>
  <c r="N44" i="67"/>
  <c r="N36" i="67"/>
  <c r="N84" i="67"/>
  <c r="N76" i="67"/>
  <c r="N68" i="67"/>
  <c r="N60" i="67"/>
  <c r="N54" i="67"/>
  <c r="N61" i="67"/>
  <c r="N55" i="67"/>
  <c r="N46" i="67"/>
  <c r="N38" i="67"/>
  <c r="N30" i="67"/>
  <c r="N7" i="67"/>
  <c r="H7" i="67"/>
  <c r="I7" i="67" s="1"/>
  <c r="N65" i="48"/>
  <c r="N49" i="48"/>
  <c r="M49" i="48"/>
  <c r="N41" i="48"/>
  <c r="M41" i="48"/>
  <c r="N31" i="48"/>
  <c r="M31" i="48"/>
  <c r="N71" i="48"/>
  <c r="M71" i="48"/>
  <c r="N55" i="48"/>
  <c r="M55" i="48"/>
  <c r="N27" i="48"/>
  <c r="M27" i="48"/>
  <c r="N45" i="48"/>
  <c r="M45" i="48"/>
  <c r="M77" i="48"/>
  <c r="N77" i="48"/>
  <c r="N61" i="48"/>
  <c r="M61" i="48"/>
  <c r="N53" i="48"/>
  <c r="M53" i="48"/>
  <c r="N37" i="48"/>
  <c r="M37" i="48"/>
  <c r="M87" i="48"/>
  <c r="N87" i="48"/>
  <c r="N67" i="48"/>
  <c r="M67" i="48"/>
  <c r="M95" i="48"/>
  <c r="N95" i="48"/>
  <c r="N91" i="48"/>
  <c r="M83" i="48"/>
  <c r="N75" i="48"/>
  <c r="K15" i="48"/>
  <c r="N81" i="48"/>
  <c r="M29" i="48"/>
  <c r="M25" i="48"/>
  <c r="M9" i="48"/>
  <c r="N89" i="48"/>
  <c r="K19" i="48"/>
  <c r="M34" i="48"/>
  <c r="M30" i="48"/>
  <c r="M26" i="48"/>
  <c r="H13" i="48"/>
  <c r="I13" i="48" s="1"/>
  <c r="J13" i="48" s="1"/>
  <c r="F8" i="57"/>
  <c r="G8" i="57"/>
  <c r="H8" i="57"/>
  <c r="I8" i="57"/>
  <c r="J8" i="57" s="1"/>
  <c r="K8" i="57"/>
  <c r="N8" i="57" s="1"/>
  <c r="F9" i="57"/>
  <c r="G9" i="57"/>
  <c r="H9" i="57"/>
  <c r="I9" i="57"/>
  <c r="J9" i="57" s="1"/>
  <c r="F10" i="57"/>
  <c r="G10" i="57"/>
  <c r="H10" i="57"/>
  <c r="I10" i="57"/>
  <c r="J10" i="57" s="1"/>
  <c r="K10" i="57"/>
  <c r="N10" i="57" s="1"/>
  <c r="F11" i="57"/>
  <c r="G11" i="57"/>
  <c r="K11" i="57"/>
  <c r="N11" i="57" s="1"/>
  <c r="F12" i="57"/>
  <c r="G12" i="57"/>
  <c r="H11" i="57" s="1"/>
  <c r="I11" i="57" s="1"/>
  <c r="J11" i="57" s="1"/>
  <c r="H12" i="57"/>
  <c r="I12" i="57"/>
  <c r="J12" i="57" s="1"/>
  <c r="K12" i="57"/>
  <c r="N12" i="57" s="1"/>
  <c r="F13" i="57"/>
  <c r="G13" i="57"/>
  <c r="H13" i="57"/>
  <c r="I13" i="57"/>
  <c r="J13" i="57" s="1"/>
  <c r="F14" i="57"/>
  <c r="G14" i="57"/>
  <c r="H14" i="57"/>
  <c r="I14" i="57"/>
  <c r="J14" i="57" s="1"/>
  <c r="K14" i="57"/>
  <c r="N14" i="57" s="1"/>
  <c r="F15" i="57"/>
  <c r="G15" i="57"/>
  <c r="K15" i="57"/>
  <c r="N15" i="57" s="1"/>
  <c r="F16" i="57"/>
  <c r="G16" i="57"/>
  <c r="H16" i="57"/>
  <c r="I16" i="57"/>
  <c r="J16" i="57" s="1"/>
  <c r="K16" i="57"/>
  <c r="N16" i="57" s="1"/>
  <c r="F17" i="57"/>
  <c r="G17" i="57"/>
  <c r="H17" i="57"/>
  <c r="I17" i="57"/>
  <c r="J17" i="57" s="1"/>
  <c r="F18" i="57"/>
  <c r="G18" i="57"/>
  <c r="H18" i="57"/>
  <c r="I18" i="57"/>
  <c r="J18" i="57" s="1"/>
  <c r="K18" i="57"/>
  <c r="N18" i="57" s="1"/>
  <c r="F19" i="57"/>
  <c r="G19" i="57"/>
  <c r="K19" i="57"/>
  <c r="N19" i="57" s="1"/>
  <c r="F20" i="57"/>
  <c r="G20" i="57"/>
  <c r="H20" i="57"/>
  <c r="I20" i="57"/>
  <c r="J20" i="57" s="1"/>
  <c r="K20" i="57"/>
  <c r="N20" i="57" s="1"/>
  <c r="F21" i="57"/>
  <c r="G21" i="57"/>
  <c r="H21" i="57"/>
  <c r="I21" i="57"/>
  <c r="J21" i="57" s="1"/>
  <c r="F22" i="57"/>
  <c r="G22" i="57"/>
  <c r="H22" i="57"/>
  <c r="I22" i="57"/>
  <c r="J22" i="57" s="1"/>
  <c r="K22" i="57"/>
  <c r="N22" i="57" s="1"/>
  <c r="F23" i="57"/>
  <c r="G23" i="57"/>
  <c r="K23" i="57"/>
  <c r="N23" i="57" s="1"/>
  <c r="F24" i="57"/>
  <c r="G24" i="57"/>
  <c r="H24" i="57"/>
  <c r="I24" i="57"/>
  <c r="J24" i="57" s="1"/>
  <c r="K24" i="57"/>
  <c r="N24" i="57" s="1"/>
  <c r="F25" i="57"/>
  <c r="G25" i="57"/>
  <c r="H25" i="57"/>
  <c r="I25" i="57"/>
  <c r="J25" i="57" s="1"/>
  <c r="F26" i="57"/>
  <c r="G26" i="57"/>
  <c r="H26" i="57"/>
  <c r="I26" i="57"/>
  <c r="J26" i="57" s="1"/>
  <c r="K26" i="57"/>
  <c r="N26" i="57" s="1"/>
  <c r="F27" i="57"/>
  <c r="G27" i="57"/>
  <c r="K27" i="57"/>
  <c r="N27" i="57" s="1"/>
  <c r="F28" i="57"/>
  <c r="G28" i="57"/>
  <c r="H28" i="57"/>
  <c r="I28" i="57"/>
  <c r="J28" i="57" s="1"/>
  <c r="K28" i="57"/>
  <c r="N28" i="57" s="1"/>
  <c r="F29" i="57"/>
  <c r="G29" i="57"/>
  <c r="H29" i="57"/>
  <c r="I29" i="57"/>
  <c r="J29" i="57" s="1"/>
  <c r="F30" i="57"/>
  <c r="G30" i="57"/>
  <c r="H30" i="57"/>
  <c r="I30" i="57"/>
  <c r="J30" i="57" s="1"/>
  <c r="K30" i="57"/>
  <c r="N30" i="57" s="1"/>
  <c r="F31" i="57"/>
  <c r="G31" i="57"/>
  <c r="K31" i="57"/>
  <c r="N31" i="57" s="1"/>
  <c r="F32" i="57"/>
  <c r="G32" i="57"/>
  <c r="H31" i="57" s="1"/>
  <c r="I31" i="57" s="1"/>
  <c r="J31" i="57" s="1"/>
  <c r="H32" i="57"/>
  <c r="I32" i="57"/>
  <c r="J32" i="57" s="1"/>
  <c r="K32" i="57"/>
  <c r="N32" i="57" s="1"/>
  <c r="F33" i="57"/>
  <c r="G33" i="57"/>
  <c r="K33" i="57"/>
  <c r="N33" i="57" s="1"/>
  <c r="F34" i="57"/>
  <c r="G34" i="57"/>
  <c r="H34" i="57"/>
  <c r="I34" i="57"/>
  <c r="J34" i="57" s="1"/>
  <c r="K34" i="57"/>
  <c r="N34" i="57" s="1"/>
  <c r="F35" i="57"/>
  <c r="G35" i="57"/>
  <c r="H35" i="57"/>
  <c r="I35" i="57"/>
  <c r="J35" i="57" s="1"/>
  <c r="F36" i="57"/>
  <c r="G36" i="57"/>
  <c r="H36" i="57"/>
  <c r="I36" i="57"/>
  <c r="J36" i="57" s="1"/>
  <c r="K36" i="57"/>
  <c r="N36" i="57" s="1"/>
  <c r="F37" i="57"/>
  <c r="G37" i="57"/>
  <c r="K37" i="57"/>
  <c r="N37" i="57" s="1"/>
  <c r="F38" i="57"/>
  <c r="G38" i="57"/>
  <c r="H38" i="57"/>
  <c r="I38" i="57"/>
  <c r="J38" i="57" s="1"/>
  <c r="K38" i="57"/>
  <c r="N38" i="57" s="1"/>
  <c r="F39" i="57"/>
  <c r="G39" i="57"/>
  <c r="H39" i="57"/>
  <c r="I39" i="57"/>
  <c r="J39" i="57" s="1"/>
  <c r="F40" i="57"/>
  <c r="G40" i="57"/>
  <c r="H40" i="57"/>
  <c r="I40" i="57"/>
  <c r="J40" i="57" s="1"/>
  <c r="K40" i="57"/>
  <c r="N40" i="57" s="1"/>
  <c r="F41" i="57"/>
  <c r="G41" i="57"/>
  <c r="K41" i="57"/>
  <c r="N41" i="57" s="1"/>
  <c r="F42" i="57"/>
  <c r="G42" i="57"/>
  <c r="H42" i="57"/>
  <c r="I42" i="57"/>
  <c r="J42" i="57" s="1"/>
  <c r="K42" i="57"/>
  <c r="N42" i="57" s="1"/>
  <c r="F43" i="57"/>
  <c r="G43" i="57"/>
  <c r="H43" i="57"/>
  <c r="I43" i="57"/>
  <c r="J43" i="57" s="1"/>
  <c r="F44" i="57"/>
  <c r="G44" i="57"/>
  <c r="H44" i="57"/>
  <c r="I44" i="57"/>
  <c r="J44" i="57" s="1"/>
  <c r="K44" i="57"/>
  <c r="N44" i="57" s="1"/>
  <c r="F45" i="57"/>
  <c r="G45" i="57"/>
  <c r="K45" i="57"/>
  <c r="N45" i="57" s="1"/>
  <c r="F46" i="57"/>
  <c r="G46" i="57"/>
  <c r="H46" i="57"/>
  <c r="I46" i="57"/>
  <c r="J46" i="57" s="1"/>
  <c r="K46" i="57"/>
  <c r="N46" i="57" s="1"/>
  <c r="F47" i="57"/>
  <c r="G47" i="57"/>
  <c r="H47" i="57"/>
  <c r="I47" i="57"/>
  <c r="J47" i="57" s="1"/>
  <c r="F48" i="57"/>
  <c r="G48" i="57"/>
  <c r="H48" i="57"/>
  <c r="I48" i="57"/>
  <c r="J48" i="57" s="1"/>
  <c r="K48" i="57"/>
  <c r="N48" i="57" s="1"/>
  <c r="F49" i="57"/>
  <c r="G49" i="57"/>
  <c r="K49" i="57"/>
  <c r="N49" i="57" s="1"/>
  <c r="F50" i="57"/>
  <c r="G50" i="57"/>
  <c r="H50" i="57"/>
  <c r="I50" i="57"/>
  <c r="J50" i="57" s="1"/>
  <c r="K50" i="57"/>
  <c r="N50" i="57" s="1"/>
  <c r="F51" i="57"/>
  <c r="G51" i="57"/>
  <c r="H51" i="57"/>
  <c r="I51" i="57"/>
  <c r="J51" i="57" s="1"/>
  <c r="F52" i="57"/>
  <c r="G52" i="57"/>
  <c r="H52" i="57"/>
  <c r="I52" i="57"/>
  <c r="J52" i="57" s="1"/>
  <c r="K52" i="57"/>
  <c r="N52" i="57" s="1"/>
  <c r="F53" i="57"/>
  <c r="G53" i="57"/>
  <c r="H53" i="57"/>
  <c r="I53" i="57"/>
  <c r="J53" i="57" s="1"/>
  <c r="F54" i="57"/>
  <c r="G54" i="57"/>
  <c r="H54" i="57"/>
  <c r="I54" i="57"/>
  <c r="J54" i="57" s="1"/>
  <c r="K54" i="57"/>
  <c r="N54" i="57" s="1"/>
  <c r="F55" i="57"/>
  <c r="G55" i="57"/>
  <c r="H55" i="57"/>
  <c r="I55" i="57"/>
  <c r="J55" i="57" s="1"/>
  <c r="F56" i="57"/>
  <c r="G56" i="57"/>
  <c r="H56" i="57"/>
  <c r="I56" i="57"/>
  <c r="J56" i="57" s="1"/>
  <c r="K56" i="57"/>
  <c r="N56" i="57" s="1"/>
  <c r="F57" i="57"/>
  <c r="G57" i="57"/>
  <c r="K57" i="57"/>
  <c r="N57" i="57" s="1"/>
  <c r="F58" i="57"/>
  <c r="G58" i="57"/>
  <c r="H58" i="57"/>
  <c r="I58" i="57"/>
  <c r="J58" i="57" s="1"/>
  <c r="K58" i="57"/>
  <c r="N58" i="57" s="1"/>
  <c r="M58" i="57"/>
  <c r="F59" i="57"/>
  <c r="G59" i="57"/>
  <c r="H59" i="57"/>
  <c r="I59" i="57"/>
  <c r="J59" i="57" s="1"/>
  <c r="F60" i="57"/>
  <c r="G60" i="57"/>
  <c r="H60" i="57"/>
  <c r="I60" i="57"/>
  <c r="J60" i="57" s="1"/>
  <c r="K60" i="57"/>
  <c r="N60" i="57" s="1"/>
  <c r="F61" i="57"/>
  <c r="G61" i="57"/>
  <c r="H61" i="57" s="1"/>
  <c r="I61" i="57" s="1"/>
  <c r="J61" i="57" s="1"/>
  <c r="K61" i="57"/>
  <c r="N61" i="57" s="1"/>
  <c r="F62" i="57"/>
  <c r="G62" i="57"/>
  <c r="H62" i="57"/>
  <c r="I62" i="57"/>
  <c r="J62" i="57" s="1"/>
  <c r="K62" i="57"/>
  <c r="N62" i="57" s="1"/>
  <c r="F63" i="57"/>
  <c r="G63" i="57"/>
  <c r="K63" i="57" s="1"/>
  <c r="H63" i="57"/>
  <c r="I63" i="57"/>
  <c r="J63" i="57" s="1"/>
  <c r="F64" i="57"/>
  <c r="G64" i="57"/>
  <c r="H64" i="57"/>
  <c r="I64" i="57"/>
  <c r="J64" i="57" s="1"/>
  <c r="K64" i="57"/>
  <c r="N64" i="57" s="1"/>
  <c r="F65" i="57"/>
  <c r="G65" i="57"/>
  <c r="H65" i="57" s="1"/>
  <c r="I65" i="57" s="1"/>
  <c r="J65" i="57" s="1"/>
  <c r="K65" i="57"/>
  <c r="N65" i="57" s="1"/>
  <c r="F66" i="57"/>
  <c r="G66" i="57"/>
  <c r="H66" i="57"/>
  <c r="I66" i="57"/>
  <c r="J66" i="57" s="1"/>
  <c r="K66" i="57"/>
  <c r="N66" i="57" s="1"/>
  <c r="F67" i="57"/>
  <c r="G67" i="57"/>
  <c r="H67" i="57"/>
  <c r="I67" i="57"/>
  <c r="J67" i="57" s="1"/>
  <c r="F68" i="57"/>
  <c r="G68" i="57"/>
  <c r="H68" i="57"/>
  <c r="I68" i="57"/>
  <c r="J68" i="57" s="1"/>
  <c r="K68" i="57"/>
  <c r="N68" i="57" s="1"/>
  <c r="F69" i="57"/>
  <c r="G69" i="57"/>
  <c r="K69" i="57"/>
  <c r="N69" i="57" s="1"/>
  <c r="F70" i="57"/>
  <c r="G70" i="57"/>
  <c r="H70" i="57"/>
  <c r="I70" i="57"/>
  <c r="J70" i="57" s="1"/>
  <c r="K70" i="57"/>
  <c r="N70" i="57" s="1"/>
  <c r="F71" i="57"/>
  <c r="G71" i="57"/>
  <c r="H71" i="57"/>
  <c r="I71" i="57"/>
  <c r="J71" i="57" s="1"/>
  <c r="F72" i="57"/>
  <c r="G72" i="57"/>
  <c r="K71" i="57" s="1"/>
  <c r="H72" i="57"/>
  <c r="I72" i="57"/>
  <c r="J72" i="57" s="1"/>
  <c r="K72" i="57"/>
  <c r="N72" i="57" s="1"/>
  <c r="F73" i="57"/>
  <c r="G73" i="57"/>
  <c r="K73" i="57"/>
  <c r="N73" i="57" s="1"/>
  <c r="F74" i="57"/>
  <c r="G74" i="57"/>
  <c r="H74" i="57"/>
  <c r="I74" i="57"/>
  <c r="J74" i="57" s="1"/>
  <c r="K74" i="57"/>
  <c r="N74" i="57" s="1"/>
  <c r="F75" i="57"/>
  <c r="G75" i="57"/>
  <c r="K75" i="57"/>
  <c r="N75" i="57" s="1"/>
  <c r="F76" i="57"/>
  <c r="G76" i="57"/>
  <c r="H75" i="57" s="1"/>
  <c r="I75" i="57" s="1"/>
  <c r="J75" i="57" s="1"/>
  <c r="H76" i="57"/>
  <c r="I76" i="57"/>
  <c r="J76" i="57" s="1"/>
  <c r="K76" i="57"/>
  <c r="N76" i="57" s="1"/>
  <c r="F77" i="57"/>
  <c r="G77" i="57"/>
  <c r="H77" i="57"/>
  <c r="I77" i="57"/>
  <c r="J77" i="57" s="1"/>
  <c r="F78" i="57"/>
  <c r="G78" i="57"/>
  <c r="H78" i="57"/>
  <c r="I78" i="57"/>
  <c r="J78" i="57" s="1"/>
  <c r="K78" i="57"/>
  <c r="N78" i="57" s="1"/>
  <c r="F79" i="57"/>
  <c r="G79" i="57"/>
  <c r="K79" i="57"/>
  <c r="N79" i="57" s="1"/>
  <c r="M79" i="57"/>
  <c r="F80" i="57"/>
  <c r="G80" i="57"/>
  <c r="H79" i="57" s="1"/>
  <c r="I79" i="57" s="1"/>
  <c r="J79" i="57" s="1"/>
  <c r="H80" i="57"/>
  <c r="I80" i="57"/>
  <c r="J80" i="57" s="1"/>
  <c r="K80" i="57"/>
  <c r="N80" i="57" s="1"/>
  <c r="F81" i="57"/>
  <c r="G81" i="57"/>
  <c r="H81" i="57"/>
  <c r="I81" i="57"/>
  <c r="J81" i="57" s="1"/>
  <c r="F82" i="57"/>
  <c r="G82" i="57"/>
  <c r="H82" i="57"/>
  <c r="I82" i="57"/>
  <c r="J82" i="57" s="1"/>
  <c r="K82" i="57"/>
  <c r="N82" i="57" s="1"/>
  <c r="M82" i="57"/>
  <c r="F83" i="57"/>
  <c r="G83" i="57"/>
  <c r="K83" i="57"/>
  <c r="N83" i="57" s="1"/>
  <c r="F84" i="57"/>
  <c r="G84" i="57"/>
  <c r="H84" i="57"/>
  <c r="I84" i="57"/>
  <c r="J84" i="57" s="1"/>
  <c r="K84" i="57"/>
  <c r="N84" i="57" s="1"/>
  <c r="F85" i="57"/>
  <c r="G85" i="57"/>
  <c r="H85" i="57"/>
  <c r="I85" i="57"/>
  <c r="J85" i="57" s="1"/>
  <c r="F86" i="57"/>
  <c r="G86" i="57"/>
  <c r="H86" i="57"/>
  <c r="I86" i="57"/>
  <c r="J86" i="57" s="1"/>
  <c r="K86" i="57"/>
  <c r="N86" i="57" s="1"/>
  <c r="F87" i="57"/>
  <c r="G87" i="57"/>
  <c r="K87" i="57"/>
  <c r="N87" i="57" s="1"/>
  <c r="F88" i="57"/>
  <c r="G88" i="57"/>
  <c r="H88" i="57"/>
  <c r="I88" i="57"/>
  <c r="J88" i="57" s="1"/>
  <c r="K88" i="57"/>
  <c r="N88" i="57" s="1"/>
  <c r="F89" i="57"/>
  <c r="G89" i="57"/>
  <c r="H89" i="57"/>
  <c r="I89" i="57"/>
  <c r="J89" i="57" s="1"/>
  <c r="F90" i="57"/>
  <c r="G90" i="57"/>
  <c r="H90" i="57"/>
  <c r="I90" i="57"/>
  <c r="J90" i="57" s="1"/>
  <c r="K90" i="57"/>
  <c r="N90" i="57" s="1"/>
  <c r="F91" i="57"/>
  <c r="G91" i="57"/>
  <c r="K91" i="57"/>
  <c r="N91" i="57" s="1"/>
  <c r="F92" i="57"/>
  <c r="G92" i="57"/>
  <c r="H92" i="57"/>
  <c r="I92" i="57"/>
  <c r="J92" i="57" s="1"/>
  <c r="K92" i="57"/>
  <c r="N92" i="57" s="1"/>
  <c r="F93" i="57"/>
  <c r="G93" i="57"/>
  <c r="K93" i="57"/>
  <c r="M93" i="57" s="1"/>
  <c r="F94" i="57"/>
  <c r="G94" i="57"/>
  <c r="H93" i="57" s="1"/>
  <c r="I93" i="57" s="1"/>
  <c r="J93" i="57" s="1"/>
  <c r="H94" i="57"/>
  <c r="I94" i="57"/>
  <c r="J94" i="57" s="1"/>
  <c r="K94" i="57"/>
  <c r="M94" i="57" s="1"/>
  <c r="F95" i="57"/>
  <c r="G95" i="57"/>
  <c r="K95" i="57" s="1"/>
  <c r="M95" i="57" s="1"/>
  <c r="H95" i="57"/>
  <c r="I95" i="57"/>
  <c r="J95" i="57" s="1"/>
  <c r="F96" i="57"/>
  <c r="G96" i="57"/>
  <c r="H96" i="57"/>
  <c r="I96" i="57"/>
  <c r="J96" i="57" s="1"/>
  <c r="K96" i="57"/>
  <c r="M96" i="57" s="1"/>
  <c r="F8" i="37"/>
  <c r="G8" i="37"/>
  <c r="H8" i="37"/>
  <c r="I8" i="37"/>
  <c r="J8" i="37" s="1"/>
  <c r="K8" i="37"/>
  <c r="N8" i="37" s="1"/>
  <c r="F9" i="37"/>
  <c r="G9" i="37"/>
  <c r="H9" i="37"/>
  <c r="I9" i="37"/>
  <c r="J9" i="37"/>
  <c r="F10" i="37"/>
  <c r="G10" i="37"/>
  <c r="H10" i="37"/>
  <c r="I10" i="37"/>
  <c r="J10" i="37" s="1"/>
  <c r="K10" i="37"/>
  <c r="N10" i="37" s="1"/>
  <c r="F11" i="37"/>
  <c r="G11" i="37"/>
  <c r="K11" i="37"/>
  <c r="N11" i="37" s="1"/>
  <c r="F12" i="37"/>
  <c r="G12" i="37"/>
  <c r="H12" i="37"/>
  <c r="I12" i="37"/>
  <c r="J12" i="37" s="1"/>
  <c r="K12" i="37"/>
  <c r="N12" i="37" s="1"/>
  <c r="F13" i="37"/>
  <c r="G13" i="37"/>
  <c r="K13" i="37"/>
  <c r="N13" i="37" s="1"/>
  <c r="F14" i="37"/>
  <c r="G14" i="37"/>
  <c r="H14" i="37"/>
  <c r="I14" i="37"/>
  <c r="J14" i="37" s="1"/>
  <c r="K14" i="37"/>
  <c r="N14" i="37" s="1"/>
  <c r="F15" i="37"/>
  <c r="G15" i="37"/>
  <c r="H15" i="37"/>
  <c r="I15" i="37"/>
  <c r="J15" i="37" s="1"/>
  <c r="F16" i="37"/>
  <c r="G16" i="37"/>
  <c r="K15" i="37" s="1"/>
  <c r="H16" i="37"/>
  <c r="I16" i="37"/>
  <c r="J16" i="37"/>
  <c r="K16" i="37"/>
  <c r="N16" i="37" s="1"/>
  <c r="F17" i="37"/>
  <c r="G17" i="37"/>
  <c r="K17" i="37"/>
  <c r="N17" i="37" s="1"/>
  <c r="M17" i="37"/>
  <c r="F18" i="37"/>
  <c r="G18" i="37"/>
  <c r="H17" i="37" s="1"/>
  <c r="I17" i="37" s="1"/>
  <c r="J17" i="37" s="1"/>
  <c r="H18" i="37"/>
  <c r="I18" i="37"/>
  <c r="J18" i="37" s="1"/>
  <c r="K18" i="37"/>
  <c r="N18" i="37" s="1"/>
  <c r="F19" i="37"/>
  <c r="G19" i="37"/>
  <c r="H19" i="37"/>
  <c r="I19" i="37"/>
  <c r="J19" i="37" s="1"/>
  <c r="F20" i="37"/>
  <c r="G20" i="37"/>
  <c r="K19" i="37" s="1"/>
  <c r="H20" i="37"/>
  <c r="I20" i="37"/>
  <c r="J20" i="37" s="1"/>
  <c r="K20" i="37"/>
  <c r="N20" i="37" s="1"/>
  <c r="F21" i="37"/>
  <c r="G21" i="37"/>
  <c r="K21" i="37"/>
  <c r="N21" i="37" s="1"/>
  <c r="F22" i="37"/>
  <c r="G22" i="37"/>
  <c r="H22" i="37"/>
  <c r="I22" i="37"/>
  <c r="J22" i="37" s="1"/>
  <c r="K22" i="37"/>
  <c r="N22" i="37" s="1"/>
  <c r="M22" i="37"/>
  <c r="F23" i="37"/>
  <c r="G23" i="37"/>
  <c r="K23" i="37" s="1"/>
  <c r="H23" i="37"/>
  <c r="I23" i="37"/>
  <c r="J23" i="37" s="1"/>
  <c r="F24" i="37"/>
  <c r="G24" i="37"/>
  <c r="H24" i="37"/>
  <c r="I24" i="37"/>
  <c r="J24" i="37" s="1"/>
  <c r="K24" i="37"/>
  <c r="N24" i="37" s="1"/>
  <c r="F25" i="37"/>
  <c r="G25" i="37"/>
  <c r="K25" i="37"/>
  <c r="N25" i="37" s="1"/>
  <c r="M25" i="37"/>
  <c r="F26" i="37"/>
  <c r="G26" i="37"/>
  <c r="H26" i="37"/>
  <c r="I26" i="37"/>
  <c r="J26" i="37" s="1"/>
  <c r="K26" i="37"/>
  <c r="N26" i="37" s="1"/>
  <c r="F27" i="37"/>
  <c r="G27" i="37"/>
  <c r="H27" i="37"/>
  <c r="I27" i="37"/>
  <c r="J27" i="37" s="1"/>
  <c r="F28" i="37"/>
  <c r="G28" i="37"/>
  <c r="H28" i="37"/>
  <c r="I28" i="37"/>
  <c r="J28" i="37" s="1"/>
  <c r="K28" i="37"/>
  <c r="N28" i="37" s="1"/>
  <c r="F29" i="37"/>
  <c r="G29" i="37"/>
  <c r="K29" i="37"/>
  <c r="N29" i="37" s="1"/>
  <c r="F30" i="37"/>
  <c r="G30" i="37"/>
  <c r="H30" i="37"/>
  <c r="I30" i="37"/>
  <c r="J30" i="37" s="1"/>
  <c r="K30" i="37"/>
  <c r="N30" i="37" s="1"/>
  <c r="M30" i="37"/>
  <c r="F31" i="37"/>
  <c r="G31" i="37"/>
  <c r="K31" i="37"/>
  <c r="N31" i="37" s="1"/>
  <c r="F32" i="37"/>
  <c r="G32" i="37"/>
  <c r="H31" i="37" s="1"/>
  <c r="I31" i="37" s="1"/>
  <c r="J31" i="37" s="1"/>
  <c r="H32" i="37"/>
  <c r="I32" i="37"/>
  <c r="J32" i="37" s="1"/>
  <c r="K32" i="37"/>
  <c r="N32" i="37" s="1"/>
  <c r="F33" i="37"/>
  <c r="G33" i="37"/>
  <c r="H33" i="37"/>
  <c r="I33" i="37"/>
  <c r="J33" i="37" s="1"/>
  <c r="K33" i="37"/>
  <c r="N33" i="37" s="1"/>
  <c r="F34" i="37"/>
  <c r="G34" i="37"/>
  <c r="H34" i="37"/>
  <c r="I34" i="37"/>
  <c r="J34" i="37" s="1"/>
  <c r="K34" i="37"/>
  <c r="N34" i="37" s="1"/>
  <c r="M34" i="37"/>
  <c r="F35" i="37"/>
  <c r="G35" i="37"/>
  <c r="K35" i="37" s="1"/>
  <c r="H35" i="37"/>
  <c r="I35" i="37"/>
  <c r="J35" i="37" s="1"/>
  <c r="F36" i="37"/>
  <c r="G36" i="37"/>
  <c r="H36" i="37"/>
  <c r="I36" i="37"/>
  <c r="J36" i="37"/>
  <c r="K36" i="37"/>
  <c r="N36" i="37" s="1"/>
  <c r="F37" i="37"/>
  <c r="G37" i="37"/>
  <c r="K37" i="37"/>
  <c r="N37" i="37" s="1"/>
  <c r="F38" i="37"/>
  <c r="G38" i="37"/>
  <c r="H38" i="37"/>
  <c r="I38" i="37"/>
  <c r="J38" i="37" s="1"/>
  <c r="K38" i="37"/>
  <c r="N38" i="37" s="1"/>
  <c r="F39" i="37"/>
  <c r="G39" i="37"/>
  <c r="H39" i="37"/>
  <c r="I39" i="37"/>
  <c r="J39" i="37" s="1"/>
  <c r="K39" i="37"/>
  <c r="N39" i="37" s="1"/>
  <c r="F40" i="37"/>
  <c r="G40" i="37"/>
  <c r="H40" i="37"/>
  <c r="I40" i="37"/>
  <c r="J40" i="37" s="1"/>
  <c r="K40" i="37"/>
  <c r="N40" i="37" s="1"/>
  <c r="F41" i="37"/>
  <c r="G41" i="37"/>
  <c r="K41" i="37"/>
  <c r="N41" i="37" s="1"/>
  <c r="F42" i="37"/>
  <c r="G42" i="37"/>
  <c r="H42" i="37"/>
  <c r="I42" i="37"/>
  <c r="J42" i="37" s="1"/>
  <c r="K42" i="37"/>
  <c r="N42" i="37" s="1"/>
  <c r="M42" i="37"/>
  <c r="F43" i="37"/>
  <c r="G43" i="37"/>
  <c r="H43" i="37"/>
  <c r="I43" i="37"/>
  <c r="J43" i="37" s="1"/>
  <c r="F44" i="37"/>
  <c r="G44" i="37"/>
  <c r="K43" i="37" s="1"/>
  <c r="N43" i="37" s="1"/>
  <c r="H44" i="37"/>
  <c r="I44" i="37"/>
  <c r="J44" i="37" s="1"/>
  <c r="K44" i="37"/>
  <c r="N44" i="37" s="1"/>
  <c r="F45" i="37"/>
  <c r="G45" i="37"/>
  <c r="K45" i="37"/>
  <c r="N45" i="37" s="1"/>
  <c r="M45" i="37"/>
  <c r="F46" i="37"/>
  <c r="G46" i="37"/>
  <c r="H46" i="37"/>
  <c r="I46" i="37"/>
  <c r="J46" i="37" s="1"/>
  <c r="K46" i="37"/>
  <c r="N46" i="37" s="1"/>
  <c r="F47" i="37"/>
  <c r="G47" i="37"/>
  <c r="H47" i="37"/>
  <c r="I47" i="37"/>
  <c r="J47" i="37" s="1"/>
  <c r="F48" i="37"/>
  <c r="G48" i="37"/>
  <c r="K47" i="37" s="1"/>
  <c r="H48" i="37"/>
  <c r="I48" i="37"/>
  <c r="J48" i="37" s="1"/>
  <c r="K48" i="37"/>
  <c r="N48" i="37" s="1"/>
  <c r="F49" i="37"/>
  <c r="G49" i="37"/>
  <c r="K49" i="37"/>
  <c r="N49" i="37" s="1"/>
  <c r="M49" i="37"/>
  <c r="F50" i="37"/>
  <c r="G50" i="37"/>
  <c r="H49" i="37" s="1"/>
  <c r="I49" i="37" s="1"/>
  <c r="J49" i="37" s="1"/>
  <c r="H50" i="37"/>
  <c r="I50" i="37"/>
  <c r="J50" i="37" s="1"/>
  <c r="K50" i="37"/>
  <c r="N50" i="37" s="1"/>
  <c r="F51" i="37"/>
  <c r="G51" i="37"/>
  <c r="H51" i="37"/>
  <c r="I51" i="37"/>
  <c r="J51" i="37" s="1"/>
  <c r="F52" i="37"/>
  <c r="G52" i="37"/>
  <c r="K51" i="37" s="1"/>
  <c r="H52" i="37"/>
  <c r="I52" i="37"/>
  <c r="J52" i="37" s="1"/>
  <c r="K52" i="37"/>
  <c r="N52" i="37" s="1"/>
  <c r="F53" i="37"/>
  <c r="G53" i="37"/>
  <c r="H53" i="37"/>
  <c r="I53" i="37"/>
  <c r="J53" i="37" s="1"/>
  <c r="K53" i="37"/>
  <c r="N53" i="37" s="1"/>
  <c r="F54" i="37"/>
  <c r="G54" i="37"/>
  <c r="H54" i="37"/>
  <c r="I54" i="37"/>
  <c r="J54" i="37" s="1"/>
  <c r="K54" i="37"/>
  <c r="N54" i="37" s="1"/>
  <c r="F55" i="37"/>
  <c r="G55" i="37"/>
  <c r="K55" i="37" s="1"/>
  <c r="H55" i="37"/>
  <c r="I55" i="37"/>
  <c r="J55" i="37" s="1"/>
  <c r="F56" i="37"/>
  <c r="G56" i="37"/>
  <c r="H56" i="37"/>
  <c r="I56" i="37"/>
  <c r="J56" i="37" s="1"/>
  <c r="K56" i="37"/>
  <c r="N56" i="37" s="1"/>
  <c r="F57" i="37"/>
  <c r="G57" i="37"/>
  <c r="K57" i="37"/>
  <c r="N57" i="37" s="1"/>
  <c r="F58" i="37"/>
  <c r="G58" i="37"/>
  <c r="H58" i="37"/>
  <c r="I58" i="37"/>
  <c r="J58" i="37" s="1"/>
  <c r="K58" i="37"/>
  <c r="N58" i="37" s="1"/>
  <c r="F59" i="37"/>
  <c r="G59" i="37"/>
  <c r="H59" i="37"/>
  <c r="I59" i="37"/>
  <c r="J59" i="37" s="1"/>
  <c r="K59" i="37"/>
  <c r="N59" i="37" s="1"/>
  <c r="F60" i="37"/>
  <c r="G60" i="37"/>
  <c r="H60" i="37"/>
  <c r="I60" i="37"/>
  <c r="J60" i="37" s="1"/>
  <c r="K60" i="37"/>
  <c r="N60" i="37" s="1"/>
  <c r="F61" i="37"/>
  <c r="G61" i="37"/>
  <c r="K61" i="37"/>
  <c r="N61" i="37" s="1"/>
  <c r="F62" i="37"/>
  <c r="G62" i="37"/>
  <c r="H61" i="37" s="1"/>
  <c r="I61" i="37" s="1"/>
  <c r="J61" i="37" s="1"/>
  <c r="H62" i="37"/>
  <c r="I62" i="37"/>
  <c r="J62" i="37" s="1"/>
  <c r="K62" i="37"/>
  <c r="N62" i="37" s="1"/>
  <c r="F63" i="37"/>
  <c r="G63" i="37"/>
  <c r="K63" i="37"/>
  <c r="N63" i="37" s="1"/>
  <c r="F64" i="37"/>
  <c r="G64" i="37"/>
  <c r="H64" i="37"/>
  <c r="I64" i="37"/>
  <c r="J64" i="37" s="1"/>
  <c r="K64" i="37"/>
  <c r="N64" i="37" s="1"/>
  <c r="F65" i="37"/>
  <c r="G65" i="37"/>
  <c r="H65" i="37"/>
  <c r="I65" i="37"/>
  <c r="J65" i="37"/>
  <c r="F66" i="37"/>
  <c r="G66" i="37"/>
  <c r="H66" i="37"/>
  <c r="I66" i="37"/>
  <c r="J66" i="37" s="1"/>
  <c r="K66" i="37"/>
  <c r="N66" i="37" s="1"/>
  <c r="F67" i="37"/>
  <c r="G67" i="37"/>
  <c r="K67" i="37"/>
  <c r="N67" i="37" s="1"/>
  <c r="F68" i="37"/>
  <c r="G68" i="37"/>
  <c r="H68" i="37"/>
  <c r="I68" i="37"/>
  <c r="J68" i="37"/>
  <c r="K68" i="37"/>
  <c r="N68" i="37" s="1"/>
  <c r="F69" i="37"/>
  <c r="G69" i="37"/>
  <c r="H69" i="37"/>
  <c r="I69" i="37"/>
  <c r="J69" i="37" s="1"/>
  <c r="F70" i="37"/>
  <c r="G70" i="37"/>
  <c r="H70" i="37"/>
  <c r="I70" i="37"/>
  <c r="J70" i="37"/>
  <c r="K70" i="37"/>
  <c r="N70" i="37" s="1"/>
  <c r="F71" i="37"/>
  <c r="G71" i="37"/>
  <c r="K71" i="37"/>
  <c r="N71" i="37" s="1"/>
  <c r="M71" i="37"/>
  <c r="F72" i="37"/>
  <c r="G72" i="37"/>
  <c r="H71" i="37" s="1"/>
  <c r="I71" i="37" s="1"/>
  <c r="J71" i="37" s="1"/>
  <c r="H72" i="37"/>
  <c r="I72" i="37"/>
  <c r="J72" i="37" s="1"/>
  <c r="K72" i="37"/>
  <c r="N72" i="37" s="1"/>
  <c r="F73" i="37"/>
  <c r="G73" i="37"/>
  <c r="K73" i="37"/>
  <c r="N73" i="37" s="1"/>
  <c r="F74" i="37"/>
  <c r="G74" i="37"/>
  <c r="H73" i="37" s="1"/>
  <c r="J73" i="37" s="1"/>
  <c r="H74" i="37"/>
  <c r="J74" i="37"/>
  <c r="K74" i="37"/>
  <c r="N74" i="37" s="1"/>
  <c r="F75" i="37"/>
  <c r="G75" i="37"/>
  <c r="K75" i="37"/>
  <c r="N75" i="37" s="1"/>
  <c r="F76" i="37"/>
  <c r="G76" i="37"/>
  <c r="H75" i="37" s="1"/>
  <c r="J75" i="37" s="1"/>
  <c r="H76" i="37"/>
  <c r="J76" i="37"/>
  <c r="K76" i="37"/>
  <c r="N76" i="37" s="1"/>
  <c r="F77" i="37"/>
  <c r="G77" i="37"/>
  <c r="K77" i="37"/>
  <c r="N77" i="37" s="1"/>
  <c r="F78" i="37"/>
  <c r="G78" i="37"/>
  <c r="H78" i="37"/>
  <c r="I78" i="37"/>
  <c r="J78" i="37" s="1"/>
  <c r="K78" i="37"/>
  <c r="N78" i="37" s="1"/>
  <c r="F79" i="37"/>
  <c r="G79" i="37"/>
  <c r="H79" i="37"/>
  <c r="I79" i="37"/>
  <c r="J79" i="37" s="1"/>
  <c r="F80" i="37"/>
  <c r="G80" i="37"/>
  <c r="K79" i="37" s="1"/>
  <c r="H80" i="37"/>
  <c r="I80" i="37"/>
  <c r="J80" i="37" s="1"/>
  <c r="K80" i="37"/>
  <c r="N80" i="37" s="1"/>
  <c r="F81" i="37"/>
  <c r="G81" i="37"/>
  <c r="K81" i="37"/>
  <c r="N81" i="37" s="1"/>
  <c r="F82" i="37"/>
  <c r="G82" i="37"/>
  <c r="H81" i="37" s="1"/>
  <c r="I81" i="37" s="1"/>
  <c r="J81" i="37" s="1"/>
  <c r="H82" i="37"/>
  <c r="I82" i="37"/>
  <c r="J82" i="37" s="1"/>
  <c r="K82" i="37"/>
  <c r="N82" i="37" s="1"/>
  <c r="F83" i="37"/>
  <c r="G83" i="37"/>
  <c r="H83" i="37"/>
  <c r="I83" i="37"/>
  <c r="J83" i="37" s="1"/>
  <c r="F84" i="37"/>
  <c r="G84" i="37"/>
  <c r="H84" i="37"/>
  <c r="I84" i="37"/>
  <c r="J84" i="37" s="1"/>
  <c r="K84" i="37"/>
  <c r="N84" i="37" s="1"/>
  <c r="F85" i="37"/>
  <c r="G85" i="37"/>
  <c r="K85" i="37"/>
  <c r="N85" i="37" s="1"/>
  <c r="F86" i="37"/>
  <c r="G86" i="37"/>
  <c r="H85" i="37" s="1"/>
  <c r="I85" i="37" s="1"/>
  <c r="J85" i="37" s="1"/>
  <c r="H86" i="37"/>
  <c r="I86" i="37"/>
  <c r="J86" i="37" s="1"/>
  <c r="K86" i="37"/>
  <c r="N86" i="37" s="1"/>
  <c r="M86" i="37"/>
  <c r="F87" i="37"/>
  <c r="G87" i="37"/>
  <c r="K87" i="37"/>
  <c r="N87" i="37" s="1"/>
  <c r="M87" i="37"/>
  <c r="F88" i="37"/>
  <c r="G88" i="37"/>
  <c r="H88" i="37"/>
  <c r="I88" i="37"/>
  <c r="J88" i="37" s="1"/>
  <c r="K88" i="37"/>
  <c r="N88" i="37" s="1"/>
  <c r="F5" i="20"/>
  <c r="F8" i="20"/>
  <c r="G8" i="20"/>
  <c r="H8" i="20"/>
  <c r="I8" i="20"/>
  <c r="J8" i="20" s="1"/>
  <c r="K8" i="20"/>
  <c r="N8" i="20" s="1"/>
  <c r="M8" i="20"/>
  <c r="F9" i="20"/>
  <c r="G9" i="20"/>
  <c r="K9" i="20" s="1"/>
  <c r="N9" i="20" s="1"/>
  <c r="H9" i="20"/>
  <c r="I9" i="20"/>
  <c r="J9" i="20" s="1"/>
  <c r="F10" i="20"/>
  <c r="G10" i="20"/>
  <c r="H10" i="20"/>
  <c r="I10" i="20"/>
  <c r="J10" i="20" s="1"/>
  <c r="K10" i="20"/>
  <c r="N10" i="20" s="1"/>
  <c r="F11" i="20"/>
  <c r="G11" i="20"/>
  <c r="K11" i="20"/>
  <c r="N11" i="20" s="1"/>
  <c r="F12" i="20"/>
  <c r="G12" i="20"/>
  <c r="H11" i="20" s="1"/>
  <c r="I11" i="20" s="1"/>
  <c r="J11" i="20" s="1"/>
  <c r="H12" i="20"/>
  <c r="I12" i="20"/>
  <c r="J12" i="20" s="1"/>
  <c r="K12" i="20"/>
  <c r="N12" i="20" s="1"/>
  <c r="M12" i="20"/>
  <c r="F13" i="20"/>
  <c r="G13" i="20"/>
  <c r="H13" i="20"/>
  <c r="I13" i="20"/>
  <c r="J13" i="20" s="1"/>
  <c r="F14" i="20"/>
  <c r="G14" i="20"/>
  <c r="K13" i="20" s="1"/>
  <c r="N13" i="20" s="1"/>
  <c r="H14" i="20"/>
  <c r="I14" i="20"/>
  <c r="J14" i="20" s="1"/>
  <c r="K14" i="20"/>
  <c r="N14" i="20" s="1"/>
  <c r="F15" i="20"/>
  <c r="G15" i="20"/>
  <c r="K15" i="20"/>
  <c r="N15" i="20" s="1"/>
  <c r="F16" i="20"/>
  <c r="G16" i="20"/>
  <c r="H16" i="20"/>
  <c r="I16" i="20"/>
  <c r="J16" i="20" s="1"/>
  <c r="K16" i="20"/>
  <c r="N16" i="20" s="1"/>
  <c r="F17" i="20"/>
  <c r="G17" i="20"/>
  <c r="H17" i="20"/>
  <c r="I17" i="20"/>
  <c r="J17" i="20" s="1"/>
  <c r="F18" i="20"/>
  <c r="G18" i="20"/>
  <c r="H18" i="20"/>
  <c r="I18" i="20"/>
  <c r="J18" i="20" s="1"/>
  <c r="K18" i="20"/>
  <c r="N18" i="20" s="1"/>
  <c r="F19" i="20"/>
  <c r="G19" i="20"/>
  <c r="K19" i="20"/>
  <c r="N19" i="20" s="1"/>
  <c r="M19" i="20"/>
  <c r="F20" i="20"/>
  <c r="G20" i="20"/>
  <c r="H20" i="20"/>
  <c r="I20" i="20"/>
  <c r="J20" i="20" s="1"/>
  <c r="K20" i="20"/>
  <c r="N20" i="20" s="1"/>
  <c r="F21" i="20"/>
  <c r="G21" i="20"/>
  <c r="H21" i="20"/>
  <c r="I21" i="20"/>
  <c r="J21" i="20" s="1"/>
  <c r="F22" i="20"/>
  <c r="G22" i="20"/>
  <c r="H22" i="20"/>
  <c r="I22" i="20"/>
  <c r="J22" i="20" s="1"/>
  <c r="K22" i="20"/>
  <c r="N22" i="20" s="1"/>
  <c r="F23" i="20"/>
  <c r="G23" i="20"/>
  <c r="K23" i="20"/>
  <c r="N23" i="20" s="1"/>
  <c r="F24" i="20"/>
  <c r="G24" i="20"/>
  <c r="H24" i="20"/>
  <c r="I24" i="20"/>
  <c r="J24" i="20" s="1"/>
  <c r="K24" i="20"/>
  <c r="N24" i="20" s="1"/>
  <c r="F25" i="20"/>
  <c r="G25" i="20"/>
  <c r="K25" i="20"/>
  <c r="N25" i="20" s="1"/>
  <c r="F26" i="20"/>
  <c r="G26" i="20"/>
  <c r="H26" i="20"/>
  <c r="I26" i="20"/>
  <c r="J26" i="20" s="1"/>
  <c r="K26" i="20"/>
  <c r="N26" i="20" s="1"/>
  <c r="F27" i="20"/>
  <c r="G27" i="20"/>
  <c r="K27" i="20"/>
  <c r="N27" i="20" s="1"/>
  <c r="F28" i="20"/>
  <c r="G28" i="20"/>
  <c r="H28" i="20"/>
  <c r="I28" i="20"/>
  <c r="J28" i="20" s="1"/>
  <c r="K28" i="20"/>
  <c r="N28" i="20" s="1"/>
  <c r="F29" i="20"/>
  <c r="G29" i="20"/>
  <c r="H29" i="20"/>
  <c r="I29" i="20"/>
  <c r="J29" i="20" s="1"/>
  <c r="F30" i="20"/>
  <c r="G30" i="20"/>
  <c r="H30" i="20"/>
  <c r="I30" i="20"/>
  <c r="J30" i="20" s="1"/>
  <c r="K30" i="20"/>
  <c r="N30" i="20" s="1"/>
  <c r="F31" i="20"/>
  <c r="G31" i="20"/>
  <c r="H31" i="20"/>
  <c r="I31" i="20"/>
  <c r="J31" i="20" s="1"/>
  <c r="F32" i="20"/>
  <c r="G32" i="20"/>
  <c r="H32" i="20"/>
  <c r="I32" i="20"/>
  <c r="J32" i="20" s="1"/>
  <c r="K32" i="20"/>
  <c r="N32" i="20" s="1"/>
  <c r="F33" i="20"/>
  <c r="G33" i="20"/>
  <c r="H33" i="20"/>
  <c r="I33" i="20"/>
  <c r="J33" i="20" s="1"/>
  <c r="F34" i="20"/>
  <c r="G34" i="20"/>
  <c r="H34" i="20"/>
  <c r="I34" i="20"/>
  <c r="J34" i="20" s="1"/>
  <c r="K34" i="20"/>
  <c r="N34" i="20" s="1"/>
  <c r="F35" i="20"/>
  <c r="G35" i="20"/>
  <c r="H35" i="20"/>
  <c r="I35" i="20"/>
  <c r="J35" i="20" s="1"/>
  <c r="F36" i="20"/>
  <c r="G36" i="20"/>
  <c r="H36" i="20"/>
  <c r="I36" i="20"/>
  <c r="J36" i="20" s="1"/>
  <c r="K36" i="20"/>
  <c r="N36" i="20" s="1"/>
  <c r="F37" i="20"/>
  <c r="G37" i="20"/>
  <c r="K37" i="20"/>
  <c r="N37" i="20" s="1"/>
  <c r="F38" i="20"/>
  <c r="G38" i="20"/>
  <c r="H38" i="20"/>
  <c r="I38" i="20"/>
  <c r="J38" i="20" s="1"/>
  <c r="K38" i="20"/>
  <c r="N38" i="20" s="1"/>
  <c r="F39" i="20"/>
  <c r="G39" i="20"/>
  <c r="K39" i="20"/>
  <c r="N39" i="20" s="1"/>
  <c r="F40" i="20"/>
  <c r="G40" i="20"/>
  <c r="H39" i="20" s="1"/>
  <c r="I39" i="20" s="1"/>
  <c r="J39" i="20" s="1"/>
  <c r="H40" i="20"/>
  <c r="I40" i="20"/>
  <c r="J40" i="20" s="1"/>
  <c r="K40" i="20"/>
  <c r="N40" i="20" s="1"/>
  <c r="F41" i="20"/>
  <c r="G41" i="20"/>
  <c r="H41" i="20"/>
  <c r="I41" i="20"/>
  <c r="J41" i="20" s="1"/>
  <c r="F42" i="20"/>
  <c r="G42" i="20"/>
  <c r="H42" i="20"/>
  <c r="I42" i="20"/>
  <c r="J42" i="20" s="1"/>
  <c r="K42" i="20"/>
  <c r="N42" i="20" s="1"/>
  <c r="F43" i="20"/>
  <c r="G43" i="20"/>
  <c r="K43" i="20"/>
  <c r="N43" i="20" s="1"/>
  <c r="F44" i="20"/>
  <c r="G44" i="20"/>
  <c r="H44" i="20"/>
  <c r="I44" i="20"/>
  <c r="J44" i="20" s="1"/>
  <c r="K44" i="20"/>
  <c r="N44" i="20" s="1"/>
  <c r="F45" i="20"/>
  <c r="G45" i="20"/>
  <c r="K45" i="20" s="1"/>
  <c r="H45" i="20"/>
  <c r="I45" i="20"/>
  <c r="J45" i="20" s="1"/>
  <c r="F46" i="20"/>
  <c r="G46" i="20"/>
  <c r="H46" i="20"/>
  <c r="I46" i="20"/>
  <c r="J46" i="20" s="1"/>
  <c r="K46" i="20"/>
  <c r="N46" i="20" s="1"/>
  <c r="F47" i="20"/>
  <c r="G47" i="20"/>
  <c r="H47" i="20"/>
  <c r="I47" i="20"/>
  <c r="J47" i="20" s="1"/>
  <c r="F48" i="20"/>
  <c r="G48" i="20"/>
  <c r="H48" i="20"/>
  <c r="I48" i="20"/>
  <c r="J48" i="20" s="1"/>
  <c r="K48" i="20"/>
  <c r="N48" i="20" s="1"/>
  <c r="F49" i="20"/>
  <c r="G49" i="20"/>
  <c r="K49" i="20"/>
  <c r="N49" i="20" s="1"/>
  <c r="F50" i="20"/>
  <c r="G50" i="20"/>
  <c r="H50" i="20"/>
  <c r="I50" i="20"/>
  <c r="J50" i="20" s="1"/>
  <c r="K50" i="20"/>
  <c r="N50" i="20" s="1"/>
  <c r="F51" i="20"/>
  <c r="G51" i="20"/>
  <c r="H51" i="20"/>
  <c r="I51" i="20"/>
  <c r="J51" i="20" s="1"/>
  <c r="F52" i="20"/>
  <c r="G52" i="20"/>
  <c r="K51" i="20" s="1"/>
  <c r="H52" i="20"/>
  <c r="I52" i="20"/>
  <c r="J52" i="20" s="1"/>
  <c r="K52" i="20"/>
  <c r="N52" i="20" s="1"/>
  <c r="F53" i="20"/>
  <c r="G53" i="20"/>
  <c r="K53" i="20"/>
  <c r="N53" i="20" s="1"/>
  <c r="F54" i="20"/>
  <c r="G54" i="20"/>
  <c r="H54" i="20"/>
  <c r="I54" i="20"/>
  <c r="J54" i="20" s="1"/>
  <c r="K54" i="20"/>
  <c r="N54" i="20" s="1"/>
  <c r="F55" i="20"/>
  <c r="G55" i="20"/>
  <c r="H55" i="20"/>
  <c r="I55" i="20"/>
  <c r="J55" i="20" s="1"/>
  <c r="F56" i="20"/>
  <c r="G56" i="20"/>
  <c r="H56" i="20"/>
  <c r="I56" i="20"/>
  <c r="J56" i="20" s="1"/>
  <c r="K56" i="20"/>
  <c r="N56" i="20" s="1"/>
  <c r="F57" i="20"/>
  <c r="G57" i="20"/>
  <c r="H57" i="20"/>
  <c r="I57" i="20"/>
  <c r="J57" i="20" s="1"/>
  <c r="F58" i="20"/>
  <c r="G58" i="20"/>
  <c r="H58" i="20"/>
  <c r="I58" i="20"/>
  <c r="J58" i="20" s="1"/>
  <c r="K58" i="20"/>
  <c r="N58" i="20" s="1"/>
  <c r="F59" i="20"/>
  <c r="G59" i="20"/>
  <c r="K59" i="20"/>
  <c r="N59" i="20" s="1"/>
  <c r="F60" i="20"/>
  <c r="G60" i="20"/>
  <c r="H60" i="20"/>
  <c r="I60" i="20"/>
  <c r="J60" i="20" s="1"/>
  <c r="K60" i="20"/>
  <c r="N60" i="20" s="1"/>
  <c r="F61" i="20"/>
  <c r="G61" i="20"/>
  <c r="H61" i="20"/>
  <c r="I61" i="20"/>
  <c r="J61" i="20" s="1"/>
  <c r="F62" i="20"/>
  <c r="G62" i="20"/>
  <c r="H62" i="20"/>
  <c r="I62" i="20"/>
  <c r="J62" i="20" s="1"/>
  <c r="K62" i="20"/>
  <c r="N62" i="20" s="1"/>
  <c r="F63" i="20"/>
  <c r="G63" i="20"/>
  <c r="K63" i="20"/>
  <c r="N63" i="20" s="1"/>
  <c r="F64" i="20"/>
  <c r="G64" i="20"/>
  <c r="H63" i="20" s="1"/>
  <c r="I63" i="20" s="1"/>
  <c r="J63" i="20" s="1"/>
  <c r="H64" i="20"/>
  <c r="I64" i="20"/>
  <c r="J64" i="20" s="1"/>
  <c r="K64" i="20"/>
  <c r="N64" i="20" s="1"/>
  <c r="F65" i="20"/>
  <c r="G65" i="20"/>
  <c r="K65" i="20"/>
  <c r="N65" i="20" s="1"/>
  <c r="F66" i="20"/>
  <c r="G66" i="20"/>
  <c r="H66" i="20"/>
  <c r="I66" i="20"/>
  <c r="J66" i="20" s="1"/>
  <c r="K66" i="20"/>
  <c r="N66" i="20" s="1"/>
  <c r="F67" i="20"/>
  <c r="G67" i="20"/>
  <c r="H67" i="20"/>
  <c r="I67" i="20"/>
  <c r="J67" i="20" s="1"/>
  <c r="F68" i="20"/>
  <c r="G68" i="20"/>
  <c r="H68" i="20"/>
  <c r="I68" i="20"/>
  <c r="J68" i="20" s="1"/>
  <c r="K68" i="20"/>
  <c r="N68" i="20" s="1"/>
  <c r="F69" i="20"/>
  <c r="G69" i="20"/>
  <c r="K69" i="20"/>
  <c r="N69" i="20" s="1"/>
  <c r="F70" i="20"/>
  <c r="G70" i="20"/>
  <c r="H70" i="20"/>
  <c r="I70" i="20"/>
  <c r="J70" i="20" s="1"/>
  <c r="K70" i="20"/>
  <c r="N70" i="20" s="1"/>
  <c r="F71" i="20"/>
  <c r="G71" i="20"/>
  <c r="H71" i="20"/>
  <c r="I71" i="20"/>
  <c r="J71" i="20" s="1"/>
  <c r="F72" i="20"/>
  <c r="G72" i="20"/>
  <c r="H72" i="20"/>
  <c r="I72" i="20"/>
  <c r="J72" i="20" s="1"/>
  <c r="K72" i="20"/>
  <c r="N72" i="20" s="1"/>
  <c r="F73" i="20"/>
  <c r="G73" i="20"/>
  <c r="K73" i="20"/>
  <c r="N73" i="20" s="1"/>
  <c r="F74" i="20"/>
  <c r="G74" i="20"/>
  <c r="H74" i="20"/>
  <c r="I74" i="20"/>
  <c r="J74" i="20" s="1"/>
  <c r="K74" i="20"/>
  <c r="N74" i="20" s="1"/>
  <c r="F75" i="20"/>
  <c r="G75" i="20"/>
  <c r="K75" i="20"/>
  <c r="N75" i="20" s="1"/>
  <c r="M75" i="20"/>
  <c r="F76" i="20"/>
  <c r="G76" i="20"/>
  <c r="H75" i="20" s="1"/>
  <c r="I75" i="20" s="1"/>
  <c r="J75" i="20" s="1"/>
  <c r="H76" i="20"/>
  <c r="I76" i="20"/>
  <c r="J76" i="20" s="1"/>
  <c r="K76" i="20"/>
  <c r="N76" i="20" s="1"/>
  <c r="F77" i="20"/>
  <c r="G77" i="20"/>
  <c r="K77" i="20"/>
  <c r="N77" i="20" s="1"/>
  <c r="F78" i="20"/>
  <c r="G78" i="20"/>
  <c r="H78" i="20"/>
  <c r="I78" i="20"/>
  <c r="J78" i="20" s="1"/>
  <c r="K78" i="20"/>
  <c r="N78" i="20" s="1"/>
  <c r="F79" i="20"/>
  <c r="G79" i="20"/>
  <c r="H79" i="20"/>
  <c r="I79" i="20"/>
  <c r="J79" i="20" s="1"/>
  <c r="F80" i="20"/>
  <c r="G80" i="20"/>
  <c r="H80" i="20"/>
  <c r="I80" i="20"/>
  <c r="J80" i="20" s="1"/>
  <c r="K80" i="20"/>
  <c r="N80" i="20" s="1"/>
  <c r="F81" i="20"/>
  <c r="G81" i="20"/>
  <c r="H81" i="20"/>
  <c r="I81" i="20"/>
  <c r="J81" i="20" s="1"/>
  <c r="F82" i="20"/>
  <c r="G82" i="20"/>
  <c r="H82" i="20"/>
  <c r="I82" i="20"/>
  <c r="J82" i="20" s="1"/>
  <c r="K82" i="20"/>
  <c r="N82" i="20" s="1"/>
  <c r="F83" i="20"/>
  <c r="G83" i="20"/>
  <c r="H83" i="20" s="1"/>
  <c r="I83" i="20" s="1"/>
  <c r="J83" i="20" s="1"/>
  <c r="K83" i="20"/>
  <c r="N83" i="20" s="1"/>
  <c r="F84" i="20"/>
  <c r="G84" i="20"/>
  <c r="H84" i="20"/>
  <c r="I84" i="20"/>
  <c r="J84" i="20" s="1"/>
  <c r="K84" i="20"/>
  <c r="N84" i="20" s="1"/>
  <c r="F85" i="20"/>
  <c r="G85" i="20"/>
  <c r="K85" i="20" s="1"/>
  <c r="H85" i="20"/>
  <c r="I85" i="20"/>
  <c r="J85" i="20" s="1"/>
  <c r="F86" i="20"/>
  <c r="G86" i="20"/>
  <c r="H86" i="20"/>
  <c r="I86" i="20"/>
  <c r="J86" i="20" s="1"/>
  <c r="K86" i="20"/>
  <c r="N86" i="20" s="1"/>
  <c r="F87" i="20"/>
  <c r="G87" i="20"/>
  <c r="H87" i="20" s="1"/>
  <c r="I87" i="20" s="1"/>
  <c r="J87" i="20" s="1"/>
  <c r="K87" i="20"/>
  <c r="N87" i="20" s="1"/>
  <c r="F88" i="20"/>
  <c r="G88" i="20"/>
  <c r="H88" i="20"/>
  <c r="I88" i="20"/>
  <c r="J88" i="20" s="1"/>
  <c r="K88" i="20"/>
  <c r="N88" i="20" s="1"/>
  <c r="F89" i="20"/>
  <c r="G89" i="20"/>
  <c r="H89" i="20"/>
  <c r="I89" i="20"/>
  <c r="J89" i="20" s="1"/>
  <c r="F90" i="20"/>
  <c r="G90" i="20"/>
  <c r="H90" i="20"/>
  <c r="I90" i="20"/>
  <c r="J90" i="20" s="1"/>
  <c r="K90" i="20"/>
  <c r="N90" i="20" s="1"/>
  <c r="F91" i="20"/>
  <c r="G91" i="20"/>
  <c r="H91" i="20"/>
  <c r="J91" i="20" s="1"/>
  <c r="K91" i="20"/>
  <c r="N91" i="20" s="1"/>
  <c r="M91" i="20"/>
  <c r="F92" i="20"/>
  <c r="G92" i="20"/>
  <c r="H92" i="20"/>
  <c r="I92" i="20"/>
  <c r="J92" i="20" s="1"/>
  <c r="K92" i="20"/>
  <c r="N92" i="20" s="1"/>
  <c r="F93" i="20"/>
  <c r="G93" i="20"/>
  <c r="K93" i="20"/>
  <c r="N93" i="20" s="1"/>
  <c r="F94" i="20"/>
  <c r="G94" i="20"/>
  <c r="H93" i="20" s="1"/>
  <c r="I93" i="20" s="1"/>
  <c r="J93" i="20" s="1"/>
  <c r="H94" i="20"/>
  <c r="I94" i="20"/>
  <c r="J94" i="20" s="1"/>
  <c r="K94" i="20"/>
  <c r="N94" i="20" s="1"/>
  <c r="F95" i="20"/>
  <c r="G95" i="20"/>
  <c r="H95" i="20"/>
  <c r="I95" i="20"/>
  <c r="J95" i="20" s="1"/>
  <c r="F96" i="20"/>
  <c r="G96" i="20"/>
  <c r="K95" i="20" s="1"/>
  <c r="H96" i="20"/>
  <c r="I96" i="20"/>
  <c r="J96" i="20" s="1"/>
  <c r="K96" i="20"/>
  <c r="N96" i="20" s="1"/>
  <c r="M96" i="20"/>
  <c r="F8" i="13"/>
  <c r="G8" i="13"/>
  <c r="H8" i="13"/>
  <c r="I8" i="13"/>
  <c r="J8" i="13" s="1"/>
  <c r="K8" i="13"/>
  <c r="M8" i="13"/>
  <c r="F9" i="13"/>
  <c r="G9" i="13"/>
  <c r="K9" i="13"/>
  <c r="N9" i="13" s="1"/>
  <c r="F10" i="13"/>
  <c r="G10" i="13"/>
  <c r="H10" i="13"/>
  <c r="I10" i="13"/>
  <c r="J10" i="13" s="1"/>
  <c r="K10" i="13"/>
  <c r="N10" i="13" s="1"/>
  <c r="F11" i="13"/>
  <c r="G11" i="13"/>
  <c r="K11" i="13"/>
  <c r="N11" i="13" s="1"/>
  <c r="F12" i="13"/>
  <c r="G12" i="13"/>
  <c r="H12" i="13"/>
  <c r="I12" i="13"/>
  <c r="J12" i="13" s="1"/>
  <c r="K12" i="13"/>
  <c r="N12" i="13" s="1"/>
  <c r="F13" i="13"/>
  <c r="G13" i="13"/>
  <c r="K13" i="13"/>
  <c r="N13" i="13" s="1"/>
  <c r="F14" i="13"/>
  <c r="G14" i="13"/>
  <c r="H14" i="13"/>
  <c r="I14" i="13"/>
  <c r="J14" i="13" s="1"/>
  <c r="K14" i="13"/>
  <c r="N14" i="13" s="1"/>
  <c r="F15" i="13"/>
  <c r="G15" i="13"/>
  <c r="K15" i="13"/>
  <c r="N15" i="13" s="1"/>
  <c r="F16" i="13"/>
  <c r="G16" i="13"/>
  <c r="H15" i="13" s="1"/>
  <c r="H16" i="13"/>
  <c r="I16" i="13"/>
  <c r="J16" i="13" s="1"/>
  <c r="K16" i="13"/>
  <c r="N16" i="13" s="1"/>
  <c r="F17" i="13"/>
  <c r="G17" i="13"/>
  <c r="K17" i="13"/>
  <c r="N17" i="13" s="1"/>
  <c r="M17" i="13"/>
  <c r="F18" i="13"/>
  <c r="G18" i="13"/>
  <c r="H18" i="13"/>
  <c r="I18" i="13"/>
  <c r="J18" i="13" s="1"/>
  <c r="K18" i="13"/>
  <c r="N18" i="13" s="1"/>
  <c r="F19" i="13"/>
  <c r="G19" i="13"/>
  <c r="K19" i="13"/>
  <c r="N19" i="13" s="1"/>
  <c r="F20" i="13"/>
  <c r="G20" i="13"/>
  <c r="H20" i="13"/>
  <c r="I20" i="13"/>
  <c r="J20" i="13" s="1"/>
  <c r="K20" i="13"/>
  <c r="N20" i="13" s="1"/>
  <c r="F21" i="13"/>
  <c r="G21" i="13"/>
  <c r="H21" i="13"/>
  <c r="I21" i="13"/>
  <c r="J21" i="13" s="1"/>
  <c r="F22" i="13"/>
  <c r="G22" i="13"/>
  <c r="H22" i="13"/>
  <c r="I22" i="13"/>
  <c r="J22" i="13" s="1"/>
  <c r="K22" i="13"/>
  <c r="N22" i="13" s="1"/>
  <c r="F23" i="13"/>
  <c r="G23" i="13"/>
  <c r="H23" i="13"/>
  <c r="I23" i="13"/>
  <c r="J23" i="13" s="1"/>
  <c r="F24" i="13"/>
  <c r="G24" i="13"/>
  <c r="H24" i="13"/>
  <c r="I24" i="13"/>
  <c r="J24" i="13" s="1"/>
  <c r="K24" i="13"/>
  <c r="N24" i="13" s="1"/>
  <c r="F25" i="13"/>
  <c r="G25" i="13"/>
  <c r="K25" i="13"/>
  <c r="N25" i="13" s="1"/>
  <c r="F26" i="13"/>
  <c r="G26" i="13"/>
  <c r="H25" i="13" s="1"/>
  <c r="H26" i="13"/>
  <c r="I26" i="13"/>
  <c r="J26" i="13" s="1"/>
  <c r="K26" i="13"/>
  <c r="N26" i="13" s="1"/>
  <c r="F27" i="13"/>
  <c r="G27" i="13"/>
  <c r="K27" i="13"/>
  <c r="N27" i="13" s="1"/>
  <c r="M27" i="13"/>
  <c r="F28" i="13"/>
  <c r="G28" i="13"/>
  <c r="H28" i="13"/>
  <c r="I28" i="13"/>
  <c r="J28" i="13" s="1"/>
  <c r="K28" i="13"/>
  <c r="N28" i="13" s="1"/>
  <c r="M28" i="13"/>
  <c r="F29" i="13"/>
  <c r="G29" i="13"/>
  <c r="K29" i="13"/>
  <c r="N29" i="13" s="1"/>
  <c r="M29" i="13"/>
  <c r="F30" i="13"/>
  <c r="G30" i="13"/>
  <c r="H30" i="13"/>
  <c r="I30" i="13"/>
  <c r="J30" i="13" s="1"/>
  <c r="K30" i="13"/>
  <c r="N30" i="13" s="1"/>
  <c r="M30" i="13"/>
  <c r="F31" i="13"/>
  <c r="G31" i="13"/>
  <c r="K31" i="13"/>
  <c r="N31" i="13" s="1"/>
  <c r="F32" i="13"/>
  <c r="G32" i="13"/>
  <c r="H32" i="13"/>
  <c r="I32" i="13"/>
  <c r="J32" i="13" s="1"/>
  <c r="K32" i="13"/>
  <c r="N32" i="13" s="1"/>
  <c r="F33" i="13"/>
  <c r="G33" i="13"/>
  <c r="K33" i="13"/>
  <c r="N33" i="13" s="1"/>
  <c r="F34" i="13"/>
  <c r="G34" i="13"/>
  <c r="H34" i="13"/>
  <c r="I34" i="13"/>
  <c r="J34" i="13" s="1"/>
  <c r="K34" i="13"/>
  <c r="N34" i="13" s="1"/>
  <c r="F35" i="13"/>
  <c r="G35" i="13"/>
  <c r="H35" i="13"/>
  <c r="I35" i="13"/>
  <c r="J35" i="13" s="1"/>
  <c r="F36" i="13"/>
  <c r="G36" i="13"/>
  <c r="H36" i="13"/>
  <c r="I36" i="13"/>
  <c r="J36" i="13" s="1"/>
  <c r="K36" i="13"/>
  <c r="N36" i="13" s="1"/>
  <c r="F37" i="13"/>
  <c r="G37" i="13"/>
  <c r="K37" i="13"/>
  <c r="N37" i="13" s="1"/>
  <c r="M37" i="13"/>
  <c r="F38" i="13"/>
  <c r="G38" i="13"/>
  <c r="H38" i="13"/>
  <c r="I38" i="13"/>
  <c r="J38" i="13" s="1"/>
  <c r="K38" i="13"/>
  <c r="N38" i="13" s="1"/>
  <c r="M38" i="13"/>
  <c r="F39" i="13"/>
  <c r="G39" i="13"/>
  <c r="K39" i="13"/>
  <c r="N39" i="13" s="1"/>
  <c r="F40" i="13"/>
  <c r="G40" i="13"/>
  <c r="H40" i="13"/>
  <c r="I40" i="13"/>
  <c r="J40" i="13" s="1"/>
  <c r="K40" i="13"/>
  <c r="N40" i="13" s="1"/>
  <c r="F41" i="13"/>
  <c r="G41" i="13"/>
  <c r="K41" i="13"/>
  <c r="N41" i="13" s="1"/>
  <c r="F42" i="13"/>
  <c r="G42" i="13"/>
  <c r="H42" i="13"/>
  <c r="I42" i="13"/>
  <c r="J42" i="13" s="1"/>
  <c r="K42" i="13"/>
  <c r="N42" i="13" s="1"/>
  <c r="F43" i="13"/>
  <c r="G43" i="13"/>
  <c r="K43" i="13"/>
  <c r="N43" i="13" s="1"/>
  <c r="F44" i="13"/>
  <c r="G44" i="13"/>
  <c r="H44" i="13"/>
  <c r="I44" i="13"/>
  <c r="J44" i="13" s="1"/>
  <c r="K44" i="13"/>
  <c r="N44" i="13" s="1"/>
  <c r="M44" i="13"/>
  <c r="F45" i="13"/>
  <c r="G45" i="13"/>
  <c r="K45" i="13"/>
  <c r="N45" i="13" s="1"/>
  <c r="M45" i="13"/>
  <c r="F46" i="13"/>
  <c r="G46" i="13"/>
  <c r="H46" i="13"/>
  <c r="I46" i="13"/>
  <c r="J46" i="13" s="1"/>
  <c r="K46" i="13"/>
  <c r="N46" i="13" s="1"/>
  <c r="F47" i="13"/>
  <c r="G47" i="13"/>
  <c r="K47" i="13"/>
  <c r="N47" i="13" s="1"/>
  <c r="F48" i="13"/>
  <c r="G48" i="13"/>
  <c r="H48" i="13"/>
  <c r="I48" i="13"/>
  <c r="J48" i="13" s="1"/>
  <c r="K48" i="13"/>
  <c r="N48" i="13" s="1"/>
  <c r="F49" i="13"/>
  <c r="G49" i="13"/>
  <c r="K49" i="13"/>
  <c r="N49" i="13" s="1"/>
  <c r="F50" i="13"/>
  <c r="G50" i="13"/>
  <c r="H49" i="13" s="1"/>
  <c r="H50" i="13"/>
  <c r="I50" i="13"/>
  <c r="J50" i="13" s="1"/>
  <c r="K50" i="13"/>
  <c r="N50" i="13" s="1"/>
  <c r="F51" i="13"/>
  <c r="G51" i="13"/>
  <c r="K51" i="13"/>
  <c r="N51" i="13" s="1"/>
  <c r="M51" i="13"/>
  <c r="F52" i="13"/>
  <c r="G52" i="13"/>
  <c r="H52" i="13"/>
  <c r="I52" i="13"/>
  <c r="J52" i="13" s="1"/>
  <c r="K52" i="13"/>
  <c r="N52" i="13" s="1"/>
  <c r="M52" i="13"/>
  <c r="F53" i="13"/>
  <c r="G53" i="13"/>
  <c r="K53" i="13"/>
  <c r="N53" i="13" s="1"/>
  <c r="F54" i="13"/>
  <c r="G54" i="13"/>
  <c r="H54" i="13"/>
  <c r="I54" i="13"/>
  <c r="J54" i="13" s="1"/>
  <c r="K54" i="13"/>
  <c r="N54" i="13" s="1"/>
  <c r="M54" i="13"/>
  <c r="F55" i="13"/>
  <c r="G55" i="13"/>
  <c r="K55" i="13"/>
  <c r="N55" i="13" s="1"/>
  <c r="F56" i="13"/>
  <c r="G56" i="13"/>
  <c r="H56" i="13"/>
  <c r="I56" i="13"/>
  <c r="J56" i="13" s="1"/>
  <c r="K56" i="13"/>
  <c r="N56" i="13" s="1"/>
  <c r="F57" i="13"/>
  <c r="G57" i="13"/>
  <c r="K57" i="13"/>
  <c r="N57" i="13" s="1"/>
  <c r="F58" i="13"/>
  <c r="G58" i="13"/>
  <c r="H57" i="13" s="1"/>
  <c r="H58" i="13"/>
  <c r="I58" i="13"/>
  <c r="J58" i="13" s="1"/>
  <c r="K58" i="13"/>
  <c r="N58" i="13" s="1"/>
  <c r="F8" i="46"/>
  <c r="G8" i="46"/>
  <c r="H8" i="46"/>
  <c r="I8" i="46"/>
  <c r="K8" i="46"/>
  <c r="N8" i="46" s="1"/>
  <c r="F9" i="46"/>
  <c r="G9" i="46"/>
  <c r="H9" i="46"/>
  <c r="I9" i="46"/>
  <c r="J9" i="46" s="1"/>
  <c r="F10" i="46"/>
  <c r="G10" i="46"/>
  <c r="H10" i="46"/>
  <c r="I10" i="46"/>
  <c r="J10" i="46" s="1"/>
  <c r="K10" i="46"/>
  <c r="N10" i="46" s="1"/>
  <c r="F11" i="46"/>
  <c r="G11" i="46"/>
  <c r="K11" i="46"/>
  <c r="N11" i="46" s="1"/>
  <c r="F12" i="46"/>
  <c r="G12" i="46"/>
  <c r="H11" i="46" s="1"/>
  <c r="I11" i="46" s="1"/>
  <c r="J11" i="46" s="1"/>
  <c r="H12" i="46"/>
  <c r="I12" i="46"/>
  <c r="J12" i="46" s="1"/>
  <c r="K12" i="46"/>
  <c r="N12" i="46" s="1"/>
  <c r="F13" i="46"/>
  <c r="G13" i="46"/>
  <c r="H13" i="46"/>
  <c r="I13" i="46"/>
  <c r="J13" i="46" s="1"/>
  <c r="K13" i="46"/>
  <c r="N13" i="46" s="1"/>
  <c r="F14" i="46"/>
  <c r="G14" i="46"/>
  <c r="H14" i="46"/>
  <c r="I14" i="46"/>
  <c r="J14" i="46" s="1"/>
  <c r="K14" i="46"/>
  <c r="N14" i="46" s="1"/>
  <c r="F15" i="46"/>
  <c r="G15" i="46"/>
  <c r="K15" i="46"/>
  <c r="N15" i="46" s="1"/>
  <c r="F16" i="46"/>
  <c r="G16" i="46"/>
  <c r="H15" i="46" s="1"/>
  <c r="I15" i="46" s="1"/>
  <c r="J15" i="46" s="1"/>
  <c r="H16" i="46"/>
  <c r="I16" i="46"/>
  <c r="J16" i="46" s="1"/>
  <c r="K16" i="46"/>
  <c r="N16" i="46" s="1"/>
  <c r="F17" i="46"/>
  <c r="G17" i="46"/>
  <c r="H17" i="46"/>
  <c r="I17" i="46"/>
  <c r="J17" i="46" s="1"/>
  <c r="F18" i="46"/>
  <c r="G18" i="46"/>
  <c r="K17" i="46" s="1"/>
  <c r="N17" i="46" s="1"/>
  <c r="H18" i="46"/>
  <c r="I18" i="46"/>
  <c r="J18" i="46" s="1"/>
  <c r="K18" i="46"/>
  <c r="N18" i="46" s="1"/>
  <c r="F19" i="46"/>
  <c r="G19" i="46"/>
  <c r="K19" i="46"/>
  <c r="N19" i="46" s="1"/>
  <c r="F20" i="46"/>
  <c r="G20" i="46"/>
  <c r="H20" i="46"/>
  <c r="I20" i="46"/>
  <c r="J20" i="46" s="1"/>
  <c r="K20" i="46"/>
  <c r="N20" i="46" s="1"/>
  <c r="F21" i="46"/>
  <c r="G21" i="46"/>
  <c r="H21" i="46"/>
  <c r="I21" i="46"/>
  <c r="J21" i="46" s="1"/>
  <c r="F22" i="46"/>
  <c r="G22" i="46"/>
  <c r="H22" i="46"/>
  <c r="I22" i="46"/>
  <c r="J22" i="46" s="1"/>
  <c r="K22" i="46"/>
  <c r="N22" i="46" s="1"/>
  <c r="F23" i="46"/>
  <c r="G23" i="46"/>
  <c r="K23" i="46"/>
  <c r="N23" i="46" s="1"/>
  <c r="F24" i="46"/>
  <c r="G24" i="46"/>
  <c r="H23" i="46" s="1"/>
  <c r="I23" i="46" s="1"/>
  <c r="J23" i="46" s="1"/>
  <c r="H24" i="46"/>
  <c r="I24" i="46"/>
  <c r="J24" i="46" s="1"/>
  <c r="K24" i="46"/>
  <c r="N24" i="46" s="1"/>
  <c r="M24" i="46"/>
  <c r="F25" i="46"/>
  <c r="G25" i="46"/>
  <c r="H25" i="46"/>
  <c r="I25" i="46"/>
  <c r="J25" i="46" s="1"/>
  <c r="F26" i="46"/>
  <c r="G26" i="46"/>
  <c r="K25" i="46" s="1"/>
  <c r="H26" i="46"/>
  <c r="I26" i="46"/>
  <c r="J26" i="46" s="1"/>
  <c r="K26" i="46"/>
  <c r="N26" i="46" s="1"/>
  <c r="F27" i="46"/>
  <c r="G27" i="46"/>
  <c r="K27" i="46"/>
  <c r="N27" i="46" s="1"/>
  <c r="F28" i="46"/>
  <c r="G28" i="46"/>
  <c r="H27" i="46" s="1"/>
  <c r="I27" i="46" s="1"/>
  <c r="J27" i="46" s="1"/>
  <c r="H28" i="46"/>
  <c r="I28" i="46"/>
  <c r="J28" i="46" s="1"/>
  <c r="K28" i="46"/>
  <c r="N28" i="46" s="1"/>
  <c r="F29" i="46"/>
  <c r="G29" i="46"/>
  <c r="H29" i="46"/>
  <c r="I29" i="46"/>
  <c r="J29" i="46" s="1"/>
  <c r="F30" i="46"/>
  <c r="G30" i="46"/>
  <c r="K29" i="46" s="1"/>
  <c r="H30" i="46"/>
  <c r="I30" i="46"/>
  <c r="J30" i="46" s="1"/>
  <c r="K30" i="46"/>
  <c r="N30" i="46" s="1"/>
  <c r="M30" i="46"/>
  <c r="F31" i="46"/>
  <c r="G31" i="46"/>
  <c r="K31" i="46"/>
  <c r="N31" i="46" s="1"/>
  <c r="F32" i="46"/>
  <c r="G32" i="46"/>
  <c r="H32" i="46"/>
  <c r="I32" i="46"/>
  <c r="J32" i="46" s="1"/>
  <c r="K32" i="46"/>
  <c r="N32" i="46" s="1"/>
  <c r="F33" i="46"/>
  <c r="G33" i="46"/>
  <c r="H33" i="46"/>
  <c r="I33" i="46"/>
  <c r="J33" i="46" s="1"/>
  <c r="F34" i="46"/>
  <c r="G34" i="46"/>
  <c r="H34" i="46"/>
  <c r="I34" i="46"/>
  <c r="J34" i="46" s="1"/>
  <c r="K34" i="46"/>
  <c r="N34" i="46" s="1"/>
  <c r="F35" i="46"/>
  <c r="G35" i="46"/>
  <c r="H35" i="46"/>
  <c r="I35" i="46"/>
  <c r="J35" i="46" s="1"/>
  <c r="F36" i="46"/>
  <c r="G36" i="46"/>
  <c r="H36" i="46"/>
  <c r="I36" i="46"/>
  <c r="J36" i="46" s="1"/>
  <c r="K36" i="46"/>
  <c r="N36" i="46" s="1"/>
  <c r="F37" i="46"/>
  <c r="G37" i="46"/>
  <c r="H37" i="46"/>
  <c r="I37" i="46"/>
  <c r="J37" i="46" s="1"/>
  <c r="F38" i="46"/>
  <c r="G38" i="46"/>
  <c r="K37" i="46" s="1"/>
  <c r="N37" i="46" s="1"/>
  <c r="H38" i="46"/>
  <c r="I38" i="46"/>
  <c r="J38" i="46" s="1"/>
  <c r="K38" i="46"/>
  <c r="N38" i="46" s="1"/>
  <c r="F39" i="46"/>
  <c r="G39" i="46"/>
  <c r="H39" i="46"/>
  <c r="I39" i="46"/>
  <c r="J39" i="46" s="1"/>
  <c r="F40" i="46"/>
  <c r="G40" i="46"/>
  <c r="H40" i="46"/>
  <c r="I40" i="46"/>
  <c r="J40" i="46" s="1"/>
  <c r="K40" i="46"/>
  <c r="N40" i="46" s="1"/>
  <c r="F41" i="46"/>
  <c r="G41" i="46"/>
  <c r="H41" i="46"/>
  <c r="I41" i="46"/>
  <c r="J41" i="46" s="1"/>
  <c r="F42" i="46"/>
  <c r="G42" i="46"/>
  <c r="H42" i="46"/>
  <c r="I42" i="46"/>
  <c r="J42" i="46" s="1"/>
  <c r="K42" i="46"/>
  <c r="N42" i="46" s="1"/>
  <c r="F43" i="46"/>
  <c r="G43" i="46"/>
  <c r="H43" i="46"/>
  <c r="I43" i="46"/>
  <c r="J43" i="46" s="1"/>
  <c r="F44" i="46"/>
  <c r="G44" i="46"/>
  <c r="H44" i="46"/>
  <c r="I44" i="46"/>
  <c r="J44" i="46" s="1"/>
  <c r="K44" i="46"/>
  <c r="N44" i="46" s="1"/>
  <c r="F45" i="46"/>
  <c r="G45" i="46"/>
  <c r="K45" i="46"/>
  <c r="N45" i="46" s="1"/>
  <c r="F46" i="46"/>
  <c r="G46" i="46"/>
  <c r="H46" i="46"/>
  <c r="I46" i="46"/>
  <c r="J46" i="46" s="1"/>
  <c r="K46" i="46"/>
  <c r="N46" i="46" s="1"/>
  <c r="F47" i="46"/>
  <c r="G47" i="46"/>
  <c r="H47" i="46"/>
  <c r="I47" i="46"/>
  <c r="J47" i="46" s="1"/>
  <c r="F48" i="46"/>
  <c r="G48" i="46"/>
  <c r="H48" i="46"/>
  <c r="I48" i="46"/>
  <c r="J48" i="46" s="1"/>
  <c r="K48" i="46"/>
  <c r="N48" i="46" s="1"/>
  <c r="F49" i="46"/>
  <c r="G49" i="46"/>
  <c r="H49" i="46"/>
  <c r="I49" i="46"/>
  <c r="J49" i="46" s="1"/>
  <c r="F50" i="46"/>
  <c r="G50" i="46"/>
  <c r="H50" i="46"/>
  <c r="I50" i="46"/>
  <c r="J50" i="46" s="1"/>
  <c r="K50" i="46"/>
  <c r="N50" i="46" s="1"/>
  <c r="F51" i="46"/>
  <c r="G51" i="46"/>
  <c r="K51" i="46"/>
  <c r="N51" i="46" s="1"/>
  <c r="F52" i="46"/>
  <c r="G52" i="46"/>
  <c r="H51" i="46" s="1"/>
  <c r="I51" i="46" s="1"/>
  <c r="J51" i="46" s="1"/>
  <c r="H52" i="46"/>
  <c r="I52" i="46"/>
  <c r="J52" i="46" s="1"/>
  <c r="K52" i="46"/>
  <c r="N52" i="46" s="1"/>
  <c r="F53" i="46"/>
  <c r="G53" i="46"/>
  <c r="H53" i="46"/>
  <c r="I53" i="46"/>
  <c r="J53" i="46" s="1"/>
  <c r="F54" i="46"/>
  <c r="G54" i="46"/>
  <c r="K53" i="46" s="1"/>
  <c r="H54" i="46"/>
  <c r="I54" i="46"/>
  <c r="J54" i="46" s="1"/>
  <c r="K54" i="46"/>
  <c r="N54" i="46" s="1"/>
  <c r="F55" i="46"/>
  <c r="G55" i="46"/>
  <c r="K55" i="46"/>
  <c r="N55" i="46" s="1"/>
  <c r="M55" i="46"/>
  <c r="F56" i="46"/>
  <c r="G56" i="46"/>
  <c r="H56" i="46"/>
  <c r="I56" i="46"/>
  <c r="J56" i="46" s="1"/>
  <c r="K56" i="46"/>
  <c r="N56" i="46" s="1"/>
  <c r="M56" i="46"/>
  <c r="F57" i="46"/>
  <c r="G57" i="46"/>
  <c r="H57" i="46"/>
  <c r="I57" i="46"/>
  <c r="J57" i="46" s="1"/>
  <c r="F58" i="46"/>
  <c r="G58" i="46"/>
  <c r="H58" i="46"/>
  <c r="I58" i="46"/>
  <c r="J58" i="46" s="1"/>
  <c r="K58" i="46"/>
  <c r="N58" i="46" s="1"/>
  <c r="M58" i="46"/>
  <c r="F59" i="46"/>
  <c r="G59" i="46"/>
  <c r="K59" i="46"/>
  <c r="N59" i="46" s="1"/>
  <c r="F60" i="46"/>
  <c r="G60" i="46"/>
  <c r="H60" i="46"/>
  <c r="I60" i="46"/>
  <c r="J60" i="46" s="1"/>
  <c r="K60" i="46"/>
  <c r="N60" i="46" s="1"/>
  <c r="F61" i="46"/>
  <c r="G61" i="46"/>
  <c r="H61" i="46"/>
  <c r="I61" i="46"/>
  <c r="J61" i="46" s="1"/>
  <c r="F62" i="46"/>
  <c r="G62" i="46"/>
  <c r="K61" i="46" s="1"/>
  <c r="H62" i="46"/>
  <c r="I62" i="46"/>
  <c r="J62" i="46" s="1"/>
  <c r="K62" i="46"/>
  <c r="N62" i="46" s="1"/>
  <c r="F63" i="46"/>
  <c r="G63" i="46"/>
  <c r="K63" i="46"/>
  <c r="N63" i="46" s="1"/>
  <c r="F64" i="46"/>
  <c r="G64" i="46"/>
  <c r="H64" i="46"/>
  <c r="I64" i="46"/>
  <c r="J64" i="46" s="1"/>
  <c r="K64" i="46"/>
  <c r="N64" i="46" s="1"/>
  <c r="F65" i="46"/>
  <c r="G65" i="46"/>
  <c r="H65" i="46"/>
  <c r="I65" i="46"/>
  <c r="J65" i="46" s="1"/>
  <c r="F66" i="46"/>
  <c r="G66" i="46"/>
  <c r="H66" i="46"/>
  <c r="I66" i="46"/>
  <c r="J66" i="46" s="1"/>
  <c r="K66" i="46"/>
  <c r="N66" i="46" s="1"/>
  <c r="F67" i="46"/>
  <c r="G67" i="46"/>
  <c r="H67" i="46"/>
  <c r="I67" i="46"/>
  <c r="J67" i="46" s="1"/>
  <c r="F68" i="46"/>
  <c r="G68" i="46"/>
  <c r="H68" i="46"/>
  <c r="I68" i="46"/>
  <c r="J68" i="46" s="1"/>
  <c r="K68" i="46"/>
  <c r="N68" i="46" s="1"/>
  <c r="F69" i="46"/>
  <c r="G69" i="46"/>
  <c r="H69" i="46"/>
  <c r="I69" i="46"/>
  <c r="J69" i="46" s="1"/>
  <c r="F70" i="46"/>
  <c r="G70" i="46"/>
  <c r="H70" i="46"/>
  <c r="I70" i="46"/>
  <c r="J70" i="46" s="1"/>
  <c r="K70" i="46"/>
  <c r="N70" i="46" s="1"/>
  <c r="F71" i="46"/>
  <c r="G71" i="46"/>
  <c r="H71" i="46"/>
  <c r="I71" i="46"/>
  <c r="J71" i="46" s="1"/>
  <c r="F72" i="46"/>
  <c r="G72" i="46"/>
  <c r="H72" i="46"/>
  <c r="I72" i="46"/>
  <c r="J72" i="46" s="1"/>
  <c r="K72" i="46"/>
  <c r="N72" i="46" s="1"/>
  <c r="F73" i="46"/>
  <c r="G73" i="46"/>
  <c r="H73" i="46"/>
  <c r="I73" i="46"/>
  <c r="J73" i="46" s="1"/>
  <c r="F74" i="46"/>
  <c r="G74" i="46"/>
  <c r="H74" i="46"/>
  <c r="I74" i="46"/>
  <c r="J74" i="46" s="1"/>
  <c r="K74" i="46"/>
  <c r="N74" i="46" s="1"/>
  <c r="F75" i="46"/>
  <c r="G75" i="46"/>
  <c r="K75" i="46"/>
  <c r="N75" i="46" s="1"/>
  <c r="F76" i="46"/>
  <c r="G76" i="46"/>
  <c r="H75" i="46" s="1"/>
  <c r="I75" i="46" s="1"/>
  <c r="J75" i="46" s="1"/>
  <c r="H76" i="46"/>
  <c r="I76" i="46"/>
  <c r="J76" i="46" s="1"/>
  <c r="K76" i="46"/>
  <c r="N76" i="46" s="1"/>
  <c r="F77" i="46"/>
  <c r="G77" i="46"/>
  <c r="H77" i="46"/>
  <c r="I77" i="46"/>
  <c r="J77" i="46" s="1"/>
  <c r="F78" i="46"/>
  <c r="G78" i="46"/>
  <c r="K77" i="46" s="1"/>
  <c r="H78" i="46"/>
  <c r="I78" i="46"/>
  <c r="J78" i="46" s="1"/>
  <c r="K78" i="46"/>
  <c r="N78" i="46" s="1"/>
  <c r="F79" i="46"/>
  <c r="G79" i="46"/>
  <c r="K79" i="46"/>
  <c r="N79" i="46" s="1"/>
  <c r="M79" i="46"/>
  <c r="F80" i="46"/>
  <c r="G80" i="46"/>
  <c r="H80" i="46"/>
  <c r="I80" i="46"/>
  <c r="J80" i="46" s="1"/>
  <c r="K80" i="46"/>
  <c r="N80" i="46" s="1"/>
  <c r="M80" i="46"/>
  <c r="F81" i="46"/>
  <c r="G81" i="46"/>
  <c r="H81" i="46"/>
  <c r="I81" i="46"/>
  <c r="J81" i="46" s="1"/>
  <c r="F82" i="46"/>
  <c r="G82" i="46"/>
  <c r="H82" i="46"/>
  <c r="I82" i="46"/>
  <c r="J82" i="46" s="1"/>
  <c r="K82" i="46"/>
  <c r="N82" i="46" s="1"/>
  <c r="M82" i="46"/>
  <c r="F83" i="46"/>
  <c r="G83" i="46"/>
  <c r="K83" i="46"/>
  <c r="N83" i="46" s="1"/>
  <c r="F84" i="46"/>
  <c r="G84" i="46"/>
  <c r="H84" i="46"/>
  <c r="I84" i="46"/>
  <c r="J84" i="46" s="1"/>
  <c r="K84" i="46"/>
  <c r="N84" i="46" s="1"/>
  <c r="F85" i="46"/>
  <c r="G85" i="46"/>
  <c r="H85" i="46"/>
  <c r="I85" i="46"/>
  <c r="J85" i="46" s="1"/>
  <c r="F86" i="46"/>
  <c r="G86" i="46"/>
  <c r="K85" i="46" s="1"/>
  <c r="N85" i="46" s="1"/>
  <c r="H86" i="46"/>
  <c r="I86" i="46"/>
  <c r="J86" i="46" s="1"/>
  <c r="K86" i="46"/>
  <c r="N86" i="46" s="1"/>
  <c r="F87" i="46"/>
  <c r="G87" i="46"/>
  <c r="H87" i="46"/>
  <c r="I87" i="46"/>
  <c r="J87" i="46" s="1"/>
  <c r="F88" i="46"/>
  <c r="G88" i="46"/>
  <c r="H88" i="46"/>
  <c r="I88" i="46"/>
  <c r="J88" i="46" s="1"/>
  <c r="K88" i="46"/>
  <c r="N88" i="46" s="1"/>
  <c r="F89" i="46"/>
  <c r="G89" i="46"/>
  <c r="K89" i="46"/>
  <c r="N89" i="46" s="1"/>
  <c r="F90" i="46"/>
  <c r="G90" i="46"/>
  <c r="H90" i="46"/>
  <c r="I90" i="46"/>
  <c r="J90" i="46" s="1"/>
  <c r="K90" i="46"/>
  <c r="N90" i="46" s="1"/>
  <c r="M90" i="46"/>
  <c r="F91" i="46"/>
  <c r="G91" i="46"/>
  <c r="H91" i="46"/>
  <c r="I91" i="46"/>
  <c r="J91" i="46" s="1"/>
  <c r="F92" i="46"/>
  <c r="G92" i="46"/>
  <c r="H92" i="46"/>
  <c r="I92" i="46"/>
  <c r="J92" i="46" s="1"/>
  <c r="K92" i="46"/>
  <c r="N92" i="46" s="1"/>
  <c r="F93" i="46"/>
  <c r="G93" i="46"/>
  <c r="K93" i="46"/>
  <c r="M93" i="46" s="1"/>
  <c r="F94" i="46"/>
  <c r="G94" i="46"/>
  <c r="H94" i="46"/>
  <c r="I94" i="46"/>
  <c r="J94" i="46" s="1"/>
  <c r="K94" i="46"/>
  <c r="M94" i="46" s="1"/>
  <c r="F95" i="46"/>
  <c r="G95" i="46"/>
  <c r="K95" i="46"/>
  <c r="M95" i="46" s="1"/>
  <c r="F96" i="46"/>
  <c r="G96" i="46"/>
  <c r="H96" i="46"/>
  <c r="I96" i="46"/>
  <c r="J96" i="46" s="1"/>
  <c r="K96" i="46"/>
  <c r="M96" i="46" s="1"/>
  <c r="N96" i="46"/>
  <c r="F97" i="46"/>
  <c r="G97" i="46"/>
  <c r="H97" i="46"/>
  <c r="I97" i="46"/>
  <c r="J97" i="46" s="1"/>
  <c r="F98" i="46"/>
  <c r="G98" i="46"/>
  <c r="H98" i="46"/>
  <c r="I98" i="46"/>
  <c r="J98" i="46" s="1"/>
  <c r="K98" i="46"/>
  <c r="M98" i="46" s="1"/>
  <c r="F99" i="46"/>
  <c r="G99" i="46"/>
  <c r="K99" i="46"/>
  <c r="M99" i="46" s="1"/>
  <c r="F100" i="46"/>
  <c r="G100" i="46"/>
  <c r="H99" i="46" s="1"/>
  <c r="I99" i="46" s="1"/>
  <c r="J99" i="46" s="1"/>
  <c r="H100" i="46"/>
  <c r="I100" i="46"/>
  <c r="J100" i="46" s="1"/>
  <c r="K100" i="46"/>
  <c r="M100" i="46" s="1"/>
  <c r="F101" i="46"/>
  <c r="G101" i="46"/>
  <c r="H101" i="46"/>
  <c r="I101" i="46"/>
  <c r="J101" i="46" s="1"/>
  <c r="F102" i="46"/>
  <c r="G102" i="46"/>
  <c r="K101" i="46" s="1"/>
  <c r="H102" i="46"/>
  <c r="I102" i="46"/>
  <c r="J102" i="46" s="1"/>
  <c r="K102" i="46"/>
  <c r="M102" i="46" s="1"/>
  <c r="F103" i="46"/>
  <c r="G103" i="46"/>
  <c r="K103" i="46"/>
  <c r="M103" i="46" s="1"/>
  <c r="N103" i="46"/>
  <c r="F104" i="46"/>
  <c r="G104" i="46"/>
  <c r="H104" i="46"/>
  <c r="I104" i="46"/>
  <c r="J104" i="46" s="1"/>
  <c r="K104" i="46"/>
  <c r="M104" i="46" s="1"/>
  <c r="F105" i="46"/>
  <c r="G105" i="46"/>
  <c r="H105" i="46"/>
  <c r="I105" i="46"/>
  <c r="J105" i="46" s="1"/>
  <c r="F106" i="46"/>
  <c r="G106" i="46"/>
  <c r="H106" i="46"/>
  <c r="I106" i="46"/>
  <c r="J106" i="46" s="1"/>
  <c r="K106" i="46"/>
  <c r="M106" i="46" s="1"/>
  <c r="N106" i="46"/>
  <c r="F107" i="46"/>
  <c r="G107" i="46"/>
  <c r="K107" i="46"/>
  <c r="M107" i="46" s="1"/>
  <c r="F108" i="46"/>
  <c r="G108" i="46"/>
  <c r="H108" i="46"/>
  <c r="I108" i="46"/>
  <c r="J108" i="46" s="1"/>
  <c r="K108" i="46"/>
  <c r="M108" i="46" s="1"/>
  <c r="F109" i="46"/>
  <c r="G109" i="46"/>
  <c r="H109" i="46"/>
  <c r="I109" i="46"/>
  <c r="J109" i="46" s="1"/>
  <c r="F110" i="46"/>
  <c r="G110" i="46"/>
  <c r="H110" i="46"/>
  <c r="I110" i="46"/>
  <c r="J110" i="46" s="1"/>
  <c r="K110" i="46"/>
  <c r="M110" i="46" s="1"/>
  <c r="F111" i="46"/>
  <c r="G111" i="46"/>
  <c r="K111" i="46"/>
  <c r="M111" i="46" s="1"/>
  <c r="N111" i="46"/>
  <c r="F112" i="46"/>
  <c r="G112" i="46"/>
  <c r="H112" i="46"/>
  <c r="I112" i="46"/>
  <c r="J112" i="46" s="1"/>
  <c r="K112" i="46"/>
  <c r="M112" i="46" s="1"/>
  <c r="F113" i="46"/>
  <c r="G113" i="46"/>
  <c r="H113" i="46"/>
  <c r="I113" i="46"/>
  <c r="J113" i="46" s="1"/>
  <c r="F114" i="46"/>
  <c r="G114" i="46"/>
  <c r="H114" i="46"/>
  <c r="I114" i="46"/>
  <c r="J114" i="46" s="1"/>
  <c r="K114" i="46"/>
  <c r="M114" i="46" s="1"/>
  <c r="N114" i="46"/>
  <c r="F115" i="46"/>
  <c r="G115" i="46"/>
  <c r="K115" i="46"/>
  <c r="M115" i="46" s="1"/>
  <c r="F116" i="46"/>
  <c r="G116" i="46"/>
  <c r="H115" i="46" s="1"/>
  <c r="I115" i="46" s="1"/>
  <c r="J115" i="46" s="1"/>
  <c r="H116" i="46"/>
  <c r="I116" i="46"/>
  <c r="J116" i="46" s="1"/>
  <c r="K116" i="46"/>
  <c r="M116" i="46" s="1"/>
  <c r="F117" i="46"/>
  <c r="G117" i="46"/>
  <c r="H117" i="46"/>
  <c r="I117" i="46"/>
  <c r="J117" i="46" s="1"/>
  <c r="F118" i="46"/>
  <c r="G118" i="46"/>
  <c r="H118" i="46"/>
  <c r="I118" i="46"/>
  <c r="J118" i="46" s="1"/>
  <c r="K118" i="46"/>
  <c r="M118" i="46" s="1"/>
  <c r="N63" i="57" l="1"/>
  <c r="M63" i="57"/>
  <c r="M34" i="46"/>
  <c r="M49" i="13"/>
  <c r="H47" i="13"/>
  <c r="M32" i="13"/>
  <c r="M22" i="13"/>
  <c r="M19" i="13"/>
  <c r="M63" i="20"/>
  <c r="M75" i="37"/>
  <c r="M67" i="37"/>
  <c r="M60" i="37"/>
  <c r="M10" i="57"/>
  <c r="K109" i="46"/>
  <c r="N104" i="46"/>
  <c r="H83" i="46"/>
  <c r="I83" i="46" s="1"/>
  <c r="J83" i="46" s="1"/>
  <c r="M66" i="46"/>
  <c r="M63" i="46"/>
  <c r="H59" i="46"/>
  <c r="I59" i="46" s="1"/>
  <c r="J59" i="46" s="1"/>
  <c r="M42" i="46"/>
  <c r="K35" i="46"/>
  <c r="M32" i="46"/>
  <c r="M18" i="46"/>
  <c r="K9" i="46"/>
  <c r="N9" i="46" s="1"/>
  <c r="M57" i="13"/>
  <c r="H55" i="13"/>
  <c r="M40" i="13"/>
  <c r="H33" i="13"/>
  <c r="M25" i="13"/>
  <c r="K23" i="13"/>
  <c r="M20" i="13"/>
  <c r="M94" i="20"/>
  <c r="K81" i="20"/>
  <c r="M77" i="20"/>
  <c r="M59" i="20"/>
  <c r="K41" i="20"/>
  <c r="K17" i="20"/>
  <c r="H63" i="37"/>
  <c r="I63" i="37" s="1"/>
  <c r="J63" i="37" s="1"/>
  <c r="M57" i="37"/>
  <c r="M40" i="37"/>
  <c r="M28" i="37"/>
  <c r="M20" i="37"/>
  <c r="M10" i="37"/>
  <c r="M62" i="57"/>
  <c r="M57" i="57"/>
  <c r="K43" i="57"/>
  <c r="N43" i="57" s="1"/>
  <c r="M37" i="57"/>
  <c r="M26" i="57"/>
  <c r="H45" i="46"/>
  <c r="I45" i="46" s="1"/>
  <c r="J45" i="46" s="1"/>
  <c r="J6" i="9"/>
  <c r="D5" i="9" s="1"/>
  <c r="H107" i="46"/>
  <c r="I107" i="46" s="1"/>
  <c r="J107" i="46" s="1"/>
  <c r="H93" i="46"/>
  <c r="M88" i="46"/>
  <c r="M74" i="46"/>
  <c r="K67" i="46"/>
  <c r="M64" i="46"/>
  <c r="M50" i="46"/>
  <c r="K43" i="46"/>
  <c r="N43" i="46" s="1"/>
  <c r="M40" i="46"/>
  <c r="K21" i="46"/>
  <c r="M48" i="13"/>
  <c r="H41" i="13"/>
  <c r="M33" i="13"/>
  <c r="H31" i="13"/>
  <c r="M13" i="13"/>
  <c r="H9" i="13"/>
  <c r="M87" i="20"/>
  <c r="H59" i="20"/>
  <c r="K47" i="20"/>
  <c r="H25" i="20"/>
  <c r="I25" i="20" s="1"/>
  <c r="J25" i="20" s="1"/>
  <c r="H23" i="20"/>
  <c r="I23" i="20" s="1"/>
  <c r="J23" i="20" s="1"/>
  <c r="K21" i="20"/>
  <c r="M14" i="20"/>
  <c r="M84" i="37"/>
  <c r="K83" i="37"/>
  <c r="M72" i="37"/>
  <c r="K69" i="37"/>
  <c r="K65" i="37"/>
  <c r="M52" i="37"/>
  <c r="M37" i="37"/>
  <c r="M18" i="37"/>
  <c r="H83" i="57"/>
  <c r="I83" i="57" s="1"/>
  <c r="J83" i="57" s="1"/>
  <c r="H57" i="57"/>
  <c r="I57" i="57" s="1"/>
  <c r="J57" i="57" s="1"/>
  <c r="K51" i="57"/>
  <c r="N51" i="57" s="1"/>
  <c r="H37" i="57"/>
  <c r="I37" i="57" s="1"/>
  <c r="J37" i="57" s="1"/>
  <c r="N55" i="56"/>
  <c r="K69" i="46"/>
  <c r="N69" i="46" s="1"/>
  <c r="K117" i="46"/>
  <c r="N112" i="46"/>
  <c r="N98" i="46"/>
  <c r="N95" i="46"/>
  <c r="K91" i="46"/>
  <c r="M45" i="46"/>
  <c r="M28" i="46"/>
  <c r="M53" i="13"/>
  <c r="M46" i="13"/>
  <c r="M43" i="13"/>
  <c r="M36" i="13"/>
  <c r="M16" i="13"/>
  <c r="M11" i="13"/>
  <c r="M73" i="20"/>
  <c r="K31" i="20"/>
  <c r="M27" i="20"/>
  <c r="M11" i="20"/>
  <c r="H87" i="37"/>
  <c r="I87" i="37" s="1"/>
  <c r="J87" i="37" s="1"/>
  <c r="M44" i="37"/>
  <c r="H41" i="37"/>
  <c r="I41" i="37" s="1"/>
  <c r="J41" i="37" s="1"/>
  <c r="H29" i="37"/>
  <c r="I29" i="37" s="1"/>
  <c r="J29" i="37" s="1"/>
  <c r="H21" i="37"/>
  <c r="I21" i="37" s="1"/>
  <c r="J21" i="37" s="1"/>
  <c r="M8" i="37"/>
  <c r="M92" i="57"/>
  <c r="M31" i="57"/>
  <c r="M18" i="57"/>
  <c r="N57" i="9"/>
  <c r="N93" i="46"/>
  <c r="M72" i="46"/>
  <c r="M48" i="46"/>
  <c r="M10" i="46"/>
  <c r="M56" i="13"/>
  <c r="M41" i="13"/>
  <c r="H39" i="13"/>
  <c r="M24" i="13"/>
  <c r="M14" i="13"/>
  <c r="H43" i="20"/>
  <c r="I43" i="20" s="1"/>
  <c r="J43" i="20" s="1"/>
  <c r="M80" i="37"/>
  <c r="M64" i="37"/>
  <c r="M50" i="37"/>
  <c r="M13" i="37"/>
  <c r="K9" i="37"/>
  <c r="H17" i="13"/>
  <c r="K79" i="20"/>
  <c r="H73" i="20"/>
  <c r="I73" i="20" s="1"/>
  <c r="J73" i="20" s="1"/>
  <c r="M77" i="37"/>
  <c r="M70" i="37"/>
  <c r="M62" i="37"/>
  <c r="M32" i="37"/>
  <c r="K27" i="37"/>
  <c r="M27" i="37" s="1"/>
  <c r="M54" i="57"/>
  <c r="K53" i="57"/>
  <c r="K39" i="57"/>
  <c r="M34" i="57"/>
  <c r="M6" i="9"/>
  <c r="N55" i="37"/>
  <c r="M55" i="37"/>
  <c r="N27" i="37"/>
  <c r="N23" i="37"/>
  <c r="M23" i="37"/>
  <c r="N51" i="37"/>
  <c r="M51" i="37"/>
  <c r="N71" i="57"/>
  <c r="M71" i="57"/>
  <c r="N35" i="37"/>
  <c r="M35" i="37"/>
  <c r="N95" i="20"/>
  <c r="M95" i="20"/>
  <c r="N79" i="37"/>
  <c r="M79" i="37"/>
  <c r="N15" i="37"/>
  <c r="M15" i="37"/>
  <c r="N83" i="37"/>
  <c r="M83" i="37"/>
  <c r="N69" i="37"/>
  <c r="M69" i="37"/>
  <c r="N65" i="37"/>
  <c r="M65" i="37"/>
  <c r="N47" i="37"/>
  <c r="M47" i="37"/>
  <c r="N19" i="37"/>
  <c r="M19" i="37"/>
  <c r="N9" i="37"/>
  <c r="M9" i="37"/>
  <c r="M58" i="13"/>
  <c r="M55" i="13"/>
  <c r="H53" i="13"/>
  <c r="M50" i="13"/>
  <c r="M47" i="13"/>
  <c r="H45" i="13"/>
  <c r="M42" i="13"/>
  <c r="M39" i="13"/>
  <c r="H37" i="13"/>
  <c r="M34" i="13"/>
  <c r="M31" i="13"/>
  <c r="H29" i="13"/>
  <c r="M26" i="13"/>
  <c r="K21" i="13"/>
  <c r="M18" i="13"/>
  <c r="M15" i="13"/>
  <c r="H13" i="13"/>
  <c r="M10" i="13"/>
  <c r="H69" i="20"/>
  <c r="I69" i="20" s="1"/>
  <c r="J69" i="20" s="1"/>
  <c r="M65" i="20"/>
  <c r="K57" i="20"/>
  <c r="N57" i="20" s="1"/>
  <c r="M26" i="20"/>
  <c r="M88" i="37"/>
  <c r="M85" i="37"/>
  <c r="M82" i="37"/>
  <c r="M78" i="37"/>
  <c r="M68" i="37"/>
  <c r="M63" i="37"/>
  <c r="M56" i="37"/>
  <c r="H45" i="37"/>
  <c r="I45" i="37" s="1"/>
  <c r="J45" i="37" s="1"/>
  <c r="M36" i="37"/>
  <c r="M26" i="37"/>
  <c r="M21" i="37"/>
  <c r="H13" i="37"/>
  <c r="I13" i="37" s="1"/>
  <c r="J13" i="37" s="1"/>
  <c r="M75" i="57"/>
  <c r="M66" i="57"/>
  <c r="K59" i="57"/>
  <c r="K47" i="57"/>
  <c r="M28" i="57"/>
  <c r="M23" i="57"/>
  <c r="M11" i="57"/>
  <c r="K9" i="57"/>
  <c r="N9" i="57" s="1"/>
  <c r="H53" i="20"/>
  <c r="I53" i="20" s="1"/>
  <c r="J53" i="20" s="1"/>
  <c r="H37" i="20"/>
  <c r="I37" i="20" s="1"/>
  <c r="J37" i="20" s="1"/>
  <c r="H51" i="13"/>
  <c r="H43" i="13"/>
  <c r="K35" i="13"/>
  <c r="H27" i="13"/>
  <c r="H19" i="13"/>
  <c r="H11" i="13"/>
  <c r="H65" i="20"/>
  <c r="I65" i="20" s="1"/>
  <c r="J65" i="20" s="1"/>
  <c r="H49" i="20"/>
  <c r="I49" i="20" s="1"/>
  <c r="J49" i="20" s="1"/>
  <c r="K35" i="20"/>
  <c r="N35" i="20" s="1"/>
  <c r="H27" i="20"/>
  <c r="I27" i="20" s="1"/>
  <c r="J27" i="20" s="1"/>
  <c r="H19" i="20"/>
  <c r="J19" i="20" s="1"/>
  <c r="H57" i="37"/>
  <c r="I57" i="37" s="1"/>
  <c r="J57" i="37" s="1"/>
  <c r="H37" i="37"/>
  <c r="I37" i="37" s="1"/>
  <c r="J37" i="37" s="1"/>
  <c r="K67" i="57"/>
  <c r="M33" i="57"/>
  <c r="K29" i="57"/>
  <c r="N29" i="57" s="1"/>
  <c r="M12" i="57"/>
  <c r="N118" i="46"/>
  <c r="N115" i="46"/>
  <c r="K113" i="46"/>
  <c r="N110" i="46"/>
  <c r="N107" i="46"/>
  <c r="K105" i="46"/>
  <c r="N102" i="46"/>
  <c r="N99" i="46"/>
  <c r="K97" i="46"/>
  <c r="N94" i="46"/>
  <c r="H89" i="46"/>
  <c r="I89" i="46" s="1"/>
  <c r="J89" i="46" s="1"/>
  <c r="M86" i="46"/>
  <c r="M83" i="46"/>
  <c r="K81" i="46"/>
  <c r="M78" i="46"/>
  <c r="M75" i="46"/>
  <c r="K73" i="46"/>
  <c r="N73" i="46" s="1"/>
  <c r="M70" i="46"/>
  <c r="K65" i="46"/>
  <c r="M62" i="46"/>
  <c r="M59" i="46"/>
  <c r="K57" i="46"/>
  <c r="M54" i="46"/>
  <c r="M51" i="46"/>
  <c r="K49" i="46"/>
  <c r="M46" i="46"/>
  <c r="K41" i="46"/>
  <c r="M38" i="46"/>
  <c r="K33" i="46"/>
  <c r="N8" i="13"/>
  <c r="K6" i="13"/>
  <c r="K89" i="20"/>
  <c r="H77" i="20"/>
  <c r="I77" i="20" s="1"/>
  <c r="J77" i="20" s="1"/>
  <c r="K71" i="20"/>
  <c r="M43" i="20"/>
  <c r="K33" i="20"/>
  <c r="N33" i="20" s="1"/>
  <c r="M24" i="20"/>
  <c r="M76" i="37"/>
  <c r="M73" i="37"/>
  <c r="M66" i="37"/>
  <c r="M61" i="37"/>
  <c r="M46" i="37"/>
  <c r="M41" i="37"/>
  <c r="M31" i="37"/>
  <c r="M24" i="37"/>
  <c r="M14" i="37"/>
  <c r="H11" i="37"/>
  <c r="I11" i="37" s="1"/>
  <c r="J11" i="37" s="1"/>
  <c r="K55" i="57"/>
  <c r="M45" i="57"/>
  <c r="H15" i="57"/>
  <c r="I15" i="57" s="1"/>
  <c r="J15" i="57" s="1"/>
  <c r="K6" i="9"/>
  <c r="I57" i="13"/>
  <c r="J57" i="13" s="1"/>
  <c r="I33" i="13"/>
  <c r="J33" i="13" s="1"/>
  <c r="I25" i="13"/>
  <c r="J25" i="13" s="1"/>
  <c r="I9" i="13"/>
  <c r="J9" i="13" s="1"/>
  <c r="N47" i="20"/>
  <c r="H15" i="20"/>
  <c r="I15" i="20" s="1"/>
  <c r="J15" i="20" s="1"/>
  <c r="N6" i="9"/>
  <c r="L3" i="9" s="1"/>
  <c r="I49" i="13"/>
  <c r="J49" i="13" s="1"/>
  <c r="J41" i="13"/>
  <c r="I17" i="13"/>
  <c r="J17" i="13" s="1"/>
  <c r="N116" i="46"/>
  <c r="H111" i="46"/>
  <c r="I111" i="46" s="1"/>
  <c r="J111" i="46" s="1"/>
  <c r="N108" i="46"/>
  <c r="H103" i="46"/>
  <c r="I103" i="46" s="1"/>
  <c r="J103" i="46" s="1"/>
  <c r="N100" i="46"/>
  <c r="H95" i="46"/>
  <c r="I95" i="46" s="1"/>
  <c r="J95" i="46" s="1"/>
  <c r="M92" i="46"/>
  <c r="M89" i="46"/>
  <c r="K87" i="46"/>
  <c r="M87" i="46" s="1"/>
  <c r="M84" i="46"/>
  <c r="H79" i="46"/>
  <c r="I79" i="46" s="1"/>
  <c r="J79" i="46" s="1"/>
  <c r="M76" i="46"/>
  <c r="K71" i="46"/>
  <c r="N71" i="46" s="1"/>
  <c r="M68" i="46"/>
  <c r="H63" i="46"/>
  <c r="I63" i="46" s="1"/>
  <c r="J63" i="46" s="1"/>
  <c r="M60" i="46"/>
  <c r="H55" i="46"/>
  <c r="I55" i="46" s="1"/>
  <c r="J55" i="46" s="1"/>
  <c r="M52" i="46"/>
  <c r="K47" i="46"/>
  <c r="N47" i="46" s="1"/>
  <c r="M44" i="46"/>
  <c r="K39" i="46"/>
  <c r="N39" i="46" s="1"/>
  <c r="M36" i="46"/>
  <c r="H31" i="46"/>
  <c r="M26" i="46"/>
  <c r="M83" i="20"/>
  <c r="K67" i="20"/>
  <c r="N67" i="20" s="1"/>
  <c r="K61" i="20"/>
  <c r="K55" i="20"/>
  <c r="M55" i="20" s="1"/>
  <c r="K29" i="20"/>
  <c r="N29" i="20" s="1"/>
  <c r="M22" i="20"/>
  <c r="H77" i="37"/>
  <c r="I77" i="37" s="1"/>
  <c r="J77" i="37" s="1"/>
  <c r="M74" i="37"/>
  <c r="H67" i="37"/>
  <c r="I67" i="37" s="1"/>
  <c r="J67" i="37" s="1"/>
  <c r="M58" i="37"/>
  <c r="M48" i="37"/>
  <c r="M43" i="37"/>
  <c r="M38" i="37"/>
  <c r="H25" i="37"/>
  <c r="I25" i="37" s="1"/>
  <c r="J25" i="37" s="1"/>
  <c r="M16" i="37"/>
  <c r="M11" i="37"/>
  <c r="M86" i="57"/>
  <c r="K77" i="57"/>
  <c r="N77" i="57" s="1"/>
  <c r="H45" i="57"/>
  <c r="I45" i="57" s="1"/>
  <c r="J45" i="57" s="1"/>
  <c r="M20" i="57"/>
  <c r="M15" i="57"/>
  <c r="I6" i="9"/>
  <c r="N23" i="48"/>
  <c r="M23" i="48"/>
  <c r="I55" i="13"/>
  <c r="J55" i="13" s="1"/>
  <c r="I47" i="13"/>
  <c r="J47" i="13" s="1"/>
  <c r="I39" i="13"/>
  <c r="J39" i="13" s="1"/>
  <c r="I31" i="13"/>
  <c r="J31" i="13" s="1"/>
  <c r="I15" i="13"/>
  <c r="J15" i="13" s="1"/>
  <c r="M12" i="13"/>
  <c r="M9" i="13"/>
  <c r="M93" i="20"/>
  <c r="M69" i="20"/>
  <c r="M39" i="20"/>
  <c r="M25" i="20"/>
  <c r="M81" i="37"/>
  <c r="M59" i="37"/>
  <c r="M54" i="37"/>
  <c r="M39" i="37"/>
  <c r="M29" i="37"/>
  <c r="M12" i="37"/>
  <c r="N96" i="57"/>
  <c r="N93" i="57"/>
  <c r="N55" i="57"/>
  <c r="M55" i="57"/>
  <c r="N39" i="57"/>
  <c r="M39" i="57"/>
  <c r="N59" i="57"/>
  <c r="M59" i="57"/>
  <c r="N47" i="57"/>
  <c r="M47" i="57"/>
  <c r="N67" i="57"/>
  <c r="M67" i="57"/>
  <c r="N94" i="57"/>
  <c r="M88" i="57"/>
  <c r="M83" i="57"/>
  <c r="K81" i="57"/>
  <c r="M81" i="57" s="1"/>
  <c r="M73" i="57"/>
  <c r="M32" i="57"/>
  <c r="M24" i="57"/>
  <c r="M16" i="57"/>
  <c r="M8" i="57"/>
  <c r="H91" i="57"/>
  <c r="I91" i="57" s="1"/>
  <c r="J91" i="57" s="1"/>
  <c r="N95" i="57"/>
  <c r="K89" i="57"/>
  <c r="N89" i="57" s="1"/>
  <c r="M74" i="57"/>
  <c r="H73" i="57"/>
  <c r="I73" i="57" s="1"/>
  <c r="J73" i="57" s="1"/>
  <c r="M65" i="57"/>
  <c r="M51" i="57"/>
  <c r="M43" i="57"/>
  <c r="H33" i="57"/>
  <c r="I33" i="57" s="1"/>
  <c r="J33" i="57" s="1"/>
  <c r="M30" i="57"/>
  <c r="M27" i="57"/>
  <c r="M22" i="57"/>
  <c r="M19" i="57"/>
  <c r="K17" i="57"/>
  <c r="N17" i="57" s="1"/>
  <c r="M14" i="57"/>
  <c r="K85" i="57"/>
  <c r="N85" i="57" s="1"/>
  <c r="M69" i="57"/>
  <c r="M49" i="57"/>
  <c r="M41" i="57"/>
  <c r="K13" i="57"/>
  <c r="H87" i="57"/>
  <c r="I87" i="57" s="1"/>
  <c r="J87" i="57" s="1"/>
  <c r="M78" i="57"/>
  <c r="M70" i="57"/>
  <c r="H69" i="57"/>
  <c r="I69" i="57" s="1"/>
  <c r="J69" i="57" s="1"/>
  <c r="M61" i="57"/>
  <c r="H49" i="57"/>
  <c r="I49" i="57" s="1"/>
  <c r="J49" i="57" s="1"/>
  <c r="H41" i="57"/>
  <c r="I41" i="57" s="1"/>
  <c r="J41" i="57" s="1"/>
  <c r="N59" i="67"/>
  <c r="N69" i="67"/>
  <c r="N11" i="67"/>
  <c r="M87" i="67"/>
  <c r="M77" i="67"/>
  <c r="M95" i="67"/>
  <c r="N25" i="67"/>
  <c r="M25" i="67"/>
  <c r="K6" i="67"/>
  <c r="N13" i="67"/>
  <c r="J7" i="67"/>
  <c r="J6" i="67" s="1"/>
  <c r="D5" i="67" s="1"/>
  <c r="J3" i="67" s="1"/>
  <c r="L3" i="67" s="1"/>
  <c r="I6" i="67"/>
  <c r="K3" i="67"/>
  <c r="N15" i="48"/>
  <c r="M15" i="48"/>
  <c r="N19" i="48"/>
  <c r="M19" i="48"/>
  <c r="N81" i="57"/>
  <c r="M89" i="57"/>
  <c r="M77" i="57"/>
  <c r="N53" i="57"/>
  <c r="M90" i="57"/>
  <c r="M84" i="57"/>
  <c r="M80" i="57"/>
  <c r="M76" i="57"/>
  <c r="M72" i="57"/>
  <c r="M68" i="57"/>
  <c r="M64" i="57"/>
  <c r="M60" i="57"/>
  <c r="M56" i="57"/>
  <c r="M52" i="57"/>
  <c r="M48" i="57"/>
  <c r="M44" i="57"/>
  <c r="M40" i="57"/>
  <c r="M36" i="57"/>
  <c r="H23" i="57"/>
  <c r="I23" i="57" s="1"/>
  <c r="J23" i="57" s="1"/>
  <c r="M91" i="57"/>
  <c r="M29" i="57"/>
  <c r="H27" i="57"/>
  <c r="I27" i="57" s="1"/>
  <c r="J27" i="57" s="1"/>
  <c r="K21" i="57"/>
  <c r="M9" i="57"/>
  <c r="M50" i="57"/>
  <c r="M46" i="57"/>
  <c r="M42" i="57"/>
  <c r="M38" i="57"/>
  <c r="K35" i="57"/>
  <c r="M87" i="57"/>
  <c r="K25" i="57"/>
  <c r="H19" i="57"/>
  <c r="I19" i="57" s="1"/>
  <c r="J19" i="57" s="1"/>
  <c r="J59" i="20"/>
  <c r="N85" i="20"/>
  <c r="M85" i="20"/>
  <c r="N41" i="20"/>
  <c r="M41" i="20"/>
  <c r="N17" i="20"/>
  <c r="M17" i="20"/>
  <c r="N81" i="20"/>
  <c r="M81" i="20"/>
  <c r="N21" i="20"/>
  <c r="M21" i="20"/>
  <c r="N71" i="20"/>
  <c r="M71" i="20"/>
  <c r="N89" i="20"/>
  <c r="M89" i="20"/>
  <c r="N45" i="20"/>
  <c r="M45" i="20"/>
  <c r="M47" i="20" s="1"/>
  <c r="N31" i="20"/>
  <c r="M31" i="20"/>
  <c r="M67" i="20"/>
  <c r="N61" i="20"/>
  <c r="M61" i="20"/>
  <c r="N55" i="20"/>
  <c r="N79" i="20"/>
  <c r="M79" i="20"/>
  <c r="N51" i="20"/>
  <c r="M51" i="20"/>
  <c r="M92" i="20"/>
  <c r="M88" i="20"/>
  <c r="M84" i="20"/>
  <c r="M80" i="20"/>
  <c r="M76" i="20"/>
  <c r="M72" i="20"/>
  <c r="M68" i="20"/>
  <c r="M64" i="20"/>
  <c r="M60" i="20"/>
  <c r="M56" i="20"/>
  <c r="M52" i="20"/>
  <c r="M48" i="20"/>
  <c r="M44" i="20"/>
  <c r="M40" i="20"/>
  <c r="M36" i="20"/>
  <c r="M32" i="20"/>
  <c r="M28" i="20"/>
  <c r="M18" i="20"/>
  <c r="M53" i="20"/>
  <c r="M49" i="20"/>
  <c r="M37" i="20"/>
  <c r="M15" i="20"/>
  <c r="M90" i="20"/>
  <c r="M86" i="20"/>
  <c r="M82" i="20"/>
  <c r="M78" i="20"/>
  <c r="M74" i="20"/>
  <c r="M70" i="20"/>
  <c r="M66" i="20"/>
  <c r="M62" i="20"/>
  <c r="M58" i="20"/>
  <c r="M54" i="20"/>
  <c r="M50" i="20"/>
  <c r="M46" i="20"/>
  <c r="M42" i="20"/>
  <c r="M38" i="20"/>
  <c r="M34" i="20"/>
  <c r="M30" i="20"/>
  <c r="M23" i="20"/>
  <c r="M16" i="20"/>
  <c r="M9" i="20"/>
  <c r="M20" i="20"/>
  <c r="M13" i="20"/>
  <c r="M10" i="20"/>
  <c r="M21" i="13"/>
  <c r="N21" i="13"/>
  <c r="M35" i="13"/>
  <c r="N35" i="13"/>
  <c r="M23" i="13"/>
  <c r="N23" i="13"/>
  <c r="M109" i="46"/>
  <c r="N109" i="46"/>
  <c r="N101" i="46"/>
  <c r="M101" i="46"/>
  <c r="N77" i="46"/>
  <c r="M77" i="46"/>
  <c r="N61" i="46"/>
  <c r="M61" i="46"/>
  <c r="N53" i="46"/>
  <c r="M53" i="46"/>
  <c r="N67" i="46"/>
  <c r="M67" i="46"/>
  <c r="N35" i="46"/>
  <c r="M35" i="46"/>
  <c r="N25" i="46"/>
  <c r="M25" i="46"/>
  <c r="N117" i="46"/>
  <c r="M117" i="46"/>
  <c r="N91" i="46"/>
  <c r="M91" i="46"/>
  <c r="N105" i="46"/>
  <c r="M105" i="46"/>
  <c r="N65" i="46"/>
  <c r="M65" i="46"/>
  <c r="N57" i="46"/>
  <c r="M57" i="46"/>
  <c r="N49" i="46"/>
  <c r="M49" i="46"/>
  <c r="N33" i="46"/>
  <c r="M33" i="46"/>
  <c r="M113" i="46"/>
  <c r="N113" i="46"/>
  <c r="M97" i="46"/>
  <c r="N97" i="46"/>
  <c r="N81" i="46"/>
  <c r="M81" i="46"/>
  <c r="N21" i="46"/>
  <c r="M21" i="46"/>
  <c r="N87" i="46"/>
  <c r="N29" i="46"/>
  <c r="M29" i="46"/>
  <c r="M20" i="46"/>
  <c r="M17" i="46"/>
  <c r="M14" i="46"/>
  <c r="M11" i="46"/>
  <c r="M8" i="46"/>
  <c r="M22" i="46"/>
  <c r="H19" i="46"/>
  <c r="I19" i="46" s="1"/>
  <c r="J19" i="46" s="1"/>
  <c r="M15" i="46"/>
  <c r="M12" i="46"/>
  <c r="M9" i="46"/>
  <c r="M19" i="46"/>
  <c r="M16" i="46"/>
  <c r="M13" i="46"/>
  <c r="M31" i="46"/>
  <c r="M27" i="46"/>
  <c r="M23" i="46"/>
  <c r="M17" i="57" l="1"/>
  <c r="I27" i="13"/>
  <c r="J27" i="13" s="1"/>
  <c r="S5" i="9"/>
  <c r="I51" i="13"/>
  <c r="J51" i="13" s="1"/>
  <c r="I11" i="13"/>
  <c r="J11" i="13" s="1"/>
  <c r="I45" i="13"/>
  <c r="J45" i="13" s="1"/>
  <c r="I29" i="13"/>
  <c r="J29" i="13" s="1"/>
  <c r="I19" i="13"/>
  <c r="J19" i="13" s="1"/>
  <c r="I53" i="13"/>
  <c r="J53" i="13" s="1"/>
  <c r="M71" i="46"/>
  <c r="M29" i="20"/>
  <c r="M85" i="57"/>
  <c r="I43" i="13"/>
  <c r="J43" i="13" s="1"/>
  <c r="M39" i="46"/>
  <c r="I13" i="13"/>
  <c r="J13" i="13" s="1"/>
  <c r="J37" i="13"/>
  <c r="N13" i="57"/>
  <c r="M13" i="57"/>
  <c r="N6" i="67"/>
  <c r="N3" i="67" s="1"/>
  <c r="M6" i="67"/>
  <c r="M3" i="67" s="1"/>
  <c r="U4" i="67"/>
  <c r="N21" i="57"/>
  <c r="M21" i="57"/>
  <c r="N35" i="57"/>
  <c r="M35" i="57"/>
  <c r="N25" i="57"/>
  <c r="M25" i="57"/>
  <c r="S5" i="67" l="1"/>
  <c r="J3" i="48"/>
  <c r="K7" i="41" l="1"/>
  <c r="M7" i="41" s="1"/>
  <c r="F7" i="41"/>
  <c r="G7" i="41"/>
  <c r="H7" i="41" l="1"/>
  <c r="I7" i="41" s="1"/>
  <c r="I6" i="41" s="1"/>
  <c r="J7" i="41" l="1"/>
  <c r="F7" i="57"/>
  <c r="G7" i="57"/>
  <c r="K7" i="57"/>
  <c r="M7" i="57" l="1"/>
  <c r="M6" i="57" s="1"/>
  <c r="K6" i="57"/>
  <c r="H7" i="57"/>
  <c r="I7" i="57" s="1"/>
  <c r="N7" i="57"/>
  <c r="N6" i="57" s="1"/>
  <c r="J7" i="57" l="1"/>
  <c r="J6" i="57" s="1"/>
  <c r="I6" i="57"/>
  <c r="K6" i="41"/>
  <c r="L6" i="41"/>
  <c r="F7" i="59" l="1"/>
  <c r="G7" i="59"/>
  <c r="H7" i="59" s="1"/>
  <c r="I7" i="59" s="1"/>
  <c r="K7" i="59"/>
  <c r="E2" i="37"/>
  <c r="J7" i="59" l="1"/>
  <c r="I6" i="59" l="1"/>
  <c r="K3" i="9" l="1"/>
  <c r="J6" i="41"/>
  <c r="J3" i="9"/>
  <c r="J3" i="41" l="1"/>
  <c r="U4" i="9"/>
  <c r="J3" i="57" l="1"/>
  <c r="L3" i="57" s="1"/>
  <c r="J3" i="20"/>
  <c r="F7" i="56" l="1"/>
  <c r="G7" i="56"/>
  <c r="K7" i="56"/>
  <c r="M7" i="56" l="1"/>
  <c r="M6" i="56" s="1"/>
  <c r="K6" i="56"/>
  <c r="K3" i="56"/>
  <c r="N7" i="56"/>
  <c r="N6" i="56" s="1"/>
  <c r="H7" i="56"/>
  <c r="I7" i="56" s="1"/>
  <c r="I6" i="56" s="1"/>
  <c r="J7" i="56" l="1"/>
  <c r="J6" i="56" s="1"/>
  <c r="F5" i="56" s="1"/>
  <c r="H8" i="50" l="1"/>
  <c r="I8" i="50"/>
  <c r="J8" i="50"/>
  <c r="K8" i="50"/>
  <c r="M8" i="50" s="1"/>
  <c r="K9" i="50"/>
  <c r="M9" i="50" s="1"/>
  <c r="H10" i="50"/>
  <c r="I10" i="50"/>
  <c r="J10" i="50"/>
  <c r="K10" i="50"/>
  <c r="M10" i="50" s="1"/>
  <c r="K11" i="50"/>
  <c r="M11" i="50" s="1"/>
  <c r="N11" i="50"/>
  <c r="H12" i="50"/>
  <c r="I12" i="50"/>
  <c r="J12" i="50"/>
  <c r="K12" i="50"/>
  <c r="M12" i="50" s="1"/>
  <c r="K13" i="50"/>
  <c r="N13" i="50" s="1"/>
  <c r="H14" i="50"/>
  <c r="I14" i="50"/>
  <c r="J14" i="50"/>
  <c r="K14" i="50"/>
  <c r="M14" i="50" s="1"/>
  <c r="K15" i="50"/>
  <c r="N15" i="50" s="1"/>
  <c r="M15" i="50"/>
  <c r="H16" i="50"/>
  <c r="I16" i="50"/>
  <c r="J16" i="50"/>
  <c r="K16" i="50"/>
  <c r="M16" i="50" s="1"/>
  <c r="K17" i="50"/>
  <c r="N17" i="50" s="1"/>
  <c r="H18" i="50"/>
  <c r="I18" i="50"/>
  <c r="J18" i="50"/>
  <c r="K18" i="50"/>
  <c r="M18" i="50" s="1"/>
  <c r="K7" i="50"/>
  <c r="N7" i="50" s="1"/>
  <c r="K7" i="55"/>
  <c r="N7" i="55" s="1"/>
  <c r="J8" i="58"/>
  <c r="J10" i="58"/>
  <c r="J12" i="58"/>
  <c r="J14" i="58"/>
  <c r="J16" i="58"/>
  <c r="J18" i="58"/>
  <c r="J20" i="58"/>
  <c r="I8" i="58"/>
  <c r="I10" i="58"/>
  <c r="I12" i="58"/>
  <c r="I14" i="58"/>
  <c r="I16" i="58"/>
  <c r="I18" i="58"/>
  <c r="I20" i="58"/>
  <c r="H8" i="58"/>
  <c r="H10" i="58"/>
  <c r="H12" i="58"/>
  <c r="H14" i="58"/>
  <c r="H16" i="58"/>
  <c r="H18" i="58"/>
  <c r="H20" i="58"/>
  <c r="K7" i="58"/>
  <c r="K8" i="58"/>
  <c r="M8" i="58" s="1"/>
  <c r="K9" i="58"/>
  <c r="M9" i="58" s="1"/>
  <c r="K10" i="58"/>
  <c r="M10" i="58" s="1"/>
  <c r="K11" i="58"/>
  <c r="M11" i="58" s="1"/>
  <c r="K12" i="58"/>
  <c r="M12" i="58" s="1"/>
  <c r="K13" i="58"/>
  <c r="M13" i="58" s="1"/>
  <c r="K14" i="58"/>
  <c r="M14" i="58" s="1"/>
  <c r="K15" i="58"/>
  <c r="M15" i="58"/>
  <c r="K16" i="58"/>
  <c r="M16" i="58" s="1"/>
  <c r="K17" i="58"/>
  <c r="M17" i="58"/>
  <c r="K18" i="58"/>
  <c r="M18" i="58" s="1"/>
  <c r="K19" i="58"/>
  <c r="M19" i="58" s="1"/>
  <c r="K20" i="58"/>
  <c r="M20" i="58" s="1"/>
  <c r="M7" i="58"/>
  <c r="N12" i="50" l="1"/>
  <c r="N16" i="50"/>
  <c r="M13" i="50"/>
  <c r="M17" i="50"/>
  <c r="N8" i="50"/>
  <c r="N9" i="50"/>
  <c r="N18" i="50"/>
  <c r="N14" i="50"/>
  <c r="N10" i="50"/>
  <c r="M7" i="50"/>
  <c r="M7" i="55"/>
  <c r="I1" i="50" l="1"/>
  <c r="F9" i="50"/>
  <c r="G9" i="50"/>
  <c r="F10" i="50"/>
  <c r="G10" i="50"/>
  <c r="H9" i="50" s="1"/>
  <c r="F11" i="50"/>
  <c r="G11" i="50"/>
  <c r="F12" i="50"/>
  <c r="G12" i="50"/>
  <c r="F13" i="50"/>
  <c r="G13" i="50"/>
  <c r="F14" i="50"/>
  <c r="G14" i="50"/>
  <c r="H13" i="50" s="1"/>
  <c r="F15" i="50"/>
  <c r="G15" i="50"/>
  <c r="F16" i="50"/>
  <c r="G16" i="50"/>
  <c r="F17" i="50"/>
  <c r="G17" i="50"/>
  <c r="F18" i="50"/>
  <c r="G18" i="50"/>
  <c r="H17" i="50" s="1"/>
  <c r="G9" i="58"/>
  <c r="G10" i="58"/>
  <c r="G11" i="58"/>
  <c r="G12" i="58"/>
  <c r="N12" i="58"/>
  <c r="G13" i="58"/>
  <c r="N13" i="58"/>
  <c r="G14" i="58"/>
  <c r="H13" i="58" s="1"/>
  <c r="N14" i="58"/>
  <c r="G15" i="58"/>
  <c r="N15" i="58"/>
  <c r="G16" i="58"/>
  <c r="G17" i="58"/>
  <c r="N17" i="58"/>
  <c r="G18" i="58"/>
  <c r="N18" i="58"/>
  <c r="G19" i="58"/>
  <c r="G20" i="58"/>
  <c r="L6" i="59"/>
  <c r="I1" i="59"/>
  <c r="F20" i="58"/>
  <c r="F19" i="58"/>
  <c r="F18" i="58"/>
  <c r="F17" i="58"/>
  <c r="F16" i="58"/>
  <c r="F15" i="58"/>
  <c r="F14" i="58"/>
  <c r="F13" i="58"/>
  <c r="F12" i="58"/>
  <c r="F11" i="58"/>
  <c r="F10" i="58"/>
  <c r="F9" i="58"/>
  <c r="G8" i="58"/>
  <c r="F8" i="58"/>
  <c r="G7" i="58"/>
  <c r="F7" i="58"/>
  <c r="L6" i="58"/>
  <c r="I1" i="58"/>
  <c r="I1" i="57"/>
  <c r="F7" i="46"/>
  <c r="H7" i="58" l="1"/>
  <c r="J7" i="58" s="1"/>
  <c r="H11" i="58"/>
  <c r="J11" i="58" s="1"/>
  <c r="K6" i="46"/>
  <c r="K3" i="46"/>
  <c r="H19" i="58"/>
  <c r="J19" i="58" s="1"/>
  <c r="H9" i="58"/>
  <c r="I9" i="58" s="1"/>
  <c r="H17" i="58"/>
  <c r="I17" i="58" s="1"/>
  <c r="I11" i="58"/>
  <c r="I7" i="58"/>
  <c r="J9" i="50"/>
  <c r="I9" i="50"/>
  <c r="I13" i="58"/>
  <c r="J13" i="58"/>
  <c r="J17" i="50"/>
  <c r="I17" i="50"/>
  <c r="J13" i="50"/>
  <c r="I13" i="50"/>
  <c r="H15" i="58"/>
  <c r="H15" i="50"/>
  <c r="H11" i="50"/>
  <c r="K3" i="57"/>
  <c r="N3" i="57"/>
  <c r="N7" i="46"/>
  <c r="J6" i="59"/>
  <c r="I3" i="59" s="1"/>
  <c r="N16" i="58"/>
  <c r="N19" i="58"/>
  <c r="N20" i="58"/>
  <c r="N9" i="58"/>
  <c r="N10" i="58"/>
  <c r="N11" i="58"/>
  <c r="K6" i="59"/>
  <c r="N7" i="58"/>
  <c r="N8" i="58"/>
  <c r="K6" i="58"/>
  <c r="M6" i="46"/>
  <c r="I6" i="46"/>
  <c r="J9" i="58" l="1"/>
  <c r="I19" i="58"/>
  <c r="J17" i="58"/>
  <c r="N6" i="46"/>
  <c r="S5" i="46" s="1"/>
  <c r="I15" i="50"/>
  <c r="J15" i="50"/>
  <c r="I11" i="50"/>
  <c r="J11" i="50"/>
  <c r="J15" i="58"/>
  <c r="J6" i="58" s="1"/>
  <c r="I15" i="58"/>
  <c r="M3" i="57"/>
  <c r="J6" i="46"/>
  <c r="N6" i="58"/>
  <c r="I6" i="58"/>
  <c r="M6" i="58"/>
  <c r="F8" i="50"/>
  <c r="G8" i="50"/>
  <c r="G7" i="50"/>
  <c r="F7" i="50"/>
  <c r="L3" i="56"/>
  <c r="M3" i="56" s="1"/>
  <c r="N3" i="46" l="1"/>
  <c r="H7" i="50"/>
  <c r="U4" i="57"/>
  <c r="I3" i="58"/>
  <c r="J7" i="50" l="1"/>
  <c r="I7" i="50"/>
  <c r="S5" i="57"/>
  <c r="L3" i="41"/>
  <c r="I3" i="41" s="1"/>
  <c r="J3" i="56" l="1"/>
  <c r="I1" i="56"/>
  <c r="N3" i="56" l="1"/>
  <c r="U4" i="56" l="1"/>
  <c r="J6" i="50"/>
  <c r="I6" i="50"/>
  <c r="I3" i="50" s="1"/>
  <c r="S5" i="56"/>
  <c r="G7" i="55" l="1"/>
  <c r="H7" i="55" s="1"/>
  <c r="F7" i="55"/>
  <c r="L6" i="55"/>
  <c r="I1" i="55"/>
  <c r="E2" i="21"/>
  <c r="F8" i="21"/>
  <c r="G8" i="21"/>
  <c r="H8" i="21"/>
  <c r="I8" i="21"/>
  <c r="J8" i="21" s="1"/>
  <c r="K8" i="21"/>
  <c r="M8" i="21" s="1"/>
  <c r="F9" i="21"/>
  <c r="G9" i="21"/>
  <c r="H9" i="21"/>
  <c r="I9" i="21"/>
  <c r="J9" i="21" s="1"/>
  <c r="F10" i="21"/>
  <c r="G10" i="21"/>
  <c r="H10" i="21"/>
  <c r="I10" i="21"/>
  <c r="J10" i="21" s="1"/>
  <c r="K10" i="21"/>
  <c r="M10" i="21" s="1"/>
  <c r="F11" i="21"/>
  <c r="G11" i="21"/>
  <c r="K11" i="21"/>
  <c r="M11" i="21" s="1"/>
  <c r="F12" i="21"/>
  <c r="G12" i="21"/>
  <c r="H12" i="21"/>
  <c r="I12" i="21"/>
  <c r="J12" i="21" s="1"/>
  <c r="K12" i="21"/>
  <c r="M12" i="21" s="1"/>
  <c r="F13" i="21"/>
  <c r="G13" i="21"/>
  <c r="H13" i="21"/>
  <c r="I13" i="21"/>
  <c r="J13" i="21" s="1"/>
  <c r="F14" i="21"/>
  <c r="G14" i="21"/>
  <c r="H14" i="21"/>
  <c r="I14" i="21"/>
  <c r="J14" i="21" s="1"/>
  <c r="K14" i="21"/>
  <c r="M14" i="21" s="1"/>
  <c r="F15" i="21"/>
  <c r="G15" i="21"/>
  <c r="K15" i="21"/>
  <c r="M15" i="21" s="1"/>
  <c r="F16" i="21"/>
  <c r="G16" i="21"/>
  <c r="H16" i="21"/>
  <c r="I16" i="21"/>
  <c r="J16" i="21" s="1"/>
  <c r="K16" i="21"/>
  <c r="M16" i="21" s="1"/>
  <c r="F17" i="21"/>
  <c r="G17" i="21"/>
  <c r="H17" i="21"/>
  <c r="I17" i="21"/>
  <c r="J17" i="21" s="1"/>
  <c r="F18" i="21"/>
  <c r="G18" i="21"/>
  <c r="H18" i="21"/>
  <c r="I18" i="21"/>
  <c r="J18" i="21" s="1"/>
  <c r="K18" i="21"/>
  <c r="M18" i="21" s="1"/>
  <c r="F19" i="21"/>
  <c r="G19" i="21"/>
  <c r="K19" i="21"/>
  <c r="M19" i="21" s="1"/>
  <c r="F20" i="21"/>
  <c r="G20" i="21"/>
  <c r="H20" i="21"/>
  <c r="I20" i="21"/>
  <c r="J20" i="21" s="1"/>
  <c r="K20" i="21"/>
  <c r="M20" i="21" s="1"/>
  <c r="F21" i="21"/>
  <c r="G21" i="21"/>
  <c r="K21" i="21"/>
  <c r="M21" i="21" s="1"/>
  <c r="F22" i="21"/>
  <c r="G22" i="21"/>
  <c r="H22" i="21"/>
  <c r="I22" i="21"/>
  <c r="J22" i="21" s="1"/>
  <c r="K22" i="21"/>
  <c r="M22" i="21" s="1"/>
  <c r="F23" i="21"/>
  <c r="G23" i="21"/>
  <c r="H23" i="21"/>
  <c r="I23" i="21"/>
  <c r="J23" i="21" s="1"/>
  <c r="F24" i="21"/>
  <c r="G24" i="21"/>
  <c r="H24" i="21"/>
  <c r="I24" i="21"/>
  <c r="J24" i="21" s="1"/>
  <c r="K24" i="21"/>
  <c r="M24" i="21" s="1"/>
  <c r="F25" i="21"/>
  <c r="G25" i="21"/>
  <c r="K25" i="21"/>
  <c r="M25" i="21" s="1"/>
  <c r="F26" i="21"/>
  <c r="G26" i="21"/>
  <c r="H26" i="21"/>
  <c r="I26" i="21"/>
  <c r="J26" i="21" s="1"/>
  <c r="K26" i="21"/>
  <c r="M26" i="21" s="1"/>
  <c r="F27" i="21"/>
  <c r="G27" i="21"/>
  <c r="H27" i="21"/>
  <c r="I27" i="21"/>
  <c r="J27" i="21" s="1"/>
  <c r="F28" i="21"/>
  <c r="G28" i="21"/>
  <c r="H28" i="21"/>
  <c r="I28" i="21"/>
  <c r="J28" i="21" s="1"/>
  <c r="K28" i="21"/>
  <c r="M28" i="21" s="1"/>
  <c r="F29" i="21"/>
  <c r="G29" i="21"/>
  <c r="K29" i="21"/>
  <c r="M29" i="21" s="1"/>
  <c r="F30" i="21"/>
  <c r="G30" i="21"/>
  <c r="H30" i="21"/>
  <c r="I30" i="21"/>
  <c r="J30" i="21" s="1"/>
  <c r="K30" i="21"/>
  <c r="M30" i="21" s="1"/>
  <c r="F31" i="21"/>
  <c r="G31" i="21"/>
  <c r="K31" i="21"/>
  <c r="M31" i="21" s="1"/>
  <c r="F32" i="21"/>
  <c r="G32" i="21"/>
  <c r="H32" i="21"/>
  <c r="I32" i="21"/>
  <c r="J32" i="21" s="1"/>
  <c r="K32" i="21"/>
  <c r="M32" i="21" s="1"/>
  <c r="F33" i="21"/>
  <c r="G33" i="21"/>
  <c r="H33" i="21"/>
  <c r="I33" i="21"/>
  <c r="J33" i="21" s="1"/>
  <c r="F34" i="21"/>
  <c r="G34" i="21"/>
  <c r="H34" i="21"/>
  <c r="I34" i="21"/>
  <c r="J34" i="21" s="1"/>
  <c r="K34" i="21"/>
  <c r="M34" i="21" s="1"/>
  <c r="F35" i="21"/>
  <c r="G35" i="21"/>
  <c r="K35" i="21"/>
  <c r="M35" i="21" s="1"/>
  <c r="F36" i="21"/>
  <c r="G36" i="21"/>
  <c r="H36" i="21"/>
  <c r="I36" i="21"/>
  <c r="J36" i="21" s="1"/>
  <c r="K36" i="21"/>
  <c r="M36" i="21" s="1"/>
  <c r="F37" i="21"/>
  <c r="G37" i="21"/>
  <c r="H37" i="21"/>
  <c r="I37" i="21"/>
  <c r="J37" i="21" s="1"/>
  <c r="F38" i="21"/>
  <c r="G38" i="21"/>
  <c r="H38" i="21"/>
  <c r="I38" i="21"/>
  <c r="J38" i="21" s="1"/>
  <c r="K38" i="21"/>
  <c r="M38" i="21" s="1"/>
  <c r="F39" i="21"/>
  <c r="G39" i="21"/>
  <c r="K39" i="21"/>
  <c r="M39" i="21" s="1"/>
  <c r="F40" i="21"/>
  <c r="G40" i="21"/>
  <c r="H40" i="21"/>
  <c r="I40" i="21"/>
  <c r="J40" i="21" s="1"/>
  <c r="K40" i="21"/>
  <c r="M40" i="21" s="1"/>
  <c r="F41" i="21"/>
  <c r="G41" i="21"/>
  <c r="K41" i="21"/>
  <c r="M41" i="21" s="1"/>
  <c r="F42" i="21"/>
  <c r="G42" i="21"/>
  <c r="H42" i="21"/>
  <c r="I42" i="21"/>
  <c r="J42" i="21" s="1"/>
  <c r="K42" i="21"/>
  <c r="M42" i="21" s="1"/>
  <c r="F43" i="21"/>
  <c r="G43" i="21"/>
  <c r="K43" i="21"/>
  <c r="M43" i="21" s="1"/>
  <c r="F44" i="21"/>
  <c r="G44" i="21"/>
  <c r="H44" i="21"/>
  <c r="I44" i="21"/>
  <c r="J44" i="21" s="1"/>
  <c r="K44" i="21"/>
  <c r="M44" i="21" s="1"/>
  <c r="F45" i="21"/>
  <c r="G45" i="21"/>
  <c r="H45" i="21"/>
  <c r="I45" i="21"/>
  <c r="J45" i="21" s="1"/>
  <c r="F46" i="21"/>
  <c r="G46" i="21"/>
  <c r="H46" i="21"/>
  <c r="I46" i="21"/>
  <c r="J46" i="21" s="1"/>
  <c r="K46" i="21"/>
  <c r="M46" i="21" s="1"/>
  <c r="F47" i="21"/>
  <c r="G47" i="21"/>
  <c r="K47" i="21"/>
  <c r="M47" i="21" s="1"/>
  <c r="F48" i="21"/>
  <c r="G48" i="21"/>
  <c r="H48" i="21"/>
  <c r="I48" i="21"/>
  <c r="J48" i="21" s="1"/>
  <c r="K48" i="21"/>
  <c r="M48" i="21" s="1"/>
  <c r="F49" i="21"/>
  <c r="G49" i="21"/>
  <c r="H49" i="21"/>
  <c r="I49" i="21"/>
  <c r="J49" i="21" s="1"/>
  <c r="F50" i="21"/>
  <c r="G50" i="21"/>
  <c r="H50" i="21"/>
  <c r="I50" i="21"/>
  <c r="J50" i="21" s="1"/>
  <c r="K50" i="21"/>
  <c r="M50" i="21" s="1"/>
  <c r="F51" i="21"/>
  <c r="G51" i="21"/>
  <c r="K51" i="21"/>
  <c r="M51" i="21" s="1"/>
  <c r="F52" i="21"/>
  <c r="G52" i="21"/>
  <c r="H52" i="21"/>
  <c r="I52" i="21"/>
  <c r="J52" i="21" s="1"/>
  <c r="K52" i="21"/>
  <c r="M52" i="21" s="1"/>
  <c r="F53" i="21"/>
  <c r="G53" i="21"/>
  <c r="K53" i="21"/>
  <c r="M53" i="21" s="1"/>
  <c r="F54" i="21"/>
  <c r="G54" i="21"/>
  <c r="H54" i="21"/>
  <c r="I54" i="21"/>
  <c r="J54" i="21" s="1"/>
  <c r="K54" i="21"/>
  <c r="M54" i="21" s="1"/>
  <c r="F55" i="21"/>
  <c r="G55" i="21"/>
  <c r="K55" i="21"/>
  <c r="M55" i="21" s="1"/>
  <c r="F56" i="21"/>
  <c r="G56" i="21"/>
  <c r="H56" i="21"/>
  <c r="I56" i="21"/>
  <c r="J56" i="21" s="1"/>
  <c r="K56" i="21"/>
  <c r="M56" i="21" s="1"/>
  <c r="F57" i="21"/>
  <c r="G57" i="21"/>
  <c r="H57" i="21"/>
  <c r="I57" i="21"/>
  <c r="J57" i="21" s="1"/>
  <c r="F58" i="21"/>
  <c r="G58" i="21"/>
  <c r="H58" i="21"/>
  <c r="I58" i="21"/>
  <c r="J58" i="21" s="1"/>
  <c r="K58" i="21"/>
  <c r="M58" i="21" s="1"/>
  <c r="F59" i="21"/>
  <c r="G59" i="21"/>
  <c r="K59" i="21"/>
  <c r="M59" i="21" s="1"/>
  <c r="F60" i="21"/>
  <c r="G60" i="21"/>
  <c r="H60" i="21"/>
  <c r="I60" i="21"/>
  <c r="J60" i="21" s="1"/>
  <c r="K60" i="21"/>
  <c r="M60" i="21" s="1"/>
  <c r="F61" i="21"/>
  <c r="G61" i="21"/>
  <c r="K61" i="21"/>
  <c r="M61" i="21" s="1"/>
  <c r="F62" i="21"/>
  <c r="G62" i="21"/>
  <c r="H62" i="21"/>
  <c r="I62" i="21"/>
  <c r="J62" i="21" s="1"/>
  <c r="K62" i="21"/>
  <c r="M62" i="21" s="1"/>
  <c r="F63" i="21"/>
  <c r="G63" i="21"/>
  <c r="H63" i="21"/>
  <c r="I63" i="21"/>
  <c r="J63" i="21" s="1"/>
  <c r="F64" i="21"/>
  <c r="G64" i="21"/>
  <c r="H64" i="21"/>
  <c r="I64" i="21"/>
  <c r="J64" i="21" s="1"/>
  <c r="K64" i="21"/>
  <c r="M64" i="21" s="1"/>
  <c r="F65" i="21"/>
  <c r="G65" i="21"/>
  <c r="K65" i="21"/>
  <c r="M65" i="21" s="1"/>
  <c r="F66" i="21"/>
  <c r="G66" i="21"/>
  <c r="H66" i="21"/>
  <c r="I66" i="21"/>
  <c r="J66" i="21" s="1"/>
  <c r="K66" i="21"/>
  <c r="M66" i="21" s="1"/>
  <c r="F67" i="21"/>
  <c r="G67" i="21"/>
  <c r="K67" i="21"/>
  <c r="M67" i="21" s="1"/>
  <c r="F68" i="21"/>
  <c r="G68" i="21"/>
  <c r="H68" i="21"/>
  <c r="I68" i="21"/>
  <c r="J68" i="21" s="1"/>
  <c r="K68" i="21"/>
  <c r="M68" i="21" s="1"/>
  <c r="F69" i="21"/>
  <c r="G69" i="21"/>
  <c r="K69" i="21"/>
  <c r="M69" i="21" s="1"/>
  <c r="F70" i="21"/>
  <c r="G70" i="21"/>
  <c r="H70" i="21"/>
  <c r="I70" i="21"/>
  <c r="J70" i="21" s="1"/>
  <c r="K70" i="21"/>
  <c r="M70" i="21" s="1"/>
  <c r="J7" i="55" l="1"/>
  <c r="J6" i="55" s="1"/>
  <c r="I7" i="55"/>
  <c r="I6" i="55" s="1"/>
  <c r="N14" i="21"/>
  <c r="N48" i="21"/>
  <c r="N40" i="21"/>
  <c r="N56" i="21"/>
  <c r="N68" i="21"/>
  <c r="N59" i="21"/>
  <c r="K49" i="21"/>
  <c r="N49" i="21" s="1"/>
  <c r="N62" i="21"/>
  <c r="N25" i="21"/>
  <c r="H43" i="21"/>
  <c r="I43" i="21" s="1"/>
  <c r="J43" i="21" s="1"/>
  <c r="H41" i="21"/>
  <c r="I41" i="21" s="1"/>
  <c r="J41" i="21" s="1"/>
  <c r="N21" i="21"/>
  <c r="H11" i="21"/>
  <c r="I11" i="21" s="1"/>
  <c r="J11" i="21" s="1"/>
  <c r="H65" i="21"/>
  <c r="I65" i="21" s="1"/>
  <c r="J65" i="21" s="1"/>
  <c r="N11" i="21"/>
  <c r="N52" i="21"/>
  <c r="N30" i="21"/>
  <c r="N41" i="21"/>
  <c r="H19" i="21"/>
  <c r="I19" i="21" s="1"/>
  <c r="J19" i="21" s="1"/>
  <c r="H35" i="21"/>
  <c r="I35" i="21" s="1"/>
  <c r="J35" i="21" s="1"/>
  <c r="N24" i="21"/>
  <c r="N64" i="21"/>
  <c r="N61" i="21"/>
  <c r="H59" i="21"/>
  <c r="I59" i="21" s="1"/>
  <c r="J59" i="21" s="1"/>
  <c r="N54" i="21"/>
  <c r="N51" i="21"/>
  <c r="N44" i="21"/>
  <c r="N29" i="21"/>
  <c r="K27" i="21"/>
  <c r="M27" i="21" s="1"/>
  <c r="K17" i="21"/>
  <c r="N17" i="21" s="1"/>
  <c r="N69" i="21"/>
  <c r="H67" i="21"/>
  <c r="I67" i="21" s="1"/>
  <c r="J67" i="21" s="1"/>
  <c r="K57" i="21"/>
  <c r="M57" i="21" s="1"/>
  <c r="N32" i="21"/>
  <c r="H25" i="21"/>
  <c r="I25" i="21" s="1"/>
  <c r="J25" i="21" s="1"/>
  <c r="N22" i="21"/>
  <c r="N19" i="21"/>
  <c r="N12" i="21"/>
  <c r="N70" i="21"/>
  <c r="N67" i="21"/>
  <c r="K33" i="21"/>
  <c r="M33" i="21" s="1"/>
  <c r="N20" i="21"/>
  <c r="N65" i="21"/>
  <c r="N60" i="21"/>
  <c r="N38" i="21"/>
  <c r="N35" i="21"/>
  <c r="N28" i="21"/>
  <c r="N53" i="21"/>
  <c r="H51" i="21"/>
  <c r="I51" i="21" s="1"/>
  <c r="J51" i="21" s="1"/>
  <c r="N46" i="21"/>
  <c r="N43" i="21"/>
  <c r="N36" i="21"/>
  <c r="N16" i="21"/>
  <c r="K9" i="21"/>
  <c r="M9" i="21" s="1"/>
  <c r="K6" i="55"/>
  <c r="H69" i="21"/>
  <c r="I69" i="21" s="1"/>
  <c r="J69" i="21" s="1"/>
  <c r="N66" i="21"/>
  <c r="H61" i="21"/>
  <c r="I61" i="21" s="1"/>
  <c r="J61" i="21" s="1"/>
  <c r="N58" i="21"/>
  <c r="N55" i="21"/>
  <c r="H53" i="21"/>
  <c r="I53" i="21" s="1"/>
  <c r="J53" i="21" s="1"/>
  <c r="N50" i="21"/>
  <c r="N47" i="21"/>
  <c r="K45" i="21"/>
  <c r="M45" i="21" s="1"/>
  <c r="N42" i="21"/>
  <c r="N39" i="21"/>
  <c r="K37" i="21"/>
  <c r="N37" i="21" s="1"/>
  <c r="N34" i="21"/>
  <c r="N31" i="21"/>
  <c r="H29" i="21"/>
  <c r="I29" i="21" s="1"/>
  <c r="J29" i="21" s="1"/>
  <c r="N26" i="21"/>
  <c r="H21" i="21"/>
  <c r="I21" i="21" s="1"/>
  <c r="J21" i="21" s="1"/>
  <c r="N18" i="21"/>
  <c r="N15" i="21"/>
  <c r="K13" i="21"/>
  <c r="M13" i="21" s="1"/>
  <c r="N10" i="21"/>
  <c r="N8" i="21"/>
  <c r="K63" i="21"/>
  <c r="N63" i="21" s="1"/>
  <c r="H55" i="21"/>
  <c r="I55" i="21" s="1"/>
  <c r="J55" i="21" s="1"/>
  <c r="H47" i="21"/>
  <c r="I47" i="21" s="1"/>
  <c r="J47" i="21" s="1"/>
  <c r="H39" i="21"/>
  <c r="I39" i="21" s="1"/>
  <c r="J39" i="21" s="1"/>
  <c r="H31" i="21"/>
  <c r="I31" i="21" s="1"/>
  <c r="J31" i="21" s="1"/>
  <c r="K23" i="21"/>
  <c r="M23" i="21" s="1"/>
  <c r="H15" i="21"/>
  <c r="I15" i="21" s="1"/>
  <c r="J15" i="21" s="1"/>
  <c r="M17" i="21" l="1"/>
  <c r="M49" i="21"/>
  <c r="N27" i="21"/>
  <c r="N57" i="21"/>
  <c r="N33" i="21"/>
  <c r="M63" i="21"/>
  <c r="N9" i="21"/>
  <c r="M37" i="21"/>
  <c r="M6" i="55"/>
  <c r="N6" i="55"/>
  <c r="N45" i="21"/>
  <c r="N23" i="21"/>
  <c r="N13" i="21"/>
  <c r="I3" i="55" l="1"/>
  <c r="K6" i="50"/>
  <c r="M6" i="41" l="1"/>
  <c r="J3" i="37"/>
  <c r="L3" i="37" s="1"/>
  <c r="L3" i="20"/>
  <c r="F7" i="21" l="1"/>
  <c r="G7" i="21"/>
  <c r="K7" i="21"/>
  <c r="M7" i="21" s="1"/>
  <c r="M6" i="21" s="1"/>
  <c r="H7" i="21" l="1"/>
  <c r="I7" i="21" s="1"/>
  <c r="N7" i="21"/>
  <c r="N6" i="21" s="1"/>
  <c r="J7" i="21" l="1"/>
  <c r="I6" i="21"/>
  <c r="I1" i="46" l="1"/>
  <c r="I1" i="48" l="1"/>
  <c r="I1" i="20"/>
  <c r="I1" i="37"/>
  <c r="I1" i="9"/>
  <c r="I1" i="13"/>
  <c r="K7" i="48" l="1"/>
  <c r="K6" i="48" s="1"/>
  <c r="G7" i="48"/>
  <c r="F7" i="48"/>
  <c r="L3" i="48"/>
  <c r="K3" i="48" l="1"/>
  <c r="N7" i="48"/>
  <c r="N6" i="48" s="1"/>
  <c r="H7" i="48"/>
  <c r="I7" i="48" s="1"/>
  <c r="I6" i="48" s="1"/>
  <c r="M7" i="48"/>
  <c r="M6" i="48" l="1"/>
  <c r="S5" i="48" s="1"/>
  <c r="J7" i="48"/>
  <c r="J6" i="48" s="1"/>
  <c r="N3" i="48"/>
  <c r="M3" i="48" l="1"/>
  <c r="U4" i="48"/>
  <c r="J3" i="46" l="1"/>
  <c r="M3" i="46" l="1"/>
  <c r="L3" i="46"/>
  <c r="U4" i="46"/>
  <c r="L6" i="14"/>
  <c r="K6" i="14" l="1"/>
  <c r="J3" i="21"/>
  <c r="L3" i="21" s="1"/>
  <c r="L6" i="21"/>
  <c r="J3" i="13"/>
  <c r="I1" i="33" l="1"/>
  <c r="F7" i="25" l="1"/>
  <c r="F8" i="25"/>
  <c r="K6" i="33" l="1"/>
  <c r="G11" i="33"/>
  <c r="H11" i="33" s="1"/>
  <c r="F11" i="33"/>
  <c r="J11" i="33" l="1"/>
  <c r="J6" i="33" s="1"/>
  <c r="I11" i="33"/>
  <c r="I6" i="33" s="1"/>
  <c r="K7" i="37" l="1"/>
  <c r="K6" i="37" s="1"/>
  <c r="K3" i="37" l="1"/>
  <c r="N7" i="37"/>
  <c r="N6" i="37" s="1"/>
  <c r="M7" i="37"/>
  <c r="M6" i="37" s="1"/>
  <c r="M3" i="37" l="1"/>
  <c r="M7" i="13" l="1"/>
  <c r="M6" i="13" s="1"/>
  <c r="K3" i="13"/>
  <c r="N7" i="13"/>
  <c r="N6" i="13" s="1"/>
  <c r="L6" i="16"/>
  <c r="K3" i="21" l="1"/>
  <c r="N3" i="37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10" i="16"/>
  <c r="F11" i="16"/>
  <c r="F12" i="16"/>
  <c r="F13" i="16"/>
  <c r="F14" i="16"/>
  <c r="F7" i="16"/>
  <c r="K8" i="16"/>
  <c r="N8" i="16" s="1"/>
  <c r="I8" i="16"/>
  <c r="J8" i="16" s="1"/>
  <c r="K7" i="16"/>
  <c r="M7" i="16" s="1"/>
  <c r="I11" i="16"/>
  <c r="J11" i="16" s="1"/>
  <c r="I12" i="16"/>
  <c r="J12" i="16" s="1"/>
  <c r="K12" i="16"/>
  <c r="M12" i="16" s="1"/>
  <c r="K13" i="16"/>
  <c r="N13" i="16" s="1"/>
  <c r="I14" i="16"/>
  <c r="J14" i="16" s="1"/>
  <c r="K14" i="16"/>
  <c r="N14" i="16" s="1"/>
  <c r="I15" i="16"/>
  <c r="J15" i="16" s="1"/>
  <c r="I16" i="16"/>
  <c r="J16" i="16" s="1"/>
  <c r="K16" i="16"/>
  <c r="N16" i="16" s="1"/>
  <c r="K17" i="16"/>
  <c r="M17" i="16" s="1"/>
  <c r="I18" i="16"/>
  <c r="J18" i="16" s="1"/>
  <c r="K18" i="16"/>
  <c r="M18" i="16" s="1"/>
  <c r="I19" i="16"/>
  <c r="J19" i="16" s="1"/>
  <c r="I20" i="16"/>
  <c r="J20" i="16" s="1"/>
  <c r="K20" i="16"/>
  <c r="M20" i="16" s="1"/>
  <c r="K21" i="16"/>
  <c r="M21" i="16" s="1"/>
  <c r="I22" i="16"/>
  <c r="J22" i="16" s="1"/>
  <c r="K22" i="16"/>
  <c r="N22" i="16" s="1"/>
  <c r="I23" i="16"/>
  <c r="J23" i="16" s="1"/>
  <c r="I24" i="16"/>
  <c r="J24" i="16" s="1"/>
  <c r="K24" i="16"/>
  <c r="M24" i="16" s="1"/>
  <c r="K25" i="16"/>
  <c r="M25" i="16" s="1"/>
  <c r="I26" i="16"/>
  <c r="J26" i="16" s="1"/>
  <c r="K26" i="16"/>
  <c r="N26" i="16" s="1"/>
  <c r="K27" i="16"/>
  <c r="M27" i="16" s="1"/>
  <c r="I28" i="16"/>
  <c r="J28" i="16" s="1"/>
  <c r="K28" i="16"/>
  <c r="M28" i="16" s="1"/>
  <c r="I29" i="16"/>
  <c r="J29" i="16" s="1"/>
  <c r="I30" i="16"/>
  <c r="J30" i="16" s="1"/>
  <c r="K30" i="16"/>
  <c r="N30" i="16" s="1"/>
  <c r="K31" i="16"/>
  <c r="N31" i="16" s="1"/>
  <c r="I32" i="16"/>
  <c r="J32" i="16" s="1"/>
  <c r="K32" i="16"/>
  <c r="M32" i="16" s="1"/>
  <c r="I33" i="16"/>
  <c r="J33" i="16" s="1"/>
  <c r="I34" i="16"/>
  <c r="J34" i="16" s="1"/>
  <c r="K34" i="16"/>
  <c r="M34" i="16" s="1"/>
  <c r="K35" i="16"/>
  <c r="M35" i="16" s="1"/>
  <c r="I36" i="16"/>
  <c r="J36" i="16" s="1"/>
  <c r="K36" i="16"/>
  <c r="N36" i="16" s="1"/>
  <c r="H36" i="16"/>
  <c r="G36" i="16"/>
  <c r="G35" i="16"/>
  <c r="N21" i="16" l="1"/>
  <c r="N17" i="16"/>
  <c r="M16" i="16"/>
  <c r="M13" i="16"/>
  <c r="M31" i="16"/>
  <c r="M26" i="16"/>
  <c r="M22" i="16"/>
  <c r="N25" i="16"/>
  <c r="N32" i="16"/>
  <c r="M30" i="16"/>
  <c r="N24" i="16"/>
  <c r="N7" i="16"/>
  <c r="N18" i="16"/>
  <c r="M14" i="16"/>
  <c r="M8" i="16"/>
  <c r="N34" i="16"/>
  <c r="M36" i="16"/>
  <c r="N35" i="16"/>
  <c r="N27" i="16"/>
  <c r="N28" i="16"/>
  <c r="N20" i="16"/>
  <c r="N12" i="16"/>
  <c r="H35" i="16"/>
  <c r="I35" i="16" s="1"/>
  <c r="I1" i="38" l="1"/>
  <c r="K16" i="35" l="1"/>
  <c r="N16" i="35" s="1"/>
  <c r="I16" i="35"/>
  <c r="H16" i="35"/>
  <c r="G16" i="35"/>
  <c r="F16" i="35"/>
  <c r="K15" i="35"/>
  <c r="M15" i="35" s="1"/>
  <c r="G15" i="35"/>
  <c r="F15" i="35"/>
  <c r="K14" i="35"/>
  <c r="M14" i="35" s="1"/>
  <c r="I14" i="35"/>
  <c r="H14" i="35"/>
  <c r="G14" i="35"/>
  <c r="F14" i="35"/>
  <c r="K13" i="35"/>
  <c r="N13" i="35" s="1"/>
  <c r="G13" i="35"/>
  <c r="F13" i="35"/>
  <c r="N15" i="35" l="1"/>
  <c r="H15" i="35"/>
  <c r="M16" i="35"/>
  <c r="H13" i="35"/>
  <c r="M13" i="35"/>
  <c r="N14" i="35"/>
  <c r="I1" i="25"/>
  <c r="K8" i="38"/>
  <c r="N8" i="38" s="1"/>
  <c r="I8" i="38"/>
  <c r="H8" i="38"/>
  <c r="G8" i="38"/>
  <c r="F8" i="38"/>
  <c r="K7" i="38"/>
  <c r="M7" i="38" s="1"/>
  <c r="G7" i="38"/>
  <c r="F7" i="38"/>
  <c r="L6" i="38"/>
  <c r="J6" i="38"/>
  <c r="K10" i="35"/>
  <c r="N10" i="35" s="1"/>
  <c r="I10" i="35"/>
  <c r="H10" i="35"/>
  <c r="G10" i="35"/>
  <c r="F10" i="35"/>
  <c r="K9" i="35"/>
  <c r="M9" i="35" s="1"/>
  <c r="G9" i="35"/>
  <c r="F9" i="35"/>
  <c r="H7" i="38" l="1"/>
  <c r="I6" i="38"/>
  <c r="I3" i="38" s="1"/>
  <c r="N7" i="38"/>
  <c r="K6" i="38"/>
  <c r="M8" i="38"/>
  <c r="H9" i="35"/>
  <c r="N9" i="35"/>
  <c r="M10" i="35"/>
  <c r="N6" i="38" l="1"/>
  <c r="M6" i="38"/>
  <c r="I1" i="14" l="1"/>
  <c r="I12" i="35" l="1"/>
  <c r="I8" i="35"/>
  <c r="F8" i="35"/>
  <c r="G8" i="35"/>
  <c r="H8" i="35"/>
  <c r="K8" i="35"/>
  <c r="M8" i="35" s="1"/>
  <c r="F11" i="35"/>
  <c r="G11" i="35"/>
  <c r="K11" i="35"/>
  <c r="M11" i="35" s="1"/>
  <c r="F12" i="35"/>
  <c r="G12" i="35"/>
  <c r="H12" i="35"/>
  <c r="K12" i="35"/>
  <c r="M12" i="35" s="1"/>
  <c r="G8" i="25"/>
  <c r="H8" i="25"/>
  <c r="I8" i="25"/>
  <c r="F8" i="16"/>
  <c r="G8" i="16"/>
  <c r="H8" i="16"/>
  <c r="F9" i="16"/>
  <c r="G9" i="16"/>
  <c r="K9" i="16"/>
  <c r="G10" i="16"/>
  <c r="H10" i="16"/>
  <c r="I10" i="16"/>
  <c r="J10" i="16" s="1"/>
  <c r="K10" i="16"/>
  <c r="N10" i="16" s="1"/>
  <c r="G11" i="16"/>
  <c r="G12" i="16"/>
  <c r="H12" i="16"/>
  <c r="G13" i="16"/>
  <c r="G14" i="16"/>
  <c r="H14" i="16"/>
  <c r="F15" i="16"/>
  <c r="G15" i="16"/>
  <c r="H15" i="16"/>
  <c r="F16" i="16"/>
  <c r="G16" i="16"/>
  <c r="H16" i="16"/>
  <c r="F17" i="16"/>
  <c r="G17" i="16"/>
  <c r="F18" i="16"/>
  <c r="G18" i="16"/>
  <c r="H18" i="16"/>
  <c r="F19" i="16"/>
  <c r="G19" i="16"/>
  <c r="H19" i="16"/>
  <c r="F20" i="16"/>
  <c r="G20" i="16"/>
  <c r="H20" i="16"/>
  <c r="F21" i="16"/>
  <c r="G21" i="16"/>
  <c r="G22" i="16"/>
  <c r="H22" i="16"/>
  <c r="G23" i="16"/>
  <c r="G24" i="16"/>
  <c r="H24" i="16"/>
  <c r="G25" i="16"/>
  <c r="G26" i="16"/>
  <c r="H26" i="16"/>
  <c r="G27" i="16"/>
  <c r="G28" i="16"/>
  <c r="H28" i="16"/>
  <c r="G29" i="16"/>
  <c r="G30" i="16"/>
  <c r="H30" i="16"/>
  <c r="G31" i="16"/>
  <c r="G32" i="16"/>
  <c r="H32" i="16"/>
  <c r="G33" i="16"/>
  <c r="H33" i="16"/>
  <c r="G34" i="16"/>
  <c r="H34" i="16"/>
  <c r="G7" i="16"/>
  <c r="K19" i="16" l="1"/>
  <c r="N19" i="16" s="1"/>
  <c r="H7" i="16"/>
  <c r="I7" i="16" s="1"/>
  <c r="J7" i="16" s="1"/>
  <c r="H31" i="16"/>
  <c r="I31" i="16" s="1"/>
  <c r="J31" i="16" s="1"/>
  <c r="K33" i="16"/>
  <c r="N33" i="16" s="1"/>
  <c r="H13" i="16"/>
  <c r="I13" i="16" s="1"/>
  <c r="J13" i="16" s="1"/>
  <c r="H9" i="16"/>
  <c r="I9" i="16" s="1"/>
  <c r="J9" i="16" s="1"/>
  <c r="H29" i="16"/>
  <c r="K29" i="16"/>
  <c r="N9" i="16"/>
  <c r="H27" i="16"/>
  <c r="I27" i="16" s="1"/>
  <c r="K15" i="16"/>
  <c r="H11" i="16"/>
  <c r="K11" i="16"/>
  <c r="H23" i="16"/>
  <c r="K23" i="16"/>
  <c r="H11" i="35"/>
  <c r="I11" i="35" s="1"/>
  <c r="H17" i="16"/>
  <c r="I17" i="16" s="1"/>
  <c r="J17" i="16" s="1"/>
  <c r="H25" i="16"/>
  <c r="I25" i="16" s="1"/>
  <c r="H21" i="16"/>
  <c r="I21" i="16" s="1"/>
  <c r="J21" i="16" s="1"/>
  <c r="N11" i="35"/>
  <c r="N8" i="35"/>
  <c r="N12" i="35"/>
  <c r="M9" i="16"/>
  <c r="M10" i="16"/>
  <c r="M19" i="16" l="1"/>
  <c r="M33" i="16"/>
  <c r="K6" i="16"/>
  <c r="I6" i="16"/>
  <c r="N23" i="16"/>
  <c r="M23" i="16"/>
  <c r="N15" i="16"/>
  <c r="M15" i="16"/>
  <c r="J27" i="16"/>
  <c r="D5" i="16" s="1"/>
  <c r="J3" i="16" s="1"/>
  <c r="M11" i="16"/>
  <c r="N11" i="16"/>
  <c r="N29" i="16"/>
  <c r="M29" i="16"/>
  <c r="K3" i="16"/>
  <c r="G7" i="37"/>
  <c r="H7" i="37" s="1"/>
  <c r="I7" i="37" s="1"/>
  <c r="I6" i="37" s="1"/>
  <c r="F7" i="37"/>
  <c r="G7" i="20"/>
  <c r="H7" i="20" s="1"/>
  <c r="I7" i="20" s="1"/>
  <c r="I6" i="20" s="1"/>
  <c r="F7" i="20"/>
  <c r="K7" i="20" l="1"/>
  <c r="K6" i="20" s="1"/>
  <c r="M6" i="16"/>
  <c r="M3" i="16" s="1"/>
  <c r="N6" i="16"/>
  <c r="J6" i="16"/>
  <c r="J7" i="20"/>
  <c r="J7" i="37"/>
  <c r="J6" i="37" l="1"/>
  <c r="U4" i="37" s="1"/>
  <c r="J6" i="20"/>
  <c r="U4" i="20" s="1"/>
  <c r="K3" i="20"/>
  <c r="M7" i="20"/>
  <c r="M6" i="20" s="1"/>
  <c r="N7" i="20"/>
  <c r="N6" i="20" s="1"/>
  <c r="N3" i="20" l="1"/>
  <c r="M3" i="20"/>
  <c r="K6" i="21"/>
  <c r="J6" i="35"/>
  <c r="N3" i="21" l="1"/>
  <c r="M3" i="21"/>
  <c r="J6" i="21"/>
  <c r="U4" i="21" l="1"/>
  <c r="S5" i="37" l="1"/>
  <c r="I1" i="16" l="1"/>
  <c r="K7" i="35" l="1"/>
  <c r="N7" i="35" s="1"/>
  <c r="G7" i="35"/>
  <c r="F7" i="35"/>
  <c r="H7" i="35" l="1"/>
  <c r="I7" i="35" s="1"/>
  <c r="I6" i="35" s="1"/>
  <c r="M7" i="35"/>
  <c r="L6" i="35" l="1"/>
  <c r="K6" i="35" l="1"/>
  <c r="I3" i="35" l="1"/>
  <c r="M6" i="35"/>
  <c r="N6" i="35"/>
  <c r="K7" i="14" l="1"/>
  <c r="N7" i="14" s="1"/>
  <c r="N6" i="14" s="1"/>
  <c r="M7" i="14" l="1"/>
  <c r="M6" i="14" s="1"/>
  <c r="I3" i="33" l="1"/>
  <c r="F7" i="13" l="1"/>
  <c r="G7" i="13"/>
  <c r="H7" i="13" s="1"/>
  <c r="S5" i="13" l="1"/>
  <c r="I7" i="13"/>
  <c r="I6" i="13" s="1"/>
  <c r="J7" i="13" l="1"/>
  <c r="J6" i="13" s="1"/>
  <c r="U4" i="13" s="1"/>
  <c r="J6" i="25"/>
  <c r="G7" i="25"/>
  <c r="H7" i="25" l="1"/>
  <c r="I7" i="25" s="1"/>
  <c r="I6" i="25" l="1"/>
  <c r="I3" i="25" s="1"/>
  <c r="I1" i="21" l="1"/>
  <c r="N3" i="16" l="1"/>
  <c r="S5" i="20"/>
  <c r="S5" i="21"/>
  <c r="U4" i="16"/>
  <c r="S5" i="16" l="1"/>
  <c r="G7" i="14" l="1"/>
  <c r="F7" i="14"/>
  <c r="H7" i="14" l="1"/>
  <c r="I7" i="14" s="1"/>
  <c r="I6" i="14" l="1"/>
  <c r="I3" i="14" s="1"/>
</calcChain>
</file>

<file path=xl/sharedStrings.xml><?xml version="1.0" encoding="utf-8"?>
<sst xmlns="http://schemas.openxmlformats.org/spreadsheetml/2006/main" count="13682" uniqueCount="130">
  <si>
    <t>sId</t>
  </si>
  <si>
    <t>bEmpId</t>
  </si>
  <si>
    <t>bName</t>
  </si>
  <si>
    <t>bAttType</t>
  </si>
  <si>
    <t>bAttTime</t>
  </si>
  <si>
    <t>下班</t>
  </si>
  <si>
    <t>上班</t>
  </si>
  <si>
    <t>加班</t>
  </si>
  <si>
    <t>加班結束</t>
  </si>
  <si>
    <t>amber</t>
  </si>
  <si>
    <t>公出返回</t>
  </si>
  <si>
    <t>justin</t>
  </si>
  <si>
    <t>paul</t>
  </si>
  <si>
    <t>加班</t>
    <phoneticPr fontId="18" type="noConversion"/>
  </si>
  <si>
    <t>lz</t>
  </si>
  <si>
    <t>ruby</t>
  </si>
  <si>
    <t>tl</t>
  </si>
  <si>
    <t xml:space="preserve"> 加班時數</t>
    <phoneticPr fontId="18" type="noConversion"/>
  </si>
  <si>
    <t>1.34 時薪</t>
    <phoneticPr fontId="18" type="noConversion"/>
  </si>
  <si>
    <t>1.67 時薪</t>
    <phoneticPr fontId="18" type="noConversion"/>
  </si>
  <si>
    <t xml:space="preserve"> </t>
    <phoneticPr fontId="18" type="noConversion"/>
  </si>
  <si>
    <t>1.0時薪</t>
    <phoneticPr fontId="18" type="noConversion"/>
  </si>
  <si>
    <t>加班</t>
    <phoneticPr fontId="18" type="noConversion"/>
  </si>
  <si>
    <t>打卡上班</t>
    <phoneticPr fontId="18" type="noConversion"/>
  </si>
  <si>
    <t>出勤時數</t>
    <phoneticPr fontId="18" type="noConversion"/>
  </si>
  <si>
    <t>給薪時數</t>
    <phoneticPr fontId="18" type="noConversion"/>
  </si>
  <si>
    <t>請假</t>
    <phoneticPr fontId="18" type="noConversion"/>
  </si>
  <si>
    <t>小計</t>
    <phoneticPr fontId="18" type="noConversion"/>
  </si>
  <si>
    <t>備註</t>
    <phoneticPr fontId="18" type="noConversion"/>
  </si>
  <si>
    <t>統計</t>
    <phoneticPr fontId="18" type="noConversion"/>
  </si>
  <si>
    <t>出勤工時統計</t>
    <phoneticPr fontId="18" type="noConversion"/>
  </si>
  <si>
    <t>+</t>
    <phoneticPr fontId="18" type="noConversion"/>
  </si>
  <si>
    <t>=</t>
    <phoneticPr fontId="18" type="noConversion"/>
  </si>
  <si>
    <t>請假</t>
    <phoneticPr fontId="18" type="noConversion"/>
  </si>
  <si>
    <t>出勤</t>
    <phoneticPr fontId="18" type="noConversion"/>
  </si>
  <si>
    <t>假補工時</t>
    <phoneticPr fontId="18" type="noConversion"/>
  </si>
  <si>
    <t>2.依勞基法規定 平假日加班前2小時,以1.34時薪計,大於2小時以1.67時薪計</t>
    <phoneticPr fontId="18" type="noConversion"/>
  </si>
  <si>
    <t>1每月上班出勤工時為 176 小時(22天*8小時),周休二日另給8日薪(64小時),超過出勤工時乃以加班計</t>
    <phoneticPr fontId="18" type="noConversion"/>
  </si>
  <si>
    <t>BW</t>
  </si>
  <si>
    <t>lorah</t>
  </si>
  <si>
    <t>2.依勞基法規定 平假日加班前2小時,以1.34時薪計,大於2小時以1.67時薪計</t>
    <phoneticPr fontId="18" type="noConversion"/>
  </si>
  <si>
    <t>加班率</t>
    <phoneticPr fontId="18" type="noConversion"/>
  </si>
  <si>
    <t>加班申請</t>
    <phoneticPr fontId="18" type="noConversion"/>
  </si>
  <si>
    <t>albert</t>
  </si>
  <si>
    <t>事假</t>
    <phoneticPr fontId="18" type="noConversion"/>
  </si>
  <si>
    <t>病假</t>
    <phoneticPr fontId="18" type="noConversion"/>
  </si>
  <si>
    <t>事假</t>
    <phoneticPr fontId="18" type="noConversion"/>
  </si>
  <si>
    <t>特休</t>
    <phoneticPr fontId="18" type="noConversion"/>
  </si>
  <si>
    <t>時數</t>
    <phoneticPr fontId="18" type="noConversion"/>
  </si>
  <si>
    <t>sam</t>
  </si>
  <si>
    <t>1每月上班出勤工時為 176 小時(22天*8小時),周休二日另給8日薪(64小時),超過出勤工時乃以加班計</t>
    <phoneticPr fontId="18" type="noConversion"/>
  </si>
  <si>
    <t>SAM</t>
  </si>
  <si>
    <t>上班</t>
    <phoneticPr fontId="18" type="noConversion"/>
  </si>
  <si>
    <t>BW</t>
    <phoneticPr fontId="18" type="noConversion"/>
  </si>
  <si>
    <t>假補工時</t>
    <phoneticPr fontId="18" type="noConversion"/>
  </si>
  <si>
    <t>work at home</t>
    <phoneticPr fontId="18" type="noConversion"/>
  </si>
  <si>
    <t xml:space="preserve">  </t>
    <phoneticPr fontId="18" type="noConversion"/>
  </si>
  <si>
    <t>TL</t>
    <phoneticPr fontId="18" type="noConversion"/>
  </si>
  <si>
    <t>B6</t>
    <phoneticPr fontId="18" type="noConversion"/>
  </si>
  <si>
    <t>B6</t>
    <phoneticPr fontId="18" type="noConversion"/>
  </si>
  <si>
    <t>LZ</t>
    <phoneticPr fontId="18" type="noConversion"/>
  </si>
  <si>
    <t>討論 RCAD</t>
    <phoneticPr fontId="18" type="noConversion"/>
  </si>
  <si>
    <t>事假</t>
    <phoneticPr fontId="18" type="noConversion"/>
  </si>
  <si>
    <t>my</t>
  </si>
  <si>
    <t>3.請假以半小時為單位</t>
    <phoneticPr fontId="18" type="noConversion"/>
  </si>
  <si>
    <t>（1）全勤獎金 $1000</t>
  </si>
  <si>
    <t>（4）特休假超過1日部分，才計入計算</t>
  </si>
  <si>
    <t>4. 2017-0201 起新設全勤獎金如下</t>
    <phoneticPr fontId="18" type="noConversion"/>
  </si>
  <si>
    <t>（5）晚到不超過9:00 且當日做滿8HR 不計請假 ，超過9:00應請假</t>
    <phoneticPr fontId="18" type="noConversion"/>
  </si>
  <si>
    <t>（2）請假半日內 (一次) $ 800</t>
    <phoneticPr fontId="18" type="noConversion"/>
  </si>
  <si>
    <t>（3）請假 1日內 (一次)$ 500</t>
    <phoneticPr fontId="18" type="noConversion"/>
  </si>
  <si>
    <t>NICK</t>
  </si>
  <si>
    <t>nick</t>
  </si>
  <si>
    <t>jason</t>
  </si>
  <si>
    <t>yvonne</t>
  </si>
  <si>
    <t>特休剩餘</t>
    <phoneticPr fontId="18" type="noConversion"/>
  </si>
  <si>
    <t>小時</t>
    <phoneticPr fontId="18" type="noConversion"/>
  </si>
  <si>
    <t>全勤獎金</t>
    <phoneticPr fontId="18" type="noConversion"/>
  </si>
  <si>
    <t>JUSTIN</t>
  </si>
  <si>
    <t>MY</t>
  </si>
  <si>
    <t>anne</t>
  </si>
  <si>
    <t>特休</t>
    <phoneticPr fontId="18" type="noConversion"/>
  </si>
  <si>
    <t>出勤時數1</t>
    <phoneticPr fontId="18" type="noConversion"/>
  </si>
  <si>
    <t>出勤時數2</t>
  </si>
  <si>
    <t>加班申請</t>
    <phoneticPr fontId="18" type="noConversion"/>
  </si>
  <si>
    <t>(1)打卡時數</t>
    <phoneticPr fontId="18" type="noConversion"/>
  </si>
  <si>
    <t>(2)加班申請</t>
    <phoneticPr fontId="18" type="noConversion"/>
  </si>
  <si>
    <t>JASON</t>
  </si>
  <si>
    <t>owen</t>
  </si>
  <si>
    <t>OWEN</t>
  </si>
  <si>
    <t>willy</t>
  </si>
  <si>
    <t>wilson</t>
  </si>
  <si>
    <t>Wilson</t>
  </si>
  <si>
    <t>AMBER</t>
  </si>
  <si>
    <t>LORAH</t>
  </si>
  <si>
    <t>RUBY</t>
  </si>
  <si>
    <t>WILSON</t>
  </si>
  <si>
    <t>Nick</t>
  </si>
  <si>
    <t>AlBERT</t>
  </si>
  <si>
    <t>leo</t>
  </si>
  <si>
    <t>LEO</t>
  </si>
  <si>
    <t>LOrah</t>
  </si>
  <si>
    <t>公出</t>
  </si>
  <si>
    <t>Willy</t>
  </si>
  <si>
    <t>WILLY</t>
  </si>
  <si>
    <t>denver</t>
    <phoneticPr fontId="18" type="noConversion"/>
  </si>
  <si>
    <t>下班</t>
    <phoneticPr fontId="18" type="noConversion"/>
  </si>
  <si>
    <t>加班結束</t>
    <phoneticPr fontId="18" type="noConversion"/>
  </si>
  <si>
    <t>加班</t>
    <phoneticPr fontId="18" type="noConversion"/>
  </si>
  <si>
    <t>上班</t>
    <phoneticPr fontId="18" type="noConversion"/>
  </si>
  <si>
    <t>喪假</t>
  </si>
  <si>
    <t>喪假</t>
    <phoneticPr fontId="18" type="noConversion"/>
  </si>
  <si>
    <t>特休</t>
    <phoneticPr fontId="18" type="noConversion"/>
  </si>
  <si>
    <t>注意！未打卡！</t>
  </si>
  <si>
    <t>事假</t>
    <phoneticPr fontId="18" type="noConversion"/>
  </si>
  <si>
    <t>未打卡！(-$50)</t>
    <phoneticPr fontId="18" type="noConversion"/>
  </si>
  <si>
    <t>特休</t>
    <phoneticPr fontId="18" type="noConversion"/>
  </si>
  <si>
    <t>超過4hr需休息!</t>
    <phoneticPr fontId="18" type="noConversion"/>
  </si>
  <si>
    <t>申請加班</t>
    <phoneticPr fontId="18" type="noConversion"/>
  </si>
  <si>
    <t xml:space="preserve"> </t>
    <phoneticPr fontId="18" type="noConversion"/>
  </si>
  <si>
    <t>1.34時薪</t>
    <phoneticPr fontId="18" type="noConversion"/>
  </si>
  <si>
    <t>1.67時薪</t>
    <phoneticPr fontId="18" type="noConversion"/>
  </si>
  <si>
    <t>&gt;8hr出勤時數</t>
    <phoneticPr fontId="18" type="noConversion"/>
  </si>
  <si>
    <t>出勤時數2</t>
    <phoneticPr fontId="18" type="noConversion"/>
  </si>
  <si>
    <t>1.34時薪</t>
    <phoneticPr fontId="18" type="noConversion"/>
  </si>
  <si>
    <t>&gt;10hr出勤時數</t>
    <phoneticPr fontId="18" type="noConversion"/>
  </si>
  <si>
    <t>交通費100</t>
    <phoneticPr fontId="18" type="noConversion"/>
  </si>
  <si>
    <t>交通費100(已領)</t>
    <phoneticPr fontId="18" type="noConversion"/>
  </si>
  <si>
    <t>denver</t>
  </si>
  <si>
    <t>-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</si>
</sst>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04]aaa;@"/>
    <numFmt numFmtId="177" formatCode="0.00_);[Red]\(0.00\)"/>
    <numFmt numFmtId="178" formatCode="[=0]&quot;-&quot;;0.00"/>
    <numFmt numFmtId="179" formatCode="0.0_ "/>
    <numFmt numFmtId="180" formatCode="[=0]&quot;-&quot;;0.0"/>
    <numFmt numFmtId="181" formatCode="0.0%"/>
    <numFmt numFmtId="182" formatCode="0.00_ "/>
  </numFmts>
  <fonts count="70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  <font>
      <sz val="20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rgb="FF111AD3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rgb="FF111AD3"/>
      <name val="新細明體"/>
      <family val="2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color rgb="FF111AD3"/>
      <name val="新細明體"/>
      <family val="2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rgb="FF111AD3"/>
      <name val="新細明體"/>
      <family val="2"/>
      <charset val="136"/>
    </font>
    <font>
      <sz val="12"/>
      <color theme="4"/>
      <name val="新細明體"/>
      <family val="1"/>
      <charset val="136"/>
      <scheme val="minor"/>
    </font>
    <font>
      <sz val="12"/>
      <color rgb="FF0070C0"/>
      <name val="新細明體"/>
      <family val="1"/>
      <charset val="136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469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14" fillId="0" borderId="0" xfId="0" applyFont="1">
      <alignment vertical="center"/>
    </xf>
    <xf numFmtId="0" fontId="0" fillId="0" borderId="0" xfId="0" applyAlignment="1">
      <alignment horizontal="center" vertical="center"/>
    </xf>
    <xf numFmtId="0" fontId="21" fillId="0" borderId="0" xfId="0" applyFont="1">
      <alignment vertical="center"/>
    </xf>
    <xf numFmtId="0" fontId="21" fillId="0" borderId="0" xfId="0" applyFont="1" applyAlignment="1">
      <alignment horizontal="center" vertical="center"/>
    </xf>
    <xf numFmtId="0" fontId="21" fillId="35" borderId="0" xfId="0" applyFont="1" applyFill="1" applyBorder="1" applyAlignment="1">
      <alignment horizontal="center" vertical="center"/>
    </xf>
    <xf numFmtId="0" fontId="0" fillId="34" borderId="10" xfId="0" applyFill="1" applyBorder="1" applyAlignment="1">
      <alignment horizontal="center" vertical="center"/>
    </xf>
    <xf numFmtId="0" fontId="14" fillId="35" borderId="0" xfId="0" applyFont="1" applyFill="1">
      <alignment vertical="center"/>
    </xf>
    <xf numFmtId="0" fontId="0" fillId="35" borderId="0" xfId="0" applyFill="1">
      <alignment vertical="center"/>
    </xf>
    <xf numFmtId="0" fontId="24" fillId="35" borderId="0" xfId="0" applyFont="1" applyFill="1" applyBorder="1">
      <alignment vertical="center"/>
    </xf>
    <xf numFmtId="0" fontId="24" fillId="35" borderId="0" xfId="0" applyFont="1" applyFill="1" applyBorder="1" applyAlignment="1">
      <alignment horizontal="right" vertical="center"/>
    </xf>
    <xf numFmtId="177" fontId="25" fillId="35" borderId="0" xfId="0" applyNumberFormat="1" applyFont="1" applyFill="1" applyBorder="1" applyAlignment="1">
      <alignment horizontal="center" vertical="center"/>
    </xf>
    <xf numFmtId="0" fontId="24" fillId="35" borderId="0" xfId="7" applyFont="1" applyFill="1" applyBorder="1" applyAlignment="1">
      <alignment horizontal="center" vertical="center"/>
    </xf>
    <xf numFmtId="0" fontId="26" fillId="35" borderId="0" xfId="8" applyFont="1" applyFill="1" applyBorder="1" applyAlignment="1">
      <alignment horizontal="center" vertical="center"/>
    </xf>
    <xf numFmtId="0" fontId="27" fillId="34" borderId="10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7" fillId="0" borderId="0" xfId="0" applyFont="1" applyAlignment="1">
      <alignment horizontal="right" vertical="center"/>
    </xf>
    <xf numFmtId="0" fontId="19" fillId="35" borderId="0" xfId="0" applyFont="1" applyFill="1">
      <alignment vertical="center"/>
    </xf>
    <xf numFmtId="0" fontId="21" fillId="35" borderId="0" xfId="0" applyFont="1" applyFill="1">
      <alignment vertical="center"/>
    </xf>
    <xf numFmtId="0" fontId="27" fillId="35" borderId="10" xfId="0" applyFont="1" applyFill="1" applyBorder="1" applyAlignment="1">
      <alignment horizontal="center" vertical="center"/>
    </xf>
    <xf numFmtId="0" fontId="27" fillId="35" borderId="0" xfId="7" applyFont="1" applyFill="1" applyAlignment="1">
      <alignment horizontal="center" vertical="center"/>
    </xf>
    <xf numFmtId="0" fontId="27" fillId="35" borderId="0" xfId="8" applyFont="1" applyFill="1" applyAlignment="1">
      <alignment horizontal="center" vertical="center"/>
    </xf>
    <xf numFmtId="0" fontId="0" fillId="33" borderId="12" xfId="0" applyFill="1" applyBorder="1" applyAlignment="1">
      <alignment horizontal="center" vertical="center"/>
    </xf>
    <xf numFmtId="0" fontId="0" fillId="33" borderId="15" xfId="0" applyFill="1" applyBorder="1" applyAlignment="1">
      <alignment horizontal="center" vertical="center"/>
    </xf>
    <xf numFmtId="0" fontId="27" fillId="33" borderId="16" xfId="0" applyFont="1" applyFill="1" applyBorder="1">
      <alignment vertical="center"/>
    </xf>
    <xf numFmtId="0" fontId="27" fillId="33" borderId="16" xfId="0" applyFont="1" applyFill="1" applyBorder="1" applyAlignment="1">
      <alignment horizontal="right" vertical="center"/>
    </xf>
    <xf numFmtId="0" fontId="26" fillId="35" borderId="0" xfId="0" applyFont="1" applyFill="1" applyBorder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0" fillId="33" borderId="13" xfId="0" applyFill="1" applyBorder="1" applyAlignment="1">
      <alignment horizontal="center" vertical="center"/>
    </xf>
    <xf numFmtId="0" fontId="0" fillId="33" borderId="16" xfId="0" applyFill="1" applyBorder="1" applyAlignment="1">
      <alignment horizontal="center" vertical="center"/>
    </xf>
    <xf numFmtId="176" fontId="27" fillId="35" borderId="11" xfId="0" applyNumberFormat="1" applyFont="1" applyFill="1" applyBorder="1">
      <alignment vertical="center"/>
    </xf>
    <xf numFmtId="22" fontId="27" fillId="35" borderId="11" xfId="0" applyNumberFormat="1" applyFont="1" applyFill="1" applyBorder="1" applyAlignment="1">
      <alignment horizontal="right" vertical="center"/>
    </xf>
    <xf numFmtId="177" fontId="27" fillId="35" borderId="11" xfId="0" applyNumberFormat="1" applyFont="1" applyFill="1" applyBorder="1" applyAlignment="1">
      <alignment horizontal="center" vertical="center"/>
    </xf>
    <xf numFmtId="2" fontId="27" fillId="35" borderId="11" xfId="8" applyNumberFormat="1" applyFont="1" applyFill="1" applyBorder="1" applyAlignment="1">
      <alignment horizontal="center" vertical="center"/>
    </xf>
    <xf numFmtId="178" fontId="27" fillId="35" borderId="11" xfId="8" applyNumberFormat="1" applyFont="1" applyFill="1" applyBorder="1" applyAlignment="1">
      <alignment horizontal="center" vertical="center"/>
    </xf>
    <xf numFmtId="0" fontId="27" fillId="35" borderId="11" xfId="0" applyFont="1" applyFill="1" applyBorder="1" applyAlignment="1">
      <alignment horizontal="center" vertical="center"/>
    </xf>
    <xf numFmtId="0" fontId="0" fillId="34" borderId="12" xfId="0" applyFill="1" applyBorder="1" applyAlignment="1">
      <alignment horizontal="center" vertical="center"/>
    </xf>
    <xf numFmtId="0" fontId="0" fillId="34" borderId="13" xfId="0" applyFill="1" applyBorder="1" applyAlignment="1">
      <alignment horizontal="center" vertical="center"/>
    </xf>
    <xf numFmtId="0" fontId="27" fillId="34" borderId="14" xfId="0" applyFont="1" applyFill="1" applyBorder="1" applyAlignment="1">
      <alignment horizontal="center" vertical="center"/>
    </xf>
    <xf numFmtId="0" fontId="0" fillId="34" borderId="18" xfId="0" applyFill="1" applyBorder="1" applyAlignment="1">
      <alignment horizontal="center" vertical="center"/>
    </xf>
    <xf numFmtId="0" fontId="27" fillId="34" borderId="19" xfId="0" applyFont="1" applyFill="1" applyBorder="1" applyAlignment="1">
      <alignment horizontal="center" vertical="center"/>
    </xf>
    <xf numFmtId="0" fontId="0" fillId="34" borderId="15" xfId="0" applyFill="1" applyBorder="1" applyAlignment="1">
      <alignment horizontal="center" vertical="center"/>
    </xf>
    <xf numFmtId="0" fontId="0" fillId="34" borderId="16" xfId="0" applyFill="1" applyBorder="1" applyAlignment="1">
      <alignment horizontal="center" vertical="center"/>
    </xf>
    <xf numFmtId="2" fontId="27" fillId="34" borderId="16" xfId="7" applyNumberFormat="1" applyFont="1" applyFill="1" applyBorder="1" applyAlignment="1">
      <alignment horizontal="center" vertical="center"/>
    </xf>
    <xf numFmtId="0" fontId="27" fillId="34" borderId="17" xfId="0" applyFont="1" applyFill="1" applyBorder="1" applyAlignment="1">
      <alignment horizontal="center" vertical="center"/>
    </xf>
    <xf numFmtId="0" fontId="24" fillId="35" borderId="0" xfId="7" applyFont="1" applyFill="1" applyBorder="1" applyAlignment="1">
      <alignment horizontal="left" vertical="center"/>
    </xf>
    <xf numFmtId="179" fontId="0" fillId="35" borderId="0" xfId="0" applyNumberFormat="1" applyFill="1">
      <alignment vertical="center"/>
    </xf>
    <xf numFmtId="0" fontId="0" fillId="35" borderId="0" xfId="0" applyFill="1" applyBorder="1">
      <alignment vertical="center"/>
    </xf>
    <xf numFmtId="179" fontId="0" fillId="0" borderId="0" xfId="0" applyNumberFormat="1">
      <alignment vertical="center"/>
    </xf>
    <xf numFmtId="0" fontId="19" fillId="33" borderId="17" xfId="0" applyFont="1" applyFill="1" applyBorder="1" applyAlignment="1">
      <alignment horizontal="center" vertical="center"/>
    </xf>
    <xf numFmtId="177" fontId="28" fillId="35" borderId="0" xfId="0" applyNumberFormat="1" applyFont="1" applyFill="1" applyAlignment="1">
      <alignment horizontal="center" vertical="center"/>
    </xf>
    <xf numFmtId="2" fontId="19" fillId="33" borderId="16" xfId="7" applyNumberFormat="1" applyFont="1" applyFill="1" applyBorder="1" applyAlignment="1">
      <alignment horizontal="center" vertical="center"/>
    </xf>
    <xf numFmtId="2" fontId="19" fillId="33" borderId="16" xfId="8" applyNumberFormat="1" applyFont="1" applyFill="1" applyBorder="1" applyAlignment="1">
      <alignment horizontal="center" vertical="center"/>
    </xf>
    <xf numFmtId="2" fontId="22" fillId="33" borderId="16" xfId="7" applyNumberFormat="1" applyFont="1" applyFill="1" applyBorder="1" applyAlignment="1">
      <alignment horizontal="center" vertical="center"/>
    </xf>
    <xf numFmtId="0" fontId="0" fillId="35" borderId="0" xfId="0" applyFill="1" applyAlignment="1">
      <alignment horizontal="center" vertical="center"/>
    </xf>
    <xf numFmtId="180" fontId="27" fillId="35" borderId="0" xfId="8" applyNumberFormat="1" applyFont="1" applyFill="1" applyAlignment="1">
      <alignment horizontal="center" vertical="center"/>
    </xf>
    <xf numFmtId="181" fontId="0" fillId="35" borderId="0" xfId="42" applyNumberFormat="1" applyFont="1" applyFill="1">
      <alignment vertical="center"/>
    </xf>
    <xf numFmtId="2" fontId="27" fillId="35" borderId="11" xfId="0" applyNumberFormat="1" applyFont="1" applyFill="1" applyBorder="1" applyAlignment="1">
      <alignment horizontal="center" vertical="center"/>
    </xf>
    <xf numFmtId="2" fontId="27" fillId="35" borderId="0" xfId="8" applyNumberFormat="1" applyFont="1" applyFill="1" applyAlignment="1">
      <alignment horizontal="center" vertical="center"/>
    </xf>
    <xf numFmtId="2" fontId="0" fillId="35" borderId="0" xfId="0" applyNumberFormat="1" applyFill="1" applyAlignment="1">
      <alignment horizontal="center" vertical="center"/>
    </xf>
    <xf numFmtId="2" fontId="0" fillId="35" borderId="0" xfId="0" applyNumberFormat="1" applyFill="1">
      <alignment vertical="center"/>
    </xf>
    <xf numFmtId="2" fontId="0" fillId="0" borderId="0" xfId="0" applyNumberFormat="1">
      <alignment vertical="center"/>
    </xf>
    <xf numFmtId="0" fontId="19" fillId="0" borderId="0" xfId="0" applyFont="1">
      <alignment vertical="center"/>
    </xf>
    <xf numFmtId="177" fontId="19" fillId="35" borderId="11" xfId="0" applyNumberFormat="1" applyFont="1" applyFill="1" applyBorder="1" applyAlignment="1">
      <alignment horizontal="center" vertical="center"/>
    </xf>
    <xf numFmtId="178" fontId="19" fillId="35" borderId="11" xfId="8" applyNumberFormat="1" applyFont="1" applyFill="1" applyBorder="1" applyAlignment="1">
      <alignment horizontal="center" vertical="center"/>
    </xf>
    <xf numFmtId="2" fontId="19" fillId="35" borderId="11" xfId="0" applyNumberFormat="1" applyFont="1" applyFill="1" applyBorder="1" applyAlignment="1">
      <alignment horizontal="center" vertical="center"/>
    </xf>
    <xf numFmtId="22" fontId="19" fillId="35" borderId="11" xfId="0" applyNumberFormat="1" applyFont="1" applyFill="1" applyBorder="1" applyAlignment="1">
      <alignment horizontal="right" vertical="center"/>
    </xf>
    <xf numFmtId="2" fontId="19" fillId="35" borderId="11" xfId="8" applyNumberFormat="1" applyFont="1" applyFill="1" applyBorder="1" applyAlignment="1">
      <alignment horizontal="center" vertical="center"/>
    </xf>
    <xf numFmtId="0" fontId="23" fillId="34" borderId="13" xfId="0" applyFont="1" applyFill="1" applyBorder="1" applyAlignment="1">
      <alignment horizontal="center" vertical="center"/>
    </xf>
    <xf numFmtId="0" fontId="23" fillId="34" borderId="13" xfId="0" applyFont="1" applyFill="1" applyBorder="1" applyAlignment="1">
      <alignment horizontal="right" vertical="center"/>
    </xf>
    <xf numFmtId="2" fontId="23" fillId="34" borderId="13" xfId="0" applyNumberFormat="1" applyFont="1" applyFill="1" applyBorder="1" applyAlignment="1">
      <alignment horizontal="center" vertical="center"/>
    </xf>
    <xf numFmtId="0" fontId="23" fillId="34" borderId="10" xfId="0" applyFont="1" applyFill="1" applyBorder="1" applyAlignment="1">
      <alignment horizontal="right" vertical="center"/>
    </xf>
    <xf numFmtId="2" fontId="23" fillId="34" borderId="10" xfId="0" applyNumberFormat="1" applyFont="1" applyFill="1" applyBorder="1" applyAlignment="1">
      <alignment horizontal="center" vertical="center"/>
    </xf>
    <xf numFmtId="0" fontId="23" fillId="34" borderId="15" xfId="0" applyFont="1" applyFill="1" applyBorder="1" applyAlignment="1">
      <alignment horizontal="center" vertical="center"/>
    </xf>
    <xf numFmtId="0" fontId="23" fillId="34" borderId="16" xfId="0" applyFont="1" applyFill="1" applyBorder="1" applyAlignment="1">
      <alignment horizontal="center" vertical="center"/>
    </xf>
    <xf numFmtId="0" fontId="23" fillId="34" borderId="16" xfId="0" applyFont="1" applyFill="1" applyBorder="1">
      <alignment vertical="center"/>
    </xf>
    <xf numFmtId="0" fontId="23" fillId="34" borderId="16" xfId="0" applyFont="1" applyFill="1" applyBorder="1" applyAlignment="1">
      <alignment horizontal="right" vertical="center"/>
    </xf>
    <xf numFmtId="2" fontId="23" fillId="34" borderId="16" xfId="7" applyNumberFormat="1" applyFont="1" applyFill="1" applyBorder="1" applyAlignment="1">
      <alignment horizontal="center" vertical="center"/>
    </xf>
    <xf numFmtId="0" fontId="23" fillId="33" borderId="13" xfId="0" applyFont="1" applyFill="1" applyBorder="1">
      <alignment vertical="center"/>
    </xf>
    <xf numFmtId="0" fontId="23" fillId="33" borderId="13" xfId="0" applyFont="1" applyFill="1" applyBorder="1" applyAlignment="1">
      <alignment horizontal="right" vertical="center"/>
    </xf>
    <xf numFmtId="0" fontId="23" fillId="33" borderId="13" xfId="7" applyFont="1" applyFill="1" applyBorder="1" applyAlignment="1">
      <alignment horizontal="center" vertical="center"/>
    </xf>
    <xf numFmtId="0" fontId="23" fillId="33" borderId="13" xfId="8" applyFont="1" applyFill="1" applyBorder="1" applyAlignment="1">
      <alignment horizontal="center" vertical="center"/>
    </xf>
    <xf numFmtId="0" fontId="23" fillId="33" borderId="13" xfId="0" applyFont="1" applyFill="1" applyBorder="1" applyAlignment="1">
      <alignment horizontal="center" vertical="center"/>
    </xf>
    <xf numFmtId="177" fontId="23" fillId="33" borderId="13" xfId="0" applyNumberFormat="1" applyFont="1" applyFill="1" applyBorder="1" applyAlignment="1">
      <alignment horizontal="center" vertical="center"/>
    </xf>
    <xf numFmtId="0" fontId="23" fillId="33" borderId="14" xfId="0" applyFont="1" applyFill="1" applyBorder="1" applyAlignment="1">
      <alignment horizontal="center" vertical="center"/>
    </xf>
    <xf numFmtId="0" fontId="19" fillId="34" borderId="10" xfId="0" applyFont="1" applyFill="1" applyBorder="1" applyAlignment="1">
      <alignment horizontal="center" vertical="center"/>
    </xf>
    <xf numFmtId="0" fontId="19" fillId="34" borderId="18" xfId="0" applyFont="1" applyFill="1" applyBorder="1" applyAlignment="1">
      <alignment horizontal="center" vertical="center"/>
    </xf>
    <xf numFmtId="2" fontId="23" fillId="33" borderId="16" xfId="7" applyNumberFormat="1" applyFont="1" applyFill="1" applyBorder="1" applyAlignment="1">
      <alignment horizontal="center" vertical="center"/>
    </xf>
    <xf numFmtId="176" fontId="23" fillId="35" borderId="11" xfId="0" applyNumberFormat="1" applyFont="1" applyFill="1" applyBorder="1">
      <alignment vertical="center"/>
    </xf>
    <xf numFmtId="22" fontId="23" fillId="35" borderId="11" xfId="0" applyNumberFormat="1" applyFont="1" applyFill="1" applyBorder="1" applyAlignment="1">
      <alignment horizontal="right" vertical="center"/>
    </xf>
    <xf numFmtId="177" fontId="23" fillId="35" borderId="11" xfId="0" applyNumberFormat="1" applyFont="1" applyFill="1" applyBorder="1" applyAlignment="1">
      <alignment horizontal="center" vertical="center"/>
    </xf>
    <xf numFmtId="2" fontId="23" fillId="35" borderId="11" xfId="0" applyNumberFormat="1" applyFont="1" applyFill="1" applyBorder="1" applyAlignment="1">
      <alignment horizontal="center" vertical="center"/>
    </xf>
    <xf numFmtId="2" fontId="23" fillId="35" borderId="11" xfId="8" applyNumberFormat="1" applyFont="1" applyFill="1" applyBorder="1" applyAlignment="1">
      <alignment horizontal="center" vertical="center"/>
    </xf>
    <xf numFmtId="178" fontId="23" fillId="35" borderId="11" xfId="8" applyNumberFormat="1" applyFont="1" applyFill="1" applyBorder="1" applyAlignment="1">
      <alignment horizontal="center" vertical="center"/>
    </xf>
    <xf numFmtId="0" fontId="23" fillId="35" borderId="10" xfId="0" applyFont="1" applyFill="1" applyBorder="1" applyAlignment="1">
      <alignment horizontal="center" vertical="center"/>
    </xf>
    <xf numFmtId="0" fontId="23" fillId="34" borderId="13" xfId="0" applyFont="1" applyFill="1" applyBorder="1">
      <alignment vertical="center"/>
    </xf>
    <xf numFmtId="177" fontId="23" fillId="34" borderId="13" xfId="0" applyNumberFormat="1" applyFont="1" applyFill="1" applyBorder="1" applyAlignment="1">
      <alignment horizontal="center" vertical="center"/>
    </xf>
    <xf numFmtId="0" fontId="23" fillId="34" borderId="14" xfId="0" applyFont="1" applyFill="1" applyBorder="1" applyAlignment="1">
      <alignment horizontal="center" vertical="center"/>
    </xf>
    <xf numFmtId="0" fontId="23" fillId="34" borderId="10" xfId="0" applyFont="1" applyFill="1" applyBorder="1">
      <alignment vertical="center"/>
    </xf>
    <xf numFmtId="0" fontId="23" fillId="34" borderId="10" xfId="0" applyFont="1" applyFill="1" applyBorder="1" applyAlignment="1">
      <alignment horizontal="center" vertical="center"/>
    </xf>
    <xf numFmtId="177" fontId="23" fillId="34" borderId="10" xfId="0" applyNumberFormat="1" applyFont="1" applyFill="1" applyBorder="1" applyAlignment="1">
      <alignment horizontal="center" vertical="center"/>
    </xf>
    <xf numFmtId="0" fontId="23" fillId="34" borderId="19" xfId="0" applyFont="1" applyFill="1" applyBorder="1" applyAlignment="1">
      <alignment horizontal="center" vertical="center"/>
    </xf>
    <xf numFmtId="0" fontId="23" fillId="34" borderId="17" xfId="0" applyFont="1" applyFill="1" applyBorder="1" applyAlignment="1">
      <alignment horizontal="center" vertical="center"/>
    </xf>
    <xf numFmtId="176" fontId="22" fillId="35" borderId="11" xfId="0" applyNumberFormat="1" applyFont="1" applyFill="1" applyBorder="1">
      <alignment vertical="center"/>
    </xf>
    <xf numFmtId="0" fontId="22" fillId="33" borderId="13" xfId="0" applyFont="1" applyFill="1" applyBorder="1">
      <alignment vertical="center"/>
    </xf>
    <xf numFmtId="0" fontId="22" fillId="33" borderId="13" xfId="0" applyFont="1" applyFill="1" applyBorder="1" applyAlignment="1">
      <alignment horizontal="right" vertical="center"/>
    </xf>
    <xf numFmtId="0" fontId="22" fillId="33" borderId="13" xfId="7" applyFont="1" applyFill="1" applyBorder="1" applyAlignment="1">
      <alignment horizontal="center" vertical="center"/>
    </xf>
    <xf numFmtId="0" fontId="22" fillId="33" borderId="13" xfId="8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177" fontId="22" fillId="33" borderId="13" xfId="0" applyNumberFormat="1" applyFont="1" applyFill="1" applyBorder="1" applyAlignment="1">
      <alignment horizontal="center" vertical="center"/>
    </xf>
    <xf numFmtId="0" fontId="22" fillId="33" borderId="14" xfId="0" applyFont="1" applyFill="1" applyBorder="1" applyAlignment="1">
      <alignment horizontal="center" vertical="center"/>
    </xf>
    <xf numFmtId="0" fontId="22" fillId="34" borderId="13" xfId="0" applyFont="1" applyFill="1" applyBorder="1">
      <alignment vertical="center"/>
    </xf>
    <xf numFmtId="0" fontId="22" fillId="34" borderId="13" xfId="0" applyFont="1" applyFill="1" applyBorder="1" applyAlignment="1">
      <alignment horizontal="right" vertical="center"/>
    </xf>
    <xf numFmtId="177" fontId="22" fillId="34" borderId="13" xfId="0" applyNumberFormat="1" applyFont="1" applyFill="1" applyBorder="1" applyAlignment="1">
      <alignment horizontal="center" vertical="center"/>
    </xf>
    <xf numFmtId="0" fontId="22" fillId="34" borderId="14" xfId="0" applyFont="1" applyFill="1" applyBorder="1" applyAlignment="1">
      <alignment horizontal="center" vertical="center"/>
    </xf>
    <xf numFmtId="0" fontId="22" fillId="34" borderId="10" xfId="0" applyFont="1" applyFill="1" applyBorder="1">
      <alignment vertical="center"/>
    </xf>
    <xf numFmtId="0" fontId="22" fillId="34" borderId="10" xfId="0" applyFont="1" applyFill="1" applyBorder="1" applyAlignment="1">
      <alignment horizontal="right" vertical="center"/>
    </xf>
    <xf numFmtId="0" fontId="22" fillId="34" borderId="10" xfId="0" applyFont="1" applyFill="1" applyBorder="1" applyAlignment="1">
      <alignment horizontal="center" vertical="center"/>
    </xf>
    <xf numFmtId="177" fontId="22" fillId="34" borderId="10" xfId="0" applyNumberFormat="1" applyFont="1" applyFill="1" applyBorder="1" applyAlignment="1">
      <alignment horizontal="center" vertical="center"/>
    </xf>
    <xf numFmtId="0" fontId="22" fillId="34" borderId="19" xfId="0" applyFont="1" applyFill="1" applyBorder="1" applyAlignment="1">
      <alignment horizontal="center" vertical="center"/>
    </xf>
    <xf numFmtId="0" fontId="22" fillId="34" borderId="16" xfId="0" applyFont="1" applyFill="1" applyBorder="1">
      <alignment vertical="center"/>
    </xf>
    <xf numFmtId="0" fontId="22" fillId="34" borderId="16" xfId="0" applyFont="1" applyFill="1" applyBorder="1" applyAlignment="1">
      <alignment horizontal="right" vertical="center"/>
    </xf>
    <xf numFmtId="0" fontId="22" fillId="34" borderId="16" xfId="0" applyFont="1" applyFill="1" applyBorder="1" applyAlignment="1">
      <alignment horizontal="center" vertical="center"/>
    </xf>
    <xf numFmtId="2" fontId="22" fillId="34" borderId="16" xfId="7" applyNumberFormat="1" applyFont="1" applyFill="1" applyBorder="1" applyAlignment="1">
      <alignment horizontal="center" vertical="center"/>
    </xf>
    <xf numFmtId="22" fontId="22" fillId="35" borderId="11" xfId="0" applyNumberFormat="1" applyFont="1" applyFill="1" applyBorder="1" applyAlignment="1">
      <alignment horizontal="right" vertical="center"/>
    </xf>
    <xf numFmtId="177" fontId="22" fillId="35" borderId="11" xfId="0" applyNumberFormat="1" applyFont="1" applyFill="1" applyBorder="1" applyAlignment="1">
      <alignment horizontal="center" vertical="center"/>
    </xf>
    <xf numFmtId="2" fontId="22" fillId="35" borderId="11" xfId="0" applyNumberFormat="1" applyFont="1" applyFill="1" applyBorder="1" applyAlignment="1">
      <alignment horizontal="center" vertical="center"/>
    </xf>
    <xf numFmtId="2" fontId="22" fillId="35" borderId="11" xfId="8" applyNumberFormat="1" applyFont="1" applyFill="1" applyBorder="1" applyAlignment="1">
      <alignment horizontal="center" vertical="center"/>
    </xf>
    <xf numFmtId="178" fontId="22" fillId="35" borderId="11" xfId="8" applyNumberFormat="1" applyFont="1" applyFill="1" applyBorder="1" applyAlignment="1">
      <alignment horizontal="center" vertical="center"/>
    </xf>
    <xf numFmtId="0" fontId="23" fillId="0" borderId="0" xfId="0" applyFont="1">
      <alignment vertical="center"/>
    </xf>
    <xf numFmtId="0" fontId="20" fillId="33" borderId="13" xfId="0" applyFont="1" applyFill="1" applyBorder="1" applyAlignment="1">
      <alignment horizontal="center" vertical="center"/>
    </xf>
    <xf numFmtId="0" fontId="20" fillId="33" borderId="13" xfId="0" applyFont="1" applyFill="1" applyBorder="1">
      <alignment vertical="center"/>
    </xf>
    <xf numFmtId="0" fontId="23" fillId="33" borderId="12" xfId="0" applyFont="1" applyFill="1" applyBorder="1" applyAlignment="1">
      <alignment horizontal="center" vertical="center"/>
    </xf>
    <xf numFmtId="0" fontId="23" fillId="34" borderId="12" xfId="0" applyFont="1" applyFill="1" applyBorder="1" applyAlignment="1">
      <alignment horizontal="center" vertical="center"/>
    </xf>
    <xf numFmtId="176" fontId="19" fillId="35" borderId="11" xfId="0" applyNumberFormat="1" applyFont="1" applyFill="1" applyBorder="1">
      <alignment vertical="center"/>
    </xf>
    <xf numFmtId="2" fontId="19" fillId="34" borderId="10" xfId="0" applyNumberFormat="1" applyFont="1" applyFill="1" applyBorder="1" applyAlignment="1">
      <alignment horizontal="center" vertical="center"/>
    </xf>
    <xf numFmtId="0" fontId="27" fillId="35" borderId="0" xfId="0" applyFont="1" applyFill="1">
      <alignment vertical="center"/>
    </xf>
    <xf numFmtId="0" fontId="27" fillId="0" borderId="10" xfId="0" applyFont="1" applyBorder="1">
      <alignment vertical="center"/>
    </xf>
    <xf numFmtId="2" fontId="19" fillId="34" borderId="21" xfId="0" applyNumberFormat="1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1" xfId="0" applyBorder="1">
      <alignment vertical="center"/>
    </xf>
    <xf numFmtId="22" fontId="0" fillId="0" borderId="11" xfId="0" applyNumberFormat="1" applyBorder="1">
      <alignment vertical="center"/>
    </xf>
    <xf numFmtId="0" fontId="0" fillId="0" borderId="10" xfId="0" applyBorder="1">
      <alignment vertical="center"/>
    </xf>
    <xf numFmtId="22" fontId="0" fillId="0" borderId="10" xfId="0" applyNumberFormat="1" applyBorder="1">
      <alignment vertical="center"/>
    </xf>
    <xf numFmtId="0" fontId="29" fillId="0" borderId="0" xfId="0" applyFont="1" applyBorder="1">
      <alignment vertical="center"/>
    </xf>
    <xf numFmtId="22" fontId="27" fillId="0" borderId="10" xfId="0" applyNumberFormat="1" applyFont="1" applyBorder="1">
      <alignment vertical="center"/>
    </xf>
    <xf numFmtId="0" fontId="19" fillId="35" borderId="10" xfId="0" applyFont="1" applyFill="1" applyBorder="1" applyAlignment="1">
      <alignment horizontal="center" vertical="center"/>
    </xf>
    <xf numFmtId="0" fontId="20" fillId="0" borderId="0" xfId="0" applyFont="1" applyBorder="1">
      <alignment vertical="center"/>
    </xf>
    <xf numFmtId="0" fontId="23" fillId="35" borderId="0" xfId="0" applyFont="1" applyFill="1">
      <alignment vertical="center"/>
    </xf>
    <xf numFmtId="182" fontId="19" fillId="34" borderId="10" xfId="0" applyNumberFormat="1" applyFont="1" applyFill="1" applyBorder="1" applyAlignment="1">
      <alignment horizontal="center" vertical="center"/>
    </xf>
    <xf numFmtId="0" fontId="23" fillId="0" borderId="0" xfId="0" applyFont="1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22" fontId="0" fillId="0" borderId="11" xfId="0" applyNumberFormat="1" applyBorder="1" applyAlignment="1">
      <alignment horizontal="right" vertical="center"/>
    </xf>
    <xf numFmtId="0" fontId="0" fillId="0" borderId="10" xfId="0" applyBorder="1" applyAlignment="1">
      <alignment horizontal="center" vertical="center"/>
    </xf>
    <xf numFmtId="22" fontId="0" fillId="0" borderId="10" xfId="0" applyNumberFormat="1" applyBorder="1" applyAlignment="1">
      <alignment horizontal="right" vertical="center"/>
    </xf>
    <xf numFmtId="0" fontId="29" fillId="0" borderId="0" xfId="0" applyFont="1" applyBorder="1" applyAlignment="1">
      <alignment horizontal="center" vertical="center"/>
    </xf>
    <xf numFmtId="22" fontId="27" fillId="0" borderId="10" xfId="0" applyNumberFormat="1" applyFont="1" applyBorder="1" applyAlignment="1">
      <alignment horizontal="right" vertical="center"/>
    </xf>
    <xf numFmtId="0" fontId="27" fillId="0" borderId="0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22" fontId="0" fillId="0" borderId="0" xfId="0" applyNumberFormat="1" applyBorder="1" applyAlignment="1">
      <alignment horizontal="right" vertical="center"/>
    </xf>
    <xf numFmtId="2" fontId="19" fillId="34" borderId="18" xfId="0" applyNumberFormat="1" applyFont="1" applyFill="1" applyBorder="1" applyAlignment="1">
      <alignment horizontal="center" vertical="center"/>
    </xf>
    <xf numFmtId="0" fontId="29" fillId="0" borderId="10" xfId="0" applyFont="1" applyBorder="1" applyAlignment="1">
      <alignment horizontal="center" vertical="center"/>
    </xf>
    <xf numFmtId="0" fontId="22" fillId="35" borderId="11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9" fillId="0" borderId="0" xfId="0" applyFont="1" applyAlignment="1">
      <alignment horizontal="right" vertical="center"/>
    </xf>
    <xf numFmtId="177" fontId="30" fillId="35" borderId="0" xfId="0" applyNumberFormat="1" applyFont="1" applyFill="1" applyAlignment="1">
      <alignment horizontal="center" vertical="center"/>
    </xf>
    <xf numFmtId="0" fontId="19" fillId="35" borderId="0" xfId="7" applyFont="1" applyFill="1" applyAlignment="1">
      <alignment horizontal="center" vertical="center"/>
    </xf>
    <xf numFmtId="0" fontId="19" fillId="35" borderId="0" xfId="8" applyFont="1" applyFill="1" applyAlignment="1">
      <alignment horizontal="center" vertical="center"/>
    </xf>
    <xf numFmtId="0" fontId="19" fillId="35" borderId="0" xfId="0" applyFont="1" applyFill="1" applyAlignment="1">
      <alignment horizontal="center" vertical="center"/>
    </xf>
    <xf numFmtId="0" fontId="23" fillId="35" borderId="11" xfId="0" applyFont="1" applyFill="1" applyBorder="1" applyAlignment="1">
      <alignment horizontal="center" vertical="center"/>
    </xf>
    <xf numFmtId="0" fontId="20" fillId="35" borderId="0" xfId="0" applyFont="1" applyFill="1">
      <alignment vertical="center"/>
    </xf>
    <xf numFmtId="0" fontId="20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177" fontId="31" fillId="35" borderId="0" xfId="0" applyNumberFormat="1" applyFont="1" applyFill="1" applyAlignment="1">
      <alignment horizontal="center" vertical="center"/>
    </xf>
    <xf numFmtId="0" fontId="23" fillId="35" borderId="0" xfId="7" applyFont="1" applyFill="1" applyAlignment="1">
      <alignment horizontal="center" vertical="center"/>
    </xf>
    <xf numFmtId="0" fontId="23" fillId="35" borderId="0" xfId="8" applyFont="1" applyFill="1" applyAlignment="1">
      <alignment horizontal="center" vertical="center"/>
    </xf>
    <xf numFmtId="0" fontId="29" fillId="0" borderId="0" xfId="0" applyFont="1" applyAlignment="1">
      <alignment horizontal="left" vertical="center"/>
    </xf>
    <xf numFmtId="0" fontId="27" fillId="0" borderId="0" xfId="0" applyFont="1" applyAlignment="1">
      <alignment horizontal="center" vertical="center"/>
    </xf>
    <xf numFmtId="22" fontId="19" fillId="0" borderId="10" xfId="0" applyNumberFormat="1" applyFont="1" applyBorder="1">
      <alignment vertical="center"/>
    </xf>
    <xf numFmtId="0" fontId="19" fillId="0" borderId="10" xfId="0" applyFont="1" applyBorder="1">
      <alignment vertical="center"/>
    </xf>
    <xf numFmtId="0" fontId="0" fillId="34" borderId="22" xfId="0" applyFill="1" applyBorder="1" applyAlignment="1">
      <alignment horizontal="center" vertical="center"/>
    </xf>
    <xf numFmtId="0" fontId="0" fillId="34" borderId="23" xfId="0" applyFill="1" applyBorder="1" applyAlignment="1">
      <alignment horizontal="center" vertical="center"/>
    </xf>
    <xf numFmtId="0" fontId="14" fillId="33" borderId="13" xfId="0" applyFont="1" applyFill="1" applyBorder="1" applyAlignment="1">
      <alignment horizontal="center" vertical="center"/>
    </xf>
    <xf numFmtId="0" fontId="14" fillId="33" borderId="16" xfId="0" applyFont="1" applyFill="1" applyBorder="1" applyAlignment="1">
      <alignment horizontal="center" vertical="center"/>
    </xf>
    <xf numFmtId="0" fontId="19" fillId="35" borderId="11" xfId="0" applyFont="1" applyFill="1" applyBorder="1" applyAlignment="1">
      <alignment horizontal="center" vertical="center"/>
    </xf>
    <xf numFmtId="0" fontId="19" fillId="0" borderId="0" xfId="0" applyFont="1" applyFill="1">
      <alignment vertical="center"/>
    </xf>
    <xf numFmtId="0" fontId="19" fillId="33" borderId="16" xfId="0" applyFont="1" applyFill="1" applyBorder="1" applyAlignment="1">
      <alignment horizontal="center" vertical="center"/>
    </xf>
    <xf numFmtId="2" fontId="0" fillId="33" borderId="16" xfId="0" applyNumberForma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32" fillId="0" borderId="0" xfId="0" applyFont="1" applyAlignment="1">
      <alignment horizontal="center" vertical="center"/>
    </xf>
    <xf numFmtId="0" fontId="32" fillId="35" borderId="0" xfId="0" applyFont="1" applyFill="1" applyBorder="1" applyAlignment="1">
      <alignment horizontal="center" vertical="center"/>
    </xf>
    <xf numFmtId="0" fontId="33" fillId="35" borderId="0" xfId="0" applyFont="1" applyFill="1" applyBorder="1">
      <alignment vertical="center"/>
    </xf>
    <xf numFmtId="0" fontId="33" fillId="35" borderId="0" xfId="0" applyFont="1" applyFill="1" applyBorder="1" applyAlignment="1">
      <alignment horizontal="right" vertical="center"/>
    </xf>
    <xf numFmtId="177" fontId="34" fillId="35" borderId="0" xfId="0" applyNumberFormat="1" applyFont="1" applyFill="1" applyBorder="1" applyAlignment="1">
      <alignment horizontal="center" vertical="center"/>
    </xf>
    <xf numFmtId="0" fontId="33" fillId="35" borderId="0" xfId="7" applyFont="1" applyFill="1" applyBorder="1" applyAlignment="1">
      <alignment horizontal="center" vertical="center"/>
    </xf>
    <xf numFmtId="0" fontId="33" fillId="35" borderId="0" xfId="7" applyFont="1" applyFill="1" applyBorder="1" applyAlignment="1">
      <alignment horizontal="left" vertical="center"/>
    </xf>
    <xf numFmtId="0" fontId="35" fillId="35" borderId="0" xfId="8" applyFont="1" applyFill="1" applyBorder="1" applyAlignment="1">
      <alignment horizontal="center" vertical="center"/>
    </xf>
    <xf numFmtId="0" fontId="35" fillId="35" borderId="0" xfId="0" applyFont="1" applyFill="1" applyBorder="1" applyAlignment="1">
      <alignment horizontal="center" vertical="center"/>
    </xf>
    <xf numFmtId="0" fontId="32" fillId="35" borderId="0" xfId="0" applyFont="1" applyFill="1">
      <alignment vertical="center"/>
    </xf>
    <xf numFmtId="0" fontId="36" fillId="0" borderId="0" xfId="0" applyFont="1">
      <alignment vertical="center"/>
    </xf>
    <xf numFmtId="0" fontId="36" fillId="0" borderId="0" xfId="0" applyFont="1" applyAlignment="1">
      <alignment horizontal="center" vertical="center"/>
    </xf>
    <xf numFmtId="0" fontId="36" fillId="33" borderId="12" xfId="0" applyFont="1" applyFill="1" applyBorder="1" applyAlignment="1">
      <alignment horizontal="center" vertical="center"/>
    </xf>
    <xf numFmtId="0" fontId="36" fillId="33" borderId="13" xfId="0" applyFont="1" applyFill="1" applyBorder="1" applyAlignment="1">
      <alignment horizontal="center" vertical="center"/>
    </xf>
    <xf numFmtId="0" fontId="37" fillId="33" borderId="13" xfId="0" applyFont="1" applyFill="1" applyBorder="1">
      <alignment vertical="center"/>
    </xf>
    <xf numFmtId="0" fontId="37" fillId="33" borderId="13" xfId="0" applyFont="1" applyFill="1" applyBorder="1" applyAlignment="1">
      <alignment horizontal="right" vertical="center"/>
    </xf>
    <xf numFmtId="0" fontId="37" fillId="33" borderId="13" xfId="7" applyFont="1" applyFill="1" applyBorder="1" applyAlignment="1">
      <alignment horizontal="center" vertical="center"/>
    </xf>
    <xf numFmtId="0" fontId="37" fillId="33" borderId="13" xfId="8" applyFont="1" applyFill="1" applyBorder="1" applyAlignment="1">
      <alignment horizontal="center" vertical="center"/>
    </xf>
    <xf numFmtId="0" fontId="37" fillId="33" borderId="13" xfId="0" applyFont="1" applyFill="1" applyBorder="1" applyAlignment="1">
      <alignment horizontal="center" vertical="center"/>
    </xf>
    <xf numFmtId="177" fontId="37" fillId="33" borderId="13" xfId="0" applyNumberFormat="1" applyFont="1" applyFill="1" applyBorder="1" applyAlignment="1">
      <alignment horizontal="center" vertical="center"/>
    </xf>
    <xf numFmtId="0" fontId="37" fillId="33" borderId="14" xfId="0" applyFont="1" applyFill="1" applyBorder="1" applyAlignment="1">
      <alignment horizontal="center" vertical="center"/>
    </xf>
    <xf numFmtId="0" fontId="36" fillId="35" borderId="0" xfId="0" applyFont="1" applyFill="1">
      <alignment vertical="center"/>
    </xf>
    <xf numFmtId="0" fontId="36" fillId="33" borderId="15" xfId="0" applyFont="1" applyFill="1" applyBorder="1" applyAlignment="1">
      <alignment horizontal="center" vertical="center"/>
    </xf>
    <xf numFmtId="0" fontId="36" fillId="33" borderId="16" xfId="0" applyFont="1" applyFill="1" applyBorder="1" applyAlignment="1">
      <alignment horizontal="center" vertical="center"/>
    </xf>
    <xf numFmtId="0" fontId="38" fillId="33" borderId="16" xfId="0" applyFont="1" applyFill="1" applyBorder="1">
      <alignment vertical="center"/>
    </xf>
    <xf numFmtId="0" fontId="38" fillId="33" borderId="16" xfId="0" applyFont="1" applyFill="1" applyBorder="1" applyAlignment="1">
      <alignment horizontal="right" vertical="center"/>
    </xf>
    <xf numFmtId="2" fontId="39" fillId="33" borderId="16" xfId="7" applyNumberFormat="1" applyFont="1" applyFill="1" applyBorder="1" applyAlignment="1">
      <alignment horizontal="center" vertical="center"/>
    </xf>
    <xf numFmtId="2" fontId="37" fillId="33" borderId="16" xfId="7" applyNumberFormat="1" applyFont="1" applyFill="1" applyBorder="1" applyAlignment="1">
      <alignment horizontal="center" vertical="center"/>
    </xf>
    <xf numFmtId="2" fontId="39" fillId="33" borderId="16" xfId="8" applyNumberFormat="1" applyFont="1" applyFill="1" applyBorder="1" applyAlignment="1">
      <alignment horizontal="center" vertical="center"/>
    </xf>
    <xf numFmtId="0" fontId="39" fillId="33" borderId="17" xfId="0" applyFont="1" applyFill="1" applyBorder="1" applyAlignment="1">
      <alignment horizontal="center" vertical="center"/>
    </xf>
    <xf numFmtId="0" fontId="36" fillId="34" borderId="12" xfId="0" applyFont="1" applyFill="1" applyBorder="1" applyAlignment="1">
      <alignment horizontal="center" vertical="center"/>
    </xf>
    <xf numFmtId="0" fontId="36" fillId="34" borderId="13" xfId="0" applyFont="1" applyFill="1" applyBorder="1" applyAlignment="1">
      <alignment horizontal="center" vertical="center"/>
    </xf>
    <xf numFmtId="0" fontId="37" fillId="34" borderId="13" xfId="0" applyFont="1" applyFill="1" applyBorder="1">
      <alignment vertical="center"/>
    </xf>
    <xf numFmtId="0" fontId="37" fillId="34" borderId="13" xfId="0" applyFont="1" applyFill="1" applyBorder="1" applyAlignment="1">
      <alignment horizontal="right" vertical="center"/>
    </xf>
    <xf numFmtId="177" fontId="37" fillId="34" borderId="13" xfId="0" applyNumberFormat="1" applyFont="1" applyFill="1" applyBorder="1" applyAlignment="1">
      <alignment horizontal="center" vertical="center"/>
    </xf>
    <xf numFmtId="0" fontId="37" fillId="34" borderId="14" xfId="0" applyFont="1" applyFill="1" applyBorder="1" applyAlignment="1">
      <alignment horizontal="center" vertical="center"/>
    </xf>
    <xf numFmtId="0" fontId="36" fillId="34" borderId="18" xfId="0" applyFont="1" applyFill="1" applyBorder="1" applyAlignment="1">
      <alignment horizontal="center" vertical="center"/>
    </xf>
    <xf numFmtId="0" fontId="36" fillId="34" borderId="10" xfId="0" applyFont="1" applyFill="1" applyBorder="1" applyAlignment="1">
      <alignment horizontal="center" vertical="center"/>
    </xf>
    <xf numFmtId="0" fontId="37" fillId="34" borderId="10" xfId="0" applyFont="1" applyFill="1" applyBorder="1">
      <alignment vertical="center"/>
    </xf>
    <xf numFmtId="0" fontId="37" fillId="34" borderId="10" xfId="0" applyFont="1" applyFill="1" applyBorder="1" applyAlignment="1">
      <alignment horizontal="right" vertical="center"/>
    </xf>
    <xf numFmtId="0" fontId="37" fillId="34" borderId="10" xfId="0" applyFont="1" applyFill="1" applyBorder="1" applyAlignment="1">
      <alignment horizontal="center" vertical="center"/>
    </xf>
    <xf numFmtId="177" fontId="37" fillId="34" borderId="10" xfId="0" applyNumberFormat="1" applyFont="1" applyFill="1" applyBorder="1" applyAlignment="1">
      <alignment horizontal="center" vertical="center"/>
    </xf>
    <xf numFmtId="0" fontId="37" fillId="34" borderId="19" xfId="0" applyFont="1" applyFill="1" applyBorder="1" applyAlignment="1">
      <alignment horizontal="center" vertical="center"/>
    </xf>
    <xf numFmtId="0" fontId="36" fillId="34" borderId="15" xfId="0" applyFont="1" applyFill="1" applyBorder="1" applyAlignment="1">
      <alignment horizontal="center" vertical="center"/>
    </xf>
    <xf numFmtId="0" fontId="36" fillId="34" borderId="16" xfId="0" applyFont="1" applyFill="1" applyBorder="1" applyAlignment="1">
      <alignment horizontal="center" vertical="center"/>
    </xf>
    <xf numFmtId="0" fontId="37" fillId="34" borderId="16" xfId="0" applyFont="1" applyFill="1" applyBorder="1">
      <alignment vertical="center"/>
    </xf>
    <xf numFmtId="0" fontId="37" fillId="34" borderId="16" xfId="0" applyFont="1" applyFill="1" applyBorder="1" applyAlignment="1">
      <alignment horizontal="right" vertical="center"/>
    </xf>
    <xf numFmtId="0" fontId="37" fillId="34" borderId="16" xfId="0" applyFont="1" applyFill="1" applyBorder="1" applyAlignment="1">
      <alignment horizontal="center" vertical="center"/>
    </xf>
    <xf numFmtId="2" fontId="37" fillId="34" borderId="16" xfId="7" applyNumberFormat="1" applyFont="1" applyFill="1" applyBorder="1" applyAlignment="1">
      <alignment horizontal="center" vertical="center"/>
    </xf>
    <xf numFmtId="0" fontId="38" fillId="34" borderId="17" xfId="0" applyFont="1" applyFill="1" applyBorder="1" applyAlignment="1">
      <alignment horizontal="center" vertical="center"/>
    </xf>
    <xf numFmtId="176" fontId="37" fillId="35" borderId="11" xfId="0" applyNumberFormat="1" applyFont="1" applyFill="1" applyBorder="1">
      <alignment vertical="center"/>
    </xf>
    <xf numFmtId="22" fontId="37" fillId="35" borderId="11" xfId="0" applyNumberFormat="1" applyFont="1" applyFill="1" applyBorder="1" applyAlignment="1">
      <alignment horizontal="right" vertical="center"/>
    </xf>
    <xf numFmtId="0" fontId="37" fillId="35" borderId="11" xfId="0" applyFont="1" applyFill="1" applyBorder="1" applyAlignment="1">
      <alignment horizontal="center" vertical="center"/>
    </xf>
    <xf numFmtId="0" fontId="40" fillId="0" borderId="0" xfId="0" applyFont="1" applyAlignment="1">
      <alignment horizontal="left" vertical="center"/>
    </xf>
    <xf numFmtId="0" fontId="38" fillId="0" borderId="0" xfId="0" applyFont="1">
      <alignment vertical="center"/>
    </xf>
    <xf numFmtId="0" fontId="38" fillId="0" borderId="0" xfId="0" applyFont="1" applyAlignment="1">
      <alignment horizontal="right" vertical="center"/>
    </xf>
    <xf numFmtId="177" fontId="41" fillId="35" borderId="0" xfId="0" applyNumberFormat="1" applyFont="1" applyFill="1" applyAlignment="1">
      <alignment horizontal="center" vertical="center"/>
    </xf>
    <xf numFmtId="0" fontId="38" fillId="35" borderId="0" xfId="7" applyFont="1" applyFill="1" applyAlignment="1">
      <alignment horizontal="center" vertical="center"/>
    </xf>
    <xf numFmtId="0" fontId="38" fillId="35" borderId="0" xfId="8" applyFont="1" applyFill="1" applyAlignment="1">
      <alignment horizontal="center" vertical="center"/>
    </xf>
    <xf numFmtId="0" fontId="38" fillId="35" borderId="0" xfId="0" applyFont="1" applyFill="1" applyAlignment="1">
      <alignment horizontal="center" vertical="center"/>
    </xf>
    <xf numFmtId="0" fontId="42" fillId="0" borderId="0" xfId="0" applyFont="1">
      <alignment vertical="center"/>
    </xf>
    <xf numFmtId="0" fontId="42" fillId="0" borderId="0" xfId="0" applyFont="1" applyAlignment="1">
      <alignment horizontal="center" vertical="center"/>
    </xf>
    <xf numFmtId="0" fontId="42" fillId="35" borderId="0" xfId="0" applyFont="1" applyFill="1" applyBorder="1" applyAlignment="1">
      <alignment horizontal="center" vertical="center"/>
    </xf>
    <xf numFmtId="0" fontId="43" fillId="35" borderId="0" xfId="0" applyFont="1" applyFill="1" applyBorder="1">
      <alignment vertical="center"/>
    </xf>
    <xf numFmtId="0" fontId="43" fillId="35" borderId="0" xfId="0" applyFont="1" applyFill="1" applyBorder="1" applyAlignment="1">
      <alignment horizontal="right" vertical="center"/>
    </xf>
    <xf numFmtId="177" fontId="44" fillId="35" borderId="0" xfId="0" applyNumberFormat="1" applyFont="1" applyFill="1" applyBorder="1" applyAlignment="1">
      <alignment horizontal="center" vertical="center"/>
    </xf>
    <xf numFmtId="0" fontId="43" fillId="35" borderId="0" xfId="7" applyFont="1" applyFill="1" applyBorder="1" applyAlignment="1">
      <alignment horizontal="center" vertical="center"/>
    </xf>
    <xf numFmtId="0" fontId="43" fillId="35" borderId="0" xfId="7" applyFont="1" applyFill="1" applyBorder="1" applyAlignment="1">
      <alignment horizontal="left" vertical="center"/>
    </xf>
    <xf numFmtId="0" fontId="45" fillId="35" borderId="0" xfId="8" applyFont="1" applyFill="1" applyBorder="1" applyAlignment="1">
      <alignment horizontal="center" vertical="center"/>
    </xf>
    <xf numFmtId="0" fontId="45" fillId="35" borderId="0" xfId="0" applyFont="1" applyFill="1" applyBorder="1" applyAlignment="1">
      <alignment horizontal="center" vertical="center"/>
    </xf>
    <xf numFmtId="0" fontId="46" fillId="0" borderId="0" xfId="0" applyFont="1">
      <alignment vertical="center"/>
    </xf>
    <xf numFmtId="0" fontId="46" fillId="0" borderId="0" xfId="0" applyFont="1" applyAlignment="1">
      <alignment horizontal="center" vertical="center"/>
    </xf>
    <xf numFmtId="0" fontId="47" fillId="33" borderId="12" xfId="0" applyFont="1" applyFill="1" applyBorder="1" applyAlignment="1">
      <alignment horizontal="center" vertical="center"/>
    </xf>
    <xf numFmtId="182" fontId="48" fillId="33" borderId="13" xfId="0" applyNumberFormat="1" applyFont="1" applyFill="1" applyBorder="1" applyAlignment="1">
      <alignment horizontal="center" vertical="center"/>
    </xf>
    <xf numFmtId="0" fontId="47" fillId="33" borderId="13" xfId="0" applyFont="1" applyFill="1" applyBorder="1">
      <alignment vertical="center"/>
    </xf>
    <xf numFmtId="0" fontId="47" fillId="33" borderId="13" xfId="0" applyFont="1" applyFill="1" applyBorder="1" applyAlignment="1">
      <alignment horizontal="right" vertical="center"/>
    </xf>
    <xf numFmtId="0" fontId="47" fillId="33" borderId="13" xfId="7" applyFont="1" applyFill="1" applyBorder="1" applyAlignment="1">
      <alignment horizontal="center" vertical="center"/>
    </xf>
    <xf numFmtId="0" fontId="47" fillId="33" borderId="13" xfId="8" applyFont="1" applyFill="1" applyBorder="1" applyAlignment="1">
      <alignment horizontal="center" vertical="center"/>
    </xf>
    <xf numFmtId="0" fontId="47" fillId="33" borderId="13" xfId="0" applyFont="1" applyFill="1" applyBorder="1" applyAlignment="1">
      <alignment horizontal="center" vertical="center"/>
    </xf>
    <xf numFmtId="177" fontId="47" fillId="33" borderId="13" xfId="0" applyNumberFormat="1" applyFont="1" applyFill="1" applyBorder="1" applyAlignment="1">
      <alignment horizontal="center" vertical="center"/>
    </xf>
    <xf numFmtId="0" fontId="47" fillId="33" borderId="14" xfId="0" applyFont="1" applyFill="1" applyBorder="1" applyAlignment="1">
      <alignment horizontal="center" vertical="center"/>
    </xf>
    <xf numFmtId="0" fontId="46" fillId="33" borderId="15" xfId="0" applyFont="1" applyFill="1" applyBorder="1" applyAlignment="1">
      <alignment horizontal="center" vertical="center"/>
    </xf>
    <xf numFmtId="0" fontId="48" fillId="33" borderId="16" xfId="0" applyFont="1" applyFill="1" applyBorder="1" applyAlignment="1">
      <alignment horizontal="center" vertical="center"/>
    </xf>
    <xf numFmtId="0" fontId="49" fillId="33" borderId="16" xfId="0" applyFont="1" applyFill="1" applyBorder="1">
      <alignment vertical="center"/>
    </xf>
    <xf numFmtId="0" fontId="49" fillId="33" borderId="16" xfId="0" applyFont="1" applyFill="1" applyBorder="1" applyAlignment="1">
      <alignment horizontal="right" vertical="center"/>
    </xf>
    <xf numFmtId="2" fontId="47" fillId="33" borderId="16" xfId="7" applyNumberFormat="1" applyFont="1" applyFill="1" applyBorder="1" applyAlignment="1">
      <alignment horizontal="center" vertical="center"/>
    </xf>
    <xf numFmtId="2" fontId="50" fillId="33" borderId="16" xfId="7" applyNumberFormat="1" applyFont="1" applyFill="1" applyBorder="1" applyAlignment="1">
      <alignment horizontal="center" vertical="center"/>
    </xf>
    <xf numFmtId="2" fontId="51" fillId="33" borderId="16" xfId="8" applyNumberFormat="1" applyFont="1" applyFill="1" applyBorder="1" applyAlignment="1">
      <alignment horizontal="center" vertical="center"/>
    </xf>
    <xf numFmtId="0" fontId="51" fillId="33" borderId="17" xfId="0" applyFont="1" applyFill="1" applyBorder="1" applyAlignment="1">
      <alignment horizontal="center" vertical="center"/>
    </xf>
    <xf numFmtId="0" fontId="47" fillId="34" borderId="12" xfId="0" applyFont="1" applyFill="1" applyBorder="1" applyAlignment="1">
      <alignment horizontal="center" vertical="center"/>
    </xf>
    <xf numFmtId="0" fontId="47" fillId="34" borderId="13" xfId="0" applyFont="1" applyFill="1" applyBorder="1" applyAlignment="1">
      <alignment horizontal="center" vertical="center"/>
    </xf>
    <xf numFmtId="0" fontId="47" fillId="34" borderId="13" xfId="0" applyFont="1" applyFill="1" applyBorder="1" applyAlignment="1">
      <alignment horizontal="right" vertical="center"/>
    </xf>
    <xf numFmtId="2" fontId="47" fillId="34" borderId="13" xfId="0" applyNumberFormat="1" applyFont="1" applyFill="1" applyBorder="1" applyAlignment="1">
      <alignment horizontal="center" vertical="center"/>
    </xf>
    <xf numFmtId="0" fontId="49" fillId="34" borderId="14" xfId="0" applyFont="1" applyFill="1" applyBorder="1" applyAlignment="1">
      <alignment horizontal="center" vertical="center"/>
    </xf>
    <xf numFmtId="0" fontId="51" fillId="34" borderId="18" xfId="0" applyFont="1" applyFill="1" applyBorder="1" applyAlignment="1">
      <alignment horizontal="center" vertical="center"/>
    </xf>
    <xf numFmtId="0" fontId="51" fillId="34" borderId="10" xfId="0" applyFont="1" applyFill="1" applyBorder="1" applyAlignment="1">
      <alignment horizontal="center" vertical="center"/>
    </xf>
    <xf numFmtId="2" fontId="51" fillId="34" borderId="10" xfId="0" applyNumberFormat="1" applyFont="1" applyFill="1" applyBorder="1" applyAlignment="1">
      <alignment horizontal="center" vertical="center"/>
    </xf>
    <xf numFmtId="0" fontId="47" fillId="34" borderId="10" xfId="0" applyFont="1" applyFill="1" applyBorder="1" applyAlignment="1">
      <alignment horizontal="right" vertical="center"/>
    </xf>
    <xf numFmtId="2" fontId="47" fillId="34" borderId="10" xfId="0" applyNumberFormat="1" applyFont="1" applyFill="1" applyBorder="1" applyAlignment="1">
      <alignment horizontal="center" vertical="center"/>
    </xf>
    <xf numFmtId="0" fontId="49" fillId="34" borderId="19" xfId="0" applyFont="1" applyFill="1" applyBorder="1" applyAlignment="1">
      <alignment horizontal="center" vertical="center"/>
    </xf>
    <xf numFmtId="0" fontId="47" fillId="34" borderId="15" xfId="0" applyFont="1" applyFill="1" applyBorder="1" applyAlignment="1">
      <alignment horizontal="center" vertical="center"/>
    </xf>
    <xf numFmtId="0" fontId="47" fillId="34" borderId="16" xfId="0" applyFont="1" applyFill="1" applyBorder="1" applyAlignment="1">
      <alignment horizontal="center" vertical="center"/>
    </xf>
    <xf numFmtId="0" fontId="47" fillId="34" borderId="16" xfId="0" applyFont="1" applyFill="1" applyBorder="1">
      <alignment vertical="center"/>
    </xf>
    <xf numFmtId="0" fontId="47" fillId="34" borderId="16" xfId="0" applyFont="1" applyFill="1" applyBorder="1" applyAlignment="1">
      <alignment horizontal="right" vertical="center"/>
    </xf>
    <xf numFmtId="2" fontId="47" fillId="34" borderId="16" xfId="7" applyNumberFormat="1" applyFont="1" applyFill="1" applyBorder="1" applyAlignment="1">
      <alignment horizontal="center" vertical="center"/>
    </xf>
    <xf numFmtId="0" fontId="49" fillId="34" borderId="17" xfId="0" applyFont="1" applyFill="1" applyBorder="1" applyAlignment="1">
      <alignment horizontal="center" vertical="center"/>
    </xf>
    <xf numFmtId="176" fontId="50" fillId="35" borderId="11" xfId="0" applyNumberFormat="1" applyFont="1" applyFill="1" applyBorder="1">
      <alignment vertical="center"/>
    </xf>
    <xf numFmtId="22" fontId="50" fillId="35" borderId="11" xfId="0" applyNumberFormat="1" applyFont="1" applyFill="1" applyBorder="1" applyAlignment="1">
      <alignment horizontal="right" vertical="center"/>
    </xf>
    <xf numFmtId="177" fontId="50" fillId="35" borderId="11" xfId="0" applyNumberFormat="1" applyFont="1" applyFill="1" applyBorder="1" applyAlignment="1">
      <alignment horizontal="center" vertical="center"/>
    </xf>
    <xf numFmtId="2" fontId="50" fillId="35" borderId="11" xfId="0" applyNumberFormat="1" applyFont="1" applyFill="1" applyBorder="1" applyAlignment="1">
      <alignment horizontal="center" vertical="center"/>
    </xf>
    <xf numFmtId="2" fontId="50" fillId="35" borderId="11" xfId="8" applyNumberFormat="1" applyFont="1" applyFill="1" applyBorder="1" applyAlignment="1">
      <alignment horizontal="center" vertical="center"/>
    </xf>
    <xf numFmtId="178" fontId="50" fillId="35" borderId="11" xfId="8" applyNumberFormat="1" applyFont="1" applyFill="1" applyBorder="1" applyAlignment="1">
      <alignment horizontal="center" vertical="center"/>
    </xf>
    <xf numFmtId="0" fontId="49" fillId="0" borderId="0" xfId="0" applyFont="1">
      <alignment vertical="center"/>
    </xf>
    <xf numFmtId="0" fontId="51" fillId="35" borderId="0" xfId="0" applyFont="1" applyFill="1">
      <alignment vertical="center"/>
    </xf>
    <xf numFmtId="0" fontId="51" fillId="0" borderId="0" xfId="0" applyFont="1">
      <alignment vertical="center"/>
    </xf>
    <xf numFmtId="0" fontId="51" fillId="36" borderId="0" xfId="0" applyFont="1" applyFill="1">
      <alignment vertical="center"/>
    </xf>
    <xf numFmtId="0" fontId="49" fillId="35" borderId="0" xfId="8" applyFont="1" applyFill="1" applyAlignment="1">
      <alignment horizontal="center" vertical="center"/>
    </xf>
    <xf numFmtId="0" fontId="49" fillId="35" borderId="0" xfId="0" applyFont="1" applyFill="1" applyAlignment="1">
      <alignment horizontal="center" vertical="center"/>
    </xf>
    <xf numFmtId="0" fontId="49" fillId="0" borderId="0" xfId="0" applyFont="1" applyAlignment="1">
      <alignment horizontal="right" vertical="center"/>
    </xf>
    <xf numFmtId="177" fontId="52" fillId="35" borderId="0" xfId="0" applyNumberFormat="1" applyFont="1" applyFill="1" applyAlignment="1">
      <alignment horizontal="center" vertical="center"/>
    </xf>
    <xf numFmtId="0" fontId="49" fillId="35" borderId="0" xfId="7" applyFont="1" applyFill="1" applyAlignment="1">
      <alignment horizontal="center" vertical="center"/>
    </xf>
    <xf numFmtId="0" fontId="53" fillId="0" borderId="0" xfId="0" applyFont="1">
      <alignment vertical="center"/>
    </xf>
    <xf numFmtId="0" fontId="54" fillId="0" borderId="0" xfId="0" applyFont="1">
      <alignment vertical="center"/>
    </xf>
    <xf numFmtId="0" fontId="53" fillId="0" borderId="0" xfId="0" applyFont="1" applyBorder="1">
      <alignment vertical="center"/>
    </xf>
    <xf numFmtId="0" fontId="53" fillId="0" borderId="11" xfId="0" applyFont="1" applyBorder="1">
      <alignment vertical="center"/>
    </xf>
    <xf numFmtId="22" fontId="53" fillId="0" borderId="11" xfId="0" applyNumberFormat="1" applyFont="1" applyBorder="1">
      <alignment vertical="center"/>
    </xf>
    <xf numFmtId="0" fontId="53" fillId="0" borderId="10" xfId="0" applyFont="1" applyBorder="1">
      <alignment vertical="center"/>
    </xf>
    <xf numFmtId="22" fontId="53" fillId="0" borderId="10" xfId="0" applyNumberFormat="1" applyFont="1" applyBorder="1">
      <alignment vertical="center"/>
    </xf>
    <xf numFmtId="0" fontId="54" fillId="0" borderId="10" xfId="0" applyFont="1" applyBorder="1">
      <alignment vertical="center"/>
    </xf>
    <xf numFmtId="22" fontId="55" fillId="0" borderId="10" xfId="0" applyNumberFormat="1" applyFont="1" applyBorder="1">
      <alignment vertical="center"/>
    </xf>
    <xf numFmtId="0" fontId="55" fillId="0" borderId="10" xfId="0" applyFont="1" applyBorder="1">
      <alignment vertical="center"/>
    </xf>
    <xf numFmtId="0" fontId="55" fillId="0" borderId="0" xfId="0" applyFont="1">
      <alignment vertical="center"/>
    </xf>
    <xf numFmtId="0" fontId="14" fillId="37" borderId="0" xfId="0" applyFont="1" applyFill="1">
      <alignment vertical="center"/>
    </xf>
    <xf numFmtId="0" fontId="56" fillId="0" borderId="0" xfId="0" applyFont="1">
      <alignment vertical="center"/>
    </xf>
    <xf numFmtId="0" fontId="56" fillId="0" borderId="0" xfId="0" applyFont="1" applyAlignment="1">
      <alignment horizontal="center" vertical="center"/>
    </xf>
    <xf numFmtId="0" fontId="56" fillId="35" borderId="0" xfId="0" applyFont="1" applyFill="1" applyBorder="1" applyAlignment="1">
      <alignment horizontal="center" vertical="center"/>
    </xf>
    <xf numFmtId="0" fontId="57" fillId="35" borderId="0" xfId="0" applyFont="1" applyFill="1" applyBorder="1">
      <alignment vertical="center"/>
    </xf>
    <xf numFmtId="0" fontId="57" fillId="35" borderId="0" xfId="0" applyFont="1" applyFill="1" applyBorder="1" applyAlignment="1">
      <alignment horizontal="right" vertical="center"/>
    </xf>
    <xf numFmtId="177" fontId="58" fillId="35" borderId="0" xfId="0" applyNumberFormat="1" applyFont="1" applyFill="1" applyBorder="1" applyAlignment="1">
      <alignment horizontal="center" vertical="center"/>
    </xf>
    <xf numFmtId="0" fontId="57" fillId="35" borderId="0" xfId="7" applyFont="1" applyFill="1" applyBorder="1" applyAlignment="1">
      <alignment horizontal="center" vertical="center"/>
    </xf>
    <xf numFmtId="0" fontId="57" fillId="35" borderId="0" xfId="7" applyFont="1" applyFill="1" applyBorder="1" applyAlignment="1">
      <alignment horizontal="left" vertical="center"/>
    </xf>
    <xf numFmtId="0" fontId="59" fillId="35" borderId="0" xfId="8" applyFont="1" applyFill="1" applyBorder="1" applyAlignment="1">
      <alignment horizontal="center" vertical="center"/>
    </xf>
    <xf numFmtId="0" fontId="59" fillId="35" borderId="0" xfId="0" applyFont="1" applyFill="1" applyBorder="1" applyAlignment="1">
      <alignment horizontal="center" vertical="center"/>
    </xf>
    <xf numFmtId="0" fontId="56" fillId="35" borderId="0" xfId="0" applyFont="1" applyFill="1">
      <alignment vertical="center"/>
    </xf>
    <xf numFmtId="0" fontId="60" fillId="0" borderId="0" xfId="0" applyFont="1">
      <alignment vertical="center"/>
    </xf>
    <xf numFmtId="0" fontId="60" fillId="0" borderId="0" xfId="0" applyFont="1" applyAlignment="1">
      <alignment horizontal="center" vertical="center"/>
    </xf>
    <xf numFmtId="0" fontId="61" fillId="33" borderId="12" xfId="0" applyFont="1" applyFill="1" applyBorder="1" applyAlignment="1">
      <alignment horizontal="center" vertical="center"/>
    </xf>
    <xf numFmtId="0" fontId="62" fillId="33" borderId="13" xfId="0" applyFont="1" applyFill="1" applyBorder="1" applyAlignment="1">
      <alignment horizontal="center" vertical="center"/>
    </xf>
    <xf numFmtId="0" fontId="61" fillId="33" borderId="13" xfId="0" applyFont="1" applyFill="1" applyBorder="1">
      <alignment vertical="center"/>
    </xf>
    <xf numFmtId="0" fontId="61" fillId="33" borderId="13" xfId="0" applyFont="1" applyFill="1" applyBorder="1" applyAlignment="1">
      <alignment horizontal="right" vertical="center"/>
    </xf>
    <xf numFmtId="0" fontId="61" fillId="33" borderId="13" xfId="7" applyFont="1" applyFill="1" applyBorder="1" applyAlignment="1">
      <alignment horizontal="center" vertical="center"/>
    </xf>
    <xf numFmtId="0" fontId="61" fillId="33" borderId="13" xfId="8" applyFont="1" applyFill="1" applyBorder="1" applyAlignment="1">
      <alignment horizontal="center" vertical="center"/>
    </xf>
    <xf numFmtId="0" fontId="61" fillId="33" borderId="13" xfId="0" applyFont="1" applyFill="1" applyBorder="1" applyAlignment="1">
      <alignment horizontal="center" vertical="center"/>
    </xf>
    <xf numFmtId="177" fontId="61" fillId="33" borderId="13" xfId="0" applyNumberFormat="1" applyFont="1" applyFill="1" applyBorder="1" applyAlignment="1">
      <alignment horizontal="center" vertical="center"/>
    </xf>
    <xf numFmtId="0" fontId="61" fillId="33" borderId="14" xfId="0" applyFont="1" applyFill="1" applyBorder="1" applyAlignment="1">
      <alignment horizontal="center" vertical="center"/>
    </xf>
    <xf numFmtId="0" fontId="60" fillId="35" borderId="0" xfId="0" applyFont="1" applyFill="1">
      <alignment vertical="center"/>
    </xf>
    <xf numFmtId="0" fontId="60" fillId="33" borderId="15" xfId="0" applyFont="1" applyFill="1" applyBorder="1" applyAlignment="1">
      <alignment horizontal="center" vertical="center"/>
    </xf>
    <xf numFmtId="0" fontId="62" fillId="33" borderId="16" xfId="0" applyFont="1" applyFill="1" applyBorder="1" applyAlignment="1">
      <alignment horizontal="center" vertical="center"/>
    </xf>
    <xf numFmtId="0" fontId="63" fillId="33" borderId="16" xfId="0" applyFont="1" applyFill="1" applyBorder="1">
      <alignment vertical="center"/>
    </xf>
    <xf numFmtId="0" fontId="63" fillId="33" borderId="16" xfId="0" applyFont="1" applyFill="1" applyBorder="1" applyAlignment="1">
      <alignment horizontal="right" vertical="center"/>
    </xf>
    <xf numFmtId="2" fontId="61" fillId="33" borderId="16" xfId="7" applyNumberFormat="1" applyFont="1" applyFill="1" applyBorder="1" applyAlignment="1">
      <alignment horizontal="center" vertical="center"/>
    </xf>
    <xf numFmtId="2" fontId="64" fillId="33" borderId="16" xfId="7" applyNumberFormat="1" applyFont="1" applyFill="1" applyBorder="1" applyAlignment="1">
      <alignment horizontal="center" vertical="center"/>
    </xf>
    <xf numFmtId="2" fontId="65" fillId="33" borderId="16" xfId="8" applyNumberFormat="1" applyFont="1" applyFill="1" applyBorder="1" applyAlignment="1">
      <alignment horizontal="center" vertical="center"/>
    </xf>
    <xf numFmtId="0" fontId="65" fillId="33" borderId="17" xfId="0" applyFont="1" applyFill="1" applyBorder="1" applyAlignment="1">
      <alignment horizontal="center" vertical="center"/>
    </xf>
    <xf numFmtId="0" fontId="61" fillId="34" borderId="12" xfId="0" applyFont="1" applyFill="1" applyBorder="1" applyAlignment="1">
      <alignment horizontal="center" vertical="center"/>
    </xf>
    <xf numFmtId="0" fontId="61" fillId="34" borderId="13" xfId="0" applyFont="1" applyFill="1" applyBorder="1" applyAlignment="1">
      <alignment horizontal="center" vertical="center"/>
    </xf>
    <xf numFmtId="0" fontId="61" fillId="34" borderId="13" xfId="0" applyFont="1" applyFill="1" applyBorder="1" applyAlignment="1">
      <alignment horizontal="right" vertical="center"/>
    </xf>
    <xf numFmtId="2" fontId="61" fillId="34" borderId="13" xfId="0" applyNumberFormat="1" applyFont="1" applyFill="1" applyBorder="1" applyAlignment="1">
      <alignment horizontal="center" vertical="center"/>
    </xf>
    <xf numFmtId="0" fontId="63" fillId="34" borderId="14" xfId="0" applyFont="1" applyFill="1" applyBorder="1" applyAlignment="1">
      <alignment horizontal="center" vertical="center"/>
    </xf>
    <xf numFmtId="0" fontId="63" fillId="34" borderId="10" xfId="0" applyFont="1" applyFill="1" applyBorder="1" applyAlignment="1">
      <alignment horizontal="center" vertical="center"/>
    </xf>
    <xf numFmtId="0" fontId="60" fillId="35" borderId="0" xfId="0" applyFont="1" applyFill="1" applyBorder="1">
      <alignment vertical="center"/>
    </xf>
    <xf numFmtId="179" fontId="60" fillId="0" borderId="0" xfId="0" applyNumberFormat="1" applyFont="1">
      <alignment vertical="center"/>
    </xf>
    <xf numFmtId="0" fontId="65" fillId="34" borderId="10" xfId="0" applyFont="1" applyFill="1" applyBorder="1" applyAlignment="1">
      <alignment horizontal="center" vertical="center"/>
    </xf>
    <xf numFmtId="0" fontId="61" fillId="34" borderId="10" xfId="0" applyFont="1" applyFill="1" applyBorder="1" applyAlignment="1">
      <alignment horizontal="right" vertical="center"/>
    </xf>
    <xf numFmtId="2" fontId="61" fillId="34" borderId="10" xfId="0" applyNumberFormat="1" applyFont="1" applyFill="1" applyBorder="1" applyAlignment="1">
      <alignment horizontal="center" vertical="center"/>
    </xf>
    <xf numFmtId="0" fontId="63" fillId="34" borderId="19" xfId="0" applyFont="1" applyFill="1" applyBorder="1" applyAlignment="1">
      <alignment horizontal="center" vertical="center"/>
    </xf>
    <xf numFmtId="181" fontId="60" fillId="35" borderId="0" xfId="42" applyNumberFormat="1" applyFont="1" applyFill="1">
      <alignment vertical="center"/>
    </xf>
    <xf numFmtId="0" fontId="61" fillId="34" borderId="15" xfId="0" applyFont="1" applyFill="1" applyBorder="1" applyAlignment="1">
      <alignment horizontal="center" vertical="center"/>
    </xf>
    <xf numFmtId="0" fontId="61" fillId="34" borderId="16" xfId="0" applyFont="1" applyFill="1" applyBorder="1" applyAlignment="1">
      <alignment horizontal="center" vertical="center"/>
    </xf>
    <xf numFmtId="0" fontId="61" fillId="34" borderId="16" xfId="0" applyFont="1" applyFill="1" applyBorder="1">
      <alignment vertical="center"/>
    </xf>
    <xf numFmtId="0" fontId="61" fillId="34" borderId="16" xfId="0" applyFont="1" applyFill="1" applyBorder="1" applyAlignment="1">
      <alignment horizontal="right" vertical="center"/>
    </xf>
    <xf numFmtId="2" fontId="61" fillId="34" borderId="16" xfId="7" applyNumberFormat="1" applyFont="1" applyFill="1" applyBorder="1" applyAlignment="1">
      <alignment horizontal="center" vertical="center"/>
    </xf>
    <xf numFmtId="0" fontId="63" fillId="34" borderId="17" xfId="0" applyFont="1" applyFill="1" applyBorder="1" applyAlignment="1">
      <alignment horizontal="center" vertical="center"/>
    </xf>
    <xf numFmtId="179" fontId="60" fillId="35" borderId="0" xfId="0" applyNumberFormat="1" applyFont="1" applyFill="1">
      <alignment vertical="center"/>
    </xf>
    <xf numFmtId="0" fontId="65" fillId="35" borderId="0" xfId="0" applyFont="1" applyFill="1">
      <alignment vertical="center"/>
    </xf>
    <xf numFmtId="0" fontId="65" fillId="0" borderId="0" xfId="0" applyFont="1">
      <alignment vertical="center"/>
    </xf>
    <xf numFmtId="0" fontId="63" fillId="35" borderId="0" xfId="0" applyFont="1" applyFill="1">
      <alignment vertical="center"/>
    </xf>
    <xf numFmtId="0" fontId="63" fillId="0" borderId="0" xfId="0" applyFont="1">
      <alignment vertical="center"/>
    </xf>
    <xf numFmtId="0" fontId="62" fillId="35" borderId="0" xfId="0" applyFont="1" applyFill="1">
      <alignment vertical="center"/>
    </xf>
    <xf numFmtId="0" fontId="62" fillId="0" borderId="0" xfId="0" applyFont="1">
      <alignment vertical="center"/>
    </xf>
    <xf numFmtId="0" fontId="63" fillId="0" borderId="0" xfId="0" applyFont="1" applyAlignment="1">
      <alignment horizontal="right" vertical="center"/>
    </xf>
    <xf numFmtId="177" fontId="66" fillId="35" borderId="0" xfId="0" applyNumberFormat="1" applyFont="1" applyFill="1" applyAlignment="1">
      <alignment horizontal="center" vertical="center"/>
    </xf>
    <xf numFmtId="0" fontId="63" fillId="35" borderId="0" xfId="7" applyFont="1" applyFill="1" applyAlignment="1">
      <alignment horizontal="center" vertical="center"/>
    </xf>
    <xf numFmtId="0" fontId="63" fillId="35" borderId="0" xfId="8" applyFont="1" applyFill="1" applyAlignment="1">
      <alignment horizontal="center" vertical="center"/>
    </xf>
    <xf numFmtId="0" fontId="63" fillId="35" borderId="0" xfId="0" applyFont="1" applyFill="1" applyAlignment="1">
      <alignment horizontal="center" vertical="center"/>
    </xf>
    <xf numFmtId="179" fontId="14" fillId="35" borderId="0" xfId="0" applyNumberFormat="1" applyFont="1" applyFill="1">
      <alignment vertical="center"/>
    </xf>
    <xf numFmtId="177" fontId="27" fillId="35" borderId="0" xfId="0" applyNumberFormat="1" applyFont="1" applyFill="1">
      <alignment vertical="center"/>
    </xf>
    <xf numFmtId="0" fontId="19" fillId="36" borderId="0" xfId="0" applyFont="1" applyFill="1">
      <alignment vertical="center"/>
    </xf>
    <xf numFmtId="0" fontId="0" fillId="36" borderId="0" xfId="0" applyFill="1">
      <alignment vertical="center"/>
    </xf>
    <xf numFmtId="22" fontId="27" fillId="0" borderId="0" xfId="0" applyNumberFormat="1" applyFont="1">
      <alignment vertical="center"/>
    </xf>
    <xf numFmtId="0" fontId="14" fillId="33" borderId="13" xfId="0" applyNumberFormat="1" applyFont="1" applyFill="1" applyBorder="1" applyAlignment="1">
      <alignment horizontal="center" vertical="center"/>
    </xf>
    <xf numFmtId="2" fontId="19" fillId="34" borderId="20" xfId="0" applyNumberFormat="1" applyFont="1" applyFill="1" applyBorder="1" applyAlignment="1">
      <alignment horizontal="center" vertical="center"/>
    </xf>
    <xf numFmtId="0" fontId="50" fillId="35" borderId="11" xfId="0" applyFont="1" applyFill="1" applyBorder="1" applyAlignment="1">
      <alignment horizontal="center" vertical="center"/>
    </xf>
    <xf numFmtId="0" fontId="19" fillId="38" borderId="0" xfId="0" applyFont="1" applyFill="1">
      <alignment vertical="center"/>
    </xf>
    <xf numFmtId="179" fontId="19" fillId="35" borderId="0" xfId="0" applyNumberFormat="1" applyFont="1" applyFill="1">
      <alignment vertical="center"/>
    </xf>
    <xf numFmtId="0" fontId="1" fillId="0" borderId="0" xfId="0" applyFont="1">
      <alignment vertical="center"/>
    </xf>
    <xf numFmtId="0" fontId="27" fillId="0" borderId="0" xfId="0" applyFont="1" applyFill="1">
      <alignment vertical="center"/>
    </xf>
    <xf numFmtId="176" fontId="23" fillId="35" borderId="10" xfId="0" applyNumberFormat="1" applyFont="1" applyFill="1" applyBorder="1">
      <alignment vertical="center"/>
    </xf>
    <xf numFmtId="22" fontId="23" fillId="35" borderId="10" xfId="0" applyNumberFormat="1" applyFont="1" applyFill="1" applyBorder="1" applyAlignment="1">
      <alignment horizontal="right" vertical="center"/>
    </xf>
    <xf numFmtId="177" fontId="23" fillId="35" borderId="10" xfId="0" applyNumberFormat="1" applyFont="1" applyFill="1" applyBorder="1" applyAlignment="1">
      <alignment horizontal="center" vertical="center"/>
    </xf>
    <xf numFmtId="2" fontId="65" fillId="34" borderId="18" xfId="0" applyNumberFormat="1" applyFont="1" applyFill="1" applyBorder="1" applyAlignment="1">
      <alignment horizontal="center" vertical="center"/>
    </xf>
    <xf numFmtId="0" fontId="67" fillId="0" borderId="0" xfId="0" applyFont="1" applyFill="1" applyBorder="1">
      <alignment vertical="center"/>
    </xf>
    <xf numFmtId="0" fontId="22" fillId="35" borderId="0" xfId="0" applyFont="1" applyFill="1">
      <alignment vertical="center"/>
    </xf>
    <xf numFmtId="179" fontId="27" fillId="35" borderId="0" xfId="0" applyNumberFormat="1" applyFont="1" applyFill="1">
      <alignment vertical="center"/>
    </xf>
    <xf numFmtId="22" fontId="19" fillId="0" borderId="0" xfId="0" applyNumberFormat="1" applyFont="1">
      <alignment vertical="center"/>
    </xf>
    <xf numFmtId="0" fontId="29" fillId="0" borderId="0" xfId="0" applyFont="1">
      <alignment vertical="center"/>
    </xf>
    <xf numFmtId="0" fontId="14" fillId="0" borderId="10" xfId="0" applyFont="1" applyBorder="1">
      <alignment vertical="center"/>
    </xf>
    <xf numFmtId="0" fontId="0" fillId="37" borderId="0" xfId="0" applyFill="1" applyBorder="1">
      <alignment vertical="center"/>
    </xf>
    <xf numFmtId="0" fontId="0" fillId="37" borderId="10" xfId="0" applyFill="1" applyBorder="1">
      <alignment vertical="center"/>
    </xf>
    <xf numFmtId="22" fontId="0" fillId="37" borderId="10" xfId="0" applyNumberFormat="1" applyFill="1" applyBorder="1">
      <alignment vertical="center"/>
    </xf>
    <xf numFmtId="176" fontId="23" fillId="37" borderId="11" xfId="0" applyNumberFormat="1" applyFont="1" applyFill="1" applyBorder="1">
      <alignment vertical="center"/>
    </xf>
    <xf numFmtId="22" fontId="23" fillId="37" borderId="11" xfId="0" applyNumberFormat="1" applyFont="1" applyFill="1" applyBorder="1" applyAlignment="1">
      <alignment horizontal="right" vertical="center"/>
    </xf>
    <xf numFmtId="177" fontId="23" fillId="37" borderId="11" xfId="0" applyNumberFormat="1" applyFont="1" applyFill="1" applyBorder="1" applyAlignment="1">
      <alignment horizontal="center" vertical="center"/>
    </xf>
    <xf numFmtId="2" fontId="23" fillId="37" borderId="11" xfId="0" applyNumberFormat="1" applyFont="1" applyFill="1" applyBorder="1" applyAlignment="1">
      <alignment horizontal="center" vertical="center"/>
    </xf>
    <xf numFmtId="2" fontId="23" fillId="37" borderId="11" xfId="8" applyNumberFormat="1" applyFont="1" applyFill="1" applyBorder="1" applyAlignment="1">
      <alignment horizontal="center" vertical="center"/>
    </xf>
    <xf numFmtId="178" fontId="23" fillId="37" borderId="11" xfId="8" applyNumberFormat="1" applyFont="1" applyFill="1" applyBorder="1" applyAlignment="1">
      <alignment horizontal="center" vertical="center"/>
    </xf>
    <xf numFmtId="0" fontId="23" fillId="37" borderId="10" xfId="0" applyFont="1" applyFill="1" applyBorder="1" applyAlignment="1">
      <alignment horizontal="center" vertical="center"/>
    </xf>
    <xf numFmtId="0" fontId="60" fillId="37" borderId="0" xfId="0" applyFont="1" applyFill="1">
      <alignment vertical="center"/>
    </xf>
    <xf numFmtId="179" fontId="60" fillId="37" borderId="0" xfId="0" applyNumberFormat="1" applyFont="1" applyFill="1">
      <alignment vertical="center"/>
    </xf>
    <xf numFmtId="0" fontId="63" fillId="37" borderId="0" xfId="0" applyFont="1" applyFill="1">
      <alignment vertical="center"/>
    </xf>
    <xf numFmtId="0" fontId="0" fillId="37" borderId="0" xfId="0" applyFill="1">
      <alignment vertical="center"/>
    </xf>
    <xf numFmtId="0" fontId="19" fillId="0" borderId="0" xfId="0" applyFont="1" applyBorder="1">
      <alignment vertical="center"/>
    </xf>
    <xf numFmtId="177" fontId="19" fillId="35" borderId="0" xfId="0" applyNumberFormat="1" applyFont="1" applyFill="1">
      <alignment vertical="center"/>
    </xf>
    <xf numFmtId="0" fontId="29" fillId="0" borderId="10" xfId="0" applyFont="1" applyBorder="1">
      <alignment vertical="center"/>
    </xf>
    <xf numFmtId="0" fontId="14" fillId="0" borderId="0" xfId="0" applyFont="1" applyBorder="1">
      <alignment vertical="center"/>
    </xf>
    <xf numFmtId="0" fontId="27" fillId="0" borderId="0" xfId="0" applyFont="1" applyBorder="1">
      <alignment vertical="center"/>
    </xf>
    <xf numFmtId="0" fontId="19" fillId="37" borderId="0" xfId="0" applyFont="1" applyFill="1">
      <alignment vertical="center"/>
    </xf>
    <xf numFmtId="182" fontId="19" fillId="37" borderId="0" xfId="0" applyNumberFormat="1" applyFont="1" applyFill="1">
      <alignment vertical="center"/>
    </xf>
    <xf numFmtId="0" fontId="19" fillId="37" borderId="0" xfId="0" applyFont="1" applyFill="1" applyBorder="1">
      <alignment vertical="center"/>
    </xf>
    <xf numFmtId="0" fontId="27" fillId="0" borderId="11" xfId="0" applyFont="1" applyBorder="1">
      <alignment vertical="center"/>
    </xf>
    <xf numFmtId="22" fontId="27" fillId="0" borderId="11" xfId="0" applyNumberFormat="1" applyFont="1" applyBorder="1">
      <alignment vertical="center"/>
    </xf>
    <xf numFmtId="0" fontId="27" fillId="0" borderId="11" xfId="0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10" xfId="0" applyFill="1" applyBorder="1">
      <alignment vertical="center"/>
    </xf>
    <xf numFmtId="22" fontId="0" fillId="0" borderId="10" xfId="0" applyNumberFormat="1" applyFill="1" applyBorder="1">
      <alignment vertical="center"/>
    </xf>
    <xf numFmtId="176" fontId="23" fillId="0" borderId="11" xfId="0" applyNumberFormat="1" applyFont="1" applyFill="1" applyBorder="1">
      <alignment vertical="center"/>
    </xf>
    <xf numFmtId="22" fontId="23" fillId="0" borderId="11" xfId="0" applyNumberFormat="1" applyFont="1" applyFill="1" applyBorder="1" applyAlignment="1">
      <alignment horizontal="right" vertical="center"/>
    </xf>
    <xf numFmtId="177" fontId="23" fillId="0" borderId="11" xfId="0" applyNumberFormat="1" applyFont="1" applyFill="1" applyBorder="1" applyAlignment="1">
      <alignment horizontal="center" vertical="center"/>
    </xf>
    <xf numFmtId="2" fontId="23" fillId="0" borderId="11" xfId="0" applyNumberFormat="1" applyFont="1" applyFill="1" applyBorder="1" applyAlignment="1">
      <alignment horizontal="center" vertical="center"/>
    </xf>
    <xf numFmtId="2" fontId="23" fillId="0" borderId="11" xfId="8" applyNumberFormat="1" applyFont="1" applyFill="1" applyBorder="1" applyAlignment="1">
      <alignment horizontal="center" vertical="center"/>
    </xf>
    <xf numFmtId="178" fontId="23" fillId="0" borderId="11" xfId="8" applyNumberFormat="1" applyFont="1" applyFill="1" applyBorder="1" applyAlignment="1">
      <alignment horizontal="center" vertical="center"/>
    </xf>
    <xf numFmtId="2" fontId="19" fillId="35" borderId="10" xfId="0" applyNumberFormat="1" applyFont="1" applyFill="1" applyBorder="1" applyAlignment="1">
      <alignment horizontal="center" vertical="center"/>
    </xf>
    <xf numFmtId="179" fontId="20" fillId="35" borderId="0" xfId="0" applyNumberFormat="1" applyFont="1" applyFill="1">
      <alignment vertical="center"/>
    </xf>
    <xf numFmtId="177" fontId="27" fillId="0" borderId="0" xfId="0" applyNumberFormat="1" applyFont="1">
      <alignment vertical="center"/>
    </xf>
    <xf numFmtId="0" fontId="19" fillId="35" borderId="10" xfId="0" applyFont="1" applyFill="1" applyBorder="1">
      <alignment vertical="center"/>
    </xf>
    <xf numFmtId="22" fontId="19" fillId="35" borderId="10" xfId="0" applyNumberFormat="1" applyFont="1" applyFill="1" applyBorder="1">
      <alignment vertical="center"/>
    </xf>
    <xf numFmtId="0" fontId="0" fillId="35" borderId="10" xfId="0" applyFill="1" applyBorder="1">
      <alignment vertical="center"/>
    </xf>
    <xf numFmtId="22" fontId="0" fillId="35" borderId="10" xfId="0" applyNumberFormat="1" applyFill="1" applyBorder="1">
      <alignment vertical="center"/>
    </xf>
    <xf numFmtId="0" fontId="26" fillId="35" borderId="0" xfId="8" applyFont="1" applyFill="1" applyBorder="1" applyAlignment="1">
      <alignment horizontal="left" vertical="center"/>
    </xf>
    <xf numFmtId="176" fontId="22" fillId="35" borderId="10" xfId="0" applyNumberFormat="1" applyFont="1" applyFill="1" applyBorder="1">
      <alignment vertical="center"/>
    </xf>
    <xf numFmtId="22" fontId="22" fillId="35" borderId="10" xfId="0" applyNumberFormat="1" applyFont="1" applyFill="1" applyBorder="1" applyAlignment="1">
      <alignment horizontal="right" vertical="center"/>
    </xf>
    <xf numFmtId="0" fontId="68" fillId="0" borderId="0" xfId="0" applyFont="1">
      <alignment vertical="center"/>
    </xf>
    <xf numFmtId="0" fontId="68" fillId="0" borderId="10" xfId="0" applyFont="1" applyBorder="1">
      <alignment vertical="center"/>
    </xf>
    <xf numFmtId="22" fontId="68" fillId="0" borderId="10" xfId="0" applyNumberFormat="1" applyFont="1" applyBorder="1">
      <alignment vertical="center"/>
    </xf>
    <xf numFmtId="176" fontId="68" fillId="35" borderId="10" xfId="0" applyNumberFormat="1" applyFont="1" applyFill="1" applyBorder="1">
      <alignment vertical="center"/>
    </xf>
    <xf numFmtId="22" fontId="68" fillId="35" borderId="10" xfId="0" applyNumberFormat="1" applyFont="1" applyFill="1" applyBorder="1" applyAlignment="1">
      <alignment horizontal="right" vertical="center"/>
    </xf>
    <xf numFmtId="0" fontId="68" fillId="35" borderId="0" xfId="0" applyFont="1" applyFill="1">
      <alignment vertical="center"/>
    </xf>
    <xf numFmtId="0" fontId="27" fillId="35" borderId="10" xfId="7" applyFont="1" applyFill="1" applyBorder="1" applyAlignment="1">
      <alignment horizontal="center" vertical="center"/>
    </xf>
    <xf numFmtId="0" fontId="27" fillId="35" borderId="10" xfId="8" applyFont="1" applyFill="1" applyBorder="1" applyAlignment="1">
      <alignment horizontal="center" vertical="center"/>
    </xf>
    <xf numFmtId="2" fontId="69" fillId="35" borderId="11" xfId="0" applyNumberFormat="1" applyFont="1" applyFill="1" applyBorder="1" applyAlignment="1">
      <alignment horizontal="center" vertical="center"/>
    </xf>
    <xf numFmtId="2" fontId="23" fillId="35" borderId="10" xfId="0" applyNumberFormat="1" applyFont="1" applyFill="1" applyBorder="1" applyAlignment="1">
      <alignment horizontal="center" vertical="center"/>
    </xf>
    <xf numFmtId="2" fontId="51" fillId="34" borderId="18" xfId="0" applyNumberFormat="1" applyFont="1" applyFill="1" applyBorder="1" applyAlignment="1">
      <alignment horizontal="center" vertical="center"/>
    </xf>
    <xf numFmtId="178" fontId="23" fillId="35" borderId="10" xfId="8" applyNumberFormat="1" applyFont="1" applyFill="1" applyBorder="1" applyAlignment="1">
      <alignment horizontal="center" vertical="center"/>
    </xf>
    <xf numFmtId="20" fontId="0" fillId="0" borderId="0" xfId="0" applyNumberFormat="1">
      <alignment vertical="center"/>
    </xf>
    <xf numFmtId="176" fontId="0" fillId="0" borderId="0" xfId="0" applyNumberFormat="1">
      <alignment vertical="center"/>
    </xf>
    <xf numFmtId="22" fontId="0" fillId="37" borderId="0" xfId="0" applyNumberFormat="1" applyFill="1">
      <alignment vertical="center"/>
    </xf>
    <xf numFmtId="176" fontId="0" fillId="37" borderId="0" xfId="0" applyNumberFormat="1" applyFill="1">
      <alignment vertical="center"/>
    </xf>
    <xf numFmtId="20" fontId="0" fillId="37" borderId="0" xfId="0" applyNumberFormat="1" applyFill="1">
      <alignment vertical="center"/>
    </xf>
  </cellXfs>
  <cellStyles count="43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百分比" xfId="42" builtinId="5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2" defaultPivotStyle="PivotStyleLight16"/>
  <colors>
    <mruColors>
      <color rgb="FF111AD3"/>
      <color rgb="FF23956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635000</xdr:colOff>
      <xdr:row>8</xdr:row>
      <xdr:rowOff>3175</xdr:rowOff>
    </xdr:from>
    <xdr:to>
      <xdr:col>11</xdr:col>
      <xdr:colOff>22225</xdr:colOff>
      <xdr:row>16</xdr:row>
      <xdr:rowOff>79375</xdr:rowOff>
    </xdr:to>
    <xdr:sp macro="[0]!MAIN.MAIN" textlink="">
      <xdr:nvSpPr>
        <xdr:cNvPr id="2" name="矩形 1">
          <a:extLst>
            <a:ext uri="{FF2B5EF4-FFF2-40B4-BE49-F238E27FC236}">
              <a16:creationId xmlns:a16="http://schemas.microsoft.com/office/drawing/2014/main" id="{B621AF37-782E-D34A-B371-39657181B7F4}"/>
            </a:ext>
          </a:extLst>
        </xdr:cNvPr>
        <xdr:cNvSpPr/>
      </xdr:nvSpPr>
      <xdr:spPr>
        <a:xfrm>
          <a:off x="12160250" y="1679575"/>
          <a:ext cx="2768600" cy="1752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848"/>
  <sheetViews>
    <sheetView workbookViewId="0"/>
  </sheetViews>
  <sheetFormatPr defaultColWidth="8.875" defaultRowHeight="16.5"/>
  <cols>
    <col min="5" max="5" width="18.125" customWidth="1"/>
  </cols>
  <sheetData>
    <row r="1" spans="1: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>
      <c r="A2">
        <v>8810</v>
      </c>
      <c r="B2" t="s">
        <v>43</v>
      </c>
      <c r="C2" t="s">
        <v>43</v>
      </c>
      <c r="D2" t="s">
        <v>6</v>
      </c>
      <c r="E2" s="1">
        <v>43172.623773148145</v>
      </c>
    </row>
    <row r="3" spans="1:5">
      <c r="A3">
        <v>8827</v>
      </c>
      <c r="B3" t="s">
        <v>43</v>
      </c>
      <c r="C3" t="s">
        <v>43</v>
      </c>
      <c r="D3" t="s">
        <v>5</v>
      </c>
      <c r="E3" s="1">
        <v>43172.79277777778</v>
      </c>
    </row>
    <row r="4" spans="1:5">
      <c r="A4">
        <v>8846</v>
      </c>
      <c r="B4" t="s">
        <v>43</v>
      </c>
      <c r="C4" t="s">
        <v>43</v>
      </c>
      <c r="D4" t="s">
        <v>6</v>
      </c>
      <c r="E4" s="1">
        <v>43173.467245370368</v>
      </c>
    </row>
    <row r="5" spans="1:5">
      <c r="A5">
        <v>8882</v>
      </c>
      <c r="B5" t="s">
        <v>43</v>
      </c>
      <c r="C5" t="s">
        <v>43</v>
      </c>
      <c r="D5" t="s">
        <v>6</v>
      </c>
      <c r="E5" s="1">
        <v>43174.434930555559</v>
      </c>
    </row>
    <row r="6" spans="1:5">
      <c r="A6">
        <v>8898</v>
      </c>
      <c r="B6" t="s">
        <v>43</v>
      </c>
      <c r="C6" t="s">
        <v>43</v>
      </c>
      <c r="D6" t="s">
        <v>5</v>
      </c>
      <c r="E6" s="1">
        <v>43174.823263888888</v>
      </c>
    </row>
    <row r="7" spans="1:5">
      <c r="A7">
        <v>9018</v>
      </c>
      <c r="B7" t="s">
        <v>98</v>
      </c>
      <c r="C7" t="s">
        <v>43</v>
      </c>
      <c r="D7" t="s">
        <v>6</v>
      </c>
      <c r="E7" s="1">
        <v>43179.422511574077</v>
      </c>
    </row>
    <row r="8" spans="1:5">
      <c r="A8">
        <v>9033</v>
      </c>
      <c r="B8" t="s">
        <v>43</v>
      </c>
      <c r="C8" t="s">
        <v>43</v>
      </c>
      <c r="D8" t="s">
        <v>5</v>
      </c>
      <c r="E8" s="1">
        <v>43179.773518518516</v>
      </c>
    </row>
    <row r="9" spans="1:5">
      <c r="A9">
        <v>9055</v>
      </c>
      <c r="B9" t="s">
        <v>43</v>
      </c>
      <c r="C9" t="s">
        <v>43</v>
      </c>
      <c r="D9" t="s">
        <v>6</v>
      </c>
      <c r="E9" s="1">
        <v>43180.390474537038</v>
      </c>
    </row>
    <row r="10" spans="1:5">
      <c r="A10">
        <v>9079</v>
      </c>
      <c r="B10" t="s">
        <v>43</v>
      </c>
      <c r="C10" t="s">
        <v>43</v>
      </c>
      <c r="D10" t="s">
        <v>5</v>
      </c>
      <c r="E10" s="1">
        <v>43180.888749999998</v>
      </c>
    </row>
    <row r="11" spans="1:5">
      <c r="A11">
        <v>9170</v>
      </c>
      <c r="B11" t="s">
        <v>43</v>
      </c>
      <c r="C11" t="s">
        <v>43</v>
      </c>
      <c r="D11" t="s">
        <v>6</v>
      </c>
      <c r="E11" s="1">
        <v>43186.39571759259</v>
      </c>
    </row>
    <row r="12" spans="1:5">
      <c r="A12">
        <v>9181</v>
      </c>
      <c r="B12" t="s">
        <v>43</v>
      </c>
      <c r="C12" t="s">
        <v>43</v>
      </c>
      <c r="D12" t="s">
        <v>5</v>
      </c>
      <c r="E12" s="1">
        <v>43186.785081018519</v>
      </c>
    </row>
    <row r="13" spans="1:5">
      <c r="A13">
        <v>9199</v>
      </c>
      <c r="B13" t="s">
        <v>43</v>
      </c>
      <c r="C13" t="s">
        <v>43</v>
      </c>
      <c r="D13" t="s">
        <v>6</v>
      </c>
      <c r="E13" s="1">
        <v>43187.415520833332</v>
      </c>
    </row>
    <row r="14" spans="1:5">
      <c r="A14">
        <v>9213</v>
      </c>
      <c r="B14" t="s">
        <v>43</v>
      </c>
      <c r="C14" t="s">
        <v>43</v>
      </c>
      <c r="D14" t="s">
        <v>5</v>
      </c>
      <c r="E14" s="1">
        <v>43187.771597222221</v>
      </c>
    </row>
    <row r="15" spans="1:5">
      <c r="A15">
        <v>9214</v>
      </c>
      <c r="B15" t="s">
        <v>43</v>
      </c>
      <c r="C15" t="s">
        <v>43</v>
      </c>
      <c r="D15" t="s">
        <v>7</v>
      </c>
      <c r="E15" s="1">
        <v>43187.771701388891</v>
      </c>
    </row>
    <row r="16" spans="1:5">
      <c r="A16">
        <v>9220</v>
      </c>
      <c r="B16" t="s">
        <v>43</v>
      </c>
      <c r="C16" t="s">
        <v>43</v>
      </c>
      <c r="D16" t="s">
        <v>8</v>
      </c>
      <c r="E16" s="1">
        <v>43187.849131944444</v>
      </c>
    </row>
    <row r="17" spans="1:5">
      <c r="A17">
        <v>9236</v>
      </c>
      <c r="B17" t="s">
        <v>43</v>
      </c>
      <c r="C17" t="s">
        <v>43</v>
      </c>
      <c r="D17" t="s">
        <v>6</v>
      </c>
      <c r="E17" s="1">
        <v>43188.443252314813</v>
      </c>
    </row>
    <row r="18" spans="1:5">
      <c r="A18">
        <v>9254</v>
      </c>
      <c r="B18" t="s">
        <v>43</v>
      </c>
      <c r="C18" t="s">
        <v>43</v>
      </c>
      <c r="D18" t="s">
        <v>8</v>
      </c>
      <c r="E18" s="1">
        <v>43188.81753472222</v>
      </c>
    </row>
    <row r="19" spans="1:5">
      <c r="A19">
        <v>9292</v>
      </c>
      <c r="B19" t="s">
        <v>43</v>
      </c>
      <c r="C19" t="s">
        <v>43</v>
      </c>
      <c r="D19" t="s">
        <v>6</v>
      </c>
      <c r="E19" s="1">
        <v>43190.411076388889</v>
      </c>
    </row>
    <row r="20" spans="1:5">
      <c r="A20">
        <v>9302</v>
      </c>
      <c r="B20" t="s">
        <v>43</v>
      </c>
      <c r="C20" t="s">
        <v>43</v>
      </c>
      <c r="D20" t="s">
        <v>5</v>
      </c>
      <c r="E20" s="1">
        <v>43190.776030092595</v>
      </c>
    </row>
    <row r="21" spans="1:5">
      <c r="A21">
        <v>8499</v>
      </c>
      <c r="B21" t="s">
        <v>9</v>
      </c>
      <c r="C21" t="s">
        <v>9</v>
      </c>
      <c r="D21" t="s">
        <v>6</v>
      </c>
      <c r="E21" s="1">
        <v>43160.725474537037</v>
      </c>
    </row>
    <row r="22" spans="1:5">
      <c r="A22">
        <v>8512</v>
      </c>
      <c r="B22" t="s">
        <v>9</v>
      </c>
      <c r="C22" t="s">
        <v>9</v>
      </c>
      <c r="D22" t="s">
        <v>5</v>
      </c>
      <c r="E22" s="1">
        <v>43160.787256944444</v>
      </c>
    </row>
    <row r="23" spans="1:5">
      <c r="A23">
        <v>8522</v>
      </c>
      <c r="B23" t="s">
        <v>9</v>
      </c>
      <c r="C23" t="s">
        <v>9</v>
      </c>
      <c r="D23" t="s">
        <v>6</v>
      </c>
      <c r="E23" s="1">
        <v>43161.363958333335</v>
      </c>
    </row>
    <row r="24" spans="1:5">
      <c r="A24">
        <v>8532</v>
      </c>
      <c r="B24" t="s">
        <v>9</v>
      </c>
      <c r="C24" t="s">
        <v>9</v>
      </c>
      <c r="D24" t="s">
        <v>5</v>
      </c>
      <c r="E24" s="1">
        <v>43161.517256944448</v>
      </c>
    </row>
    <row r="25" spans="1:5">
      <c r="A25">
        <v>8533</v>
      </c>
      <c r="B25" t="s">
        <v>9</v>
      </c>
      <c r="C25" t="s">
        <v>9</v>
      </c>
      <c r="D25" t="s">
        <v>6</v>
      </c>
      <c r="E25" s="1">
        <v>43161.679837962962</v>
      </c>
    </row>
    <row r="26" spans="1:5">
      <c r="A26">
        <v>8534</v>
      </c>
      <c r="B26" t="s">
        <v>9</v>
      </c>
      <c r="C26" t="s">
        <v>9</v>
      </c>
      <c r="D26" t="s">
        <v>5</v>
      </c>
      <c r="E26" s="1">
        <v>43161.759039351855</v>
      </c>
    </row>
    <row r="27" spans="1:5">
      <c r="A27">
        <v>8565</v>
      </c>
      <c r="B27" t="s">
        <v>93</v>
      </c>
      <c r="C27" t="s">
        <v>9</v>
      </c>
      <c r="D27" t="s">
        <v>6</v>
      </c>
      <c r="E27" s="1">
        <v>43164.373113425929</v>
      </c>
    </row>
    <row r="28" spans="1:5">
      <c r="A28">
        <v>8570</v>
      </c>
      <c r="B28" t="s">
        <v>9</v>
      </c>
      <c r="C28" t="s">
        <v>9</v>
      </c>
      <c r="D28" t="s">
        <v>5</v>
      </c>
      <c r="E28" s="1">
        <v>43164.71471064815</v>
      </c>
    </row>
    <row r="29" spans="1:5">
      <c r="A29">
        <v>8600</v>
      </c>
      <c r="B29" t="s">
        <v>9</v>
      </c>
      <c r="C29" t="s">
        <v>9</v>
      </c>
      <c r="D29" t="s">
        <v>6</v>
      </c>
      <c r="E29" s="1">
        <v>43165.369710648149</v>
      </c>
    </row>
    <row r="30" spans="1:5">
      <c r="A30">
        <v>8604</v>
      </c>
      <c r="B30" t="s">
        <v>9</v>
      </c>
      <c r="C30" t="s">
        <v>9</v>
      </c>
      <c r="D30" t="s">
        <v>5</v>
      </c>
      <c r="E30" s="1">
        <v>43165.750092592592</v>
      </c>
    </row>
    <row r="31" spans="1:5">
      <c r="A31">
        <v>8632</v>
      </c>
      <c r="B31" t="s">
        <v>9</v>
      </c>
      <c r="C31" t="s">
        <v>9</v>
      </c>
      <c r="D31" t="s">
        <v>6</v>
      </c>
      <c r="E31" s="1">
        <v>43166.369409722225</v>
      </c>
    </row>
    <row r="32" spans="1:5">
      <c r="A32">
        <v>8639</v>
      </c>
      <c r="B32" t="s">
        <v>9</v>
      </c>
      <c r="C32" t="s">
        <v>9</v>
      </c>
      <c r="D32" t="s">
        <v>5</v>
      </c>
      <c r="E32" s="1">
        <v>43166.719189814816</v>
      </c>
    </row>
    <row r="33" spans="1:5">
      <c r="A33">
        <v>8666</v>
      </c>
      <c r="B33" t="s">
        <v>9</v>
      </c>
      <c r="C33" t="s">
        <v>9</v>
      </c>
      <c r="D33" t="s">
        <v>6</v>
      </c>
      <c r="E33" s="1">
        <v>43167.368275462963</v>
      </c>
    </row>
    <row r="34" spans="1:5">
      <c r="A34">
        <v>8673</v>
      </c>
      <c r="B34" t="s">
        <v>9</v>
      </c>
      <c r="C34" t="s">
        <v>9</v>
      </c>
      <c r="D34" t="s">
        <v>5</v>
      </c>
      <c r="E34" s="1">
        <v>43167.765798611108</v>
      </c>
    </row>
    <row r="35" spans="1:5">
      <c r="A35">
        <v>8694</v>
      </c>
      <c r="B35" t="s">
        <v>93</v>
      </c>
      <c r="C35" t="s">
        <v>9</v>
      </c>
      <c r="D35" t="s">
        <v>6</v>
      </c>
      <c r="E35" s="1">
        <v>43168.363437499997</v>
      </c>
    </row>
    <row r="36" spans="1:5">
      <c r="A36">
        <v>8706</v>
      </c>
      <c r="B36" t="s">
        <v>9</v>
      </c>
      <c r="C36" t="s">
        <v>9</v>
      </c>
      <c r="D36" t="s">
        <v>5</v>
      </c>
      <c r="E36" s="1">
        <v>43168.767951388887</v>
      </c>
    </row>
    <row r="37" spans="1:5">
      <c r="A37">
        <v>8728</v>
      </c>
      <c r="B37" t="s">
        <v>9</v>
      </c>
      <c r="C37" t="s">
        <v>9</v>
      </c>
      <c r="D37" t="s">
        <v>6</v>
      </c>
      <c r="E37" s="1">
        <v>43170.37572916667</v>
      </c>
    </row>
    <row r="38" spans="1:5">
      <c r="A38">
        <v>8734</v>
      </c>
      <c r="B38" t="s">
        <v>9</v>
      </c>
      <c r="C38" t="s">
        <v>9</v>
      </c>
      <c r="D38" t="s">
        <v>8</v>
      </c>
      <c r="E38" s="1">
        <v>43170.546168981484</v>
      </c>
    </row>
    <row r="39" spans="1:5">
      <c r="A39">
        <v>8767</v>
      </c>
      <c r="B39" t="s">
        <v>9</v>
      </c>
      <c r="C39" t="s">
        <v>9</v>
      </c>
      <c r="D39" t="s">
        <v>6</v>
      </c>
      <c r="E39" s="1">
        <v>43171.370196759257</v>
      </c>
    </row>
    <row r="40" spans="1:5">
      <c r="A40">
        <v>8773</v>
      </c>
      <c r="B40" t="s">
        <v>9</v>
      </c>
      <c r="C40" t="s">
        <v>9</v>
      </c>
      <c r="D40" t="s">
        <v>5</v>
      </c>
      <c r="E40" s="1">
        <v>43171.719606481478</v>
      </c>
    </row>
    <row r="41" spans="1:5">
      <c r="A41">
        <v>8801</v>
      </c>
      <c r="B41" t="s">
        <v>9</v>
      </c>
      <c r="C41" t="s">
        <v>9</v>
      </c>
      <c r="D41" t="s">
        <v>6</v>
      </c>
      <c r="E41" s="1">
        <v>43172.361921296295</v>
      </c>
    </row>
    <row r="42" spans="1:5">
      <c r="A42">
        <v>8811</v>
      </c>
      <c r="B42" t="s">
        <v>9</v>
      </c>
      <c r="C42" t="s">
        <v>9</v>
      </c>
      <c r="D42" t="s">
        <v>5</v>
      </c>
      <c r="E42" s="1">
        <v>43172.714143518519</v>
      </c>
    </row>
    <row r="43" spans="1:5">
      <c r="A43">
        <v>8839</v>
      </c>
      <c r="B43" t="s">
        <v>9</v>
      </c>
      <c r="C43" t="s">
        <v>9</v>
      </c>
      <c r="D43" t="s">
        <v>6</v>
      </c>
      <c r="E43" s="1">
        <v>43173.36383101852</v>
      </c>
    </row>
    <row r="44" spans="1:5">
      <c r="A44">
        <v>8847</v>
      </c>
      <c r="B44" t="s">
        <v>9</v>
      </c>
      <c r="C44" t="s">
        <v>9</v>
      </c>
      <c r="D44" t="s">
        <v>5</v>
      </c>
      <c r="E44" s="1">
        <v>43173.714131944442</v>
      </c>
    </row>
    <row r="45" spans="1:5">
      <c r="A45">
        <v>8874</v>
      </c>
      <c r="B45" t="s">
        <v>93</v>
      </c>
      <c r="C45" t="s">
        <v>9</v>
      </c>
      <c r="D45" t="s">
        <v>6</v>
      </c>
      <c r="E45" s="1">
        <v>43174.363240740742</v>
      </c>
    </row>
    <row r="46" spans="1:5">
      <c r="A46">
        <v>8886</v>
      </c>
      <c r="B46" t="s">
        <v>9</v>
      </c>
      <c r="C46" t="s">
        <v>9</v>
      </c>
      <c r="D46" t="s">
        <v>5</v>
      </c>
      <c r="E46" s="1">
        <v>43174.768576388888</v>
      </c>
    </row>
    <row r="47" spans="1:5">
      <c r="A47">
        <v>8912</v>
      </c>
      <c r="B47" t="s">
        <v>9</v>
      </c>
      <c r="C47" t="s">
        <v>9</v>
      </c>
      <c r="D47" t="s">
        <v>6</v>
      </c>
      <c r="E47" s="1">
        <v>43175.365243055552</v>
      </c>
    </row>
    <row r="48" spans="1:5">
      <c r="A48">
        <v>8919</v>
      </c>
      <c r="B48" t="s">
        <v>9</v>
      </c>
      <c r="C48" t="s">
        <v>9</v>
      </c>
      <c r="D48" t="s">
        <v>5</v>
      </c>
      <c r="E48" s="1">
        <v>43175.76494212963</v>
      </c>
    </row>
    <row r="49" spans="1:5">
      <c r="A49">
        <v>8924</v>
      </c>
      <c r="B49" t="s">
        <v>9</v>
      </c>
      <c r="C49" t="s">
        <v>9</v>
      </c>
      <c r="D49" t="s">
        <v>7</v>
      </c>
      <c r="E49" s="1">
        <v>43175.771273148152</v>
      </c>
    </row>
    <row r="50" spans="1:5">
      <c r="A50">
        <v>8935</v>
      </c>
      <c r="B50" t="s">
        <v>9</v>
      </c>
      <c r="C50" t="s">
        <v>9</v>
      </c>
      <c r="D50" t="s">
        <v>8</v>
      </c>
      <c r="E50" s="1">
        <v>43175.814016203702</v>
      </c>
    </row>
    <row r="51" spans="1:5">
      <c r="A51">
        <v>9010</v>
      </c>
      <c r="B51" t="s">
        <v>9</v>
      </c>
      <c r="C51" t="s">
        <v>9</v>
      </c>
      <c r="D51" t="s">
        <v>6</v>
      </c>
      <c r="E51" s="1">
        <v>43179.362349537034</v>
      </c>
    </row>
    <row r="52" spans="1:5">
      <c r="A52">
        <v>9019</v>
      </c>
      <c r="B52" t="s">
        <v>9</v>
      </c>
      <c r="C52" t="s">
        <v>9</v>
      </c>
      <c r="D52" t="s">
        <v>5</v>
      </c>
      <c r="E52" s="1">
        <v>43179.718958333331</v>
      </c>
    </row>
    <row r="53" spans="1:5">
      <c r="A53">
        <v>9049</v>
      </c>
      <c r="B53" t="s">
        <v>9</v>
      </c>
      <c r="C53" t="s">
        <v>9</v>
      </c>
      <c r="D53" t="s">
        <v>6</v>
      </c>
      <c r="E53" s="1">
        <v>43180.367094907408</v>
      </c>
    </row>
    <row r="54" spans="1:5">
      <c r="A54">
        <v>9057</v>
      </c>
      <c r="B54" t="s">
        <v>9</v>
      </c>
      <c r="C54" t="s">
        <v>9</v>
      </c>
      <c r="D54" t="s">
        <v>5</v>
      </c>
      <c r="E54" s="1">
        <v>43180.714965277781</v>
      </c>
    </row>
    <row r="55" spans="1:5">
      <c r="A55">
        <v>9089</v>
      </c>
      <c r="B55" t="s">
        <v>9</v>
      </c>
      <c r="C55" t="s">
        <v>9</v>
      </c>
      <c r="D55" t="s">
        <v>6</v>
      </c>
      <c r="E55" s="1">
        <v>43181.372604166667</v>
      </c>
    </row>
    <row r="56" spans="1:5">
      <c r="A56">
        <v>9091</v>
      </c>
      <c r="B56" t="s">
        <v>93</v>
      </c>
      <c r="C56" t="s">
        <v>9</v>
      </c>
      <c r="D56" t="s">
        <v>5</v>
      </c>
      <c r="E56" s="1">
        <v>43181.584687499999</v>
      </c>
    </row>
    <row r="57" spans="1:5">
      <c r="A57">
        <v>9120</v>
      </c>
      <c r="B57" t="s">
        <v>9</v>
      </c>
      <c r="C57" t="s">
        <v>9</v>
      </c>
      <c r="D57" t="s">
        <v>6</v>
      </c>
      <c r="E57" s="1">
        <v>43182.364606481482</v>
      </c>
    </row>
    <row r="58" spans="1:5">
      <c r="A58">
        <v>9133</v>
      </c>
      <c r="B58" t="s">
        <v>93</v>
      </c>
      <c r="C58" t="s">
        <v>9</v>
      </c>
      <c r="D58" t="s">
        <v>5</v>
      </c>
      <c r="E58" s="1">
        <v>43182.773877314816</v>
      </c>
    </row>
    <row r="59" spans="1:5">
      <c r="A59">
        <v>9138</v>
      </c>
      <c r="B59" t="s">
        <v>9</v>
      </c>
      <c r="C59" t="s">
        <v>9</v>
      </c>
      <c r="D59" t="s">
        <v>6</v>
      </c>
      <c r="E59" s="1">
        <v>43185.360289351855</v>
      </c>
    </row>
    <row r="60" spans="1:5">
      <c r="A60">
        <v>9146</v>
      </c>
      <c r="B60" t="s">
        <v>9</v>
      </c>
      <c r="C60" t="s">
        <v>9</v>
      </c>
      <c r="D60" t="s">
        <v>5</v>
      </c>
      <c r="E60" s="1">
        <v>43185.723333333335</v>
      </c>
    </row>
    <row r="61" spans="1:5">
      <c r="A61">
        <v>9193</v>
      </c>
      <c r="B61" t="s">
        <v>9</v>
      </c>
      <c r="C61" t="s">
        <v>9</v>
      </c>
      <c r="D61" t="s">
        <v>6</v>
      </c>
      <c r="E61" s="1">
        <v>43187.363703703704</v>
      </c>
    </row>
    <row r="62" spans="1:5">
      <c r="A62">
        <v>9201</v>
      </c>
      <c r="B62" t="s">
        <v>9</v>
      </c>
      <c r="C62" t="s">
        <v>9</v>
      </c>
      <c r="D62" t="s">
        <v>5</v>
      </c>
      <c r="E62" s="1">
        <v>43187.717395833337</v>
      </c>
    </row>
    <row r="63" spans="1:5">
      <c r="A63">
        <v>9234</v>
      </c>
      <c r="B63" t="s">
        <v>9</v>
      </c>
      <c r="C63" t="s">
        <v>9</v>
      </c>
      <c r="D63" t="s">
        <v>6</v>
      </c>
      <c r="E63" s="1">
        <v>43188.372164351851</v>
      </c>
    </row>
    <row r="64" spans="1:5">
      <c r="A64">
        <v>9240</v>
      </c>
      <c r="B64" t="s">
        <v>9</v>
      </c>
      <c r="C64" t="s">
        <v>9</v>
      </c>
      <c r="D64" t="s">
        <v>5</v>
      </c>
      <c r="E64" s="1">
        <v>43188.771134259259</v>
      </c>
    </row>
    <row r="65" spans="1:5">
      <c r="A65">
        <v>9263</v>
      </c>
      <c r="B65" t="s">
        <v>9</v>
      </c>
      <c r="C65" t="s">
        <v>9</v>
      </c>
      <c r="D65" t="s">
        <v>6</v>
      </c>
      <c r="E65" s="1">
        <v>43189.364768518521</v>
      </c>
    </row>
    <row r="66" spans="1:5">
      <c r="A66">
        <v>9271</v>
      </c>
      <c r="B66" t="s">
        <v>9</v>
      </c>
      <c r="C66" t="s">
        <v>9</v>
      </c>
      <c r="D66" t="s">
        <v>5</v>
      </c>
      <c r="E66" s="1">
        <v>43189.771423611113</v>
      </c>
    </row>
    <row r="67" spans="1:5">
      <c r="A67">
        <v>9272</v>
      </c>
      <c r="B67" t="s">
        <v>9</v>
      </c>
      <c r="C67" t="s">
        <v>9</v>
      </c>
      <c r="D67" t="s">
        <v>7</v>
      </c>
      <c r="E67" s="1">
        <v>43189.771458333336</v>
      </c>
    </row>
    <row r="68" spans="1:5">
      <c r="A68">
        <v>9279</v>
      </c>
      <c r="B68" t="s">
        <v>9</v>
      </c>
      <c r="C68" t="s">
        <v>9</v>
      </c>
      <c r="D68" t="s">
        <v>8</v>
      </c>
      <c r="E68" s="1">
        <v>43189.783275462964</v>
      </c>
    </row>
    <row r="69" spans="1:5">
      <c r="A69">
        <v>9290</v>
      </c>
      <c r="B69" t="s">
        <v>9</v>
      </c>
      <c r="C69" t="s">
        <v>9</v>
      </c>
      <c r="D69" t="s">
        <v>6</v>
      </c>
      <c r="E69" s="1">
        <v>43190.370393518519</v>
      </c>
    </row>
    <row r="70" spans="1:5">
      <c r="A70">
        <v>9295</v>
      </c>
      <c r="B70" t="s">
        <v>9</v>
      </c>
      <c r="C70" t="s">
        <v>9</v>
      </c>
      <c r="D70" t="s">
        <v>5</v>
      </c>
      <c r="E70" s="1">
        <v>43190.767708333333</v>
      </c>
    </row>
    <row r="71" spans="1:5">
      <c r="A71">
        <v>9300</v>
      </c>
      <c r="B71" t="s">
        <v>9</v>
      </c>
      <c r="C71" t="s">
        <v>9</v>
      </c>
      <c r="D71" t="s">
        <v>7</v>
      </c>
      <c r="E71" s="1">
        <v>43190.771620370368</v>
      </c>
    </row>
    <row r="72" spans="1:5">
      <c r="A72">
        <v>9310</v>
      </c>
      <c r="B72" t="s">
        <v>9</v>
      </c>
      <c r="C72" t="s">
        <v>9</v>
      </c>
      <c r="D72" t="s">
        <v>8</v>
      </c>
      <c r="E72" s="1">
        <v>43190.946331018517</v>
      </c>
    </row>
    <row r="73" spans="1:5">
      <c r="A73">
        <v>9317</v>
      </c>
      <c r="B73" t="s">
        <v>9</v>
      </c>
      <c r="C73" t="s">
        <v>9</v>
      </c>
      <c r="D73" t="s">
        <v>6</v>
      </c>
      <c r="E73" s="1">
        <v>43192.3671412037</v>
      </c>
    </row>
    <row r="74" spans="1:5">
      <c r="A74">
        <v>9326</v>
      </c>
      <c r="B74" t="s">
        <v>9</v>
      </c>
      <c r="C74" t="s">
        <v>9</v>
      </c>
      <c r="D74" t="s">
        <v>5</v>
      </c>
      <c r="E74" s="1">
        <v>43192.767048611109</v>
      </c>
    </row>
    <row r="75" spans="1:5">
      <c r="A75">
        <v>8495</v>
      </c>
      <c r="B75" t="s">
        <v>73</v>
      </c>
      <c r="C75" t="s">
        <v>73</v>
      </c>
      <c r="D75" t="s">
        <v>6</v>
      </c>
      <c r="E75" s="1">
        <v>43160.370567129627</v>
      </c>
    </row>
    <row r="76" spans="1:5">
      <c r="A76">
        <v>8501</v>
      </c>
      <c r="B76" t="s">
        <v>73</v>
      </c>
      <c r="C76" t="s">
        <v>73</v>
      </c>
      <c r="D76" t="s">
        <v>5</v>
      </c>
      <c r="E76" s="1">
        <v>43160.770902777775</v>
      </c>
    </row>
    <row r="77" spans="1:5">
      <c r="A77">
        <v>8503</v>
      </c>
      <c r="B77" t="s">
        <v>73</v>
      </c>
      <c r="C77" t="s">
        <v>73</v>
      </c>
      <c r="D77" t="s">
        <v>7</v>
      </c>
      <c r="E77" s="1">
        <v>43160.770983796298</v>
      </c>
    </row>
    <row r="78" spans="1:5">
      <c r="A78">
        <v>8515</v>
      </c>
      <c r="B78" t="s">
        <v>73</v>
      </c>
      <c r="C78" t="s">
        <v>73</v>
      </c>
      <c r="D78" t="s">
        <v>8</v>
      </c>
      <c r="E78" s="1">
        <v>43160.814201388886</v>
      </c>
    </row>
    <row r="79" spans="1:5">
      <c r="A79">
        <v>8528</v>
      </c>
      <c r="B79" t="s">
        <v>73</v>
      </c>
      <c r="C79" t="s">
        <v>73</v>
      </c>
      <c r="D79" t="s">
        <v>6</v>
      </c>
      <c r="E79" s="1">
        <v>43161.370648148149</v>
      </c>
    </row>
    <row r="80" spans="1:5">
      <c r="A80">
        <v>8543</v>
      </c>
      <c r="B80" t="s">
        <v>73</v>
      </c>
      <c r="C80" t="s">
        <v>73</v>
      </c>
      <c r="D80" t="s">
        <v>8</v>
      </c>
      <c r="E80" s="1">
        <v>43161.801782407405</v>
      </c>
    </row>
    <row r="81" spans="1:5">
      <c r="A81">
        <v>8564</v>
      </c>
      <c r="B81" t="s">
        <v>73</v>
      </c>
      <c r="C81" t="s">
        <v>73</v>
      </c>
      <c r="D81" t="s">
        <v>6</v>
      </c>
      <c r="E81" s="1">
        <v>43164.36991898148</v>
      </c>
    </row>
    <row r="82" spans="1:5">
      <c r="A82">
        <v>8579</v>
      </c>
      <c r="B82" t="s">
        <v>73</v>
      </c>
      <c r="C82" t="s">
        <v>73</v>
      </c>
      <c r="D82" t="s">
        <v>5</v>
      </c>
      <c r="E82" s="1">
        <v>43164.772824074076</v>
      </c>
    </row>
    <row r="83" spans="1:5">
      <c r="A83">
        <v>8580</v>
      </c>
      <c r="B83" t="s">
        <v>73</v>
      </c>
      <c r="C83" t="s">
        <v>73</v>
      </c>
      <c r="D83" t="s">
        <v>7</v>
      </c>
      <c r="E83" s="1">
        <v>43164.772986111115</v>
      </c>
    </row>
    <row r="84" spans="1:5">
      <c r="A84">
        <v>8585</v>
      </c>
      <c r="B84" t="s">
        <v>73</v>
      </c>
      <c r="C84" t="s">
        <v>73</v>
      </c>
      <c r="D84" t="s">
        <v>8</v>
      </c>
      <c r="E84" s="1">
        <v>43164.834791666668</v>
      </c>
    </row>
    <row r="85" spans="1:5">
      <c r="A85">
        <v>8598</v>
      </c>
      <c r="B85" t="s">
        <v>73</v>
      </c>
      <c r="C85" t="s">
        <v>73</v>
      </c>
      <c r="D85" t="s">
        <v>6</v>
      </c>
      <c r="E85" s="1">
        <v>43165.369328703702</v>
      </c>
    </row>
    <row r="86" spans="1:5">
      <c r="A86">
        <v>8608</v>
      </c>
      <c r="B86" t="s">
        <v>73</v>
      </c>
      <c r="C86" t="s">
        <v>73</v>
      </c>
      <c r="D86" t="s">
        <v>5</v>
      </c>
      <c r="E86" s="1">
        <v>43165.766770833332</v>
      </c>
    </row>
    <row r="87" spans="1:5">
      <c r="A87">
        <v>8618</v>
      </c>
      <c r="B87" t="s">
        <v>73</v>
      </c>
      <c r="C87" t="s">
        <v>73</v>
      </c>
      <c r="D87" t="s">
        <v>7</v>
      </c>
      <c r="E87" s="1">
        <v>43165.78702546296</v>
      </c>
    </row>
    <row r="88" spans="1:5">
      <c r="A88">
        <v>8620</v>
      </c>
      <c r="B88" t="s">
        <v>73</v>
      </c>
      <c r="C88" t="s">
        <v>73</v>
      </c>
      <c r="D88" t="s">
        <v>8</v>
      </c>
      <c r="E88" s="1">
        <v>43165.876226851855</v>
      </c>
    </row>
    <row r="89" spans="1:5">
      <c r="A89">
        <v>8633</v>
      </c>
      <c r="B89" t="s">
        <v>73</v>
      </c>
      <c r="C89" t="s">
        <v>73</v>
      </c>
      <c r="D89" t="s">
        <v>6</v>
      </c>
      <c r="E89" s="1">
        <v>43166.370625000003</v>
      </c>
    </row>
    <row r="90" spans="1:5">
      <c r="A90">
        <v>8642</v>
      </c>
      <c r="B90" t="s">
        <v>73</v>
      </c>
      <c r="C90" t="s">
        <v>73</v>
      </c>
      <c r="D90" t="s">
        <v>5</v>
      </c>
      <c r="E90" s="1">
        <v>43166.770324074074</v>
      </c>
    </row>
    <row r="91" spans="1:5">
      <c r="A91">
        <v>8643</v>
      </c>
      <c r="B91" t="s">
        <v>73</v>
      </c>
      <c r="C91" t="s">
        <v>73</v>
      </c>
      <c r="D91" t="s">
        <v>7</v>
      </c>
      <c r="E91" s="1">
        <v>43166.770335648151</v>
      </c>
    </row>
    <row r="92" spans="1:5">
      <c r="A92">
        <v>8657</v>
      </c>
      <c r="B92" t="s">
        <v>73</v>
      </c>
      <c r="C92" t="s">
        <v>73</v>
      </c>
      <c r="D92" t="s">
        <v>8</v>
      </c>
      <c r="E92" s="1">
        <v>43166.855914351851</v>
      </c>
    </row>
    <row r="93" spans="1:5">
      <c r="A93">
        <v>8671</v>
      </c>
      <c r="B93" t="s">
        <v>73</v>
      </c>
      <c r="C93" t="s">
        <v>73</v>
      </c>
      <c r="D93" t="s">
        <v>6</v>
      </c>
      <c r="E93" s="1">
        <v>43167.371261574073</v>
      </c>
    </row>
    <row r="94" spans="1:5">
      <c r="A94">
        <v>8677</v>
      </c>
      <c r="B94" t="s">
        <v>73</v>
      </c>
      <c r="C94" t="s">
        <v>73</v>
      </c>
      <c r="D94" t="s">
        <v>5</v>
      </c>
      <c r="E94" s="1">
        <v>43167.770868055559</v>
      </c>
    </row>
    <row r="95" spans="1:5">
      <c r="A95">
        <v>8685</v>
      </c>
      <c r="B95" t="s">
        <v>73</v>
      </c>
      <c r="C95" t="s">
        <v>73</v>
      </c>
      <c r="D95" t="s">
        <v>7</v>
      </c>
      <c r="E95" s="1">
        <v>43167.781597222223</v>
      </c>
    </row>
    <row r="96" spans="1:5">
      <c r="A96">
        <v>8686</v>
      </c>
      <c r="B96" t="s">
        <v>73</v>
      </c>
      <c r="C96" t="s">
        <v>73</v>
      </c>
      <c r="D96" t="s">
        <v>8</v>
      </c>
      <c r="E96" s="1">
        <v>43167.795949074076</v>
      </c>
    </row>
    <row r="97" spans="1:5">
      <c r="A97">
        <v>8700</v>
      </c>
      <c r="B97" t="s">
        <v>73</v>
      </c>
      <c r="C97" t="s">
        <v>73</v>
      </c>
      <c r="D97" t="s">
        <v>6</v>
      </c>
      <c r="E97" s="1">
        <v>43168.37295138889</v>
      </c>
    </row>
    <row r="98" spans="1:5">
      <c r="A98">
        <v>8709</v>
      </c>
      <c r="B98" t="s">
        <v>73</v>
      </c>
      <c r="C98" t="s">
        <v>73</v>
      </c>
      <c r="D98" t="s">
        <v>5</v>
      </c>
      <c r="E98" s="1">
        <v>43168.771168981482</v>
      </c>
    </row>
    <row r="99" spans="1:5">
      <c r="A99">
        <v>8769</v>
      </c>
      <c r="B99" t="s">
        <v>73</v>
      </c>
      <c r="C99" t="s">
        <v>73</v>
      </c>
      <c r="D99" t="s">
        <v>6</v>
      </c>
      <c r="E99" s="1">
        <v>43171.371828703705</v>
      </c>
    </row>
    <row r="100" spans="1:5">
      <c r="A100">
        <v>8780</v>
      </c>
      <c r="B100" t="s">
        <v>87</v>
      </c>
      <c r="C100" t="s">
        <v>73</v>
      </c>
      <c r="D100" t="s">
        <v>5</v>
      </c>
      <c r="E100" s="1">
        <v>43171.77070601852</v>
      </c>
    </row>
    <row r="101" spans="1:5">
      <c r="A101">
        <v>8789</v>
      </c>
      <c r="B101" t="s">
        <v>87</v>
      </c>
      <c r="C101" t="s">
        <v>73</v>
      </c>
      <c r="D101" t="s">
        <v>7</v>
      </c>
      <c r="E101" s="1">
        <v>43171.798321759263</v>
      </c>
    </row>
    <row r="102" spans="1:5">
      <c r="A102">
        <v>8794</v>
      </c>
      <c r="B102" t="s">
        <v>73</v>
      </c>
      <c r="C102" t="s">
        <v>73</v>
      </c>
      <c r="D102" t="s">
        <v>8</v>
      </c>
      <c r="E102" s="1">
        <v>43171.9062962963</v>
      </c>
    </row>
    <row r="103" spans="1:5">
      <c r="A103">
        <v>8808</v>
      </c>
      <c r="B103" t="s">
        <v>73</v>
      </c>
      <c r="C103" t="s">
        <v>73</v>
      </c>
      <c r="D103" t="s">
        <v>6</v>
      </c>
      <c r="E103" s="1">
        <v>43172.369884259257</v>
      </c>
    </row>
    <row r="104" spans="1:5">
      <c r="A104">
        <v>8816</v>
      </c>
      <c r="B104" t="s">
        <v>73</v>
      </c>
      <c r="C104" t="s">
        <v>73</v>
      </c>
      <c r="D104" t="s">
        <v>5</v>
      </c>
      <c r="E104" s="1">
        <v>43172.772013888891</v>
      </c>
    </row>
    <row r="105" spans="1:5">
      <c r="A105">
        <v>8824</v>
      </c>
      <c r="B105" t="s">
        <v>73</v>
      </c>
      <c r="C105" t="s">
        <v>73</v>
      </c>
      <c r="D105" t="s">
        <v>7</v>
      </c>
      <c r="E105" s="1">
        <v>43172.775231481479</v>
      </c>
    </row>
    <row r="106" spans="1:5">
      <c r="A106">
        <v>8835</v>
      </c>
      <c r="B106" t="s">
        <v>73</v>
      </c>
      <c r="C106" t="s">
        <v>73</v>
      </c>
      <c r="D106" t="s">
        <v>8</v>
      </c>
      <c r="E106" s="1">
        <v>43172.909479166665</v>
      </c>
    </row>
    <row r="107" spans="1:5">
      <c r="A107">
        <v>8844</v>
      </c>
      <c r="B107" t="s">
        <v>73</v>
      </c>
      <c r="C107" t="s">
        <v>73</v>
      </c>
      <c r="D107" t="s">
        <v>6</v>
      </c>
      <c r="E107" s="1">
        <v>43173.371423611112</v>
      </c>
    </row>
    <row r="108" spans="1:5">
      <c r="A108">
        <v>8853</v>
      </c>
      <c r="B108" t="s">
        <v>87</v>
      </c>
      <c r="C108" t="s">
        <v>73</v>
      </c>
      <c r="D108" t="s">
        <v>5</v>
      </c>
      <c r="E108" s="1">
        <v>43173.771828703706</v>
      </c>
    </row>
    <row r="109" spans="1:5">
      <c r="A109">
        <v>8854</v>
      </c>
      <c r="B109" t="s">
        <v>87</v>
      </c>
      <c r="C109" t="s">
        <v>73</v>
      </c>
      <c r="D109" t="s">
        <v>7</v>
      </c>
      <c r="E109" s="1">
        <v>43173.771863425929</v>
      </c>
    </row>
    <row r="110" spans="1:5">
      <c r="A110">
        <v>8863</v>
      </c>
      <c r="B110" t="s">
        <v>73</v>
      </c>
      <c r="C110" t="s">
        <v>73</v>
      </c>
      <c r="D110" t="s">
        <v>8</v>
      </c>
      <c r="E110" s="1">
        <v>43173.854097222225</v>
      </c>
    </row>
    <row r="111" spans="1:5">
      <c r="A111">
        <v>8878</v>
      </c>
      <c r="B111" t="s">
        <v>73</v>
      </c>
      <c r="C111" t="s">
        <v>73</v>
      </c>
      <c r="D111" t="s">
        <v>6</v>
      </c>
      <c r="E111" s="1">
        <v>43174.369722222225</v>
      </c>
    </row>
    <row r="112" spans="1:5">
      <c r="A112">
        <v>8894</v>
      </c>
      <c r="B112" t="s">
        <v>87</v>
      </c>
      <c r="C112" t="s">
        <v>73</v>
      </c>
      <c r="D112" t="s">
        <v>5</v>
      </c>
      <c r="E112" s="1">
        <v>43174.772534722222</v>
      </c>
    </row>
    <row r="113" spans="1:5">
      <c r="A113">
        <v>8896</v>
      </c>
      <c r="B113" t="s">
        <v>87</v>
      </c>
      <c r="C113" t="s">
        <v>73</v>
      </c>
      <c r="D113" t="s">
        <v>7</v>
      </c>
      <c r="E113" s="1">
        <v>43174.775324074071</v>
      </c>
    </row>
    <row r="114" spans="1:5">
      <c r="A114">
        <v>8900</v>
      </c>
      <c r="B114" t="s">
        <v>73</v>
      </c>
      <c r="C114" t="s">
        <v>73</v>
      </c>
      <c r="D114" t="s">
        <v>8</v>
      </c>
      <c r="E114" s="1">
        <v>43174.849930555552</v>
      </c>
    </row>
    <row r="115" spans="1:5">
      <c r="A115">
        <v>8914</v>
      </c>
      <c r="B115" t="s">
        <v>73</v>
      </c>
      <c r="C115" t="s">
        <v>73</v>
      </c>
      <c r="D115" t="s">
        <v>6</v>
      </c>
      <c r="E115" s="1">
        <v>43175.370972222219</v>
      </c>
    </row>
    <row r="116" spans="1:5">
      <c r="A116">
        <v>8929</v>
      </c>
      <c r="B116" t="s">
        <v>73</v>
      </c>
      <c r="C116" t="s">
        <v>73</v>
      </c>
      <c r="D116" t="s">
        <v>5</v>
      </c>
      <c r="E116" s="1">
        <v>43175.774571759262</v>
      </c>
    </row>
    <row r="117" spans="1:5">
      <c r="A117">
        <v>8930</v>
      </c>
      <c r="B117" t="s">
        <v>73</v>
      </c>
      <c r="C117" t="s">
        <v>73</v>
      </c>
      <c r="D117" t="s">
        <v>7</v>
      </c>
      <c r="E117" s="1">
        <v>43175.774606481478</v>
      </c>
    </row>
    <row r="118" spans="1:5">
      <c r="A118">
        <v>8934</v>
      </c>
      <c r="B118" t="s">
        <v>73</v>
      </c>
      <c r="C118" t="s">
        <v>73</v>
      </c>
      <c r="D118" t="s">
        <v>8</v>
      </c>
      <c r="E118" s="1">
        <v>43175.806134259263</v>
      </c>
    </row>
    <row r="119" spans="1:5">
      <c r="A119">
        <v>8944</v>
      </c>
      <c r="B119" t="s">
        <v>73</v>
      </c>
      <c r="C119" t="s">
        <v>73</v>
      </c>
      <c r="D119" t="s">
        <v>7</v>
      </c>
      <c r="E119" s="1">
        <v>43176.426030092596</v>
      </c>
    </row>
    <row r="120" spans="1:5">
      <c r="A120">
        <v>8952</v>
      </c>
      <c r="B120" t="s">
        <v>73</v>
      </c>
      <c r="C120" t="s">
        <v>73</v>
      </c>
      <c r="D120" t="s">
        <v>8</v>
      </c>
      <c r="E120" s="1">
        <v>43176.503946759258</v>
      </c>
    </row>
    <row r="121" spans="1:5">
      <c r="A121">
        <v>8957</v>
      </c>
      <c r="B121" t="s">
        <v>73</v>
      </c>
      <c r="C121" t="s">
        <v>73</v>
      </c>
      <c r="D121" t="s">
        <v>7</v>
      </c>
      <c r="E121" s="1">
        <v>43176.567928240744</v>
      </c>
    </row>
    <row r="122" spans="1:5">
      <c r="A122">
        <v>8964</v>
      </c>
      <c r="B122" t="s">
        <v>87</v>
      </c>
      <c r="C122" t="s">
        <v>73</v>
      </c>
      <c r="D122" t="s">
        <v>8</v>
      </c>
      <c r="E122" s="1">
        <v>43176.684062499997</v>
      </c>
    </row>
    <row r="123" spans="1:5">
      <c r="A123">
        <v>8979</v>
      </c>
      <c r="B123" t="s">
        <v>73</v>
      </c>
      <c r="C123" t="s">
        <v>73</v>
      </c>
      <c r="D123" t="s">
        <v>6</v>
      </c>
      <c r="E123" s="1">
        <v>43178.370821759258</v>
      </c>
    </row>
    <row r="124" spans="1:5">
      <c r="A124">
        <v>8991</v>
      </c>
      <c r="B124" t="s">
        <v>87</v>
      </c>
      <c r="C124" t="s">
        <v>73</v>
      </c>
      <c r="D124" t="s">
        <v>5</v>
      </c>
      <c r="E124" s="1">
        <v>43178.769166666665</v>
      </c>
    </row>
    <row r="125" spans="1:5">
      <c r="A125">
        <v>8997</v>
      </c>
      <c r="B125" t="s">
        <v>87</v>
      </c>
      <c r="C125" t="s">
        <v>73</v>
      </c>
      <c r="D125" t="s">
        <v>7</v>
      </c>
      <c r="E125" s="1">
        <v>43178.793032407404</v>
      </c>
    </row>
    <row r="126" spans="1:5">
      <c r="A126">
        <v>9001</v>
      </c>
      <c r="B126" t="s">
        <v>73</v>
      </c>
      <c r="C126" t="s">
        <v>73</v>
      </c>
      <c r="D126" t="s">
        <v>8</v>
      </c>
      <c r="E126" s="1">
        <v>43178.857222222221</v>
      </c>
    </row>
    <row r="127" spans="1:5">
      <c r="A127">
        <v>9015</v>
      </c>
      <c r="B127" t="s">
        <v>73</v>
      </c>
      <c r="C127" t="s">
        <v>73</v>
      </c>
      <c r="D127" t="s">
        <v>6</v>
      </c>
      <c r="E127" s="1">
        <v>43179.370300925926</v>
      </c>
    </row>
    <row r="128" spans="1:5">
      <c r="A128">
        <v>9022</v>
      </c>
      <c r="B128" t="s">
        <v>87</v>
      </c>
      <c r="C128" t="s">
        <v>73</v>
      </c>
      <c r="D128" t="s">
        <v>5</v>
      </c>
      <c r="E128" s="1">
        <v>43179.766759259262</v>
      </c>
    </row>
    <row r="129" spans="1:5">
      <c r="A129">
        <v>9038</v>
      </c>
      <c r="B129" t="s">
        <v>87</v>
      </c>
      <c r="C129" t="s">
        <v>73</v>
      </c>
      <c r="D129" t="s">
        <v>7</v>
      </c>
      <c r="E129" s="1">
        <v>43179.795983796299</v>
      </c>
    </row>
    <row r="130" spans="1:5">
      <c r="A130">
        <v>9042</v>
      </c>
      <c r="B130" t="s">
        <v>73</v>
      </c>
      <c r="C130" t="s">
        <v>73</v>
      </c>
      <c r="D130" t="s">
        <v>8</v>
      </c>
      <c r="E130" s="1">
        <v>43179.882395833331</v>
      </c>
    </row>
    <row r="131" spans="1:5">
      <c r="A131">
        <v>9052</v>
      </c>
      <c r="B131" t="s">
        <v>73</v>
      </c>
      <c r="C131" t="s">
        <v>73</v>
      </c>
      <c r="D131" t="s">
        <v>6</v>
      </c>
      <c r="E131" s="1">
        <v>43180.370254629626</v>
      </c>
    </row>
    <row r="132" spans="1:5">
      <c r="A132">
        <v>9067</v>
      </c>
      <c r="B132" t="s">
        <v>73</v>
      </c>
      <c r="C132" t="s">
        <v>73</v>
      </c>
      <c r="D132" t="s">
        <v>5</v>
      </c>
      <c r="E132" s="1">
        <v>43180.771261574075</v>
      </c>
    </row>
    <row r="133" spans="1:5">
      <c r="A133">
        <v>9068</v>
      </c>
      <c r="B133" t="s">
        <v>73</v>
      </c>
      <c r="C133" t="s">
        <v>73</v>
      </c>
      <c r="D133" t="s">
        <v>7</v>
      </c>
      <c r="E133" s="1">
        <v>43180.77134259259</v>
      </c>
    </row>
    <row r="134" spans="1:5">
      <c r="A134">
        <v>9073</v>
      </c>
      <c r="B134" t="s">
        <v>73</v>
      </c>
      <c r="C134" t="s">
        <v>73</v>
      </c>
      <c r="D134" t="s">
        <v>8</v>
      </c>
      <c r="E134" s="1">
        <v>43180.802083333336</v>
      </c>
    </row>
    <row r="135" spans="1:5">
      <c r="A135">
        <v>9087</v>
      </c>
      <c r="B135" t="s">
        <v>73</v>
      </c>
      <c r="C135" t="s">
        <v>73</v>
      </c>
      <c r="D135" t="s">
        <v>6</v>
      </c>
      <c r="E135" s="1">
        <v>43181.370266203703</v>
      </c>
    </row>
    <row r="136" spans="1:5">
      <c r="A136">
        <v>9098</v>
      </c>
      <c r="B136" t="s">
        <v>73</v>
      </c>
      <c r="C136" t="s">
        <v>73</v>
      </c>
      <c r="D136" t="s">
        <v>5</v>
      </c>
      <c r="E136" s="1">
        <v>43181.766435185185</v>
      </c>
    </row>
    <row r="137" spans="1:5">
      <c r="A137">
        <v>9108</v>
      </c>
      <c r="B137" t="s">
        <v>73</v>
      </c>
      <c r="C137" t="s">
        <v>73</v>
      </c>
      <c r="D137" t="s">
        <v>7</v>
      </c>
      <c r="E137" s="1">
        <v>43181.810185185182</v>
      </c>
    </row>
    <row r="138" spans="1:5">
      <c r="A138">
        <v>9112</v>
      </c>
      <c r="B138" t="s">
        <v>73</v>
      </c>
      <c r="C138" t="s">
        <v>73</v>
      </c>
      <c r="D138" t="s">
        <v>8</v>
      </c>
      <c r="E138" s="1">
        <v>43181.93105324074</v>
      </c>
    </row>
    <row r="139" spans="1:5">
      <c r="A139">
        <v>9122</v>
      </c>
      <c r="B139" t="s">
        <v>87</v>
      </c>
      <c r="C139" t="s">
        <v>73</v>
      </c>
      <c r="D139" t="s">
        <v>6</v>
      </c>
      <c r="E139" s="1">
        <v>43182.372523148151</v>
      </c>
    </row>
    <row r="140" spans="1:5">
      <c r="A140">
        <v>9131</v>
      </c>
      <c r="B140" t="s">
        <v>73</v>
      </c>
      <c r="C140" t="s">
        <v>73</v>
      </c>
      <c r="D140" t="s">
        <v>5</v>
      </c>
      <c r="E140" s="1">
        <v>43182.769016203703</v>
      </c>
    </row>
    <row r="141" spans="1:5">
      <c r="A141">
        <v>9142</v>
      </c>
      <c r="B141" t="s">
        <v>73</v>
      </c>
      <c r="C141" t="s">
        <v>73</v>
      </c>
      <c r="D141" t="s">
        <v>6</v>
      </c>
      <c r="E141" s="1">
        <v>43185.369583333333</v>
      </c>
    </row>
    <row r="142" spans="1:5">
      <c r="A142">
        <v>9155</v>
      </c>
      <c r="B142" t="s">
        <v>87</v>
      </c>
      <c r="C142" t="s">
        <v>73</v>
      </c>
      <c r="D142" t="s">
        <v>5</v>
      </c>
      <c r="E142" s="1">
        <v>43185.78229166667</v>
      </c>
    </row>
    <row r="143" spans="1:5">
      <c r="A143">
        <v>9156</v>
      </c>
      <c r="B143" t="s">
        <v>87</v>
      </c>
      <c r="C143" t="s">
        <v>73</v>
      </c>
      <c r="D143" t="s">
        <v>7</v>
      </c>
      <c r="E143" s="1">
        <v>43185.782337962963</v>
      </c>
    </row>
    <row r="144" spans="1:5">
      <c r="A144">
        <v>9161</v>
      </c>
      <c r="B144" t="s">
        <v>73</v>
      </c>
      <c r="C144" t="s">
        <v>73</v>
      </c>
      <c r="D144" t="s">
        <v>8</v>
      </c>
      <c r="E144" s="1">
        <v>43185.853217592594</v>
      </c>
    </row>
    <row r="145" spans="1:5">
      <c r="A145">
        <v>9169</v>
      </c>
      <c r="B145" t="s">
        <v>73</v>
      </c>
      <c r="C145" t="s">
        <v>73</v>
      </c>
      <c r="D145" t="s">
        <v>6</v>
      </c>
      <c r="E145" s="1">
        <v>43186.372106481482</v>
      </c>
    </row>
    <row r="146" spans="1:5">
      <c r="A146">
        <v>9179</v>
      </c>
      <c r="B146" t="s">
        <v>73</v>
      </c>
      <c r="C146" t="s">
        <v>73</v>
      </c>
      <c r="D146" t="s">
        <v>5</v>
      </c>
      <c r="E146" s="1">
        <v>43186.77511574074</v>
      </c>
    </row>
    <row r="147" spans="1:5">
      <c r="A147">
        <v>9180</v>
      </c>
      <c r="B147" t="s">
        <v>73</v>
      </c>
      <c r="C147" t="s">
        <v>73</v>
      </c>
      <c r="D147" t="s">
        <v>7</v>
      </c>
      <c r="E147" s="1">
        <v>43186.780092592591</v>
      </c>
    </row>
    <row r="148" spans="1:5">
      <c r="A148">
        <v>9183</v>
      </c>
      <c r="B148" t="s">
        <v>73</v>
      </c>
      <c r="C148" t="s">
        <v>73</v>
      </c>
      <c r="D148" t="s">
        <v>8</v>
      </c>
      <c r="E148" s="1">
        <v>43186.790196759262</v>
      </c>
    </row>
    <row r="149" spans="1:5">
      <c r="A149">
        <v>9198</v>
      </c>
      <c r="B149" t="s">
        <v>73</v>
      </c>
      <c r="C149" t="s">
        <v>73</v>
      </c>
      <c r="D149" t="s">
        <v>6</v>
      </c>
      <c r="E149" s="1">
        <v>43187.372523148151</v>
      </c>
    </row>
    <row r="150" spans="1:5">
      <c r="A150">
        <v>9215</v>
      </c>
      <c r="B150" t="s">
        <v>87</v>
      </c>
      <c r="C150" t="s">
        <v>73</v>
      </c>
      <c r="D150" t="s">
        <v>5</v>
      </c>
      <c r="E150" s="1">
        <v>43187.773645833331</v>
      </c>
    </row>
    <row r="151" spans="1:5">
      <c r="A151">
        <v>9216</v>
      </c>
      <c r="B151" t="s">
        <v>87</v>
      </c>
      <c r="C151" t="s">
        <v>73</v>
      </c>
      <c r="D151" t="s">
        <v>7</v>
      </c>
      <c r="E151" s="1">
        <v>43187.773692129631</v>
      </c>
    </row>
    <row r="152" spans="1:5">
      <c r="A152">
        <v>9224</v>
      </c>
      <c r="B152" t="s">
        <v>73</v>
      </c>
      <c r="C152" t="s">
        <v>73</v>
      </c>
      <c r="D152" t="s">
        <v>8</v>
      </c>
      <c r="E152" s="1">
        <v>43187.928969907407</v>
      </c>
    </row>
    <row r="153" spans="1:5">
      <c r="A153">
        <v>9233</v>
      </c>
      <c r="B153" t="s">
        <v>73</v>
      </c>
      <c r="C153" t="s">
        <v>73</v>
      </c>
      <c r="D153" t="s">
        <v>6</v>
      </c>
      <c r="E153" s="1">
        <v>43188.371481481481</v>
      </c>
    </row>
    <row r="154" spans="1:5">
      <c r="A154">
        <v>9239</v>
      </c>
      <c r="B154" t="s">
        <v>73</v>
      </c>
      <c r="C154" t="s">
        <v>73</v>
      </c>
      <c r="D154" t="s">
        <v>5</v>
      </c>
      <c r="E154" s="1">
        <v>43188.771087962959</v>
      </c>
    </row>
    <row r="155" spans="1:5">
      <c r="A155">
        <v>9242</v>
      </c>
      <c r="B155" t="s">
        <v>73</v>
      </c>
      <c r="C155" t="s">
        <v>73</v>
      </c>
      <c r="D155" t="s">
        <v>7</v>
      </c>
      <c r="E155" s="1">
        <v>43188.771192129629</v>
      </c>
    </row>
    <row r="156" spans="1:5">
      <c r="A156">
        <v>9253</v>
      </c>
      <c r="B156" t="s">
        <v>73</v>
      </c>
      <c r="C156" t="s">
        <v>73</v>
      </c>
      <c r="D156" t="s">
        <v>8</v>
      </c>
      <c r="E156" s="1">
        <v>43188.811759259261</v>
      </c>
    </row>
    <row r="157" spans="1:5">
      <c r="A157">
        <v>9267</v>
      </c>
      <c r="B157" t="s">
        <v>73</v>
      </c>
      <c r="C157" t="s">
        <v>73</v>
      </c>
      <c r="D157" t="s">
        <v>6</v>
      </c>
      <c r="E157" s="1">
        <v>43189.375243055554</v>
      </c>
    </row>
    <row r="158" spans="1:5">
      <c r="A158">
        <v>9273</v>
      </c>
      <c r="B158" t="s">
        <v>73</v>
      </c>
      <c r="C158" t="s">
        <v>73</v>
      </c>
      <c r="D158" t="s">
        <v>5</v>
      </c>
      <c r="E158" s="1">
        <v>43189.772175925929</v>
      </c>
    </row>
    <row r="159" spans="1:5">
      <c r="A159">
        <v>9291</v>
      </c>
      <c r="B159" t="s">
        <v>73</v>
      </c>
      <c r="C159" t="s">
        <v>73</v>
      </c>
      <c r="D159" t="s">
        <v>6</v>
      </c>
      <c r="E159" s="1">
        <v>43190.37226851852</v>
      </c>
    </row>
    <row r="160" spans="1:5">
      <c r="A160">
        <v>9297</v>
      </c>
      <c r="B160" t="s">
        <v>87</v>
      </c>
      <c r="C160" t="s">
        <v>73</v>
      </c>
      <c r="D160" t="s">
        <v>5</v>
      </c>
      <c r="E160" s="1">
        <v>43190.770416666666</v>
      </c>
    </row>
    <row r="161" spans="1:5">
      <c r="A161">
        <v>9298</v>
      </c>
      <c r="B161" t="s">
        <v>87</v>
      </c>
      <c r="C161" t="s">
        <v>73</v>
      </c>
      <c r="D161" t="s">
        <v>7</v>
      </c>
      <c r="E161" s="1">
        <v>43190.770474537036</v>
      </c>
    </row>
    <row r="162" spans="1:5">
      <c r="A162">
        <v>9308</v>
      </c>
      <c r="B162" t="s">
        <v>73</v>
      </c>
      <c r="C162" t="s">
        <v>73</v>
      </c>
      <c r="D162" t="s">
        <v>8</v>
      </c>
      <c r="E162" s="1">
        <v>43190.891689814816</v>
      </c>
    </row>
    <row r="163" spans="1:5">
      <c r="A163">
        <v>9321</v>
      </c>
      <c r="B163" t="s">
        <v>73</v>
      </c>
      <c r="C163" t="s">
        <v>73</v>
      </c>
      <c r="D163" t="s">
        <v>6</v>
      </c>
      <c r="E163" s="1">
        <v>43192.370300925926</v>
      </c>
    </row>
    <row r="164" spans="1:5">
      <c r="A164">
        <v>9335</v>
      </c>
      <c r="B164" t="s">
        <v>73</v>
      </c>
      <c r="C164" t="s">
        <v>73</v>
      </c>
      <c r="D164" t="s">
        <v>5</v>
      </c>
      <c r="E164" s="1">
        <v>43192.771562499998</v>
      </c>
    </row>
    <row r="165" spans="1:5">
      <c r="A165">
        <v>9336</v>
      </c>
      <c r="B165" t="s">
        <v>73</v>
      </c>
      <c r="C165" t="s">
        <v>73</v>
      </c>
      <c r="D165" t="s">
        <v>7</v>
      </c>
      <c r="E165" s="1">
        <v>43192.771620370368</v>
      </c>
    </row>
    <row r="166" spans="1:5">
      <c r="A166">
        <v>8490</v>
      </c>
      <c r="B166" t="s">
        <v>11</v>
      </c>
      <c r="C166" t="s">
        <v>11</v>
      </c>
      <c r="D166" t="s">
        <v>6</v>
      </c>
      <c r="E166" s="1">
        <v>43160.362199074072</v>
      </c>
    </row>
    <row r="167" spans="1:5">
      <c r="A167">
        <v>8518</v>
      </c>
      <c r="B167" t="s">
        <v>11</v>
      </c>
      <c r="C167" t="s">
        <v>11</v>
      </c>
      <c r="D167" t="s">
        <v>5</v>
      </c>
      <c r="E167" s="1">
        <v>43160.842546296299</v>
      </c>
    </row>
    <row r="168" spans="1:5">
      <c r="A168">
        <v>8523</v>
      </c>
      <c r="B168" t="s">
        <v>11</v>
      </c>
      <c r="C168" t="s">
        <v>11</v>
      </c>
      <c r="D168" t="s">
        <v>6</v>
      </c>
      <c r="E168" s="1">
        <v>43161.364131944443</v>
      </c>
    </row>
    <row r="169" spans="1:5">
      <c r="A169">
        <v>8545</v>
      </c>
      <c r="B169" t="s">
        <v>11</v>
      </c>
      <c r="C169" t="s">
        <v>11</v>
      </c>
      <c r="D169" t="s">
        <v>5</v>
      </c>
      <c r="E169" s="1">
        <v>43161.845891203702</v>
      </c>
    </row>
    <row r="170" spans="1:5">
      <c r="A170">
        <v>8559</v>
      </c>
      <c r="B170" t="s">
        <v>11</v>
      </c>
      <c r="C170" t="s">
        <v>11</v>
      </c>
      <c r="D170" t="s">
        <v>6</v>
      </c>
      <c r="E170" s="1">
        <v>43164.362916666665</v>
      </c>
    </row>
    <row r="171" spans="1:5">
      <c r="A171">
        <v>8589</v>
      </c>
      <c r="B171" t="s">
        <v>11</v>
      </c>
      <c r="C171" t="s">
        <v>11</v>
      </c>
      <c r="D171" t="s">
        <v>5</v>
      </c>
      <c r="E171" s="1">
        <v>43164.886423611111</v>
      </c>
    </row>
    <row r="172" spans="1:5">
      <c r="A172">
        <v>8595</v>
      </c>
      <c r="B172" t="s">
        <v>11</v>
      </c>
      <c r="C172" t="s">
        <v>11</v>
      </c>
      <c r="D172" t="s">
        <v>6</v>
      </c>
      <c r="E172" s="1">
        <v>43165.362002314818</v>
      </c>
    </row>
    <row r="173" spans="1:5">
      <c r="A173">
        <v>8624</v>
      </c>
      <c r="B173" t="s">
        <v>11</v>
      </c>
      <c r="C173" t="s">
        <v>11</v>
      </c>
      <c r="D173" t="s">
        <v>5</v>
      </c>
      <c r="E173" s="1">
        <v>43165.906597222223</v>
      </c>
    </row>
    <row r="174" spans="1:5">
      <c r="A174">
        <v>8629</v>
      </c>
      <c r="B174" t="s">
        <v>11</v>
      </c>
      <c r="C174" t="s">
        <v>11</v>
      </c>
      <c r="D174" t="s">
        <v>6</v>
      </c>
      <c r="E174" s="1">
        <v>43166.364965277775</v>
      </c>
    </row>
    <row r="175" spans="1:5">
      <c r="A175">
        <v>8656</v>
      </c>
      <c r="B175" t="s">
        <v>11</v>
      </c>
      <c r="C175" t="s">
        <v>11</v>
      </c>
      <c r="D175" t="s">
        <v>5</v>
      </c>
      <c r="E175" s="1">
        <v>43166.85255787037</v>
      </c>
    </row>
    <row r="176" spans="1:5">
      <c r="A176">
        <v>8664</v>
      </c>
      <c r="B176" t="s">
        <v>11</v>
      </c>
      <c r="C176" t="s">
        <v>11</v>
      </c>
      <c r="D176" t="s">
        <v>6</v>
      </c>
      <c r="E176" s="1">
        <v>43167.360162037039</v>
      </c>
    </row>
    <row r="177" spans="1:5">
      <c r="A177">
        <v>8688</v>
      </c>
      <c r="B177" t="s">
        <v>11</v>
      </c>
      <c r="C177" t="s">
        <v>11</v>
      </c>
      <c r="D177" t="s">
        <v>5</v>
      </c>
      <c r="E177" s="1">
        <v>43167.834745370368</v>
      </c>
    </row>
    <row r="178" spans="1:5">
      <c r="A178">
        <v>8693</v>
      </c>
      <c r="B178" t="s">
        <v>78</v>
      </c>
      <c r="C178" t="s">
        <v>11</v>
      </c>
      <c r="D178" t="s">
        <v>6</v>
      </c>
      <c r="E178" s="1">
        <v>43168.362719907411</v>
      </c>
    </row>
    <row r="179" spans="1:5">
      <c r="A179">
        <v>8715</v>
      </c>
      <c r="B179" t="s">
        <v>11</v>
      </c>
      <c r="C179" t="s">
        <v>11</v>
      </c>
      <c r="D179" t="s">
        <v>5</v>
      </c>
      <c r="E179" s="1">
        <v>43168.786909722221</v>
      </c>
    </row>
    <row r="180" spans="1:5">
      <c r="A180">
        <v>8718</v>
      </c>
      <c r="B180" t="s">
        <v>11</v>
      </c>
      <c r="C180" t="s">
        <v>11</v>
      </c>
      <c r="D180" t="s">
        <v>7</v>
      </c>
      <c r="E180" s="1">
        <v>43169.418043981481</v>
      </c>
    </row>
    <row r="181" spans="1:5">
      <c r="A181">
        <v>8720</v>
      </c>
      <c r="B181" t="s">
        <v>11</v>
      </c>
      <c r="C181" t="s">
        <v>11</v>
      </c>
      <c r="D181" t="s">
        <v>8</v>
      </c>
      <c r="E181" s="1">
        <v>43169.421759259261</v>
      </c>
    </row>
    <row r="182" spans="1:5">
      <c r="A182">
        <v>8721</v>
      </c>
      <c r="B182" t="s">
        <v>11</v>
      </c>
      <c r="C182" t="s">
        <v>11</v>
      </c>
      <c r="D182" t="s">
        <v>7</v>
      </c>
      <c r="E182" s="1">
        <v>43169.430486111109</v>
      </c>
    </row>
    <row r="183" spans="1:5">
      <c r="A183">
        <v>8724</v>
      </c>
      <c r="B183" t="s">
        <v>11</v>
      </c>
      <c r="C183" t="s">
        <v>11</v>
      </c>
      <c r="D183" t="s">
        <v>8</v>
      </c>
      <c r="E183" s="1">
        <v>43169.550254629627</v>
      </c>
    </row>
    <row r="184" spans="1:5">
      <c r="A184">
        <v>8762</v>
      </c>
      <c r="B184" t="s">
        <v>11</v>
      </c>
      <c r="C184" t="s">
        <v>11</v>
      </c>
      <c r="D184" t="s">
        <v>6</v>
      </c>
      <c r="E184" s="1">
        <v>43171.362523148149</v>
      </c>
    </row>
    <row r="185" spans="1:5">
      <c r="A185">
        <v>8797</v>
      </c>
      <c r="B185" t="s">
        <v>11</v>
      </c>
      <c r="C185" t="s">
        <v>11</v>
      </c>
      <c r="D185" t="s">
        <v>5</v>
      </c>
      <c r="E185" s="1">
        <v>43171.909074074072</v>
      </c>
    </row>
    <row r="186" spans="1:5">
      <c r="A186">
        <v>8800</v>
      </c>
      <c r="B186" t="s">
        <v>11</v>
      </c>
      <c r="C186" t="s">
        <v>11</v>
      </c>
      <c r="D186" t="s">
        <v>6</v>
      </c>
      <c r="E186" s="1">
        <v>43172.361863425926</v>
      </c>
    </row>
    <row r="187" spans="1:5">
      <c r="A187">
        <v>8831</v>
      </c>
      <c r="B187" t="s">
        <v>11</v>
      </c>
      <c r="C187" t="s">
        <v>11</v>
      </c>
      <c r="D187" t="s">
        <v>5</v>
      </c>
      <c r="E187" s="1">
        <v>43172.86550925926</v>
      </c>
    </row>
    <row r="188" spans="1:5">
      <c r="A188">
        <v>8837</v>
      </c>
      <c r="B188" t="s">
        <v>11</v>
      </c>
      <c r="C188" t="s">
        <v>11</v>
      </c>
      <c r="D188" t="s">
        <v>6</v>
      </c>
      <c r="E188" s="1">
        <v>43173.361215277779</v>
      </c>
    </row>
    <row r="189" spans="1:5">
      <c r="A189">
        <v>8864</v>
      </c>
      <c r="B189" t="s">
        <v>11</v>
      </c>
      <c r="C189" t="s">
        <v>11</v>
      </c>
      <c r="D189" t="s">
        <v>5</v>
      </c>
      <c r="E189" s="1">
        <v>43173.857407407406</v>
      </c>
    </row>
    <row r="190" spans="1:5">
      <c r="A190">
        <v>8873</v>
      </c>
      <c r="B190" t="s">
        <v>78</v>
      </c>
      <c r="C190" t="s">
        <v>11</v>
      </c>
      <c r="D190" t="s">
        <v>6</v>
      </c>
      <c r="E190" s="1">
        <v>43174.363182870373</v>
      </c>
    </row>
    <row r="191" spans="1:5">
      <c r="A191">
        <v>8904</v>
      </c>
      <c r="B191" t="s">
        <v>11</v>
      </c>
      <c r="C191" t="s">
        <v>11</v>
      </c>
      <c r="D191" t="s">
        <v>5</v>
      </c>
      <c r="E191" s="1">
        <v>43174.878645833334</v>
      </c>
    </row>
    <row r="192" spans="1:5">
      <c r="A192">
        <v>8909</v>
      </c>
      <c r="B192" t="s">
        <v>11</v>
      </c>
      <c r="C192" t="s">
        <v>11</v>
      </c>
      <c r="D192" t="s">
        <v>6</v>
      </c>
      <c r="E192" s="1">
        <v>43175.36273148148</v>
      </c>
    </row>
    <row r="193" spans="1:5">
      <c r="A193">
        <v>8936</v>
      </c>
      <c r="B193" t="s">
        <v>11</v>
      </c>
      <c r="C193" t="s">
        <v>11</v>
      </c>
      <c r="D193" t="s">
        <v>5</v>
      </c>
      <c r="E193" s="1">
        <v>43175.815983796296</v>
      </c>
    </row>
    <row r="194" spans="1:5">
      <c r="A194">
        <v>8943</v>
      </c>
      <c r="B194" t="s">
        <v>11</v>
      </c>
      <c r="C194" t="s">
        <v>11</v>
      </c>
      <c r="D194" t="s">
        <v>7</v>
      </c>
      <c r="E194" s="1">
        <v>43176.42428240741</v>
      </c>
    </row>
    <row r="195" spans="1:5">
      <c r="A195">
        <v>8961</v>
      </c>
      <c r="B195" t="s">
        <v>11</v>
      </c>
      <c r="C195" t="s">
        <v>11</v>
      </c>
      <c r="D195" t="s">
        <v>8</v>
      </c>
      <c r="E195" s="1">
        <v>43176.587546296294</v>
      </c>
    </row>
    <row r="196" spans="1:5">
      <c r="A196">
        <v>9009</v>
      </c>
      <c r="B196" t="s">
        <v>11</v>
      </c>
      <c r="C196" t="s">
        <v>11</v>
      </c>
      <c r="D196" t="s">
        <v>6</v>
      </c>
      <c r="E196" s="1">
        <v>43179.362303240741</v>
      </c>
    </row>
    <row r="197" spans="1:5">
      <c r="A197">
        <v>9040</v>
      </c>
      <c r="B197" t="s">
        <v>11</v>
      </c>
      <c r="C197" t="s">
        <v>11</v>
      </c>
      <c r="D197" t="s">
        <v>5</v>
      </c>
      <c r="E197" s="1">
        <v>43179.817465277774</v>
      </c>
    </row>
    <row r="198" spans="1:5">
      <c r="A198">
        <v>9056</v>
      </c>
      <c r="B198" t="s">
        <v>78</v>
      </c>
      <c r="C198" t="s">
        <v>11</v>
      </c>
      <c r="D198" t="s">
        <v>6</v>
      </c>
      <c r="E198" s="1">
        <v>43180.597361111111</v>
      </c>
    </row>
    <row r="199" spans="1:5">
      <c r="A199">
        <v>9077</v>
      </c>
      <c r="B199" t="s">
        <v>11</v>
      </c>
      <c r="C199" t="s">
        <v>11</v>
      </c>
      <c r="D199" t="s">
        <v>5</v>
      </c>
      <c r="E199" s="1">
        <v>43180.849444444444</v>
      </c>
    </row>
    <row r="200" spans="1:5">
      <c r="A200">
        <v>9082</v>
      </c>
      <c r="B200" t="s">
        <v>11</v>
      </c>
      <c r="C200" t="s">
        <v>11</v>
      </c>
      <c r="D200" t="s">
        <v>6</v>
      </c>
      <c r="E200" s="1">
        <v>43181.364050925928</v>
      </c>
    </row>
    <row r="201" spans="1:5">
      <c r="A201">
        <v>9109</v>
      </c>
      <c r="B201" t="s">
        <v>11</v>
      </c>
      <c r="C201" t="s">
        <v>11</v>
      </c>
      <c r="D201" t="s">
        <v>5</v>
      </c>
      <c r="E201" s="1">
        <v>43181.830023148148</v>
      </c>
    </row>
    <row r="202" spans="1:5">
      <c r="A202">
        <v>9118</v>
      </c>
      <c r="B202" t="s">
        <v>11</v>
      </c>
      <c r="C202" t="s">
        <v>11</v>
      </c>
      <c r="D202" t="s">
        <v>6</v>
      </c>
      <c r="E202" s="1">
        <v>43182.36246527778</v>
      </c>
    </row>
    <row r="203" spans="1:5">
      <c r="A203">
        <v>9134</v>
      </c>
      <c r="B203" t="s">
        <v>11</v>
      </c>
      <c r="C203" t="s">
        <v>11</v>
      </c>
      <c r="D203" t="s">
        <v>5</v>
      </c>
      <c r="E203" s="1">
        <v>43182.774131944447</v>
      </c>
    </row>
    <row r="204" spans="1:5">
      <c r="A204">
        <v>9137</v>
      </c>
      <c r="B204" t="s">
        <v>11</v>
      </c>
      <c r="C204" t="s">
        <v>11</v>
      </c>
      <c r="D204" t="s">
        <v>6</v>
      </c>
      <c r="E204" s="1">
        <v>43185.359409722223</v>
      </c>
    </row>
    <row r="205" spans="1:5">
      <c r="A205">
        <v>9160</v>
      </c>
      <c r="B205" t="s">
        <v>11</v>
      </c>
      <c r="C205" t="s">
        <v>11</v>
      </c>
      <c r="D205" t="s">
        <v>5</v>
      </c>
      <c r="E205" s="1">
        <v>43185.839166666665</v>
      </c>
    </row>
    <row r="206" spans="1:5">
      <c r="A206">
        <v>9164</v>
      </c>
      <c r="B206" t="s">
        <v>78</v>
      </c>
      <c r="C206" t="s">
        <v>11</v>
      </c>
      <c r="D206" t="s">
        <v>6</v>
      </c>
      <c r="E206" s="1">
        <v>43186.360960648148</v>
      </c>
    </row>
    <row r="207" spans="1:5">
      <c r="A207">
        <v>9184</v>
      </c>
      <c r="B207" t="s">
        <v>11</v>
      </c>
      <c r="C207" t="s">
        <v>11</v>
      </c>
      <c r="D207" t="s">
        <v>5</v>
      </c>
      <c r="E207" s="1">
        <v>43186.812974537039</v>
      </c>
    </row>
    <row r="208" spans="1:5">
      <c r="A208">
        <v>9190</v>
      </c>
      <c r="B208" t="s">
        <v>11</v>
      </c>
      <c r="C208" t="s">
        <v>11</v>
      </c>
      <c r="D208" t="s">
        <v>6</v>
      </c>
      <c r="E208" s="1">
        <v>43187.35533564815</v>
      </c>
    </row>
    <row r="209" spans="1:5">
      <c r="A209">
        <v>9225</v>
      </c>
      <c r="B209" t="s">
        <v>11</v>
      </c>
      <c r="C209" t="s">
        <v>11</v>
      </c>
      <c r="D209" t="s">
        <v>5</v>
      </c>
      <c r="E209" s="1">
        <v>43187.950115740743</v>
      </c>
    </row>
    <row r="210" spans="1:5">
      <c r="A210">
        <v>9228</v>
      </c>
      <c r="B210" t="s">
        <v>11</v>
      </c>
      <c r="C210" t="s">
        <v>11</v>
      </c>
      <c r="D210" t="s">
        <v>6</v>
      </c>
      <c r="E210" s="1">
        <v>43188.364201388889</v>
      </c>
    </row>
    <row r="211" spans="1:5">
      <c r="A211">
        <v>9251</v>
      </c>
      <c r="B211" t="s">
        <v>11</v>
      </c>
      <c r="C211" t="s">
        <v>11</v>
      </c>
      <c r="D211" t="s">
        <v>5</v>
      </c>
      <c r="E211" s="1">
        <v>43188.802905092591</v>
      </c>
    </row>
    <row r="212" spans="1:5">
      <c r="A212">
        <v>9259</v>
      </c>
      <c r="B212" t="s">
        <v>11</v>
      </c>
      <c r="C212" t="s">
        <v>11</v>
      </c>
      <c r="D212" t="s">
        <v>6</v>
      </c>
      <c r="E212" s="1">
        <v>43189.359861111108</v>
      </c>
    </row>
    <row r="213" spans="1:5">
      <c r="A213">
        <v>9280</v>
      </c>
      <c r="B213" t="s">
        <v>11</v>
      </c>
      <c r="C213" t="s">
        <v>11</v>
      </c>
      <c r="D213" t="s">
        <v>5</v>
      </c>
      <c r="E213" s="1">
        <v>43189.8125462963</v>
      </c>
    </row>
    <row r="214" spans="1:5">
      <c r="A214">
        <v>9285</v>
      </c>
      <c r="B214" t="s">
        <v>78</v>
      </c>
      <c r="C214" t="s">
        <v>11</v>
      </c>
      <c r="D214" t="s">
        <v>6</v>
      </c>
      <c r="E214" s="1">
        <v>43190.361770833333</v>
      </c>
    </row>
    <row r="215" spans="1:5">
      <c r="A215">
        <v>9307</v>
      </c>
      <c r="B215" t="s">
        <v>11</v>
      </c>
      <c r="C215" t="s">
        <v>11</v>
      </c>
      <c r="D215" t="s">
        <v>5</v>
      </c>
      <c r="E215" s="1">
        <v>43190.818657407406</v>
      </c>
    </row>
    <row r="216" spans="1:5">
      <c r="A216">
        <v>9313</v>
      </c>
      <c r="B216" t="s">
        <v>11</v>
      </c>
      <c r="C216" t="s">
        <v>11</v>
      </c>
      <c r="D216" t="s">
        <v>6</v>
      </c>
      <c r="E216" s="1">
        <v>43192.362268518518</v>
      </c>
    </row>
    <row r="217" spans="1:5">
      <c r="A217">
        <v>8498</v>
      </c>
      <c r="B217" t="s">
        <v>99</v>
      </c>
      <c r="C217" t="s">
        <v>99</v>
      </c>
      <c r="D217" t="s">
        <v>6</v>
      </c>
      <c r="E217" s="1">
        <v>43160.379236111112</v>
      </c>
    </row>
    <row r="218" spans="1:5">
      <c r="A218">
        <v>8513</v>
      </c>
      <c r="B218" t="s">
        <v>99</v>
      </c>
      <c r="C218" t="s">
        <v>99</v>
      </c>
      <c r="D218" t="s">
        <v>5</v>
      </c>
      <c r="E218" s="1">
        <v>43160.793622685182</v>
      </c>
    </row>
    <row r="219" spans="1:5">
      <c r="A219">
        <v>8520</v>
      </c>
      <c r="B219" t="s">
        <v>99</v>
      </c>
      <c r="C219" t="s">
        <v>99</v>
      </c>
      <c r="D219" t="s">
        <v>6</v>
      </c>
      <c r="E219" s="1">
        <v>43161.358206018522</v>
      </c>
    </row>
    <row r="220" spans="1:5">
      <c r="A220">
        <v>8537</v>
      </c>
      <c r="B220" t="s">
        <v>99</v>
      </c>
      <c r="C220" t="s">
        <v>99</v>
      </c>
      <c r="D220" t="s">
        <v>7</v>
      </c>
      <c r="E220" s="1">
        <v>43161.769212962965</v>
      </c>
    </row>
    <row r="221" spans="1:5">
      <c r="A221">
        <v>8547</v>
      </c>
      <c r="B221" t="s">
        <v>99</v>
      </c>
      <c r="C221" t="s">
        <v>99</v>
      </c>
      <c r="D221" t="s">
        <v>5</v>
      </c>
      <c r="E221" s="1">
        <v>43161.890439814815</v>
      </c>
    </row>
    <row r="222" spans="1:5">
      <c r="A222">
        <v>8548</v>
      </c>
      <c r="B222" t="s">
        <v>99</v>
      </c>
      <c r="C222" t="s">
        <v>99</v>
      </c>
      <c r="D222" t="s">
        <v>6</v>
      </c>
      <c r="E222" s="1">
        <v>43162.420185185183</v>
      </c>
    </row>
    <row r="223" spans="1:5">
      <c r="A223">
        <v>8550</v>
      </c>
      <c r="B223" t="s">
        <v>99</v>
      </c>
      <c r="C223" t="s">
        <v>99</v>
      </c>
      <c r="D223" t="s">
        <v>8</v>
      </c>
      <c r="E223" s="1">
        <v>43162.555868055555</v>
      </c>
    </row>
    <row r="224" spans="1:5">
      <c r="A224">
        <v>8551</v>
      </c>
      <c r="B224" t="s">
        <v>99</v>
      </c>
      <c r="C224" t="s">
        <v>99</v>
      </c>
      <c r="D224" t="s">
        <v>7</v>
      </c>
      <c r="E224" s="1">
        <v>43162.577407407407</v>
      </c>
    </row>
    <row r="225" spans="1:5">
      <c r="A225">
        <v>8554</v>
      </c>
      <c r="B225" t="s">
        <v>99</v>
      </c>
      <c r="C225" t="s">
        <v>99</v>
      </c>
      <c r="D225" t="s">
        <v>8</v>
      </c>
      <c r="E225" s="1">
        <v>43162.718888888892</v>
      </c>
    </row>
    <row r="226" spans="1:5">
      <c r="A226">
        <v>8556</v>
      </c>
      <c r="B226" t="s">
        <v>99</v>
      </c>
      <c r="C226" t="s">
        <v>99</v>
      </c>
      <c r="D226" t="s">
        <v>6</v>
      </c>
      <c r="E226" s="1">
        <v>43164.357928240737</v>
      </c>
    </row>
    <row r="227" spans="1:5">
      <c r="A227">
        <v>8572</v>
      </c>
      <c r="B227" t="s">
        <v>99</v>
      </c>
      <c r="C227" t="s">
        <v>99</v>
      </c>
      <c r="D227" t="s">
        <v>5</v>
      </c>
      <c r="E227" s="1">
        <v>43164.76153935185</v>
      </c>
    </row>
    <row r="228" spans="1:5">
      <c r="A228">
        <v>8573</v>
      </c>
      <c r="B228" t="s">
        <v>99</v>
      </c>
      <c r="C228" t="s">
        <v>99</v>
      </c>
      <c r="D228" t="s">
        <v>7</v>
      </c>
      <c r="E228" s="1">
        <v>43164.761574074073</v>
      </c>
    </row>
    <row r="229" spans="1:5">
      <c r="A229">
        <v>8592</v>
      </c>
      <c r="B229" t="s">
        <v>99</v>
      </c>
      <c r="C229" t="s">
        <v>99</v>
      </c>
      <c r="D229" t="s">
        <v>8</v>
      </c>
      <c r="E229" s="1">
        <v>43164.939097222225</v>
      </c>
    </row>
    <row r="230" spans="1:5">
      <c r="A230">
        <v>8597</v>
      </c>
      <c r="B230" t="s">
        <v>99</v>
      </c>
      <c r="C230" t="s">
        <v>99</v>
      </c>
      <c r="D230" t="s">
        <v>6</v>
      </c>
      <c r="E230" s="1">
        <v>43165.363275462965</v>
      </c>
    </row>
    <row r="231" spans="1:5">
      <c r="A231">
        <v>8609</v>
      </c>
      <c r="B231" t="s">
        <v>99</v>
      </c>
      <c r="C231" t="s">
        <v>99</v>
      </c>
      <c r="D231" t="s">
        <v>5</v>
      </c>
      <c r="E231" s="1">
        <v>43165.768449074072</v>
      </c>
    </row>
    <row r="232" spans="1:5">
      <c r="A232">
        <v>8626</v>
      </c>
      <c r="B232" t="s">
        <v>99</v>
      </c>
      <c r="C232" t="s">
        <v>99</v>
      </c>
      <c r="D232" t="s">
        <v>6</v>
      </c>
      <c r="E232" s="1">
        <v>43166.359155092592</v>
      </c>
    </row>
    <row r="233" spans="1:5">
      <c r="A233">
        <v>8636</v>
      </c>
      <c r="B233" t="s">
        <v>99</v>
      </c>
      <c r="C233" t="s">
        <v>99</v>
      </c>
      <c r="D233" t="s">
        <v>5</v>
      </c>
      <c r="E233" s="1">
        <v>43166.438518518517</v>
      </c>
    </row>
    <row r="234" spans="1:5">
      <c r="A234">
        <v>8637</v>
      </c>
      <c r="B234" t="s">
        <v>99</v>
      </c>
      <c r="C234" t="s">
        <v>99</v>
      </c>
      <c r="D234" t="s">
        <v>6</v>
      </c>
      <c r="E234" s="1">
        <v>43166.584039351852</v>
      </c>
    </row>
    <row r="235" spans="1:5">
      <c r="A235">
        <v>8649</v>
      </c>
      <c r="B235" t="s">
        <v>99</v>
      </c>
      <c r="C235" t="s">
        <v>99</v>
      </c>
      <c r="D235" t="s">
        <v>5</v>
      </c>
      <c r="E235" s="1">
        <v>43166.77652777778</v>
      </c>
    </row>
    <row r="236" spans="1:5">
      <c r="A236">
        <v>8650</v>
      </c>
      <c r="B236" t="s">
        <v>99</v>
      </c>
      <c r="C236" t="s">
        <v>99</v>
      </c>
      <c r="D236" t="s">
        <v>7</v>
      </c>
      <c r="E236" s="1">
        <v>43166.776562500003</v>
      </c>
    </row>
    <row r="237" spans="1:5">
      <c r="A237">
        <v>8654</v>
      </c>
      <c r="B237" t="s">
        <v>99</v>
      </c>
      <c r="C237" t="s">
        <v>99</v>
      </c>
      <c r="D237" t="s">
        <v>8</v>
      </c>
      <c r="E237" s="1">
        <v>43166.84888888889</v>
      </c>
    </row>
    <row r="238" spans="1:5">
      <c r="A238">
        <v>8663</v>
      </c>
      <c r="B238" t="s">
        <v>99</v>
      </c>
      <c r="C238" t="s">
        <v>99</v>
      </c>
      <c r="D238" t="s">
        <v>6</v>
      </c>
      <c r="E238" s="1">
        <v>43167.359780092593</v>
      </c>
    </row>
    <row r="239" spans="1:5">
      <c r="A239">
        <v>8683</v>
      </c>
      <c r="B239" t="s">
        <v>99</v>
      </c>
      <c r="C239" t="s">
        <v>99</v>
      </c>
      <c r="D239" t="s">
        <v>5</v>
      </c>
      <c r="E239" s="1">
        <v>43167.773865740739</v>
      </c>
    </row>
    <row r="240" spans="1:5">
      <c r="A240">
        <v>8684</v>
      </c>
      <c r="B240" t="s">
        <v>99</v>
      </c>
      <c r="C240" t="s">
        <v>99</v>
      </c>
      <c r="D240" t="s">
        <v>7</v>
      </c>
      <c r="E240" s="1">
        <v>43167.773912037039</v>
      </c>
    </row>
    <row r="241" spans="1:5">
      <c r="A241">
        <v>8689</v>
      </c>
      <c r="B241" t="s">
        <v>99</v>
      </c>
      <c r="C241" t="s">
        <v>99</v>
      </c>
      <c r="D241" t="s">
        <v>8</v>
      </c>
      <c r="E241" s="1">
        <v>43167.839606481481</v>
      </c>
    </row>
    <row r="242" spans="1:5">
      <c r="A242">
        <v>8695</v>
      </c>
      <c r="B242" t="s">
        <v>99</v>
      </c>
      <c r="C242" t="s">
        <v>99</v>
      </c>
      <c r="D242" t="s">
        <v>6</v>
      </c>
      <c r="E242" s="1">
        <v>43168.365740740737</v>
      </c>
    </row>
    <row r="243" spans="1:5">
      <c r="A243">
        <v>8704</v>
      </c>
      <c r="B243" t="s">
        <v>99</v>
      </c>
      <c r="C243" t="s">
        <v>99</v>
      </c>
      <c r="D243" t="s">
        <v>5</v>
      </c>
      <c r="E243" s="1">
        <v>43168.767094907409</v>
      </c>
    </row>
    <row r="244" spans="1:5">
      <c r="A244">
        <v>8730</v>
      </c>
      <c r="B244" t="s">
        <v>99</v>
      </c>
      <c r="C244" t="s">
        <v>99</v>
      </c>
      <c r="D244" t="s">
        <v>7</v>
      </c>
      <c r="E244" s="1">
        <v>43170.422500000001</v>
      </c>
    </row>
    <row r="245" spans="1:5">
      <c r="A245">
        <v>8738</v>
      </c>
      <c r="B245" t="s">
        <v>99</v>
      </c>
      <c r="C245" t="s">
        <v>99</v>
      </c>
      <c r="D245" t="s">
        <v>8</v>
      </c>
      <c r="E245" s="1">
        <v>43170.550740740742</v>
      </c>
    </row>
    <row r="246" spans="1:5">
      <c r="A246">
        <v>8740</v>
      </c>
      <c r="B246" t="s">
        <v>99</v>
      </c>
      <c r="C246" t="s">
        <v>99</v>
      </c>
      <c r="D246" t="s">
        <v>7</v>
      </c>
      <c r="E246" s="1">
        <v>43170.572627314818</v>
      </c>
    </row>
    <row r="247" spans="1:5">
      <c r="A247">
        <v>8752</v>
      </c>
      <c r="B247" t="s">
        <v>99</v>
      </c>
      <c r="C247" t="s">
        <v>99</v>
      </c>
      <c r="D247" t="s">
        <v>8</v>
      </c>
      <c r="E247" s="1">
        <v>43170.751284722224</v>
      </c>
    </row>
    <row r="248" spans="1:5">
      <c r="A248">
        <v>8754</v>
      </c>
      <c r="B248" t="s">
        <v>99</v>
      </c>
      <c r="C248" t="s">
        <v>99</v>
      </c>
      <c r="D248" t="s">
        <v>7</v>
      </c>
      <c r="E248" s="1">
        <v>43170.751423611109</v>
      </c>
    </row>
    <row r="249" spans="1:5">
      <c r="A249">
        <v>8756</v>
      </c>
      <c r="B249" t="s">
        <v>99</v>
      </c>
      <c r="C249" t="s">
        <v>99</v>
      </c>
      <c r="D249" t="s">
        <v>8</v>
      </c>
      <c r="E249" s="1">
        <v>43170.785173611112</v>
      </c>
    </row>
    <row r="250" spans="1:5">
      <c r="A250">
        <v>8763</v>
      </c>
      <c r="B250" t="s">
        <v>100</v>
      </c>
      <c r="C250" t="s">
        <v>99</v>
      </c>
      <c r="D250" t="s">
        <v>6</v>
      </c>
      <c r="E250" s="1">
        <v>43171.366400462961</v>
      </c>
    </row>
    <row r="251" spans="1:5">
      <c r="A251">
        <v>8775</v>
      </c>
      <c r="B251" t="s">
        <v>99</v>
      </c>
      <c r="C251" t="s">
        <v>99</v>
      </c>
      <c r="D251" t="s">
        <v>5</v>
      </c>
      <c r="E251" s="1">
        <v>43171.768958333334</v>
      </c>
    </row>
    <row r="252" spans="1:5">
      <c r="A252">
        <v>8776</v>
      </c>
      <c r="B252" t="s">
        <v>99</v>
      </c>
      <c r="C252" t="s">
        <v>99</v>
      </c>
      <c r="D252" t="s">
        <v>7</v>
      </c>
      <c r="E252" s="1">
        <v>43171.769004629627</v>
      </c>
    </row>
    <row r="253" spans="1:5">
      <c r="A253">
        <v>8795</v>
      </c>
      <c r="B253" t="s">
        <v>99</v>
      </c>
      <c r="C253" t="s">
        <v>99</v>
      </c>
      <c r="D253" t="s">
        <v>8</v>
      </c>
      <c r="E253" s="1">
        <v>43171.908946759257</v>
      </c>
    </row>
    <row r="254" spans="1:5">
      <c r="A254">
        <v>8805</v>
      </c>
      <c r="B254" t="s">
        <v>100</v>
      </c>
      <c r="C254" t="s">
        <v>99</v>
      </c>
      <c r="D254" t="s">
        <v>6</v>
      </c>
      <c r="E254" s="1">
        <v>43172.368263888886</v>
      </c>
    </row>
    <row r="255" spans="1:5">
      <c r="A255">
        <v>8817</v>
      </c>
      <c r="B255" t="s">
        <v>99</v>
      </c>
      <c r="C255" t="s">
        <v>99</v>
      </c>
      <c r="D255" t="s">
        <v>5</v>
      </c>
      <c r="E255" s="1">
        <v>43172.773148148146</v>
      </c>
    </row>
    <row r="256" spans="1:5">
      <c r="A256">
        <v>8820</v>
      </c>
      <c r="B256" t="s">
        <v>99</v>
      </c>
      <c r="C256" t="s">
        <v>99</v>
      </c>
      <c r="D256" t="s">
        <v>7</v>
      </c>
      <c r="E256" s="1">
        <v>43172.773229166669</v>
      </c>
    </row>
    <row r="257" spans="1:5">
      <c r="A257">
        <v>8833</v>
      </c>
      <c r="B257" t="s">
        <v>99</v>
      </c>
      <c r="C257" t="s">
        <v>99</v>
      </c>
      <c r="D257" t="s">
        <v>8</v>
      </c>
      <c r="E257" s="1">
        <v>43172.872106481482</v>
      </c>
    </row>
    <row r="258" spans="1:5">
      <c r="A258">
        <v>8836</v>
      </c>
      <c r="B258" t="s">
        <v>99</v>
      </c>
      <c r="C258" t="s">
        <v>99</v>
      </c>
      <c r="D258" t="s">
        <v>6</v>
      </c>
      <c r="E258" s="1">
        <v>43173.356898148151</v>
      </c>
    </row>
    <row r="259" spans="1:5">
      <c r="A259">
        <v>8850</v>
      </c>
      <c r="B259" t="s">
        <v>99</v>
      </c>
      <c r="C259" t="s">
        <v>99</v>
      </c>
      <c r="D259" t="s">
        <v>5</v>
      </c>
      <c r="E259" s="1">
        <v>43173.768090277779</v>
      </c>
    </row>
    <row r="260" spans="1:5">
      <c r="A260">
        <v>8868</v>
      </c>
      <c r="B260" t="s">
        <v>100</v>
      </c>
      <c r="C260" t="s">
        <v>99</v>
      </c>
      <c r="D260" t="s">
        <v>5</v>
      </c>
      <c r="E260" s="1">
        <v>43173.864004629628</v>
      </c>
    </row>
    <row r="261" spans="1:5">
      <c r="A261">
        <v>8876</v>
      </c>
      <c r="B261" t="s">
        <v>100</v>
      </c>
      <c r="C261" t="s">
        <v>99</v>
      </c>
      <c r="D261" t="s">
        <v>6</v>
      </c>
      <c r="E261" s="1">
        <v>43174.36341435185</v>
      </c>
    </row>
    <row r="262" spans="1:5">
      <c r="A262">
        <v>8884</v>
      </c>
      <c r="B262" t="s">
        <v>99</v>
      </c>
      <c r="C262" t="s">
        <v>99</v>
      </c>
      <c r="D262" t="s">
        <v>5</v>
      </c>
      <c r="E262" s="1">
        <v>43174.767604166664</v>
      </c>
    </row>
    <row r="263" spans="1:5">
      <c r="A263">
        <v>8885</v>
      </c>
      <c r="B263" t="s">
        <v>99</v>
      </c>
      <c r="C263" t="s">
        <v>99</v>
      </c>
      <c r="D263" t="s">
        <v>7</v>
      </c>
      <c r="E263" s="1">
        <v>43174.767650462964</v>
      </c>
    </row>
    <row r="264" spans="1:5">
      <c r="A264">
        <v>8899</v>
      </c>
      <c r="B264" t="s">
        <v>99</v>
      </c>
      <c r="C264" t="s">
        <v>99</v>
      </c>
      <c r="D264" t="s">
        <v>8</v>
      </c>
      <c r="E264" s="1">
        <v>43174.848460648151</v>
      </c>
    </row>
    <row r="265" spans="1:5">
      <c r="A265">
        <v>8908</v>
      </c>
      <c r="B265" t="s">
        <v>99</v>
      </c>
      <c r="C265" t="s">
        <v>99</v>
      </c>
      <c r="D265" t="s">
        <v>6</v>
      </c>
      <c r="E265" s="1">
        <v>43175.362615740742</v>
      </c>
    </row>
    <row r="266" spans="1:5">
      <c r="A266">
        <v>8922</v>
      </c>
      <c r="B266" t="s">
        <v>99</v>
      </c>
      <c r="C266" t="s">
        <v>99</v>
      </c>
      <c r="D266" t="s">
        <v>5</v>
      </c>
      <c r="E266" s="1">
        <v>43175.768692129626</v>
      </c>
    </row>
    <row r="267" spans="1:5">
      <c r="A267">
        <v>8923</v>
      </c>
      <c r="B267" t="s">
        <v>99</v>
      </c>
      <c r="C267" t="s">
        <v>99</v>
      </c>
      <c r="D267" t="s">
        <v>7</v>
      </c>
      <c r="E267" s="1">
        <v>43175.76871527778</v>
      </c>
    </row>
    <row r="268" spans="1:5">
      <c r="A268">
        <v>8939</v>
      </c>
      <c r="B268" t="s">
        <v>100</v>
      </c>
      <c r="C268" t="s">
        <v>99</v>
      </c>
      <c r="D268" t="s">
        <v>8</v>
      </c>
      <c r="E268" s="1">
        <v>43175.905902777777</v>
      </c>
    </row>
    <row r="269" spans="1:5">
      <c r="A269">
        <v>8947</v>
      </c>
      <c r="B269" t="s">
        <v>99</v>
      </c>
      <c r="C269" t="s">
        <v>99</v>
      </c>
      <c r="D269" t="s">
        <v>6</v>
      </c>
      <c r="E269" s="1">
        <v>43176.453449074077</v>
      </c>
    </row>
    <row r="270" spans="1:5">
      <c r="A270">
        <v>8948</v>
      </c>
      <c r="B270" t="s">
        <v>99</v>
      </c>
      <c r="C270" t="s">
        <v>99</v>
      </c>
      <c r="D270" t="s">
        <v>5</v>
      </c>
      <c r="E270" s="1">
        <v>43176.453576388885</v>
      </c>
    </row>
    <row r="271" spans="1:5">
      <c r="A271">
        <v>8949</v>
      </c>
      <c r="B271" t="s">
        <v>99</v>
      </c>
      <c r="C271" t="s">
        <v>99</v>
      </c>
      <c r="D271" t="s">
        <v>7</v>
      </c>
      <c r="E271" s="1">
        <v>43176.453634259262</v>
      </c>
    </row>
    <row r="272" spans="1:5">
      <c r="A272">
        <v>8962</v>
      </c>
      <c r="B272" t="s">
        <v>99</v>
      </c>
      <c r="C272" t="s">
        <v>99</v>
      </c>
      <c r="D272" t="s">
        <v>8</v>
      </c>
      <c r="E272" s="1">
        <v>43176.633009259262</v>
      </c>
    </row>
    <row r="273" spans="1:5">
      <c r="A273">
        <v>8974</v>
      </c>
      <c r="B273" t="s">
        <v>99</v>
      </c>
      <c r="C273" t="s">
        <v>99</v>
      </c>
      <c r="D273" t="s">
        <v>6</v>
      </c>
      <c r="E273" s="1">
        <v>43178.364537037036</v>
      </c>
    </row>
    <row r="274" spans="1:5">
      <c r="A274">
        <v>8986</v>
      </c>
      <c r="B274" t="s">
        <v>99</v>
      </c>
      <c r="C274" t="s">
        <v>99</v>
      </c>
      <c r="D274" t="s">
        <v>5</v>
      </c>
      <c r="E274" s="1">
        <v>43178.767708333333</v>
      </c>
    </row>
    <row r="275" spans="1:5">
      <c r="A275">
        <v>8988</v>
      </c>
      <c r="B275" t="s">
        <v>99</v>
      </c>
      <c r="C275" t="s">
        <v>99</v>
      </c>
      <c r="D275" t="s">
        <v>7</v>
      </c>
      <c r="E275" s="1">
        <v>43178.768101851849</v>
      </c>
    </row>
    <row r="276" spans="1:5">
      <c r="A276">
        <v>9007</v>
      </c>
      <c r="B276" t="s">
        <v>99</v>
      </c>
      <c r="C276" t="s">
        <v>99</v>
      </c>
      <c r="D276" t="s">
        <v>8</v>
      </c>
      <c r="E276" s="1">
        <v>43178.914525462962</v>
      </c>
    </row>
    <row r="277" spans="1:5">
      <c r="A277">
        <v>9008</v>
      </c>
      <c r="B277" t="s">
        <v>99</v>
      </c>
      <c r="C277" t="s">
        <v>99</v>
      </c>
      <c r="D277" t="s">
        <v>6</v>
      </c>
      <c r="E277" s="1">
        <v>43179.361250000002</v>
      </c>
    </row>
    <row r="278" spans="1:5">
      <c r="A278">
        <v>9027</v>
      </c>
      <c r="B278" t="s">
        <v>99</v>
      </c>
      <c r="C278" t="s">
        <v>99</v>
      </c>
      <c r="D278" t="s">
        <v>5</v>
      </c>
      <c r="E278" s="1">
        <v>43179.769803240742</v>
      </c>
    </row>
    <row r="279" spans="1:5">
      <c r="A279">
        <v>9028</v>
      </c>
      <c r="B279" t="s">
        <v>99</v>
      </c>
      <c r="C279" t="s">
        <v>99</v>
      </c>
      <c r="D279" t="s">
        <v>7</v>
      </c>
      <c r="E279" s="1">
        <v>43179.769837962966</v>
      </c>
    </row>
    <row r="280" spans="1:5">
      <c r="A280">
        <v>9034</v>
      </c>
      <c r="B280" t="s">
        <v>99</v>
      </c>
      <c r="C280" t="s">
        <v>99</v>
      </c>
      <c r="D280" t="s">
        <v>8</v>
      </c>
      <c r="E280" s="1">
        <v>43179.778877314813</v>
      </c>
    </row>
    <row r="281" spans="1:5">
      <c r="A281">
        <v>9039</v>
      </c>
      <c r="B281" t="s">
        <v>99</v>
      </c>
      <c r="C281" t="s">
        <v>99</v>
      </c>
      <c r="D281" t="s">
        <v>7</v>
      </c>
      <c r="E281" s="1">
        <v>43179.799328703702</v>
      </c>
    </row>
    <row r="282" spans="1:5">
      <c r="A282">
        <v>9044</v>
      </c>
      <c r="B282" t="s">
        <v>99</v>
      </c>
      <c r="C282" t="s">
        <v>99</v>
      </c>
      <c r="D282" t="s">
        <v>8</v>
      </c>
      <c r="E282" s="1">
        <v>43179.884421296294</v>
      </c>
    </row>
    <row r="283" spans="1:5">
      <c r="A283">
        <v>9046</v>
      </c>
      <c r="B283" t="s">
        <v>99</v>
      </c>
      <c r="C283" t="s">
        <v>99</v>
      </c>
      <c r="D283" t="s">
        <v>6</v>
      </c>
      <c r="E283" s="1">
        <v>43180.363136574073</v>
      </c>
    </row>
    <row r="284" spans="1:5">
      <c r="A284">
        <v>9066</v>
      </c>
      <c r="B284" t="s">
        <v>99</v>
      </c>
      <c r="C284" t="s">
        <v>99</v>
      </c>
      <c r="D284" t="s">
        <v>5</v>
      </c>
      <c r="E284" s="1">
        <v>43180.771122685182</v>
      </c>
    </row>
    <row r="285" spans="1:5">
      <c r="A285">
        <v>9085</v>
      </c>
      <c r="B285" t="s">
        <v>99</v>
      </c>
      <c r="C285" t="s">
        <v>99</v>
      </c>
      <c r="D285" t="s">
        <v>6</v>
      </c>
      <c r="E285" s="1">
        <v>43181.364212962966</v>
      </c>
    </row>
    <row r="286" spans="1:5">
      <c r="A286">
        <v>9094</v>
      </c>
      <c r="B286" t="s">
        <v>99</v>
      </c>
      <c r="C286" t="s">
        <v>99</v>
      </c>
      <c r="D286" t="s">
        <v>5</v>
      </c>
      <c r="E286" s="1">
        <v>43181.763807870368</v>
      </c>
    </row>
    <row r="287" spans="1:5">
      <c r="A287">
        <v>9095</v>
      </c>
      <c r="B287" t="s">
        <v>99</v>
      </c>
      <c r="C287" t="s">
        <v>99</v>
      </c>
      <c r="D287" t="s">
        <v>7</v>
      </c>
      <c r="E287" s="1">
        <v>43181.764016203706</v>
      </c>
    </row>
    <row r="288" spans="1:5">
      <c r="A288">
        <v>9101</v>
      </c>
      <c r="B288" t="s">
        <v>99</v>
      </c>
      <c r="C288" t="s">
        <v>99</v>
      </c>
      <c r="D288" t="s">
        <v>8</v>
      </c>
      <c r="E288" s="1">
        <v>43181.784907407404</v>
      </c>
    </row>
    <row r="289" spans="1:5">
      <c r="A289">
        <v>9103</v>
      </c>
      <c r="B289" t="s">
        <v>99</v>
      </c>
      <c r="C289" t="s">
        <v>99</v>
      </c>
      <c r="D289" t="s">
        <v>7</v>
      </c>
      <c r="E289" s="1">
        <v>43181.796006944445</v>
      </c>
    </row>
    <row r="290" spans="1:5">
      <c r="A290">
        <v>9114</v>
      </c>
      <c r="B290" t="s">
        <v>99</v>
      </c>
      <c r="C290" t="s">
        <v>99</v>
      </c>
      <c r="D290" t="s">
        <v>8</v>
      </c>
      <c r="E290" s="1">
        <v>43181.935682870368</v>
      </c>
    </row>
    <row r="291" spans="1:5">
      <c r="A291">
        <v>9117</v>
      </c>
      <c r="B291" t="s">
        <v>99</v>
      </c>
      <c r="C291" t="s">
        <v>99</v>
      </c>
      <c r="D291" t="s">
        <v>6</v>
      </c>
      <c r="E291" s="1">
        <v>43182.362407407411</v>
      </c>
    </row>
    <row r="292" spans="1:5">
      <c r="A292">
        <v>9129</v>
      </c>
      <c r="B292" t="s">
        <v>99</v>
      </c>
      <c r="C292" t="s">
        <v>99</v>
      </c>
      <c r="D292" t="s">
        <v>5</v>
      </c>
      <c r="E292" s="1">
        <v>43182.768067129633</v>
      </c>
    </row>
    <row r="293" spans="1:5">
      <c r="A293">
        <v>9139</v>
      </c>
      <c r="B293" t="s">
        <v>99</v>
      </c>
      <c r="C293" t="s">
        <v>99</v>
      </c>
      <c r="D293" t="s">
        <v>6</v>
      </c>
      <c r="E293" s="1">
        <v>43185.363240740742</v>
      </c>
    </row>
    <row r="294" spans="1:5">
      <c r="A294">
        <v>9149</v>
      </c>
      <c r="B294" t="s">
        <v>99</v>
      </c>
      <c r="C294" t="s">
        <v>99</v>
      </c>
      <c r="D294" t="s">
        <v>5</v>
      </c>
      <c r="E294" s="1">
        <v>43185.767858796295</v>
      </c>
    </row>
    <row r="295" spans="1:5">
      <c r="A295">
        <v>9150</v>
      </c>
      <c r="B295" t="s">
        <v>99</v>
      </c>
      <c r="C295" t="s">
        <v>99</v>
      </c>
      <c r="D295" t="s">
        <v>7</v>
      </c>
      <c r="E295" s="1">
        <v>43185.767893518518</v>
      </c>
    </row>
    <row r="296" spans="1:5">
      <c r="A296">
        <v>9159</v>
      </c>
      <c r="B296" t="s">
        <v>99</v>
      </c>
      <c r="C296" t="s">
        <v>99</v>
      </c>
      <c r="D296" t="s">
        <v>8</v>
      </c>
      <c r="E296" s="1">
        <v>43185.831516203703</v>
      </c>
    </row>
    <row r="297" spans="1:5">
      <c r="A297">
        <v>9165</v>
      </c>
      <c r="B297" t="s">
        <v>100</v>
      </c>
      <c r="C297" t="s">
        <v>99</v>
      </c>
      <c r="D297" t="s">
        <v>6</v>
      </c>
      <c r="E297" s="1">
        <v>43186.360995370371</v>
      </c>
    </row>
    <row r="298" spans="1:5">
      <c r="A298">
        <v>9174</v>
      </c>
      <c r="B298" t="s">
        <v>100</v>
      </c>
      <c r="C298" t="s">
        <v>99</v>
      </c>
      <c r="D298" t="s">
        <v>5</v>
      </c>
      <c r="E298" s="1">
        <v>43186.773194444446</v>
      </c>
    </row>
    <row r="299" spans="1:5">
      <c r="A299">
        <v>9175</v>
      </c>
      <c r="B299" t="s">
        <v>100</v>
      </c>
      <c r="C299" t="s">
        <v>99</v>
      </c>
      <c r="D299" t="s">
        <v>7</v>
      </c>
      <c r="E299" s="1">
        <v>43186.773252314815</v>
      </c>
    </row>
    <row r="300" spans="1:5">
      <c r="A300">
        <v>9187</v>
      </c>
      <c r="B300" t="s">
        <v>99</v>
      </c>
      <c r="C300" t="s">
        <v>99</v>
      </c>
      <c r="D300" t="s">
        <v>8</v>
      </c>
      <c r="E300" s="1">
        <v>43186.835428240738</v>
      </c>
    </row>
    <row r="301" spans="1:5">
      <c r="A301">
        <v>9191</v>
      </c>
      <c r="B301" t="s">
        <v>99</v>
      </c>
      <c r="C301" t="s">
        <v>99</v>
      </c>
      <c r="D301" t="s">
        <v>6</v>
      </c>
      <c r="E301" s="1">
        <v>43187.357928240737</v>
      </c>
    </row>
    <row r="302" spans="1:5">
      <c r="A302">
        <v>9209</v>
      </c>
      <c r="B302" t="s">
        <v>99</v>
      </c>
      <c r="C302" t="s">
        <v>99</v>
      </c>
      <c r="D302" t="s">
        <v>5</v>
      </c>
      <c r="E302" s="1">
        <v>43187.771469907406</v>
      </c>
    </row>
    <row r="303" spans="1:5">
      <c r="A303">
        <v>9210</v>
      </c>
      <c r="B303" t="s">
        <v>99</v>
      </c>
      <c r="C303" t="s">
        <v>99</v>
      </c>
      <c r="D303" t="s">
        <v>7</v>
      </c>
      <c r="E303" s="1">
        <v>43187.771516203706</v>
      </c>
    </row>
    <row r="304" spans="1:5">
      <c r="A304">
        <v>9218</v>
      </c>
      <c r="B304" t="s">
        <v>99</v>
      </c>
      <c r="C304" t="s">
        <v>99</v>
      </c>
      <c r="D304" t="s">
        <v>5</v>
      </c>
      <c r="E304" s="1">
        <v>43187.795925925922</v>
      </c>
    </row>
    <row r="305" spans="1:5">
      <c r="A305">
        <v>9219</v>
      </c>
      <c r="B305" t="s">
        <v>99</v>
      </c>
      <c r="C305" t="s">
        <v>99</v>
      </c>
      <c r="D305" t="s">
        <v>8</v>
      </c>
      <c r="E305" s="1">
        <v>43187.796111111114</v>
      </c>
    </row>
    <row r="306" spans="1:5">
      <c r="A306">
        <v>9230</v>
      </c>
      <c r="B306" t="s">
        <v>99</v>
      </c>
      <c r="C306" t="s">
        <v>99</v>
      </c>
      <c r="D306" t="s">
        <v>6</v>
      </c>
      <c r="E306" s="1">
        <v>43188.366759259261</v>
      </c>
    </row>
    <row r="307" spans="1:5">
      <c r="A307">
        <v>9245</v>
      </c>
      <c r="B307" t="s">
        <v>100</v>
      </c>
      <c r="C307" t="s">
        <v>99</v>
      </c>
      <c r="D307" t="s">
        <v>5</v>
      </c>
      <c r="E307" s="1">
        <v>43188.772743055553</v>
      </c>
    </row>
    <row r="308" spans="1:5">
      <c r="A308">
        <v>9246</v>
      </c>
      <c r="B308" t="s">
        <v>100</v>
      </c>
      <c r="C308" t="s">
        <v>99</v>
      </c>
      <c r="D308" t="s">
        <v>7</v>
      </c>
      <c r="E308" s="1">
        <v>43188.772777777776</v>
      </c>
    </row>
    <row r="309" spans="1:5">
      <c r="A309">
        <v>9258</v>
      </c>
      <c r="B309" t="s">
        <v>99</v>
      </c>
      <c r="C309" t="s">
        <v>99</v>
      </c>
      <c r="D309" t="s">
        <v>8</v>
      </c>
      <c r="E309" s="1">
        <v>43188.850104166668</v>
      </c>
    </row>
    <row r="310" spans="1:5">
      <c r="A310">
        <v>9262</v>
      </c>
      <c r="B310" t="s">
        <v>100</v>
      </c>
      <c r="C310" t="s">
        <v>99</v>
      </c>
      <c r="D310" t="s">
        <v>6</v>
      </c>
      <c r="E310" s="1">
        <v>43189.364699074074</v>
      </c>
    </row>
    <row r="311" spans="1:5">
      <c r="A311">
        <v>9269</v>
      </c>
      <c r="B311" t="s">
        <v>99</v>
      </c>
      <c r="C311" t="s">
        <v>99</v>
      </c>
      <c r="D311" t="s">
        <v>5</v>
      </c>
      <c r="E311" s="1">
        <v>43189.765613425923</v>
      </c>
    </row>
    <row r="312" spans="1:5">
      <c r="A312">
        <v>9270</v>
      </c>
      <c r="B312" t="s">
        <v>99</v>
      </c>
      <c r="C312" t="s">
        <v>99</v>
      </c>
      <c r="D312" t="s">
        <v>8</v>
      </c>
      <c r="E312" s="1">
        <v>43189.765648148146</v>
      </c>
    </row>
    <row r="313" spans="1:5">
      <c r="A313">
        <v>9281</v>
      </c>
      <c r="B313" t="s">
        <v>99</v>
      </c>
      <c r="C313" t="s">
        <v>99</v>
      </c>
      <c r="D313" t="s">
        <v>8</v>
      </c>
      <c r="E313" s="1">
        <v>43189.846805555557</v>
      </c>
    </row>
    <row r="314" spans="1:5">
      <c r="A314">
        <v>9284</v>
      </c>
      <c r="B314" t="s">
        <v>100</v>
      </c>
      <c r="C314" t="s">
        <v>99</v>
      </c>
      <c r="D314" t="s">
        <v>6</v>
      </c>
      <c r="E314" s="1">
        <v>43190.361724537041</v>
      </c>
    </row>
    <row r="315" spans="1:5">
      <c r="A315">
        <v>9304</v>
      </c>
      <c r="B315" t="s">
        <v>99</v>
      </c>
      <c r="C315" t="s">
        <v>99</v>
      </c>
      <c r="D315" t="s">
        <v>5</v>
      </c>
      <c r="E315" s="1">
        <v>43190.792604166665</v>
      </c>
    </row>
    <row r="316" spans="1:5">
      <c r="A316">
        <v>9311</v>
      </c>
      <c r="B316" t="s">
        <v>99</v>
      </c>
      <c r="C316" t="s">
        <v>99</v>
      </c>
      <c r="D316" t="s">
        <v>7</v>
      </c>
      <c r="E316" s="1">
        <v>43191.500625000001</v>
      </c>
    </row>
    <row r="317" spans="1:5">
      <c r="A317">
        <v>9312</v>
      </c>
      <c r="B317" t="s">
        <v>99</v>
      </c>
      <c r="C317" t="s">
        <v>99</v>
      </c>
      <c r="D317" t="s">
        <v>8</v>
      </c>
      <c r="E317" s="1">
        <v>43191.644421296296</v>
      </c>
    </row>
    <row r="318" spans="1:5">
      <c r="A318">
        <v>9316</v>
      </c>
      <c r="B318" t="s">
        <v>99</v>
      </c>
      <c r="C318" t="s">
        <v>99</v>
      </c>
      <c r="D318" t="s">
        <v>6</v>
      </c>
      <c r="E318" s="1">
        <v>43192.366076388891</v>
      </c>
    </row>
    <row r="319" spans="1:5">
      <c r="A319">
        <v>9332</v>
      </c>
      <c r="B319" t="s">
        <v>100</v>
      </c>
      <c r="C319" t="s">
        <v>99</v>
      </c>
      <c r="D319" t="s">
        <v>5</v>
      </c>
      <c r="E319" s="1">
        <v>43192.77140046296</v>
      </c>
    </row>
    <row r="320" spans="1:5">
      <c r="A320">
        <v>9333</v>
      </c>
      <c r="B320" t="s">
        <v>100</v>
      </c>
      <c r="C320" t="s">
        <v>99</v>
      </c>
      <c r="D320" t="s">
        <v>7</v>
      </c>
      <c r="E320" s="1">
        <v>43192.771458333336</v>
      </c>
    </row>
    <row r="321" spans="1:5">
      <c r="A321">
        <v>8493</v>
      </c>
      <c r="B321" t="s">
        <v>39</v>
      </c>
      <c r="C321" t="s">
        <v>39</v>
      </c>
      <c r="D321" t="s">
        <v>6</v>
      </c>
      <c r="E321" s="1">
        <v>43160.367395833331</v>
      </c>
    </row>
    <row r="322" spans="1:5">
      <c r="A322">
        <v>8502</v>
      </c>
      <c r="B322" t="s">
        <v>39</v>
      </c>
      <c r="C322" t="s">
        <v>39</v>
      </c>
      <c r="D322" t="s">
        <v>5</v>
      </c>
      <c r="E322" s="1">
        <v>43160.770937499998</v>
      </c>
    </row>
    <row r="323" spans="1:5">
      <c r="A323">
        <v>8504</v>
      </c>
      <c r="B323" t="s">
        <v>39</v>
      </c>
      <c r="C323" t="s">
        <v>39</v>
      </c>
      <c r="D323" t="s">
        <v>7</v>
      </c>
      <c r="E323" s="1">
        <v>43160.770995370367</v>
      </c>
    </row>
    <row r="324" spans="1:5">
      <c r="A324">
        <v>8514</v>
      </c>
      <c r="B324" t="s">
        <v>39</v>
      </c>
      <c r="C324" t="s">
        <v>39</v>
      </c>
      <c r="D324" t="s">
        <v>8</v>
      </c>
      <c r="E324" s="1">
        <v>43160.804236111115</v>
      </c>
    </row>
    <row r="325" spans="1:5">
      <c r="A325">
        <v>8521</v>
      </c>
      <c r="B325" t="s">
        <v>39</v>
      </c>
      <c r="C325" t="s">
        <v>39</v>
      </c>
      <c r="D325" t="s">
        <v>6</v>
      </c>
      <c r="E325" s="1">
        <v>43161.363912037035</v>
      </c>
    </row>
    <row r="326" spans="1:5">
      <c r="A326">
        <v>8536</v>
      </c>
      <c r="B326" t="s">
        <v>39</v>
      </c>
      <c r="C326" t="s">
        <v>39</v>
      </c>
      <c r="D326" t="s">
        <v>5</v>
      </c>
      <c r="E326" s="1">
        <v>43161.767812500002</v>
      </c>
    </row>
    <row r="327" spans="1:5">
      <c r="A327">
        <v>8557</v>
      </c>
      <c r="B327" t="s">
        <v>39</v>
      </c>
      <c r="C327" t="s">
        <v>39</v>
      </c>
      <c r="D327" t="s">
        <v>6</v>
      </c>
      <c r="E327" s="1">
        <v>43164.361770833333</v>
      </c>
    </row>
    <row r="328" spans="1:5">
      <c r="A328">
        <v>8576</v>
      </c>
      <c r="B328" t="s">
        <v>39</v>
      </c>
      <c r="C328" t="s">
        <v>39</v>
      </c>
      <c r="D328" t="s">
        <v>5</v>
      </c>
      <c r="E328" s="1">
        <v>43164.765347222223</v>
      </c>
    </row>
    <row r="329" spans="1:5">
      <c r="A329">
        <v>8581</v>
      </c>
      <c r="B329" t="s">
        <v>39</v>
      </c>
      <c r="C329" t="s">
        <v>39</v>
      </c>
      <c r="D329" t="s">
        <v>7</v>
      </c>
      <c r="E329" s="1">
        <v>43164.774062500001</v>
      </c>
    </row>
    <row r="330" spans="1:5">
      <c r="A330">
        <v>8586</v>
      </c>
      <c r="B330" t="s">
        <v>39</v>
      </c>
      <c r="C330" t="s">
        <v>39</v>
      </c>
      <c r="D330" t="s">
        <v>8</v>
      </c>
      <c r="E330" s="1">
        <v>43164.836886574078</v>
      </c>
    </row>
    <row r="331" spans="1:5">
      <c r="A331">
        <v>8594</v>
      </c>
      <c r="B331" t="s">
        <v>39</v>
      </c>
      <c r="C331" t="s">
        <v>39</v>
      </c>
      <c r="D331" t="s">
        <v>6</v>
      </c>
      <c r="E331" s="1">
        <v>43165.361122685186</v>
      </c>
    </row>
    <row r="332" spans="1:5">
      <c r="A332">
        <v>8607</v>
      </c>
      <c r="B332" t="s">
        <v>39</v>
      </c>
      <c r="C332" t="s">
        <v>39</v>
      </c>
      <c r="D332" t="s">
        <v>5</v>
      </c>
      <c r="E332" s="1">
        <v>43165.764143518521</v>
      </c>
    </row>
    <row r="333" spans="1:5">
      <c r="A333">
        <v>8617</v>
      </c>
      <c r="B333" t="s">
        <v>39</v>
      </c>
      <c r="C333" t="s">
        <v>39</v>
      </c>
      <c r="D333" t="s">
        <v>7</v>
      </c>
      <c r="E333" s="1">
        <v>43165.786886574075</v>
      </c>
    </row>
    <row r="334" spans="1:5">
      <c r="A334">
        <v>8621</v>
      </c>
      <c r="B334" t="s">
        <v>39</v>
      </c>
      <c r="C334" t="s">
        <v>39</v>
      </c>
      <c r="D334" t="s">
        <v>8</v>
      </c>
      <c r="E334" s="1">
        <v>43165.884479166663</v>
      </c>
    </row>
    <row r="335" spans="1:5">
      <c r="A335">
        <v>8627</v>
      </c>
      <c r="B335" t="s">
        <v>39</v>
      </c>
      <c r="C335" t="s">
        <v>39</v>
      </c>
      <c r="D335" t="s">
        <v>6</v>
      </c>
      <c r="E335" s="1">
        <v>43166.363900462966</v>
      </c>
    </row>
    <row r="336" spans="1:5">
      <c r="A336">
        <v>8640</v>
      </c>
      <c r="B336" t="s">
        <v>39</v>
      </c>
      <c r="C336" t="s">
        <v>39</v>
      </c>
      <c r="D336" t="s">
        <v>5</v>
      </c>
      <c r="E336" s="1">
        <v>43166.762476851851</v>
      </c>
    </row>
    <row r="337" spans="1:5">
      <c r="A337">
        <v>8646</v>
      </c>
      <c r="B337" t="s">
        <v>39</v>
      </c>
      <c r="C337" t="s">
        <v>39</v>
      </c>
      <c r="D337" t="s">
        <v>7</v>
      </c>
      <c r="E337" s="1">
        <v>43166.771087962959</v>
      </c>
    </row>
    <row r="338" spans="1:5">
      <c r="A338">
        <v>8659</v>
      </c>
      <c r="B338" t="s">
        <v>39</v>
      </c>
      <c r="C338" t="s">
        <v>39</v>
      </c>
      <c r="D338" t="s">
        <v>8</v>
      </c>
      <c r="E338" s="1">
        <v>43166.865011574075</v>
      </c>
    </row>
    <row r="339" spans="1:5">
      <c r="A339">
        <v>8668</v>
      </c>
      <c r="B339" t="s">
        <v>39</v>
      </c>
      <c r="C339" t="s">
        <v>39</v>
      </c>
      <c r="D339" t="s">
        <v>6</v>
      </c>
      <c r="E339" s="1">
        <v>43167.368495370371</v>
      </c>
    </row>
    <row r="340" spans="1:5">
      <c r="A340">
        <v>8678</v>
      </c>
      <c r="B340" t="s">
        <v>39</v>
      </c>
      <c r="C340" t="s">
        <v>39</v>
      </c>
      <c r="D340" t="s">
        <v>7</v>
      </c>
      <c r="E340" s="1">
        <v>43167.770914351851</v>
      </c>
    </row>
    <row r="341" spans="1:5">
      <c r="A341">
        <v>8687</v>
      </c>
      <c r="B341" t="s">
        <v>39</v>
      </c>
      <c r="C341" t="s">
        <v>39</v>
      </c>
      <c r="D341" t="s">
        <v>8</v>
      </c>
      <c r="E341" s="1">
        <v>43167.808240740742</v>
      </c>
    </row>
    <row r="342" spans="1:5">
      <c r="A342">
        <v>8699</v>
      </c>
      <c r="B342" t="s">
        <v>39</v>
      </c>
      <c r="C342" t="s">
        <v>39</v>
      </c>
      <c r="D342" t="s">
        <v>10</v>
      </c>
      <c r="E342" s="1">
        <v>43168.369780092595</v>
      </c>
    </row>
    <row r="343" spans="1:5">
      <c r="A343">
        <v>8710</v>
      </c>
      <c r="B343" t="s">
        <v>39</v>
      </c>
      <c r="C343" t="s">
        <v>39</v>
      </c>
      <c r="D343" t="s">
        <v>5</v>
      </c>
      <c r="E343" s="1">
        <v>43168.77144675926</v>
      </c>
    </row>
    <row r="344" spans="1:5">
      <c r="A344">
        <v>8761</v>
      </c>
      <c r="B344" t="s">
        <v>39</v>
      </c>
      <c r="C344" t="s">
        <v>39</v>
      </c>
      <c r="D344" t="s">
        <v>6</v>
      </c>
      <c r="E344" s="1">
        <v>43171.362060185187</v>
      </c>
    </row>
    <row r="345" spans="1:5">
      <c r="A345">
        <v>8774</v>
      </c>
      <c r="B345" t="s">
        <v>39</v>
      </c>
      <c r="C345" t="s">
        <v>39</v>
      </c>
      <c r="D345" t="s">
        <v>5</v>
      </c>
      <c r="E345" s="1">
        <v>43171.764328703706</v>
      </c>
    </row>
    <row r="346" spans="1:5">
      <c r="A346">
        <v>8783</v>
      </c>
      <c r="B346" t="s">
        <v>39</v>
      </c>
      <c r="C346" t="s">
        <v>39</v>
      </c>
      <c r="D346" t="s">
        <v>7</v>
      </c>
      <c r="E346" s="1">
        <v>43171.771365740744</v>
      </c>
    </row>
    <row r="347" spans="1:5">
      <c r="A347">
        <v>8786</v>
      </c>
      <c r="B347" t="s">
        <v>39</v>
      </c>
      <c r="C347" t="s">
        <v>39</v>
      </c>
      <c r="D347" t="s">
        <v>8</v>
      </c>
      <c r="E347" s="1">
        <v>43171.784398148149</v>
      </c>
    </row>
    <row r="348" spans="1:5">
      <c r="A348">
        <v>8790</v>
      </c>
      <c r="B348" t="s">
        <v>39</v>
      </c>
      <c r="C348" t="s">
        <v>39</v>
      </c>
      <c r="D348" t="s">
        <v>7</v>
      </c>
      <c r="E348" s="1">
        <v>43171.798576388886</v>
      </c>
    </row>
    <row r="349" spans="1:5">
      <c r="A349">
        <v>8793</v>
      </c>
      <c r="B349" t="s">
        <v>39</v>
      </c>
      <c r="C349" t="s">
        <v>39</v>
      </c>
      <c r="D349" t="s">
        <v>8</v>
      </c>
      <c r="E349" s="1">
        <v>43171.902939814812</v>
      </c>
    </row>
    <row r="350" spans="1:5">
      <c r="A350">
        <v>8802</v>
      </c>
      <c r="B350" t="s">
        <v>39</v>
      </c>
      <c r="C350" t="s">
        <v>39</v>
      </c>
      <c r="D350" t="s">
        <v>6</v>
      </c>
      <c r="E350" s="1">
        <v>43172.362141203703</v>
      </c>
    </row>
    <row r="351" spans="1:5">
      <c r="A351">
        <v>8818</v>
      </c>
      <c r="B351" t="s">
        <v>39</v>
      </c>
      <c r="C351" t="s">
        <v>39</v>
      </c>
      <c r="D351" t="s">
        <v>5</v>
      </c>
      <c r="E351" s="1">
        <v>43172.7731712963</v>
      </c>
    </row>
    <row r="352" spans="1:5">
      <c r="A352">
        <v>8819</v>
      </c>
      <c r="B352" t="s">
        <v>39</v>
      </c>
      <c r="C352" t="s">
        <v>39</v>
      </c>
      <c r="D352" t="s">
        <v>7</v>
      </c>
      <c r="E352" s="1">
        <v>43172.773217592592</v>
      </c>
    </row>
    <row r="353" spans="1:5">
      <c r="A353">
        <v>8829</v>
      </c>
      <c r="B353" t="s">
        <v>39</v>
      </c>
      <c r="C353" t="s">
        <v>39</v>
      </c>
      <c r="D353" t="s">
        <v>8</v>
      </c>
      <c r="E353" s="1">
        <v>43172.852893518517</v>
      </c>
    </row>
    <row r="354" spans="1:5">
      <c r="A354">
        <v>8841</v>
      </c>
      <c r="B354" t="s">
        <v>39</v>
      </c>
      <c r="C354" t="s">
        <v>39</v>
      </c>
      <c r="D354" t="s">
        <v>6</v>
      </c>
      <c r="E354" s="1">
        <v>43173.36787037037</v>
      </c>
    </row>
    <row r="355" spans="1:5">
      <c r="A355">
        <v>8851</v>
      </c>
      <c r="B355" t="s">
        <v>39</v>
      </c>
      <c r="C355" t="s">
        <v>39</v>
      </c>
      <c r="D355" t="s">
        <v>5</v>
      </c>
      <c r="E355" s="1">
        <v>43173.770127314812</v>
      </c>
    </row>
    <row r="356" spans="1:5">
      <c r="A356">
        <v>8857</v>
      </c>
      <c r="B356" t="s">
        <v>39</v>
      </c>
      <c r="C356" t="s">
        <v>39</v>
      </c>
      <c r="D356" t="s">
        <v>7</v>
      </c>
      <c r="E356" s="1">
        <v>43173.772361111114</v>
      </c>
    </row>
    <row r="357" spans="1:5">
      <c r="A357">
        <v>8862</v>
      </c>
      <c r="B357" t="s">
        <v>39</v>
      </c>
      <c r="C357" t="s">
        <v>39</v>
      </c>
      <c r="D357" t="s">
        <v>8</v>
      </c>
      <c r="E357" s="1">
        <v>43173.849074074074</v>
      </c>
    </row>
    <row r="358" spans="1:5">
      <c r="A358">
        <v>8875</v>
      </c>
      <c r="B358" t="s">
        <v>94</v>
      </c>
      <c r="C358" t="s">
        <v>39</v>
      </c>
      <c r="D358" t="s">
        <v>6</v>
      </c>
      <c r="E358" s="1">
        <v>43174.363333333335</v>
      </c>
    </row>
    <row r="359" spans="1:5">
      <c r="A359">
        <v>8883</v>
      </c>
      <c r="B359" t="s">
        <v>39</v>
      </c>
      <c r="C359" t="s">
        <v>39</v>
      </c>
      <c r="D359" t="s">
        <v>5</v>
      </c>
      <c r="E359" s="1">
        <v>43174.76489583333</v>
      </c>
    </row>
    <row r="360" spans="1:5">
      <c r="A360">
        <v>8893</v>
      </c>
      <c r="B360" t="s">
        <v>39</v>
      </c>
      <c r="C360" t="s">
        <v>39</v>
      </c>
      <c r="D360" t="s">
        <v>7</v>
      </c>
      <c r="E360" s="1">
        <v>43174.77238425926</v>
      </c>
    </row>
    <row r="361" spans="1:5">
      <c r="A361">
        <v>8901</v>
      </c>
      <c r="B361" t="s">
        <v>39</v>
      </c>
      <c r="C361" t="s">
        <v>39</v>
      </c>
      <c r="D361" t="s">
        <v>8</v>
      </c>
      <c r="E361" s="1">
        <v>43174.86209490741</v>
      </c>
    </row>
    <row r="362" spans="1:5">
      <c r="A362">
        <v>8907</v>
      </c>
      <c r="B362" t="s">
        <v>39</v>
      </c>
      <c r="C362" t="s">
        <v>39</v>
      </c>
      <c r="D362" t="s">
        <v>6</v>
      </c>
      <c r="E362" s="1">
        <v>43175.361458333333</v>
      </c>
    </row>
    <row r="363" spans="1:5">
      <c r="A363">
        <v>8927</v>
      </c>
      <c r="B363" t="s">
        <v>39</v>
      </c>
      <c r="C363" t="s">
        <v>39</v>
      </c>
      <c r="D363" t="s">
        <v>5</v>
      </c>
      <c r="E363" s="1">
        <v>43175.774444444447</v>
      </c>
    </row>
    <row r="364" spans="1:5">
      <c r="A364">
        <v>8928</v>
      </c>
      <c r="B364" t="s">
        <v>39</v>
      </c>
      <c r="C364" t="s">
        <v>39</v>
      </c>
      <c r="D364" t="s">
        <v>7</v>
      </c>
      <c r="E364" s="1">
        <v>43175.77447916667</v>
      </c>
    </row>
    <row r="365" spans="1:5">
      <c r="A365">
        <v>8933</v>
      </c>
      <c r="B365" t="s">
        <v>39</v>
      </c>
      <c r="C365" t="s">
        <v>39</v>
      </c>
      <c r="D365" t="s">
        <v>8</v>
      </c>
      <c r="E365" s="1">
        <v>43175.798368055555</v>
      </c>
    </row>
    <row r="366" spans="1:5">
      <c r="A366">
        <v>8946</v>
      </c>
      <c r="B366" t="s">
        <v>101</v>
      </c>
      <c r="C366" t="s">
        <v>39</v>
      </c>
      <c r="D366" t="s">
        <v>7</v>
      </c>
      <c r="E366" s="1">
        <v>43176.441747685189</v>
      </c>
    </row>
    <row r="367" spans="1:5">
      <c r="A367">
        <v>8953</v>
      </c>
      <c r="B367" t="s">
        <v>39</v>
      </c>
      <c r="C367" t="s">
        <v>39</v>
      </c>
      <c r="D367" t="s">
        <v>8</v>
      </c>
      <c r="E367" s="1">
        <v>43176.506793981483</v>
      </c>
    </row>
    <row r="368" spans="1:5">
      <c r="A368">
        <v>8954</v>
      </c>
      <c r="B368" t="s">
        <v>39</v>
      </c>
      <c r="C368" t="s">
        <v>39</v>
      </c>
      <c r="D368" t="s">
        <v>7</v>
      </c>
      <c r="E368" s="1">
        <v>43176.562071759261</v>
      </c>
    </row>
    <row r="369" spans="1:5">
      <c r="A369">
        <v>8966</v>
      </c>
      <c r="B369" t="s">
        <v>39</v>
      </c>
      <c r="C369" t="s">
        <v>39</v>
      </c>
      <c r="D369" t="s">
        <v>8</v>
      </c>
      <c r="E369" s="1">
        <v>43176.699236111112</v>
      </c>
    </row>
    <row r="370" spans="1:5">
      <c r="A370">
        <v>8976</v>
      </c>
      <c r="B370" t="s">
        <v>39</v>
      </c>
      <c r="C370" t="s">
        <v>39</v>
      </c>
      <c r="D370" t="s">
        <v>6</v>
      </c>
      <c r="E370" s="1">
        <v>43178.366608796299</v>
      </c>
    </row>
    <row r="371" spans="1:5">
      <c r="A371">
        <v>8984</v>
      </c>
      <c r="B371" t="s">
        <v>39</v>
      </c>
      <c r="C371" t="s">
        <v>39</v>
      </c>
      <c r="D371" t="s">
        <v>5</v>
      </c>
      <c r="E371" s="1">
        <v>43178.765694444446</v>
      </c>
    </row>
    <row r="372" spans="1:5">
      <c r="A372">
        <v>8996</v>
      </c>
      <c r="B372" t="s">
        <v>39</v>
      </c>
      <c r="C372" t="s">
        <v>39</v>
      </c>
      <c r="D372" t="s">
        <v>7</v>
      </c>
      <c r="E372" s="1">
        <v>43178.792685185188</v>
      </c>
    </row>
    <row r="373" spans="1:5">
      <c r="A373">
        <v>9000</v>
      </c>
      <c r="B373" t="s">
        <v>39</v>
      </c>
      <c r="C373" t="s">
        <v>39</v>
      </c>
      <c r="D373" t="s">
        <v>8</v>
      </c>
      <c r="E373" s="1">
        <v>43178.856608796297</v>
      </c>
    </row>
    <row r="374" spans="1:5">
      <c r="A374">
        <v>9011</v>
      </c>
      <c r="B374" t="s">
        <v>39</v>
      </c>
      <c r="C374" t="s">
        <v>39</v>
      </c>
      <c r="D374" t="s">
        <v>6</v>
      </c>
      <c r="E374" s="1">
        <v>43179.364502314813</v>
      </c>
    </row>
    <row r="375" spans="1:5">
      <c r="A375">
        <v>9024</v>
      </c>
      <c r="B375" t="s">
        <v>39</v>
      </c>
      <c r="C375" t="s">
        <v>39</v>
      </c>
      <c r="D375" t="s">
        <v>5</v>
      </c>
      <c r="E375" s="1">
        <v>43179.768495370372</v>
      </c>
    </row>
    <row r="376" spans="1:5">
      <c r="A376">
        <v>9050</v>
      </c>
      <c r="B376" t="s">
        <v>39</v>
      </c>
      <c r="C376" t="s">
        <v>39</v>
      </c>
      <c r="D376" t="s">
        <v>6</v>
      </c>
      <c r="E376" s="1">
        <v>43180.368634259263</v>
      </c>
    </row>
    <row r="377" spans="1:5">
      <c r="A377">
        <v>9058</v>
      </c>
      <c r="B377" t="s">
        <v>39</v>
      </c>
      <c r="C377" t="s">
        <v>39</v>
      </c>
      <c r="D377" t="s">
        <v>5</v>
      </c>
      <c r="E377" s="1">
        <v>43180.769606481481</v>
      </c>
    </row>
    <row r="378" spans="1:5">
      <c r="A378">
        <v>9060</v>
      </c>
      <c r="B378" t="s">
        <v>39</v>
      </c>
      <c r="C378" t="s">
        <v>39</v>
      </c>
      <c r="D378" t="s">
        <v>7</v>
      </c>
      <c r="E378" s="1">
        <v>43180.770833333336</v>
      </c>
    </row>
    <row r="379" spans="1:5">
      <c r="A379">
        <v>9070</v>
      </c>
      <c r="B379" t="s">
        <v>39</v>
      </c>
      <c r="C379" t="s">
        <v>39</v>
      </c>
      <c r="D379" t="s">
        <v>8</v>
      </c>
      <c r="E379" s="1">
        <v>43180.782523148147</v>
      </c>
    </row>
    <row r="380" spans="1:5">
      <c r="A380">
        <v>9086</v>
      </c>
      <c r="B380" t="s">
        <v>39</v>
      </c>
      <c r="C380" t="s">
        <v>39</v>
      </c>
      <c r="D380" t="s">
        <v>6</v>
      </c>
      <c r="E380" s="1">
        <v>43181.36613425926</v>
      </c>
    </row>
    <row r="381" spans="1:5">
      <c r="A381">
        <v>9093</v>
      </c>
      <c r="B381" t="s">
        <v>39</v>
      </c>
      <c r="C381" t="s">
        <v>39</v>
      </c>
      <c r="D381" t="s">
        <v>5</v>
      </c>
      <c r="E381" s="1">
        <v>43181.762696759259</v>
      </c>
    </row>
    <row r="382" spans="1:5">
      <c r="A382">
        <v>9106</v>
      </c>
      <c r="B382" t="s">
        <v>39</v>
      </c>
      <c r="C382" t="s">
        <v>39</v>
      </c>
      <c r="D382" t="s">
        <v>7</v>
      </c>
      <c r="E382" s="1">
        <v>43181.798495370371</v>
      </c>
    </row>
    <row r="383" spans="1:5">
      <c r="A383">
        <v>9110</v>
      </c>
      <c r="B383" t="s">
        <v>39</v>
      </c>
      <c r="C383" t="s">
        <v>39</v>
      </c>
      <c r="D383" t="s">
        <v>8</v>
      </c>
      <c r="E383" s="1">
        <v>43181.927824074075</v>
      </c>
    </row>
    <row r="384" spans="1:5">
      <c r="A384">
        <v>9124</v>
      </c>
      <c r="B384" t="s">
        <v>39</v>
      </c>
      <c r="C384" t="s">
        <v>39</v>
      </c>
      <c r="D384" t="s">
        <v>10</v>
      </c>
      <c r="E384" s="1">
        <v>43182.372881944444</v>
      </c>
    </row>
    <row r="385" spans="1:5">
      <c r="A385">
        <v>9128</v>
      </c>
      <c r="B385" t="s">
        <v>39</v>
      </c>
      <c r="C385" t="s">
        <v>39</v>
      </c>
      <c r="D385" t="s">
        <v>5</v>
      </c>
      <c r="E385" s="1">
        <v>43182.763171296298</v>
      </c>
    </row>
    <row r="386" spans="1:5">
      <c r="A386">
        <v>9192</v>
      </c>
      <c r="B386" t="s">
        <v>39</v>
      </c>
      <c r="C386" t="s">
        <v>39</v>
      </c>
      <c r="D386" t="s">
        <v>6</v>
      </c>
      <c r="E386" s="1">
        <v>43187.359618055554</v>
      </c>
    </row>
    <row r="387" spans="1:5">
      <c r="A387">
        <v>9211</v>
      </c>
      <c r="B387" t="s">
        <v>39</v>
      </c>
      <c r="C387" t="s">
        <v>39</v>
      </c>
      <c r="D387" t="s">
        <v>5</v>
      </c>
      <c r="E387" s="1">
        <v>43187.771527777775</v>
      </c>
    </row>
    <row r="388" spans="1:5">
      <c r="A388">
        <v>9212</v>
      </c>
      <c r="B388" t="s">
        <v>39</v>
      </c>
      <c r="C388" t="s">
        <v>39</v>
      </c>
      <c r="D388" t="s">
        <v>7</v>
      </c>
      <c r="E388" s="1">
        <v>43187.771574074075</v>
      </c>
    </row>
    <row r="389" spans="1:5">
      <c r="A389">
        <v>9223</v>
      </c>
      <c r="B389" t="s">
        <v>39</v>
      </c>
      <c r="C389" t="s">
        <v>39</v>
      </c>
      <c r="D389" t="s">
        <v>8</v>
      </c>
      <c r="E389" s="1">
        <v>43187.896979166668</v>
      </c>
    </row>
    <row r="390" spans="1:5">
      <c r="A390">
        <v>9227</v>
      </c>
      <c r="B390" t="s">
        <v>39</v>
      </c>
      <c r="C390" t="s">
        <v>39</v>
      </c>
      <c r="D390" t="s">
        <v>6</v>
      </c>
      <c r="E390" s="1">
        <v>43188.357118055559</v>
      </c>
    </row>
    <row r="391" spans="1:5">
      <c r="A391">
        <v>9237</v>
      </c>
      <c r="B391" t="s">
        <v>39</v>
      </c>
      <c r="C391" t="s">
        <v>39</v>
      </c>
      <c r="D391" t="s">
        <v>5</v>
      </c>
      <c r="E391" s="1">
        <v>43188.763692129629</v>
      </c>
    </row>
    <row r="392" spans="1:5">
      <c r="A392">
        <v>9241</v>
      </c>
      <c r="B392" t="s">
        <v>39</v>
      </c>
      <c r="C392" t="s">
        <v>39</v>
      </c>
      <c r="D392" t="s">
        <v>7</v>
      </c>
      <c r="E392" s="1">
        <v>43188.771134259259</v>
      </c>
    </row>
    <row r="393" spans="1:5">
      <c r="A393">
        <v>9252</v>
      </c>
      <c r="B393" t="s">
        <v>39</v>
      </c>
      <c r="C393" t="s">
        <v>39</v>
      </c>
      <c r="D393" t="s">
        <v>8</v>
      </c>
      <c r="E393" s="1">
        <v>43188.811423611114</v>
      </c>
    </row>
    <row r="394" spans="1:5">
      <c r="A394">
        <v>9260</v>
      </c>
      <c r="B394" t="s">
        <v>39</v>
      </c>
      <c r="C394" t="s">
        <v>39</v>
      </c>
      <c r="D394" t="s">
        <v>6</v>
      </c>
      <c r="E394" s="1">
        <v>43189.360821759263</v>
      </c>
    </row>
    <row r="395" spans="1:5">
      <c r="A395">
        <v>9274</v>
      </c>
      <c r="B395" t="s">
        <v>39</v>
      </c>
      <c r="C395" t="s">
        <v>39</v>
      </c>
      <c r="D395" t="s">
        <v>5</v>
      </c>
      <c r="E395" s="1">
        <v>43189.773657407408</v>
      </c>
    </row>
    <row r="396" spans="1:5">
      <c r="A396">
        <v>9286</v>
      </c>
      <c r="B396" t="s">
        <v>94</v>
      </c>
      <c r="C396" t="s">
        <v>39</v>
      </c>
      <c r="D396" t="s">
        <v>6</v>
      </c>
      <c r="E396" s="1">
        <v>43190.361967592595</v>
      </c>
    </row>
    <row r="397" spans="1:5">
      <c r="A397">
        <v>9293</v>
      </c>
      <c r="B397" t="s">
        <v>39</v>
      </c>
      <c r="C397" t="s">
        <v>39</v>
      </c>
      <c r="D397" t="s">
        <v>5</v>
      </c>
      <c r="E397" s="1">
        <v>43190.764513888891</v>
      </c>
    </row>
    <row r="398" spans="1:5">
      <c r="A398">
        <v>9319</v>
      </c>
      <c r="B398" t="s">
        <v>39</v>
      </c>
      <c r="C398" t="s">
        <v>39</v>
      </c>
      <c r="D398" t="s">
        <v>10</v>
      </c>
      <c r="E398" s="1">
        <v>43192.369074074071</v>
      </c>
    </row>
    <row r="399" spans="1:5">
      <c r="A399">
        <v>9325</v>
      </c>
      <c r="B399" t="s">
        <v>39</v>
      </c>
      <c r="C399" t="s">
        <v>39</v>
      </c>
      <c r="D399" t="s">
        <v>5</v>
      </c>
      <c r="E399" s="1">
        <v>43192.763958333337</v>
      </c>
    </row>
    <row r="400" spans="1:5">
      <c r="A400">
        <v>9334</v>
      </c>
      <c r="B400" t="s">
        <v>39</v>
      </c>
      <c r="C400" t="s">
        <v>39</v>
      </c>
      <c r="D400" t="s">
        <v>7</v>
      </c>
      <c r="E400" s="1">
        <v>43192.771469907406</v>
      </c>
    </row>
    <row r="401" spans="1:5">
      <c r="A401">
        <v>8496</v>
      </c>
      <c r="B401" t="s">
        <v>63</v>
      </c>
      <c r="C401" t="s">
        <v>63</v>
      </c>
      <c r="D401" t="s">
        <v>6</v>
      </c>
      <c r="E401" s="1">
        <v>43160.373043981483</v>
      </c>
    </row>
    <row r="402" spans="1:5">
      <c r="A402">
        <v>8508</v>
      </c>
      <c r="B402" t="s">
        <v>63</v>
      </c>
      <c r="C402" t="s">
        <v>63</v>
      </c>
      <c r="D402" t="s">
        <v>5</v>
      </c>
      <c r="E402" s="1">
        <v>43160.785138888888</v>
      </c>
    </row>
    <row r="403" spans="1:5">
      <c r="A403">
        <v>8510</v>
      </c>
      <c r="B403" t="s">
        <v>63</v>
      </c>
      <c r="C403" t="s">
        <v>63</v>
      </c>
      <c r="D403" t="s">
        <v>7</v>
      </c>
      <c r="E403" s="1">
        <v>43160.785150462965</v>
      </c>
    </row>
    <row r="404" spans="1:5">
      <c r="A404">
        <v>8519</v>
      </c>
      <c r="B404" t="s">
        <v>63</v>
      </c>
      <c r="C404" t="s">
        <v>63</v>
      </c>
      <c r="D404" t="s">
        <v>8</v>
      </c>
      <c r="E404" s="1">
        <v>43160.891759259262</v>
      </c>
    </row>
    <row r="405" spans="1:5">
      <c r="A405">
        <v>8526</v>
      </c>
      <c r="B405" t="s">
        <v>63</v>
      </c>
      <c r="C405" t="s">
        <v>63</v>
      </c>
      <c r="D405" t="s">
        <v>6</v>
      </c>
      <c r="E405" s="1">
        <v>43161.368634259263</v>
      </c>
    </row>
    <row r="406" spans="1:5">
      <c r="A406">
        <v>8541</v>
      </c>
      <c r="B406" t="s">
        <v>79</v>
      </c>
      <c r="C406" t="s">
        <v>63</v>
      </c>
      <c r="D406" t="s">
        <v>5</v>
      </c>
      <c r="E406" s="1">
        <v>43161.799074074072</v>
      </c>
    </row>
    <row r="407" spans="1:5">
      <c r="A407">
        <v>8542</v>
      </c>
      <c r="B407" t="s">
        <v>79</v>
      </c>
      <c r="C407" t="s">
        <v>63</v>
      </c>
      <c r="D407" t="s">
        <v>6</v>
      </c>
      <c r="E407" s="1">
        <v>43161.799120370371</v>
      </c>
    </row>
    <row r="408" spans="1:5">
      <c r="A408">
        <v>8546</v>
      </c>
      <c r="B408" t="s">
        <v>63</v>
      </c>
      <c r="C408" t="s">
        <v>63</v>
      </c>
      <c r="D408" t="s">
        <v>8</v>
      </c>
      <c r="E408" s="1">
        <v>43161.885972222219</v>
      </c>
    </row>
    <row r="409" spans="1:5">
      <c r="A409">
        <v>8562</v>
      </c>
      <c r="B409" t="s">
        <v>63</v>
      </c>
      <c r="C409" t="s">
        <v>63</v>
      </c>
      <c r="D409" t="s">
        <v>6</v>
      </c>
      <c r="E409" s="1">
        <v>43164.3671875</v>
      </c>
    </row>
    <row r="410" spans="1:5">
      <c r="A410">
        <v>8567</v>
      </c>
      <c r="B410" t="s">
        <v>79</v>
      </c>
      <c r="C410" t="s">
        <v>63</v>
      </c>
      <c r="D410" t="s">
        <v>102</v>
      </c>
      <c r="E410" s="1">
        <v>43164.528865740744</v>
      </c>
    </row>
    <row r="411" spans="1:5">
      <c r="A411">
        <v>8571</v>
      </c>
      <c r="B411" t="s">
        <v>63</v>
      </c>
      <c r="C411" t="s">
        <v>63</v>
      </c>
      <c r="D411" t="s">
        <v>10</v>
      </c>
      <c r="E411" s="1">
        <v>43164.744363425925</v>
      </c>
    </row>
    <row r="412" spans="1:5">
      <c r="A412">
        <v>8577</v>
      </c>
      <c r="B412" t="s">
        <v>63</v>
      </c>
      <c r="C412" t="s">
        <v>63</v>
      </c>
      <c r="D412" t="s">
        <v>5</v>
      </c>
      <c r="E412" s="1">
        <v>43164.771631944444</v>
      </c>
    </row>
    <row r="413" spans="1:5">
      <c r="A413">
        <v>8578</v>
      </c>
      <c r="B413" t="s">
        <v>63</v>
      </c>
      <c r="C413" t="s">
        <v>63</v>
      </c>
      <c r="D413" t="s">
        <v>7</v>
      </c>
      <c r="E413" s="1">
        <v>43164.771643518521</v>
      </c>
    </row>
    <row r="414" spans="1:5">
      <c r="A414">
        <v>8591</v>
      </c>
      <c r="B414" t="s">
        <v>63</v>
      </c>
      <c r="C414" t="s">
        <v>63</v>
      </c>
      <c r="D414" t="s">
        <v>8</v>
      </c>
      <c r="E414" s="1">
        <v>43164.936956018515</v>
      </c>
    </row>
    <row r="415" spans="1:5">
      <c r="A415">
        <v>8602</v>
      </c>
      <c r="B415" t="s">
        <v>63</v>
      </c>
      <c r="C415" t="s">
        <v>63</v>
      </c>
      <c r="D415" t="s">
        <v>6</v>
      </c>
      <c r="E415" s="1">
        <v>43165.372662037036</v>
      </c>
    </row>
    <row r="416" spans="1:5">
      <c r="A416">
        <v>8612</v>
      </c>
      <c r="B416" t="s">
        <v>63</v>
      </c>
      <c r="C416" t="s">
        <v>63</v>
      </c>
      <c r="D416" t="s">
        <v>5</v>
      </c>
      <c r="E416" s="1">
        <v>43165.77616898148</v>
      </c>
    </row>
    <row r="417" spans="1:5">
      <c r="A417">
        <v>8613</v>
      </c>
      <c r="B417" t="s">
        <v>63</v>
      </c>
      <c r="C417" t="s">
        <v>63</v>
      </c>
      <c r="D417" t="s">
        <v>7</v>
      </c>
      <c r="E417" s="1">
        <v>43165.776180555556</v>
      </c>
    </row>
    <row r="418" spans="1:5">
      <c r="A418">
        <v>8625</v>
      </c>
      <c r="B418" t="s">
        <v>63</v>
      </c>
      <c r="C418" t="s">
        <v>63</v>
      </c>
      <c r="D418" t="s">
        <v>8</v>
      </c>
      <c r="E418" s="1">
        <v>43165.936967592592</v>
      </c>
    </row>
    <row r="419" spans="1:5">
      <c r="A419">
        <v>8630</v>
      </c>
      <c r="B419" t="s">
        <v>63</v>
      </c>
      <c r="C419" t="s">
        <v>63</v>
      </c>
      <c r="D419" t="s">
        <v>6</v>
      </c>
      <c r="E419" s="1">
        <v>43166.367060185185</v>
      </c>
    </row>
    <row r="420" spans="1:5">
      <c r="A420">
        <v>8651</v>
      </c>
      <c r="B420" t="s">
        <v>63</v>
      </c>
      <c r="C420" t="s">
        <v>63</v>
      </c>
      <c r="D420" t="s">
        <v>5</v>
      </c>
      <c r="E420" s="1">
        <v>43166.788541666669</v>
      </c>
    </row>
    <row r="421" spans="1:5">
      <c r="A421">
        <v>8652</v>
      </c>
      <c r="B421" t="s">
        <v>63</v>
      </c>
      <c r="C421" t="s">
        <v>63</v>
      </c>
      <c r="D421" t="s">
        <v>7</v>
      </c>
      <c r="E421" s="1">
        <v>43166.788564814815</v>
      </c>
    </row>
    <row r="422" spans="1:5">
      <c r="A422">
        <v>8661</v>
      </c>
      <c r="B422" t="s">
        <v>63</v>
      </c>
      <c r="C422" t="s">
        <v>63</v>
      </c>
      <c r="D422" t="s">
        <v>8</v>
      </c>
      <c r="E422" s="1">
        <v>43166.921157407407</v>
      </c>
    </row>
    <row r="423" spans="1:5">
      <c r="A423">
        <v>8672</v>
      </c>
      <c r="B423" t="s">
        <v>63</v>
      </c>
      <c r="C423" t="s">
        <v>63</v>
      </c>
      <c r="D423" t="s">
        <v>6</v>
      </c>
      <c r="E423" s="1">
        <v>43167.371944444443</v>
      </c>
    </row>
    <row r="424" spans="1:5">
      <c r="A424">
        <v>8679</v>
      </c>
      <c r="B424" t="s">
        <v>63</v>
      </c>
      <c r="C424" t="s">
        <v>63</v>
      </c>
      <c r="D424" t="s">
        <v>5</v>
      </c>
      <c r="E424" s="1">
        <v>43167.773773148147</v>
      </c>
    </row>
    <row r="425" spans="1:5">
      <c r="A425">
        <v>8680</v>
      </c>
      <c r="B425" t="s">
        <v>63</v>
      </c>
      <c r="C425" t="s">
        <v>63</v>
      </c>
      <c r="D425" t="s">
        <v>7</v>
      </c>
      <c r="E425" s="1">
        <v>43167.773796296293</v>
      </c>
    </row>
    <row r="426" spans="1:5">
      <c r="A426">
        <v>8691</v>
      </c>
      <c r="B426" t="s">
        <v>63</v>
      </c>
      <c r="C426" t="s">
        <v>63</v>
      </c>
      <c r="D426" t="s">
        <v>8</v>
      </c>
      <c r="E426" s="1">
        <v>43167.886759259258</v>
      </c>
    </row>
    <row r="427" spans="1:5">
      <c r="A427">
        <v>8701</v>
      </c>
      <c r="B427" t="s">
        <v>63</v>
      </c>
      <c r="C427" t="s">
        <v>63</v>
      </c>
      <c r="D427" t="s">
        <v>6</v>
      </c>
      <c r="E427" s="1">
        <v>43168.377453703702</v>
      </c>
    </row>
    <row r="428" spans="1:5">
      <c r="A428">
        <v>8711</v>
      </c>
      <c r="B428" t="s">
        <v>79</v>
      </c>
      <c r="C428" t="s">
        <v>63</v>
      </c>
      <c r="D428" t="s">
        <v>5</v>
      </c>
      <c r="E428" s="1">
        <v>43168.771481481483</v>
      </c>
    </row>
    <row r="429" spans="1:5">
      <c r="A429">
        <v>8712</v>
      </c>
      <c r="B429" t="s">
        <v>79</v>
      </c>
      <c r="C429" t="s">
        <v>63</v>
      </c>
      <c r="D429" t="s">
        <v>7</v>
      </c>
      <c r="E429" s="1">
        <v>43168.771562499998</v>
      </c>
    </row>
    <row r="430" spans="1:5">
      <c r="A430">
        <v>8717</v>
      </c>
      <c r="B430" t="s">
        <v>63</v>
      </c>
      <c r="C430" t="s">
        <v>63</v>
      </c>
      <c r="D430" t="s">
        <v>8</v>
      </c>
      <c r="E430" s="1">
        <v>43168.918483796297</v>
      </c>
    </row>
    <row r="431" spans="1:5">
      <c r="A431">
        <v>8722</v>
      </c>
      <c r="B431" t="s">
        <v>63</v>
      </c>
      <c r="C431" t="s">
        <v>63</v>
      </c>
      <c r="D431" t="s">
        <v>7</v>
      </c>
      <c r="E431" s="1">
        <v>43169.459178240744</v>
      </c>
    </row>
    <row r="432" spans="1:5">
      <c r="A432">
        <v>8725</v>
      </c>
      <c r="B432" t="s">
        <v>63</v>
      </c>
      <c r="C432" t="s">
        <v>63</v>
      </c>
      <c r="D432" t="s">
        <v>8</v>
      </c>
      <c r="E432" s="1">
        <v>43169.601655092592</v>
      </c>
    </row>
    <row r="433" spans="1:5">
      <c r="A433">
        <v>8726</v>
      </c>
      <c r="B433" t="s">
        <v>63</v>
      </c>
      <c r="C433" t="s">
        <v>63</v>
      </c>
      <c r="D433" t="s">
        <v>7</v>
      </c>
      <c r="E433" s="1">
        <v>43169.601712962962</v>
      </c>
    </row>
    <row r="434" spans="1:5">
      <c r="A434">
        <v>8727</v>
      </c>
      <c r="B434" t="s">
        <v>63</v>
      </c>
      <c r="C434" t="s">
        <v>63</v>
      </c>
      <c r="D434" t="s">
        <v>8</v>
      </c>
      <c r="E434" s="1">
        <v>43169.694780092592</v>
      </c>
    </row>
    <row r="435" spans="1:5">
      <c r="A435">
        <v>8733</v>
      </c>
      <c r="B435" t="s">
        <v>63</v>
      </c>
      <c r="C435" t="s">
        <v>63</v>
      </c>
      <c r="D435" t="s">
        <v>7</v>
      </c>
      <c r="E435" s="1">
        <v>43170.465104166666</v>
      </c>
    </row>
    <row r="436" spans="1:5">
      <c r="A436">
        <v>8737</v>
      </c>
      <c r="B436" t="s">
        <v>63</v>
      </c>
      <c r="C436" t="s">
        <v>63</v>
      </c>
      <c r="D436" t="s">
        <v>8</v>
      </c>
      <c r="E436" s="1">
        <v>43170.549849537034</v>
      </c>
    </row>
    <row r="437" spans="1:5">
      <c r="A437">
        <v>8742</v>
      </c>
      <c r="B437" t="s">
        <v>63</v>
      </c>
      <c r="C437" t="s">
        <v>63</v>
      </c>
      <c r="D437" t="s">
        <v>7</v>
      </c>
      <c r="E437" s="1">
        <v>43170.581793981481</v>
      </c>
    </row>
    <row r="438" spans="1:5">
      <c r="A438">
        <v>8753</v>
      </c>
      <c r="B438" t="s">
        <v>63</v>
      </c>
      <c r="C438" t="s">
        <v>63</v>
      </c>
      <c r="D438" t="s">
        <v>8</v>
      </c>
      <c r="E438" s="1">
        <v>43170.751388888886</v>
      </c>
    </row>
    <row r="439" spans="1:5">
      <c r="A439">
        <v>8755</v>
      </c>
      <c r="B439" t="s">
        <v>63</v>
      </c>
      <c r="C439" t="s">
        <v>63</v>
      </c>
      <c r="D439" t="s">
        <v>7</v>
      </c>
      <c r="E439" s="1">
        <v>43170.751435185186</v>
      </c>
    </row>
    <row r="440" spans="1:5">
      <c r="A440">
        <v>8757</v>
      </c>
      <c r="B440" t="s">
        <v>79</v>
      </c>
      <c r="C440" t="s">
        <v>63</v>
      </c>
      <c r="D440" t="s">
        <v>8</v>
      </c>
      <c r="E440" s="1">
        <v>43170.785185185188</v>
      </c>
    </row>
    <row r="441" spans="1:5">
      <c r="A441">
        <v>8770</v>
      </c>
      <c r="B441" t="s">
        <v>63</v>
      </c>
      <c r="C441" t="s">
        <v>63</v>
      </c>
      <c r="D441" t="s">
        <v>6</v>
      </c>
      <c r="E441" s="1">
        <v>43171.373472222222</v>
      </c>
    </row>
    <row r="442" spans="1:5">
      <c r="A442">
        <v>8784</v>
      </c>
      <c r="B442" t="s">
        <v>63</v>
      </c>
      <c r="C442" t="s">
        <v>63</v>
      </c>
      <c r="D442" t="s">
        <v>5</v>
      </c>
      <c r="E442" s="1">
        <v>43171.776643518519</v>
      </c>
    </row>
    <row r="443" spans="1:5">
      <c r="A443">
        <v>8785</v>
      </c>
      <c r="B443" t="s">
        <v>63</v>
      </c>
      <c r="C443" t="s">
        <v>63</v>
      </c>
      <c r="D443" t="s">
        <v>7</v>
      </c>
      <c r="E443" s="1">
        <v>43171.776655092595</v>
      </c>
    </row>
    <row r="444" spans="1:5">
      <c r="A444">
        <v>8788</v>
      </c>
      <c r="B444" t="s">
        <v>63</v>
      </c>
      <c r="C444" t="s">
        <v>63</v>
      </c>
      <c r="D444" t="s">
        <v>8</v>
      </c>
      <c r="E444" s="1">
        <v>43171.796215277776</v>
      </c>
    </row>
    <row r="445" spans="1:5">
      <c r="A445">
        <v>8792</v>
      </c>
      <c r="B445" t="s">
        <v>79</v>
      </c>
      <c r="C445" t="s">
        <v>63</v>
      </c>
      <c r="D445" t="s">
        <v>7</v>
      </c>
      <c r="E445" s="1">
        <v>43171.828460648147</v>
      </c>
    </row>
    <row r="446" spans="1:5">
      <c r="A446">
        <v>8799</v>
      </c>
      <c r="B446" t="s">
        <v>63</v>
      </c>
      <c r="C446" t="s">
        <v>63</v>
      </c>
      <c r="D446" t="s">
        <v>8</v>
      </c>
      <c r="E446" s="1">
        <v>43171.914884259262</v>
      </c>
    </row>
    <row r="447" spans="1:5">
      <c r="A447">
        <v>8803</v>
      </c>
      <c r="B447" t="s">
        <v>79</v>
      </c>
      <c r="C447" t="s">
        <v>63</v>
      </c>
      <c r="D447" t="s">
        <v>6</v>
      </c>
      <c r="E447" s="1">
        <v>43172.363738425927</v>
      </c>
    </row>
    <row r="448" spans="1:5">
      <c r="A448">
        <v>8825</v>
      </c>
      <c r="B448" t="s">
        <v>63</v>
      </c>
      <c r="C448" t="s">
        <v>63</v>
      </c>
      <c r="D448" t="s">
        <v>5</v>
      </c>
      <c r="E448" s="1">
        <v>43172.781076388892</v>
      </c>
    </row>
    <row r="449" spans="1:5">
      <c r="A449">
        <v>8826</v>
      </c>
      <c r="B449" t="s">
        <v>63</v>
      </c>
      <c r="C449" t="s">
        <v>63</v>
      </c>
      <c r="D449" t="s">
        <v>7</v>
      </c>
      <c r="E449" s="1">
        <v>43172.781099537038</v>
      </c>
    </row>
    <row r="450" spans="1:5">
      <c r="A450">
        <v>8834</v>
      </c>
      <c r="B450" t="s">
        <v>63</v>
      </c>
      <c r="C450" t="s">
        <v>63</v>
      </c>
      <c r="D450" t="s">
        <v>8</v>
      </c>
      <c r="E450" s="1">
        <v>43172.906770833331</v>
      </c>
    </row>
    <row r="451" spans="1:5">
      <c r="A451">
        <v>8840</v>
      </c>
      <c r="B451" t="s">
        <v>63</v>
      </c>
      <c r="C451" t="s">
        <v>63</v>
      </c>
      <c r="D451" t="s">
        <v>6</v>
      </c>
      <c r="E451" s="1">
        <v>43173.363900462966</v>
      </c>
    </row>
    <row r="452" spans="1:5">
      <c r="A452">
        <v>8858</v>
      </c>
      <c r="B452" t="s">
        <v>63</v>
      </c>
      <c r="C452" t="s">
        <v>63</v>
      </c>
      <c r="D452" t="s">
        <v>5</v>
      </c>
      <c r="E452" s="1">
        <v>43173.781793981485</v>
      </c>
    </row>
    <row r="453" spans="1:5">
      <c r="A453">
        <v>8859</v>
      </c>
      <c r="B453" t="s">
        <v>63</v>
      </c>
      <c r="C453" t="s">
        <v>63</v>
      </c>
      <c r="D453" t="s">
        <v>7</v>
      </c>
      <c r="E453" s="1">
        <v>43173.781805555554</v>
      </c>
    </row>
    <row r="454" spans="1:5">
      <c r="A454">
        <v>8871</v>
      </c>
      <c r="B454" t="s">
        <v>63</v>
      </c>
      <c r="C454" t="s">
        <v>63</v>
      </c>
      <c r="D454" t="s">
        <v>8</v>
      </c>
      <c r="E454" s="1">
        <v>43173.897604166668</v>
      </c>
    </row>
    <row r="455" spans="1:5">
      <c r="A455">
        <v>8880</v>
      </c>
      <c r="B455" t="s">
        <v>63</v>
      </c>
      <c r="C455" t="s">
        <v>63</v>
      </c>
      <c r="D455" t="s">
        <v>6</v>
      </c>
      <c r="E455" s="1">
        <v>43174.37332175926</v>
      </c>
    </row>
    <row r="456" spans="1:5">
      <c r="A456">
        <v>8891</v>
      </c>
      <c r="B456" t="s">
        <v>63</v>
      </c>
      <c r="C456" t="s">
        <v>63</v>
      </c>
      <c r="D456" t="s">
        <v>5</v>
      </c>
      <c r="E456" s="1">
        <v>43174.772233796299</v>
      </c>
    </row>
    <row r="457" spans="1:5">
      <c r="A457">
        <v>8892</v>
      </c>
      <c r="B457" t="s">
        <v>63</v>
      </c>
      <c r="C457" t="s">
        <v>63</v>
      </c>
      <c r="D457" t="s">
        <v>7</v>
      </c>
      <c r="E457" s="1">
        <v>43174.772280092591</v>
      </c>
    </row>
    <row r="458" spans="1:5">
      <c r="A458">
        <v>8905</v>
      </c>
      <c r="B458" t="s">
        <v>63</v>
      </c>
      <c r="C458" t="s">
        <v>63</v>
      </c>
      <c r="D458" t="s">
        <v>8</v>
      </c>
      <c r="E458" s="1">
        <v>43174.915555555555</v>
      </c>
    </row>
    <row r="459" spans="1:5">
      <c r="A459">
        <v>8915</v>
      </c>
      <c r="B459" t="s">
        <v>63</v>
      </c>
      <c r="C459" t="s">
        <v>63</v>
      </c>
      <c r="D459" t="s">
        <v>6</v>
      </c>
      <c r="E459" s="1">
        <v>43175.37158564815</v>
      </c>
    </row>
    <row r="460" spans="1:5">
      <c r="A460">
        <v>8925</v>
      </c>
      <c r="B460" t="s">
        <v>63</v>
      </c>
      <c r="C460" t="s">
        <v>63</v>
      </c>
      <c r="D460" t="s">
        <v>5</v>
      </c>
      <c r="E460" s="1">
        <v>43175.774097222224</v>
      </c>
    </row>
    <row r="461" spans="1:5">
      <c r="A461">
        <v>8926</v>
      </c>
      <c r="B461" t="s">
        <v>63</v>
      </c>
      <c r="C461" t="s">
        <v>63</v>
      </c>
      <c r="D461" t="s">
        <v>7</v>
      </c>
      <c r="E461" s="1">
        <v>43175.774108796293</v>
      </c>
    </row>
    <row r="462" spans="1:5">
      <c r="A462">
        <v>8931</v>
      </c>
      <c r="B462" t="s">
        <v>63</v>
      </c>
      <c r="C462" t="s">
        <v>63</v>
      </c>
      <c r="D462" t="s">
        <v>8</v>
      </c>
      <c r="E462" s="1">
        <v>43175.788819444446</v>
      </c>
    </row>
    <row r="463" spans="1:5">
      <c r="A463">
        <v>8937</v>
      </c>
      <c r="B463" t="s">
        <v>63</v>
      </c>
      <c r="C463" t="s">
        <v>63</v>
      </c>
      <c r="D463" t="s">
        <v>7</v>
      </c>
      <c r="E463" s="1">
        <v>43175.827546296299</v>
      </c>
    </row>
    <row r="464" spans="1:5">
      <c r="A464">
        <v>8940</v>
      </c>
      <c r="B464" t="s">
        <v>63</v>
      </c>
      <c r="C464" t="s">
        <v>63</v>
      </c>
      <c r="D464" t="s">
        <v>8</v>
      </c>
      <c r="E464" s="1">
        <v>43175.906192129631</v>
      </c>
    </row>
    <row r="465" spans="1:5">
      <c r="A465">
        <v>8951</v>
      </c>
      <c r="B465" t="s">
        <v>63</v>
      </c>
      <c r="C465" t="s">
        <v>63</v>
      </c>
      <c r="D465" t="s">
        <v>7</v>
      </c>
      <c r="E465" s="1">
        <v>43176.501944444448</v>
      </c>
    </row>
    <row r="466" spans="1:5">
      <c r="A466">
        <v>8955</v>
      </c>
      <c r="B466" t="s">
        <v>63</v>
      </c>
      <c r="C466" t="s">
        <v>63</v>
      </c>
      <c r="D466" t="s">
        <v>8</v>
      </c>
      <c r="E466" s="1">
        <v>43176.56695601852</v>
      </c>
    </row>
    <row r="467" spans="1:5">
      <c r="A467">
        <v>8959</v>
      </c>
      <c r="B467" t="s">
        <v>63</v>
      </c>
      <c r="C467" t="s">
        <v>63</v>
      </c>
      <c r="D467" t="s">
        <v>7</v>
      </c>
      <c r="E467" s="1">
        <v>43176.57576388889</v>
      </c>
    </row>
    <row r="468" spans="1:5">
      <c r="A468">
        <v>8967</v>
      </c>
      <c r="B468" t="s">
        <v>63</v>
      </c>
      <c r="C468" t="s">
        <v>63</v>
      </c>
      <c r="D468" t="s">
        <v>8</v>
      </c>
      <c r="E468" s="1">
        <v>43176.709537037037</v>
      </c>
    </row>
    <row r="469" spans="1:5">
      <c r="A469">
        <v>8968</v>
      </c>
      <c r="B469" t="s">
        <v>63</v>
      </c>
      <c r="C469" t="s">
        <v>63</v>
      </c>
      <c r="D469" t="s">
        <v>7</v>
      </c>
      <c r="E469" s="1">
        <v>43176.709548611114</v>
      </c>
    </row>
    <row r="470" spans="1:5">
      <c r="A470">
        <v>8973</v>
      </c>
      <c r="B470" t="s">
        <v>79</v>
      </c>
      <c r="C470" t="s">
        <v>63</v>
      </c>
      <c r="D470" t="s">
        <v>8</v>
      </c>
      <c r="E470" s="1">
        <v>43176.839062500003</v>
      </c>
    </row>
    <row r="471" spans="1:5">
      <c r="A471">
        <v>8980</v>
      </c>
      <c r="B471" t="s">
        <v>63</v>
      </c>
      <c r="C471" t="s">
        <v>63</v>
      </c>
      <c r="D471" t="s">
        <v>6</v>
      </c>
      <c r="E471" s="1">
        <v>43178.371666666666</v>
      </c>
    </row>
    <row r="472" spans="1:5">
      <c r="A472">
        <v>8987</v>
      </c>
      <c r="B472" t="s">
        <v>63</v>
      </c>
      <c r="C472" t="s">
        <v>63</v>
      </c>
      <c r="D472" t="s">
        <v>5</v>
      </c>
      <c r="E472" s="1">
        <v>43178.767800925925</v>
      </c>
    </row>
    <row r="473" spans="1:5">
      <c r="A473">
        <v>8998</v>
      </c>
      <c r="B473" t="s">
        <v>63</v>
      </c>
      <c r="C473" t="s">
        <v>63</v>
      </c>
      <c r="D473" t="s">
        <v>7</v>
      </c>
      <c r="E473" s="1">
        <v>43178.794733796298</v>
      </c>
    </row>
    <row r="474" spans="1:5">
      <c r="A474">
        <v>9006</v>
      </c>
      <c r="B474" t="s">
        <v>63</v>
      </c>
      <c r="C474" t="s">
        <v>63</v>
      </c>
      <c r="D474" t="s">
        <v>8</v>
      </c>
      <c r="E474" s="1">
        <v>43178.910752314812</v>
      </c>
    </row>
    <row r="475" spans="1:5">
      <c r="A475">
        <v>9014</v>
      </c>
      <c r="B475" t="s">
        <v>79</v>
      </c>
      <c r="C475" t="s">
        <v>63</v>
      </c>
      <c r="D475" t="s">
        <v>6</v>
      </c>
      <c r="E475" s="1">
        <v>43179.368750000001</v>
      </c>
    </row>
    <row r="476" spans="1:5">
      <c r="A476">
        <v>9029</v>
      </c>
      <c r="B476" t="s">
        <v>63</v>
      </c>
      <c r="C476" t="s">
        <v>63</v>
      </c>
      <c r="D476" t="s">
        <v>5</v>
      </c>
      <c r="E476" s="1">
        <v>43179.770729166667</v>
      </c>
    </row>
    <row r="477" spans="1:5">
      <c r="A477">
        <v>9035</v>
      </c>
      <c r="B477" t="s">
        <v>63</v>
      </c>
      <c r="C477" t="s">
        <v>63</v>
      </c>
      <c r="D477" t="s">
        <v>7</v>
      </c>
      <c r="E477" s="1">
        <v>43179.787592592591</v>
      </c>
    </row>
    <row r="478" spans="1:5">
      <c r="A478">
        <v>9045</v>
      </c>
      <c r="B478" t="s">
        <v>63</v>
      </c>
      <c r="C478" t="s">
        <v>63</v>
      </c>
      <c r="D478" t="s">
        <v>8</v>
      </c>
      <c r="E478" s="1">
        <v>43179.89508101852</v>
      </c>
    </row>
    <row r="479" spans="1:5">
      <c r="A479">
        <v>9051</v>
      </c>
      <c r="B479" t="s">
        <v>63</v>
      </c>
      <c r="C479" t="s">
        <v>63</v>
      </c>
      <c r="D479" t="s">
        <v>6</v>
      </c>
      <c r="E479" s="1">
        <v>43180.368668981479</v>
      </c>
    </row>
    <row r="480" spans="1:5">
      <c r="A480">
        <v>9061</v>
      </c>
      <c r="B480" t="s">
        <v>63</v>
      </c>
      <c r="C480" t="s">
        <v>63</v>
      </c>
      <c r="D480" t="s">
        <v>5</v>
      </c>
      <c r="E480" s="1">
        <v>43180.770833333336</v>
      </c>
    </row>
    <row r="481" spans="1:5">
      <c r="A481">
        <v>9063</v>
      </c>
      <c r="B481" t="s">
        <v>63</v>
      </c>
      <c r="C481" t="s">
        <v>63</v>
      </c>
      <c r="D481" t="s">
        <v>7</v>
      </c>
      <c r="E481" s="1">
        <v>43180.770914351851</v>
      </c>
    </row>
    <row r="482" spans="1:5">
      <c r="A482">
        <v>9072</v>
      </c>
      <c r="B482" t="s">
        <v>79</v>
      </c>
      <c r="C482" t="s">
        <v>63</v>
      </c>
      <c r="D482" t="s">
        <v>8</v>
      </c>
      <c r="E482" s="1">
        <v>43180.793495370373</v>
      </c>
    </row>
    <row r="483" spans="1:5">
      <c r="A483">
        <v>9074</v>
      </c>
      <c r="B483" t="s">
        <v>79</v>
      </c>
      <c r="C483" t="s">
        <v>63</v>
      </c>
      <c r="D483" t="s">
        <v>7</v>
      </c>
      <c r="E483" s="1">
        <v>43180.813136574077</v>
      </c>
    </row>
    <row r="484" spans="1:5">
      <c r="A484">
        <v>9081</v>
      </c>
      <c r="B484" t="s">
        <v>63</v>
      </c>
      <c r="C484" t="s">
        <v>63</v>
      </c>
      <c r="D484" t="s">
        <v>8</v>
      </c>
      <c r="E484" s="1">
        <v>43180.924537037034</v>
      </c>
    </row>
    <row r="485" spans="1:5">
      <c r="A485">
        <v>9090</v>
      </c>
      <c r="B485" t="s">
        <v>79</v>
      </c>
      <c r="C485" t="s">
        <v>63</v>
      </c>
      <c r="D485" t="s">
        <v>6</v>
      </c>
      <c r="E485" s="1">
        <v>43181.37327546296</v>
      </c>
    </row>
    <row r="486" spans="1:5">
      <c r="A486">
        <v>9100</v>
      </c>
      <c r="B486" t="s">
        <v>63</v>
      </c>
      <c r="C486" t="s">
        <v>63</v>
      </c>
      <c r="D486" t="s">
        <v>5</v>
      </c>
      <c r="E486" s="1">
        <v>43181.781655092593</v>
      </c>
    </row>
    <row r="487" spans="1:5">
      <c r="A487">
        <v>9107</v>
      </c>
      <c r="B487" t="s">
        <v>63</v>
      </c>
      <c r="C487" t="s">
        <v>63</v>
      </c>
      <c r="D487" t="s">
        <v>7</v>
      </c>
      <c r="E487" s="1">
        <v>43181.80777777778</v>
      </c>
    </row>
    <row r="488" spans="1:5">
      <c r="A488">
        <v>9116</v>
      </c>
      <c r="B488" t="s">
        <v>63</v>
      </c>
      <c r="C488" t="s">
        <v>63</v>
      </c>
      <c r="D488" t="s">
        <v>8</v>
      </c>
      <c r="E488" s="1">
        <v>43181.958391203705</v>
      </c>
    </row>
    <row r="489" spans="1:5">
      <c r="A489">
        <v>9126</v>
      </c>
      <c r="B489" t="s">
        <v>63</v>
      </c>
      <c r="C489" t="s">
        <v>63</v>
      </c>
      <c r="D489" t="s">
        <v>6</v>
      </c>
      <c r="E489" s="1">
        <v>43182.382407407407</v>
      </c>
    </row>
    <row r="490" spans="1:5">
      <c r="A490">
        <v>9135</v>
      </c>
      <c r="B490" t="s">
        <v>79</v>
      </c>
      <c r="C490" t="s">
        <v>63</v>
      </c>
      <c r="D490" t="s">
        <v>5</v>
      </c>
      <c r="E490" s="1">
        <v>43182.774178240739</v>
      </c>
    </row>
    <row r="491" spans="1:5">
      <c r="A491">
        <v>9144</v>
      </c>
      <c r="B491" t="s">
        <v>63</v>
      </c>
      <c r="C491" t="s">
        <v>63</v>
      </c>
      <c r="D491" t="s">
        <v>6</v>
      </c>
      <c r="E491" s="1">
        <v>43185.374988425923</v>
      </c>
    </row>
    <row r="492" spans="1:5">
      <c r="A492">
        <v>9152</v>
      </c>
      <c r="B492" t="s">
        <v>63</v>
      </c>
      <c r="C492" t="s">
        <v>63</v>
      </c>
      <c r="D492" t="s">
        <v>5</v>
      </c>
      <c r="E492" s="1">
        <v>43185.771192129629</v>
      </c>
    </row>
    <row r="493" spans="1:5">
      <c r="A493">
        <v>9153</v>
      </c>
      <c r="B493" t="s">
        <v>63</v>
      </c>
      <c r="C493" t="s">
        <v>63</v>
      </c>
      <c r="D493" t="s">
        <v>7</v>
      </c>
      <c r="E493" s="1">
        <v>43185.771215277775</v>
      </c>
    </row>
    <row r="494" spans="1:5">
      <c r="A494">
        <v>9163</v>
      </c>
      <c r="B494" t="s">
        <v>79</v>
      </c>
      <c r="C494" t="s">
        <v>63</v>
      </c>
      <c r="D494" t="s">
        <v>6</v>
      </c>
      <c r="E494" s="1">
        <v>43186.3596412037</v>
      </c>
    </row>
    <row r="495" spans="1:5">
      <c r="A495">
        <v>9173</v>
      </c>
      <c r="B495" t="s">
        <v>63</v>
      </c>
      <c r="C495" t="s">
        <v>63</v>
      </c>
      <c r="D495" t="s">
        <v>5</v>
      </c>
      <c r="E495" s="1">
        <v>43186.770949074074</v>
      </c>
    </row>
    <row r="496" spans="1:5">
      <c r="A496">
        <v>9189</v>
      </c>
      <c r="B496" t="s">
        <v>63</v>
      </c>
      <c r="C496" t="s">
        <v>63</v>
      </c>
      <c r="D496" t="s">
        <v>8</v>
      </c>
      <c r="E496" s="1">
        <v>43186.945752314816</v>
      </c>
    </row>
    <row r="497" spans="1:5">
      <c r="A497">
        <v>9197</v>
      </c>
      <c r="B497" t="s">
        <v>63</v>
      </c>
      <c r="C497" t="s">
        <v>63</v>
      </c>
      <c r="D497" t="s">
        <v>6</v>
      </c>
      <c r="E497" s="1">
        <v>43187.370706018519</v>
      </c>
    </row>
    <row r="498" spans="1:5">
      <c r="A498">
        <v>9207</v>
      </c>
      <c r="B498" t="s">
        <v>63</v>
      </c>
      <c r="C498" t="s">
        <v>63</v>
      </c>
      <c r="D498" t="s">
        <v>5</v>
      </c>
      <c r="E498" s="1">
        <v>43187.771412037036</v>
      </c>
    </row>
    <row r="499" spans="1:5">
      <c r="A499">
        <v>9208</v>
      </c>
      <c r="B499" t="s">
        <v>63</v>
      </c>
      <c r="C499" t="s">
        <v>63</v>
      </c>
      <c r="D499" t="s">
        <v>7</v>
      </c>
      <c r="E499" s="1">
        <v>43187.77144675926</v>
      </c>
    </row>
    <row r="500" spans="1:5">
      <c r="A500">
        <v>9226</v>
      </c>
      <c r="B500" t="s">
        <v>63</v>
      </c>
      <c r="C500" t="s">
        <v>63</v>
      </c>
      <c r="D500" t="s">
        <v>8</v>
      </c>
      <c r="E500" s="1">
        <v>43187.969224537039</v>
      </c>
    </row>
    <row r="501" spans="1:5">
      <c r="A501">
        <v>9235</v>
      </c>
      <c r="B501" t="s">
        <v>63</v>
      </c>
      <c r="C501" t="s">
        <v>63</v>
      </c>
      <c r="D501" t="s">
        <v>6</v>
      </c>
      <c r="E501" s="1">
        <v>43188.372858796298</v>
      </c>
    </row>
    <row r="502" spans="1:5">
      <c r="A502">
        <v>9247</v>
      </c>
      <c r="B502" t="s">
        <v>63</v>
      </c>
      <c r="C502" t="s">
        <v>63</v>
      </c>
      <c r="D502" t="s">
        <v>5</v>
      </c>
      <c r="E502" s="1">
        <v>43188.778402777774</v>
      </c>
    </row>
    <row r="503" spans="1:5">
      <c r="A503">
        <v>9248</v>
      </c>
      <c r="B503" t="s">
        <v>63</v>
      </c>
      <c r="C503" t="s">
        <v>63</v>
      </c>
      <c r="D503" t="s">
        <v>7</v>
      </c>
      <c r="E503" s="1">
        <v>43188.778414351851</v>
      </c>
    </row>
    <row r="504" spans="1:5">
      <c r="A504">
        <v>9255</v>
      </c>
      <c r="B504" t="s">
        <v>63</v>
      </c>
      <c r="C504" t="s">
        <v>63</v>
      </c>
      <c r="D504" t="s">
        <v>8</v>
      </c>
      <c r="E504" s="1">
        <v>43188.8362037037</v>
      </c>
    </row>
    <row r="505" spans="1:5">
      <c r="A505">
        <v>9266</v>
      </c>
      <c r="B505" t="s">
        <v>79</v>
      </c>
      <c r="C505" t="s">
        <v>63</v>
      </c>
      <c r="D505" t="s">
        <v>6</v>
      </c>
      <c r="E505" s="1">
        <v>43189.371331018519</v>
      </c>
    </row>
    <row r="506" spans="1:5">
      <c r="A506">
        <v>9277</v>
      </c>
      <c r="B506" t="s">
        <v>63</v>
      </c>
      <c r="C506" t="s">
        <v>63</v>
      </c>
      <c r="D506" t="s">
        <v>5</v>
      </c>
      <c r="E506" s="1">
        <v>43189.77584490741</v>
      </c>
    </row>
    <row r="507" spans="1:5">
      <c r="A507">
        <v>9278</v>
      </c>
      <c r="B507" t="s">
        <v>63</v>
      </c>
      <c r="C507" t="s">
        <v>63</v>
      </c>
      <c r="D507" t="s">
        <v>7</v>
      </c>
      <c r="E507" s="1">
        <v>43189.775902777779</v>
      </c>
    </row>
    <row r="508" spans="1:5">
      <c r="A508">
        <v>9282</v>
      </c>
      <c r="B508" t="s">
        <v>63</v>
      </c>
      <c r="C508" t="s">
        <v>63</v>
      </c>
      <c r="D508" t="s">
        <v>8</v>
      </c>
      <c r="E508" s="1">
        <v>43189.846886574072</v>
      </c>
    </row>
    <row r="509" spans="1:5">
      <c r="A509">
        <v>9287</v>
      </c>
      <c r="B509" t="s">
        <v>79</v>
      </c>
      <c r="C509" t="s">
        <v>63</v>
      </c>
      <c r="D509" t="s">
        <v>6</v>
      </c>
      <c r="E509" s="1">
        <v>43190.366932870369</v>
      </c>
    </row>
    <row r="510" spans="1:5">
      <c r="A510">
        <v>9305</v>
      </c>
      <c r="B510" t="s">
        <v>79</v>
      </c>
      <c r="C510" t="s">
        <v>63</v>
      </c>
      <c r="D510" t="s">
        <v>5</v>
      </c>
      <c r="E510" s="1">
        <v>43190.797442129631</v>
      </c>
    </row>
    <row r="511" spans="1:5">
      <c r="A511">
        <v>9306</v>
      </c>
      <c r="B511" t="s">
        <v>79</v>
      </c>
      <c r="C511" t="s">
        <v>63</v>
      </c>
      <c r="D511" t="s">
        <v>7</v>
      </c>
      <c r="E511" s="1">
        <v>43190.797465277778</v>
      </c>
    </row>
    <row r="512" spans="1:5">
      <c r="A512">
        <v>9309</v>
      </c>
      <c r="B512" t="s">
        <v>79</v>
      </c>
      <c r="C512" t="s">
        <v>63</v>
      </c>
      <c r="D512" t="s">
        <v>8</v>
      </c>
      <c r="E512" s="1">
        <v>43190.926006944443</v>
      </c>
    </row>
    <row r="513" spans="1:5">
      <c r="A513">
        <v>9314</v>
      </c>
      <c r="B513" t="s">
        <v>63</v>
      </c>
      <c r="C513" t="s">
        <v>63</v>
      </c>
      <c r="D513" t="s">
        <v>6</v>
      </c>
      <c r="E513" s="1">
        <v>43192.362314814818</v>
      </c>
    </row>
    <row r="514" spans="1:5">
      <c r="A514">
        <v>9328</v>
      </c>
      <c r="B514" t="s">
        <v>63</v>
      </c>
      <c r="C514" t="s">
        <v>63</v>
      </c>
      <c r="D514" t="s">
        <v>5</v>
      </c>
      <c r="E514" s="1">
        <v>43192.768217592595</v>
      </c>
    </row>
    <row r="515" spans="1:5">
      <c r="A515">
        <v>9338</v>
      </c>
      <c r="B515" t="s">
        <v>63</v>
      </c>
      <c r="C515" t="s">
        <v>63</v>
      </c>
      <c r="D515" t="s">
        <v>7</v>
      </c>
      <c r="E515" s="1">
        <v>43192.789664351854</v>
      </c>
    </row>
    <row r="516" spans="1:5">
      <c r="A516">
        <v>8491</v>
      </c>
      <c r="B516" t="s">
        <v>72</v>
      </c>
      <c r="C516" t="s">
        <v>72</v>
      </c>
      <c r="D516" t="s">
        <v>6</v>
      </c>
      <c r="E516" s="1">
        <v>43160.362291666665</v>
      </c>
    </row>
    <row r="517" spans="1:5">
      <c r="A517">
        <v>8509</v>
      </c>
      <c r="B517" t="s">
        <v>71</v>
      </c>
      <c r="C517" t="s">
        <v>72</v>
      </c>
      <c r="D517" t="s">
        <v>5</v>
      </c>
      <c r="E517" s="1">
        <v>43160.785150462965</v>
      </c>
    </row>
    <row r="518" spans="1:5">
      <c r="A518">
        <v>8511</v>
      </c>
      <c r="B518" t="s">
        <v>71</v>
      </c>
      <c r="C518" t="s">
        <v>72</v>
      </c>
      <c r="D518" t="s">
        <v>7</v>
      </c>
      <c r="E518" s="1">
        <v>43160.785185185188</v>
      </c>
    </row>
    <row r="519" spans="1:5">
      <c r="A519">
        <v>8517</v>
      </c>
      <c r="B519" t="s">
        <v>71</v>
      </c>
      <c r="C519" t="s">
        <v>72</v>
      </c>
      <c r="D519" t="s">
        <v>8</v>
      </c>
      <c r="E519" s="1">
        <v>43160.837962962964</v>
      </c>
    </row>
    <row r="520" spans="1:5">
      <c r="A520">
        <v>8525</v>
      </c>
      <c r="B520" t="s">
        <v>71</v>
      </c>
      <c r="C520" t="s">
        <v>72</v>
      </c>
      <c r="D520" t="s">
        <v>6</v>
      </c>
      <c r="E520" s="1">
        <v>43161.365624999999</v>
      </c>
    </row>
    <row r="521" spans="1:5">
      <c r="A521">
        <v>8540</v>
      </c>
      <c r="B521" t="s">
        <v>71</v>
      </c>
      <c r="C521" t="s">
        <v>72</v>
      </c>
      <c r="D521" t="s">
        <v>5</v>
      </c>
      <c r="E521" s="1">
        <v>43161.780821759261</v>
      </c>
    </row>
    <row r="522" spans="1:5">
      <c r="A522">
        <v>8560</v>
      </c>
      <c r="B522" t="s">
        <v>72</v>
      </c>
      <c r="C522" t="s">
        <v>72</v>
      </c>
      <c r="D522" t="s">
        <v>6</v>
      </c>
      <c r="E522" s="1">
        <v>43164.364525462966</v>
      </c>
    </row>
    <row r="523" spans="1:5">
      <c r="A523">
        <v>8582</v>
      </c>
      <c r="B523" t="s">
        <v>71</v>
      </c>
      <c r="C523" t="s">
        <v>72</v>
      </c>
      <c r="D523" t="s">
        <v>5</v>
      </c>
      <c r="E523" s="1">
        <v>43164.783391203702</v>
      </c>
    </row>
    <row r="524" spans="1:5">
      <c r="A524">
        <v>8583</v>
      </c>
      <c r="B524" t="s">
        <v>71</v>
      </c>
      <c r="C524" t="s">
        <v>72</v>
      </c>
      <c r="D524" t="s">
        <v>7</v>
      </c>
      <c r="E524" s="1">
        <v>43164.783425925925</v>
      </c>
    </row>
    <row r="525" spans="1:5">
      <c r="A525">
        <v>8588</v>
      </c>
      <c r="B525" t="s">
        <v>71</v>
      </c>
      <c r="C525" t="s">
        <v>72</v>
      </c>
      <c r="D525" t="s">
        <v>8</v>
      </c>
      <c r="E525" s="1">
        <v>43164.855034722219</v>
      </c>
    </row>
    <row r="526" spans="1:5">
      <c r="A526">
        <v>8596</v>
      </c>
      <c r="B526" t="s">
        <v>72</v>
      </c>
      <c r="C526" t="s">
        <v>72</v>
      </c>
      <c r="D526" t="s">
        <v>6</v>
      </c>
      <c r="E526" s="1">
        <v>43165.363182870373</v>
      </c>
    </row>
    <row r="527" spans="1:5">
      <c r="A527">
        <v>8614</v>
      </c>
      <c r="B527" t="s">
        <v>72</v>
      </c>
      <c r="C527" t="s">
        <v>72</v>
      </c>
      <c r="D527" t="s">
        <v>5</v>
      </c>
      <c r="E527" s="1">
        <v>43165.776226851849</v>
      </c>
    </row>
    <row r="528" spans="1:5">
      <c r="A528">
        <v>8615</v>
      </c>
      <c r="B528" t="s">
        <v>72</v>
      </c>
      <c r="C528" t="s">
        <v>72</v>
      </c>
      <c r="D528" t="s">
        <v>7</v>
      </c>
      <c r="E528" s="1">
        <v>43165.776261574072</v>
      </c>
    </row>
    <row r="529" spans="1:5">
      <c r="A529">
        <v>8623</v>
      </c>
      <c r="B529" t="s">
        <v>72</v>
      </c>
      <c r="C529" t="s">
        <v>72</v>
      </c>
      <c r="D529" t="s">
        <v>8</v>
      </c>
      <c r="E529" s="1">
        <v>43165.902118055557</v>
      </c>
    </row>
    <row r="530" spans="1:5">
      <c r="A530">
        <v>8628</v>
      </c>
      <c r="B530" t="s">
        <v>72</v>
      </c>
      <c r="C530" t="s">
        <v>72</v>
      </c>
      <c r="D530" t="s">
        <v>6</v>
      </c>
      <c r="E530" s="1">
        <v>43166.364398148151</v>
      </c>
    </row>
    <row r="531" spans="1:5">
      <c r="A531">
        <v>8647</v>
      </c>
      <c r="B531" t="s">
        <v>71</v>
      </c>
      <c r="C531" t="s">
        <v>72</v>
      </c>
      <c r="D531" t="s">
        <v>5</v>
      </c>
      <c r="E531" s="1">
        <v>43166.776412037034</v>
      </c>
    </row>
    <row r="532" spans="1:5">
      <c r="A532">
        <v>8648</v>
      </c>
      <c r="B532" t="s">
        <v>71</v>
      </c>
      <c r="C532" t="s">
        <v>72</v>
      </c>
      <c r="D532" t="s">
        <v>7</v>
      </c>
      <c r="E532" s="1">
        <v>43166.77648148148</v>
      </c>
    </row>
    <row r="533" spans="1:5">
      <c r="A533">
        <v>8655</v>
      </c>
      <c r="B533" t="s">
        <v>72</v>
      </c>
      <c r="C533" t="s">
        <v>72</v>
      </c>
      <c r="D533" t="s">
        <v>8</v>
      </c>
      <c r="E533" s="1">
        <v>43166.848969907405</v>
      </c>
    </row>
    <row r="534" spans="1:5">
      <c r="A534">
        <v>8670</v>
      </c>
      <c r="B534" t="s">
        <v>71</v>
      </c>
      <c r="C534" t="s">
        <v>72</v>
      </c>
      <c r="D534" t="s">
        <v>6</v>
      </c>
      <c r="E534" s="1">
        <v>43167.371180555558</v>
      </c>
    </row>
    <row r="535" spans="1:5">
      <c r="A535">
        <v>8681</v>
      </c>
      <c r="B535" t="s">
        <v>71</v>
      </c>
      <c r="C535" t="s">
        <v>72</v>
      </c>
      <c r="D535" t="s">
        <v>5</v>
      </c>
      <c r="E535" s="1">
        <v>43167.773796296293</v>
      </c>
    </row>
    <row r="536" spans="1:5">
      <c r="A536">
        <v>8682</v>
      </c>
      <c r="B536" t="s">
        <v>71</v>
      </c>
      <c r="C536" t="s">
        <v>72</v>
      </c>
      <c r="D536" t="s">
        <v>7</v>
      </c>
      <c r="E536" s="1">
        <v>43167.773854166669</v>
      </c>
    </row>
    <row r="537" spans="1:5">
      <c r="A537">
        <v>8690</v>
      </c>
      <c r="B537" t="s">
        <v>72</v>
      </c>
      <c r="C537" t="s">
        <v>72</v>
      </c>
      <c r="D537" t="s">
        <v>8</v>
      </c>
      <c r="E537" s="1">
        <v>43167.839675925927</v>
      </c>
    </row>
    <row r="538" spans="1:5">
      <c r="A538">
        <v>8692</v>
      </c>
      <c r="B538" t="s">
        <v>71</v>
      </c>
      <c r="C538" t="s">
        <v>72</v>
      </c>
      <c r="D538" t="s">
        <v>6</v>
      </c>
      <c r="E538" s="1">
        <v>43168.362662037034</v>
      </c>
    </row>
    <row r="539" spans="1:5">
      <c r="A539">
        <v>8705</v>
      </c>
      <c r="B539" t="s">
        <v>72</v>
      </c>
      <c r="C539" t="s">
        <v>72</v>
      </c>
      <c r="D539" t="s">
        <v>5</v>
      </c>
      <c r="E539" s="1">
        <v>43168.767766203702</v>
      </c>
    </row>
    <row r="540" spans="1:5">
      <c r="A540">
        <v>8729</v>
      </c>
      <c r="B540" t="s">
        <v>71</v>
      </c>
      <c r="C540" t="s">
        <v>72</v>
      </c>
      <c r="D540" t="s">
        <v>7</v>
      </c>
      <c r="E540" s="1">
        <v>43170.422361111108</v>
      </c>
    </row>
    <row r="541" spans="1:5">
      <c r="A541">
        <v>8735</v>
      </c>
      <c r="B541" t="s">
        <v>71</v>
      </c>
      <c r="C541" t="s">
        <v>72</v>
      </c>
      <c r="D541" t="s">
        <v>8</v>
      </c>
      <c r="E541" s="1">
        <v>43170.549699074072</v>
      </c>
    </row>
    <row r="542" spans="1:5">
      <c r="A542">
        <v>8741</v>
      </c>
      <c r="B542" t="s">
        <v>72</v>
      </c>
      <c r="C542" t="s">
        <v>72</v>
      </c>
      <c r="D542" t="s">
        <v>7</v>
      </c>
      <c r="E542" s="1">
        <v>43170.572708333333</v>
      </c>
    </row>
    <row r="543" spans="1:5">
      <c r="A543">
        <v>8746</v>
      </c>
      <c r="B543" t="s">
        <v>72</v>
      </c>
      <c r="C543" t="s">
        <v>72</v>
      </c>
      <c r="D543" t="s">
        <v>8</v>
      </c>
      <c r="E543" s="1">
        <v>43170.742708333331</v>
      </c>
    </row>
    <row r="544" spans="1:5">
      <c r="A544">
        <v>8764</v>
      </c>
      <c r="B544" t="s">
        <v>71</v>
      </c>
      <c r="C544" t="s">
        <v>72</v>
      </c>
      <c r="D544" t="s">
        <v>6</v>
      </c>
      <c r="E544" s="1">
        <v>43171.366435185184</v>
      </c>
    </row>
    <row r="545" spans="1:5">
      <c r="A545">
        <v>8777</v>
      </c>
      <c r="B545" t="s">
        <v>72</v>
      </c>
      <c r="C545" t="s">
        <v>72</v>
      </c>
      <c r="D545" t="s">
        <v>5</v>
      </c>
      <c r="E545" s="1">
        <v>43171.769074074073</v>
      </c>
    </row>
    <row r="546" spans="1:5">
      <c r="A546">
        <v>8778</v>
      </c>
      <c r="B546" t="s">
        <v>72</v>
      </c>
      <c r="C546" t="s">
        <v>72</v>
      </c>
      <c r="D546" t="s">
        <v>7</v>
      </c>
      <c r="E546" s="1">
        <v>43171.769131944442</v>
      </c>
    </row>
    <row r="547" spans="1:5">
      <c r="A547">
        <v>8796</v>
      </c>
      <c r="B547" t="s">
        <v>72</v>
      </c>
      <c r="C547" t="s">
        <v>72</v>
      </c>
      <c r="D547" t="s">
        <v>8</v>
      </c>
      <c r="E547" s="1">
        <v>43171.909016203703</v>
      </c>
    </row>
    <row r="548" spans="1:5">
      <c r="A548">
        <v>8804</v>
      </c>
      <c r="B548" t="s">
        <v>71</v>
      </c>
      <c r="C548" t="s">
        <v>72</v>
      </c>
      <c r="D548" t="s">
        <v>6</v>
      </c>
      <c r="E548" s="1">
        <v>43172.366342592592</v>
      </c>
    </row>
    <row r="549" spans="1:5">
      <c r="A549">
        <v>8821</v>
      </c>
      <c r="B549" t="s">
        <v>72</v>
      </c>
      <c r="C549" t="s">
        <v>72</v>
      </c>
      <c r="D549" t="s">
        <v>5</v>
      </c>
      <c r="E549" s="1">
        <v>43172.773298611108</v>
      </c>
    </row>
    <row r="550" spans="1:5">
      <c r="A550">
        <v>8822</v>
      </c>
      <c r="B550" t="s">
        <v>72</v>
      </c>
      <c r="C550" t="s">
        <v>72</v>
      </c>
      <c r="D550" t="s">
        <v>7</v>
      </c>
      <c r="E550" s="1">
        <v>43172.773344907408</v>
      </c>
    </row>
    <row r="551" spans="1:5">
      <c r="A551">
        <v>8832</v>
      </c>
      <c r="B551" t="s">
        <v>71</v>
      </c>
      <c r="C551" t="s">
        <v>72</v>
      </c>
      <c r="D551" t="s">
        <v>8</v>
      </c>
      <c r="E551" s="1">
        <v>43172.872094907405</v>
      </c>
    </row>
    <row r="552" spans="1:5">
      <c r="A552">
        <v>8838</v>
      </c>
      <c r="B552" t="s">
        <v>72</v>
      </c>
      <c r="C552" t="s">
        <v>72</v>
      </c>
      <c r="D552" t="s">
        <v>6</v>
      </c>
      <c r="E552" s="1">
        <v>43173.363634259258</v>
      </c>
    </row>
    <row r="553" spans="1:5">
      <c r="A553">
        <v>8867</v>
      </c>
      <c r="B553" t="s">
        <v>71</v>
      </c>
      <c r="C553" t="s">
        <v>72</v>
      </c>
      <c r="D553" t="s">
        <v>8</v>
      </c>
      <c r="E553" s="1">
        <v>43173.862118055556</v>
      </c>
    </row>
    <row r="554" spans="1:5">
      <c r="A554">
        <v>8872</v>
      </c>
      <c r="B554" t="s">
        <v>71</v>
      </c>
      <c r="C554" t="s">
        <v>72</v>
      </c>
      <c r="D554" t="s">
        <v>6</v>
      </c>
      <c r="E554" s="1">
        <v>43174.363125000003</v>
      </c>
    </row>
    <row r="555" spans="1:5">
      <c r="A555">
        <v>8889</v>
      </c>
      <c r="B555" t="s">
        <v>72</v>
      </c>
      <c r="C555" t="s">
        <v>72</v>
      </c>
      <c r="D555" t="s">
        <v>5</v>
      </c>
      <c r="E555" s="1">
        <v>43174.771412037036</v>
      </c>
    </row>
    <row r="556" spans="1:5">
      <c r="A556">
        <v>8890</v>
      </c>
      <c r="B556" t="s">
        <v>72</v>
      </c>
      <c r="C556" t="s">
        <v>72</v>
      </c>
      <c r="D556" t="s">
        <v>7</v>
      </c>
      <c r="E556" s="1">
        <v>43174.771469907406</v>
      </c>
    </row>
    <row r="557" spans="1:5">
      <c r="A557">
        <v>8903</v>
      </c>
      <c r="B557" t="s">
        <v>71</v>
      </c>
      <c r="C557" t="s">
        <v>72</v>
      </c>
      <c r="D557" t="s">
        <v>8</v>
      </c>
      <c r="E557" s="1">
        <v>43174.864120370374</v>
      </c>
    </row>
    <row r="558" spans="1:5">
      <c r="A558">
        <v>8910</v>
      </c>
      <c r="B558" t="s">
        <v>72</v>
      </c>
      <c r="C558" t="s">
        <v>72</v>
      </c>
      <c r="D558" t="s">
        <v>6</v>
      </c>
      <c r="E558" s="1">
        <v>43175.363020833334</v>
      </c>
    </row>
    <row r="559" spans="1:5">
      <c r="A559">
        <v>8920</v>
      </c>
      <c r="B559" t="s">
        <v>72</v>
      </c>
      <c r="C559" t="s">
        <v>72</v>
      </c>
      <c r="D559" t="s">
        <v>5</v>
      </c>
      <c r="E559" s="1">
        <v>43175.768587962964</v>
      </c>
    </row>
    <row r="560" spans="1:5">
      <c r="A560">
        <v>8921</v>
      </c>
      <c r="B560" t="s">
        <v>72</v>
      </c>
      <c r="C560" t="s">
        <v>72</v>
      </c>
      <c r="D560" t="s">
        <v>7</v>
      </c>
      <c r="E560" s="1">
        <v>43175.768645833334</v>
      </c>
    </row>
    <row r="561" spans="1:5">
      <c r="A561">
        <v>8938</v>
      </c>
      <c r="B561" t="s">
        <v>71</v>
      </c>
      <c r="C561" t="s">
        <v>72</v>
      </c>
      <c r="D561" t="s">
        <v>8</v>
      </c>
      <c r="E561" s="1">
        <v>43175.905868055554</v>
      </c>
    </row>
    <row r="562" spans="1:5">
      <c r="A562">
        <v>8942</v>
      </c>
      <c r="B562" t="s">
        <v>71</v>
      </c>
      <c r="C562" t="s">
        <v>72</v>
      </c>
      <c r="D562" t="s">
        <v>7</v>
      </c>
      <c r="E562" s="1">
        <v>43176.417395833334</v>
      </c>
    </row>
    <row r="563" spans="1:5">
      <c r="A563">
        <v>8956</v>
      </c>
      <c r="B563" t="s">
        <v>71</v>
      </c>
      <c r="C563" t="s">
        <v>72</v>
      </c>
      <c r="D563" t="s">
        <v>8</v>
      </c>
      <c r="E563" s="1">
        <v>43176.567013888889</v>
      </c>
    </row>
    <row r="564" spans="1:5">
      <c r="A564">
        <v>8958</v>
      </c>
      <c r="B564" t="s">
        <v>71</v>
      </c>
      <c r="C564" t="s">
        <v>72</v>
      </c>
      <c r="D564" t="s">
        <v>7</v>
      </c>
      <c r="E564" s="1">
        <v>43176.573819444442</v>
      </c>
    </row>
    <row r="565" spans="1:5">
      <c r="A565">
        <v>8965</v>
      </c>
      <c r="B565" t="s">
        <v>72</v>
      </c>
      <c r="C565" t="s">
        <v>72</v>
      </c>
      <c r="D565" t="s">
        <v>8</v>
      </c>
      <c r="E565" s="1">
        <v>43176.693854166668</v>
      </c>
    </row>
    <row r="566" spans="1:5">
      <c r="A566">
        <v>8975</v>
      </c>
      <c r="B566" t="s">
        <v>72</v>
      </c>
      <c r="C566" t="s">
        <v>72</v>
      </c>
      <c r="D566" t="s">
        <v>6</v>
      </c>
      <c r="E566" s="1">
        <v>43178.364583333336</v>
      </c>
    </row>
    <row r="567" spans="1:5">
      <c r="A567">
        <v>8989</v>
      </c>
      <c r="B567" t="s">
        <v>72</v>
      </c>
      <c r="C567" t="s">
        <v>72</v>
      </c>
      <c r="D567" t="s">
        <v>5</v>
      </c>
      <c r="E567" s="1">
        <v>43178.768275462964</v>
      </c>
    </row>
    <row r="568" spans="1:5">
      <c r="A568">
        <v>8990</v>
      </c>
      <c r="B568" t="s">
        <v>72</v>
      </c>
      <c r="C568" t="s">
        <v>72</v>
      </c>
      <c r="D568" t="s">
        <v>7</v>
      </c>
      <c r="E568" s="1">
        <v>43178.768321759257</v>
      </c>
    </row>
    <row r="569" spans="1:5">
      <c r="A569">
        <v>9003</v>
      </c>
      <c r="B569" t="s">
        <v>71</v>
      </c>
      <c r="C569" t="s">
        <v>72</v>
      </c>
      <c r="D569" t="s">
        <v>8</v>
      </c>
      <c r="E569" s="1">
        <v>43178.8672337963</v>
      </c>
    </row>
    <row r="570" spans="1:5">
      <c r="A570">
        <v>9012</v>
      </c>
      <c r="B570" t="s">
        <v>72</v>
      </c>
      <c r="C570" t="s">
        <v>72</v>
      </c>
      <c r="D570" t="s">
        <v>6</v>
      </c>
      <c r="E570" s="1">
        <v>43179.366030092591</v>
      </c>
    </row>
    <row r="571" spans="1:5">
      <c r="A571">
        <v>9025</v>
      </c>
      <c r="B571" t="s">
        <v>72</v>
      </c>
      <c r="C571" t="s">
        <v>72</v>
      </c>
      <c r="D571" t="s">
        <v>5</v>
      </c>
      <c r="E571" s="1">
        <v>43179.76971064815</v>
      </c>
    </row>
    <row r="572" spans="1:5">
      <c r="A572">
        <v>9026</v>
      </c>
      <c r="B572" t="s">
        <v>72</v>
      </c>
      <c r="C572" t="s">
        <v>72</v>
      </c>
      <c r="D572" t="s">
        <v>7</v>
      </c>
      <c r="E572" s="1">
        <v>43179.769756944443</v>
      </c>
    </row>
    <row r="573" spans="1:5">
      <c r="A573">
        <v>9030</v>
      </c>
      <c r="B573" t="s">
        <v>72</v>
      </c>
      <c r="C573" t="s">
        <v>72</v>
      </c>
      <c r="D573" t="s">
        <v>8</v>
      </c>
      <c r="E573" s="1">
        <v>43179.771481481483</v>
      </c>
    </row>
    <row r="574" spans="1:5">
      <c r="A574">
        <v>9037</v>
      </c>
      <c r="B574" t="s">
        <v>71</v>
      </c>
      <c r="C574" t="s">
        <v>72</v>
      </c>
      <c r="D574" t="s">
        <v>7</v>
      </c>
      <c r="E574" s="1">
        <v>43179.791238425925</v>
      </c>
    </row>
    <row r="575" spans="1:5">
      <c r="A575">
        <v>9043</v>
      </c>
      <c r="B575" t="s">
        <v>71</v>
      </c>
      <c r="C575" t="s">
        <v>72</v>
      </c>
      <c r="D575" t="s">
        <v>8</v>
      </c>
      <c r="E575" s="1">
        <v>43179.883935185186</v>
      </c>
    </row>
    <row r="576" spans="1:5">
      <c r="A576">
        <v>9047</v>
      </c>
      <c r="B576" t="s">
        <v>72</v>
      </c>
      <c r="C576" t="s">
        <v>72</v>
      </c>
      <c r="D576" t="s">
        <v>6</v>
      </c>
      <c r="E576" s="1">
        <v>43180.364814814813</v>
      </c>
    </row>
    <row r="577" spans="1:5">
      <c r="A577">
        <v>9064</v>
      </c>
      <c r="B577" t="s">
        <v>72</v>
      </c>
      <c r="C577" t="s">
        <v>72</v>
      </c>
      <c r="D577" t="s">
        <v>5</v>
      </c>
      <c r="E577" s="1">
        <v>43180.770972222221</v>
      </c>
    </row>
    <row r="578" spans="1:5">
      <c r="A578">
        <v>9065</v>
      </c>
      <c r="B578" t="s">
        <v>72</v>
      </c>
      <c r="C578" t="s">
        <v>72</v>
      </c>
      <c r="D578" t="s">
        <v>7</v>
      </c>
      <c r="E578" s="1">
        <v>43180.771018518521</v>
      </c>
    </row>
    <row r="579" spans="1:5">
      <c r="A579">
        <v>9078</v>
      </c>
      <c r="B579" t="s">
        <v>71</v>
      </c>
      <c r="C579" t="s">
        <v>72</v>
      </c>
      <c r="D579" t="s">
        <v>8</v>
      </c>
      <c r="E579" s="1">
        <v>43180.860636574071</v>
      </c>
    </row>
    <row r="580" spans="1:5">
      <c r="A580">
        <v>9084</v>
      </c>
      <c r="B580" t="s">
        <v>72</v>
      </c>
      <c r="C580" t="s">
        <v>72</v>
      </c>
      <c r="D580" t="s">
        <v>6</v>
      </c>
      <c r="E580" s="1">
        <v>43181.36414351852</v>
      </c>
    </row>
    <row r="581" spans="1:5">
      <c r="A581">
        <v>9096</v>
      </c>
      <c r="B581" t="s">
        <v>72</v>
      </c>
      <c r="C581" t="s">
        <v>72</v>
      </c>
      <c r="D581" t="s">
        <v>5</v>
      </c>
      <c r="E581" s="1">
        <v>43181.764143518521</v>
      </c>
    </row>
    <row r="582" spans="1:5">
      <c r="A582">
        <v>9097</v>
      </c>
      <c r="B582" t="s">
        <v>72</v>
      </c>
      <c r="C582" t="s">
        <v>72</v>
      </c>
      <c r="D582" t="s">
        <v>7</v>
      </c>
      <c r="E582" s="1">
        <v>43181.764189814814</v>
      </c>
    </row>
    <row r="583" spans="1:5">
      <c r="A583">
        <v>9104</v>
      </c>
      <c r="B583" t="s">
        <v>71</v>
      </c>
      <c r="C583" t="s">
        <v>72</v>
      </c>
      <c r="D583" t="s">
        <v>8</v>
      </c>
      <c r="E583" s="1">
        <v>43181.796226851853</v>
      </c>
    </row>
    <row r="584" spans="1:5">
      <c r="A584">
        <v>9113</v>
      </c>
      <c r="B584" t="s">
        <v>71</v>
      </c>
      <c r="C584" t="s">
        <v>72</v>
      </c>
      <c r="D584" t="s">
        <v>8</v>
      </c>
      <c r="E584" s="1">
        <v>43181.934814814813</v>
      </c>
    </row>
    <row r="585" spans="1:5">
      <c r="A585">
        <v>9121</v>
      </c>
      <c r="B585" t="s">
        <v>72</v>
      </c>
      <c r="C585" t="s">
        <v>72</v>
      </c>
      <c r="D585" t="s">
        <v>6</v>
      </c>
      <c r="E585" s="1">
        <v>43182.365787037037</v>
      </c>
    </row>
    <row r="586" spans="1:5">
      <c r="A586">
        <v>9130</v>
      </c>
      <c r="B586" t="s">
        <v>72</v>
      </c>
      <c r="C586" t="s">
        <v>72</v>
      </c>
      <c r="D586" t="s">
        <v>5</v>
      </c>
      <c r="E586" s="1">
        <v>43182.768171296295</v>
      </c>
    </row>
    <row r="587" spans="1:5">
      <c r="A587">
        <v>9140</v>
      </c>
      <c r="B587" t="s">
        <v>72</v>
      </c>
      <c r="C587" t="s">
        <v>72</v>
      </c>
      <c r="D587" t="s">
        <v>6</v>
      </c>
      <c r="E587" s="1">
        <v>43185.364085648151</v>
      </c>
    </row>
    <row r="588" spans="1:5">
      <c r="A588">
        <v>9147</v>
      </c>
      <c r="B588" t="s">
        <v>72</v>
      </c>
      <c r="C588" t="s">
        <v>72</v>
      </c>
      <c r="D588" t="s">
        <v>5</v>
      </c>
      <c r="E588" s="1">
        <v>43185.767766203702</v>
      </c>
    </row>
    <row r="589" spans="1:5">
      <c r="A589">
        <v>9148</v>
      </c>
      <c r="B589" t="s">
        <v>72</v>
      </c>
      <c r="C589" t="s">
        <v>72</v>
      </c>
      <c r="D589" t="s">
        <v>7</v>
      </c>
      <c r="E589" s="1">
        <v>43185.767824074072</v>
      </c>
    </row>
    <row r="590" spans="1:5">
      <c r="A590">
        <v>9157</v>
      </c>
      <c r="B590" t="s">
        <v>71</v>
      </c>
      <c r="C590" t="s">
        <v>72</v>
      </c>
      <c r="D590" t="s">
        <v>8</v>
      </c>
      <c r="E590" s="1">
        <v>43185.831134259257</v>
      </c>
    </row>
    <row r="591" spans="1:5">
      <c r="A591">
        <v>9158</v>
      </c>
      <c r="B591" t="s">
        <v>72</v>
      </c>
      <c r="C591" t="s">
        <v>72</v>
      </c>
      <c r="D591" t="s">
        <v>8</v>
      </c>
      <c r="E591" s="1">
        <v>43185.831458333334</v>
      </c>
    </row>
    <row r="592" spans="1:5">
      <c r="A592">
        <v>9166</v>
      </c>
      <c r="B592" t="s">
        <v>72</v>
      </c>
      <c r="C592" t="s">
        <v>72</v>
      </c>
      <c r="D592" t="s">
        <v>6</v>
      </c>
      <c r="E592" s="1">
        <v>43186.364432870374</v>
      </c>
    </row>
    <row r="593" spans="1:5">
      <c r="A593">
        <v>9176</v>
      </c>
      <c r="B593" t="s">
        <v>71</v>
      </c>
      <c r="C593" t="s">
        <v>72</v>
      </c>
      <c r="D593" t="s">
        <v>5</v>
      </c>
      <c r="E593" s="1">
        <v>43186.773310185185</v>
      </c>
    </row>
    <row r="594" spans="1:5">
      <c r="A594">
        <v>9177</v>
      </c>
      <c r="B594" t="s">
        <v>71</v>
      </c>
      <c r="C594" t="s">
        <v>72</v>
      </c>
      <c r="D594" t="s">
        <v>7</v>
      </c>
      <c r="E594" s="1">
        <v>43186.773344907408</v>
      </c>
    </row>
    <row r="595" spans="1:5">
      <c r="A595">
        <v>9185</v>
      </c>
      <c r="B595" t="s">
        <v>71</v>
      </c>
      <c r="C595" t="s">
        <v>72</v>
      </c>
      <c r="D595" t="s">
        <v>8</v>
      </c>
      <c r="E595" s="1">
        <v>43186.833564814813</v>
      </c>
    </row>
    <row r="596" spans="1:5">
      <c r="A596">
        <v>9195</v>
      </c>
      <c r="B596" t="s">
        <v>72</v>
      </c>
      <c r="C596" t="s">
        <v>72</v>
      </c>
      <c r="D596" t="s">
        <v>6</v>
      </c>
      <c r="E596" s="1">
        <v>43187.364629629628</v>
      </c>
    </row>
    <row r="597" spans="1:5">
      <c r="A597">
        <v>9205</v>
      </c>
      <c r="B597" t="s">
        <v>72</v>
      </c>
      <c r="C597" t="s">
        <v>72</v>
      </c>
      <c r="D597" t="s">
        <v>5</v>
      </c>
      <c r="E597" s="1">
        <v>43187.771296296298</v>
      </c>
    </row>
    <row r="598" spans="1:5">
      <c r="A598">
        <v>9206</v>
      </c>
      <c r="B598" t="s">
        <v>72</v>
      </c>
      <c r="C598" t="s">
        <v>72</v>
      </c>
      <c r="D598" t="s">
        <v>7</v>
      </c>
      <c r="E598" s="1">
        <v>43187.771377314813</v>
      </c>
    </row>
    <row r="599" spans="1:5">
      <c r="A599">
        <v>9222</v>
      </c>
      <c r="B599" t="s">
        <v>97</v>
      </c>
      <c r="C599" t="s">
        <v>72</v>
      </c>
      <c r="D599" t="s">
        <v>8</v>
      </c>
      <c r="E599" s="1">
        <v>43187.866747685184</v>
      </c>
    </row>
    <row r="600" spans="1:5">
      <c r="A600">
        <v>9229</v>
      </c>
      <c r="B600" t="s">
        <v>72</v>
      </c>
      <c r="C600" t="s">
        <v>72</v>
      </c>
      <c r="D600" t="s">
        <v>6</v>
      </c>
      <c r="E600" s="1">
        <v>43188.364247685182</v>
      </c>
    </row>
    <row r="601" spans="1:5">
      <c r="A601">
        <v>9243</v>
      </c>
      <c r="B601" t="s">
        <v>71</v>
      </c>
      <c r="C601" t="s">
        <v>72</v>
      </c>
      <c r="D601" t="s">
        <v>5</v>
      </c>
      <c r="E601" s="1">
        <v>43188.772650462961</v>
      </c>
    </row>
    <row r="602" spans="1:5">
      <c r="A602">
        <v>9244</v>
      </c>
      <c r="B602" t="s">
        <v>71</v>
      </c>
      <c r="C602" t="s">
        <v>72</v>
      </c>
      <c r="D602" t="s">
        <v>7</v>
      </c>
      <c r="E602" s="1">
        <v>43188.772685185184</v>
      </c>
    </row>
    <row r="603" spans="1:5">
      <c r="A603">
        <v>9256</v>
      </c>
      <c r="B603" t="s">
        <v>71</v>
      </c>
      <c r="C603" t="s">
        <v>72</v>
      </c>
      <c r="D603" t="s">
        <v>8</v>
      </c>
      <c r="E603" s="1">
        <v>43188.848252314812</v>
      </c>
    </row>
    <row r="604" spans="1:5">
      <c r="A604">
        <v>9261</v>
      </c>
      <c r="B604" t="s">
        <v>71</v>
      </c>
      <c r="C604" t="s">
        <v>72</v>
      </c>
      <c r="D604" t="s">
        <v>6</v>
      </c>
      <c r="E604" s="1">
        <v>43189.364664351851</v>
      </c>
    </row>
    <row r="605" spans="1:5">
      <c r="A605">
        <v>9276</v>
      </c>
      <c r="B605" t="s">
        <v>72</v>
      </c>
      <c r="C605" t="s">
        <v>72</v>
      </c>
      <c r="D605" t="s">
        <v>5</v>
      </c>
      <c r="E605" s="1">
        <v>43189.775706018518</v>
      </c>
    </row>
    <row r="606" spans="1:5">
      <c r="A606">
        <v>9283</v>
      </c>
      <c r="B606" t="s">
        <v>71</v>
      </c>
      <c r="C606" t="s">
        <v>72</v>
      </c>
      <c r="D606" t="s">
        <v>6</v>
      </c>
      <c r="E606" s="1">
        <v>43190.361689814818</v>
      </c>
    </row>
    <row r="607" spans="1:5">
      <c r="A607">
        <v>9294</v>
      </c>
      <c r="B607" t="s">
        <v>71</v>
      </c>
      <c r="C607" t="s">
        <v>72</v>
      </c>
      <c r="D607" t="s">
        <v>5</v>
      </c>
      <c r="E607" s="1">
        <v>43190.766122685185</v>
      </c>
    </row>
    <row r="608" spans="1:5">
      <c r="A608">
        <v>9315</v>
      </c>
      <c r="B608" t="s">
        <v>72</v>
      </c>
      <c r="C608" t="s">
        <v>72</v>
      </c>
      <c r="D608" t="s">
        <v>6</v>
      </c>
      <c r="E608" s="1">
        <v>43192.363298611112</v>
      </c>
    </row>
    <row r="609" spans="1:5">
      <c r="A609">
        <v>9330</v>
      </c>
      <c r="B609" t="s">
        <v>71</v>
      </c>
      <c r="C609" t="s">
        <v>72</v>
      </c>
      <c r="D609" t="s">
        <v>5</v>
      </c>
      <c r="E609" s="1">
        <v>43192.771099537036</v>
      </c>
    </row>
    <row r="610" spans="1:5">
      <c r="A610">
        <v>9331</v>
      </c>
      <c r="B610" t="s">
        <v>71</v>
      </c>
      <c r="C610" t="s">
        <v>72</v>
      </c>
      <c r="D610" t="s">
        <v>7</v>
      </c>
      <c r="E610" s="1">
        <v>43192.771145833336</v>
      </c>
    </row>
    <row r="611" spans="1:5">
      <c r="A611">
        <v>8494</v>
      </c>
      <c r="B611" t="s">
        <v>88</v>
      </c>
      <c r="C611" t="s">
        <v>88</v>
      </c>
      <c r="D611" t="s">
        <v>6</v>
      </c>
      <c r="E611" s="1">
        <v>43160.368009259262</v>
      </c>
    </row>
    <row r="612" spans="1:5">
      <c r="A612">
        <v>8505</v>
      </c>
      <c r="B612" t="s">
        <v>88</v>
      </c>
      <c r="C612" t="s">
        <v>88</v>
      </c>
      <c r="D612" t="s">
        <v>5</v>
      </c>
      <c r="E612" s="1">
        <v>43160.771053240744</v>
      </c>
    </row>
    <row r="613" spans="1:5">
      <c r="A613">
        <v>8527</v>
      </c>
      <c r="B613" t="s">
        <v>88</v>
      </c>
      <c r="C613" t="s">
        <v>88</v>
      </c>
      <c r="D613" t="s">
        <v>6</v>
      </c>
      <c r="E613" s="1">
        <v>43161.369259259256</v>
      </c>
    </row>
    <row r="614" spans="1:5">
      <c r="A614">
        <v>8535</v>
      </c>
      <c r="B614" t="s">
        <v>88</v>
      </c>
      <c r="C614" t="s">
        <v>88</v>
      </c>
      <c r="D614" t="s">
        <v>5</v>
      </c>
      <c r="E614" s="1">
        <v>43161.767060185186</v>
      </c>
    </row>
    <row r="615" spans="1:5">
      <c r="A615">
        <v>8568</v>
      </c>
      <c r="B615" t="s">
        <v>88</v>
      </c>
      <c r="C615" t="s">
        <v>88</v>
      </c>
      <c r="D615" t="s">
        <v>6</v>
      </c>
      <c r="E615" s="1">
        <v>43164.550879629627</v>
      </c>
    </row>
    <row r="616" spans="1:5">
      <c r="A616">
        <v>8575</v>
      </c>
      <c r="B616" t="s">
        <v>89</v>
      </c>
      <c r="C616" t="s">
        <v>88</v>
      </c>
      <c r="D616" t="s">
        <v>5</v>
      </c>
      <c r="E616" s="1">
        <v>43164.765069444446</v>
      </c>
    </row>
    <row r="617" spans="1:5">
      <c r="A617">
        <v>8601</v>
      </c>
      <c r="B617" t="s">
        <v>88</v>
      </c>
      <c r="C617" t="s">
        <v>88</v>
      </c>
      <c r="D617" t="s">
        <v>6</v>
      </c>
      <c r="E617" s="1">
        <v>43165.369756944441</v>
      </c>
    </row>
    <row r="618" spans="1:5">
      <c r="A618">
        <v>8610</v>
      </c>
      <c r="B618" t="s">
        <v>89</v>
      </c>
      <c r="C618" t="s">
        <v>88</v>
      </c>
      <c r="D618" t="s">
        <v>5</v>
      </c>
      <c r="E618" s="1">
        <v>43165.773113425923</v>
      </c>
    </row>
    <row r="619" spans="1:5">
      <c r="A619">
        <v>8611</v>
      </c>
      <c r="B619" t="s">
        <v>89</v>
      </c>
      <c r="C619" t="s">
        <v>88</v>
      </c>
      <c r="D619" t="s">
        <v>7</v>
      </c>
      <c r="E619" s="1">
        <v>43165.773194444446</v>
      </c>
    </row>
    <row r="620" spans="1:5">
      <c r="A620">
        <v>8616</v>
      </c>
      <c r="B620" t="s">
        <v>89</v>
      </c>
      <c r="C620" t="s">
        <v>88</v>
      </c>
      <c r="D620" t="s">
        <v>8</v>
      </c>
      <c r="E620" s="1">
        <v>43165.78229166667</v>
      </c>
    </row>
    <row r="621" spans="1:5">
      <c r="A621">
        <v>8631</v>
      </c>
      <c r="B621" t="s">
        <v>88</v>
      </c>
      <c r="C621" t="s">
        <v>88</v>
      </c>
      <c r="D621" t="s">
        <v>6</v>
      </c>
      <c r="E621" s="1">
        <v>43166.367650462962</v>
      </c>
    </row>
    <row r="622" spans="1:5">
      <c r="A622">
        <v>8641</v>
      </c>
      <c r="B622" t="s">
        <v>89</v>
      </c>
      <c r="C622" t="s">
        <v>88</v>
      </c>
      <c r="D622" t="s">
        <v>5</v>
      </c>
      <c r="E622" s="1">
        <v>43166.770243055558</v>
      </c>
    </row>
    <row r="623" spans="1:5">
      <c r="A623">
        <v>8645</v>
      </c>
      <c r="B623" t="s">
        <v>89</v>
      </c>
      <c r="C623" t="s">
        <v>88</v>
      </c>
      <c r="D623" t="s">
        <v>7</v>
      </c>
      <c r="E623" s="1">
        <v>43166.770949074074</v>
      </c>
    </row>
    <row r="624" spans="1:5">
      <c r="A624">
        <v>8653</v>
      </c>
      <c r="B624" t="s">
        <v>89</v>
      </c>
      <c r="C624" t="s">
        <v>88</v>
      </c>
      <c r="D624" t="s">
        <v>8</v>
      </c>
      <c r="E624" s="1">
        <v>43166.798622685186</v>
      </c>
    </row>
    <row r="625" spans="1:5">
      <c r="A625">
        <v>8669</v>
      </c>
      <c r="B625" t="s">
        <v>88</v>
      </c>
      <c r="C625" t="s">
        <v>88</v>
      </c>
      <c r="D625" t="s">
        <v>6</v>
      </c>
      <c r="E625" s="1">
        <v>43167.369953703703</v>
      </c>
    </row>
    <row r="626" spans="1:5">
      <c r="A626">
        <v>8674</v>
      </c>
      <c r="B626" t="s">
        <v>89</v>
      </c>
      <c r="C626" t="s">
        <v>88</v>
      </c>
      <c r="D626" t="s">
        <v>5</v>
      </c>
      <c r="E626" s="1">
        <v>43167.76667824074</v>
      </c>
    </row>
    <row r="627" spans="1:5">
      <c r="A627">
        <v>8697</v>
      </c>
      <c r="B627" t="s">
        <v>88</v>
      </c>
      <c r="C627" t="s">
        <v>88</v>
      </c>
      <c r="D627" t="s">
        <v>6</v>
      </c>
      <c r="E627" s="1">
        <v>43168.36922453704</v>
      </c>
    </row>
    <row r="628" spans="1:5">
      <c r="A628">
        <v>8713</v>
      </c>
      <c r="B628" t="s">
        <v>88</v>
      </c>
      <c r="C628" t="s">
        <v>88</v>
      </c>
      <c r="D628" t="s">
        <v>5</v>
      </c>
      <c r="E628" s="1">
        <v>43168.777488425927</v>
      </c>
    </row>
    <row r="629" spans="1:5">
      <c r="A629">
        <v>8745</v>
      </c>
      <c r="B629" t="s">
        <v>88</v>
      </c>
      <c r="C629" t="s">
        <v>88</v>
      </c>
      <c r="D629" t="s">
        <v>7</v>
      </c>
      <c r="E629" s="1">
        <v>43170.653912037036</v>
      </c>
    </row>
    <row r="630" spans="1:5">
      <c r="A630">
        <v>8758</v>
      </c>
      <c r="B630" t="s">
        <v>88</v>
      </c>
      <c r="C630" t="s">
        <v>88</v>
      </c>
      <c r="D630" t="s">
        <v>8</v>
      </c>
      <c r="E630" s="1">
        <v>43170.787361111114</v>
      </c>
    </row>
    <row r="631" spans="1:5">
      <c r="A631">
        <v>8768</v>
      </c>
      <c r="B631" t="s">
        <v>88</v>
      </c>
      <c r="C631" t="s">
        <v>88</v>
      </c>
      <c r="D631" t="s">
        <v>6</v>
      </c>
      <c r="E631" s="1">
        <v>43171.371006944442</v>
      </c>
    </row>
    <row r="632" spans="1:5">
      <c r="A632">
        <v>8781</v>
      </c>
      <c r="B632" t="s">
        <v>89</v>
      </c>
      <c r="C632" t="s">
        <v>88</v>
      </c>
      <c r="D632" t="s">
        <v>5</v>
      </c>
      <c r="E632" s="1">
        <v>43171.771099537036</v>
      </c>
    </row>
    <row r="633" spans="1:5">
      <c r="A633">
        <v>8782</v>
      </c>
      <c r="B633" t="s">
        <v>89</v>
      </c>
      <c r="C633" t="s">
        <v>88</v>
      </c>
      <c r="D633" t="s">
        <v>7</v>
      </c>
      <c r="E633" s="1">
        <v>43171.771180555559</v>
      </c>
    </row>
    <row r="634" spans="1:5">
      <c r="A634">
        <v>8791</v>
      </c>
      <c r="B634" t="s">
        <v>89</v>
      </c>
      <c r="C634" t="s">
        <v>88</v>
      </c>
      <c r="D634" t="s">
        <v>8</v>
      </c>
      <c r="E634" s="1">
        <v>43171.804340277777</v>
      </c>
    </row>
    <row r="635" spans="1:5">
      <c r="A635">
        <v>8809</v>
      </c>
      <c r="B635" t="s">
        <v>88</v>
      </c>
      <c r="C635" t="s">
        <v>88</v>
      </c>
      <c r="D635" t="s">
        <v>6</v>
      </c>
      <c r="E635" s="1">
        <v>43172.36991898148</v>
      </c>
    </row>
    <row r="636" spans="1:5">
      <c r="A636">
        <v>8814</v>
      </c>
      <c r="B636" t="s">
        <v>89</v>
      </c>
      <c r="C636" t="s">
        <v>88</v>
      </c>
      <c r="D636" t="s">
        <v>5</v>
      </c>
      <c r="E636" s="1">
        <v>43172.771678240744</v>
      </c>
    </row>
    <row r="637" spans="1:5">
      <c r="A637">
        <v>8815</v>
      </c>
      <c r="B637" t="s">
        <v>89</v>
      </c>
      <c r="C637" t="s">
        <v>88</v>
      </c>
      <c r="D637" t="s">
        <v>7</v>
      </c>
      <c r="E637" s="1">
        <v>43172.771886574075</v>
      </c>
    </row>
    <row r="638" spans="1:5">
      <c r="A638">
        <v>8828</v>
      </c>
      <c r="B638" t="s">
        <v>89</v>
      </c>
      <c r="C638" t="s">
        <v>88</v>
      </c>
      <c r="D638" t="s">
        <v>8</v>
      </c>
      <c r="E638" s="1">
        <v>43172.836226851854</v>
      </c>
    </row>
    <row r="639" spans="1:5">
      <c r="A639">
        <v>8843</v>
      </c>
      <c r="B639" t="s">
        <v>88</v>
      </c>
      <c r="C639" t="s">
        <v>88</v>
      </c>
      <c r="D639" t="s">
        <v>6</v>
      </c>
      <c r="E639" s="1">
        <v>43173.371018518519</v>
      </c>
    </row>
    <row r="640" spans="1:5">
      <c r="A640">
        <v>8852</v>
      </c>
      <c r="B640" t="s">
        <v>89</v>
      </c>
      <c r="C640" t="s">
        <v>88</v>
      </c>
      <c r="D640" t="s">
        <v>5</v>
      </c>
      <c r="E640" s="1">
        <v>43173.77175925926</v>
      </c>
    </row>
    <row r="641" spans="1:5">
      <c r="A641">
        <v>8855</v>
      </c>
      <c r="B641" t="s">
        <v>89</v>
      </c>
      <c r="C641" t="s">
        <v>88</v>
      </c>
      <c r="D641" t="s">
        <v>7</v>
      </c>
      <c r="E641" s="1">
        <v>43173.771898148145</v>
      </c>
    </row>
    <row r="642" spans="1:5">
      <c r="A642">
        <v>8866</v>
      </c>
      <c r="B642" t="s">
        <v>89</v>
      </c>
      <c r="C642" t="s">
        <v>88</v>
      </c>
      <c r="D642" t="s">
        <v>8</v>
      </c>
      <c r="E642" s="1">
        <v>43173.861967592595</v>
      </c>
    </row>
    <row r="643" spans="1:5">
      <c r="A643">
        <v>8879</v>
      </c>
      <c r="B643" t="s">
        <v>88</v>
      </c>
      <c r="C643" t="s">
        <v>88</v>
      </c>
      <c r="D643" t="s">
        <v>6</v>
      </c>
      <c r="E643" s="1">
        <v>43174.371828703705</v>
      </c>
    </row>
    <row r="644" spans="1:5">
      <c r="A644">
        <v>8897</v>
      </c>
      <c r="B644" t="s">
        <v>89</v>
      </c>
      <c r="C644" t="s">
        <v>88</v>
      </c>
      <c r="D644" t="s">
        <v>5</v>
      </c>
      <c r="E644" s="1">
        <v>43174.777789351851</v>
      </c>
    </row>
    <row r="645" spans="1:5">
      <c r="A645">
        <v>8913</v>
      </c>
      <c r="B645" t="s">
        <v>88</v>
      </c>
      <c r="C645" t="s">
        <v>88</v>
      </c>
      <c r="D645" t="s">
        <v>6</v>
      </c>
      <c r="E645" s="1">
        <v>43175.367476851854</v>
      </c>
    </row>
    <row r="646" spans="1:5">
      <c r="A646">
        <v>8932</v>
      </c>
      <c r="B646" t="s">
        <v>89</v>
      </c>
      <c r="C646" t="s">
        <v>88</v>
      </c>
      <c r="D646" t="s">
        <v>5</v>
      </c>
      <c r="E646" s="1">
        <v>43175.791076388887</v>
      </c>
    </row>
    <row r="647" spans="1:5">
      <c r="A647">
        <v>8978</v>
      </c>
      <c r="B647" t="s">
        <v>88</v>
      </c>
      <c r="C647" t="s">
        <v>88</v>
      </c>
      <c r="D647" t="s">
        <v>6</v>
      </c>
      <c r="E647" s="1">
        <v>43178.369305555556</v>
      </c>
    </row>
    <row r="648" spans="1:5">
      <c r="A648">
        <v>8985</v>
      </c>
      <c r="B648" t="s">
        <v>88</v>
      </c>
      <c r="C648" t="s">
        <v>88</v>
      </c>
      <c r="D648" t="s">
        <v>5</v>
      </c>
      <c r="E648" s="1">
        <v>43178.766215277778</v>
      </c>
    </row>
    <row r="649" spans="1:5">
      <c r="A649">
        <v>8994</v>
      </c>
      <c r="B649" t="s">
        <v>88</v>
      </c>
      <c r="C649" t="s">
        <v>88</v>
      </c>
      <c r="D649" t="s">
        <v>7</v>
      </c>
      <c r="E649" s="1">
        <v>43178.780497685184</v>
      </c>
    </row>
    <row r="650" spans="1:5">
      <c r="A650">
        <v>8999</v>
      </c>
      <c r="B650" t="s">
        <v>89</v>
      </c>
      <c r="C650" t="s">
        <v>88</v>
      </c>
      <c r="D650" t="s">
        <v>8</v>
      </c>
      <c r="E650" s="1">
        <v>43178.851469907408</v>
      </c>
    </row>
    <row r="651" spans="1:5">
      <c r="A651">
        <v>9016</v>
      </c>
      <c r="B651" t="s">
        <v>88</v>
      </c>
      <c r="C651" t="s">
        <v>88</v>
      </c>
      <c r="D651" t="s">
        <v>6</v>
      </c>
      <c r="E651" s="1">
        <v>43179.37054398148</v>
      </c>
    </row>
    <row r="652" spans="1:5">
      <c r="A652">
        <v>9031</v>
      </c>
      <c r="B652" t="s">
        <v>89</v>
      </c>
      <c r="C652" t="s">
        <v>88</v>
      </c>
      <c r="D652" t="s">
        <v>5</v>
      </c>
      <c r="E652" s="1">
        <v>43179.771666666667</v>
      </c>
    </row>
    <row r="653" spans="1:5">
      <c r="A653">
        <v>9032</v>
      </c>
      <c r="B653" t="s">
        <v>89</v>
      </c>
      <c r="C653" t="s">
        <v>88</v>
      </c>
      <c r="D653" t="s">
        <v>7</v>
      </c>
      <c r="E653" s="1">
        <v>43179.771701388891</v>
      </c>
    </row>
    <row r="654" spans="1:5">
      <c r="A654">
        <v>9036</v>
      </c>
      <c r="B654" t="s">
        <v>89</v>
      </c>
      <c r="C654" t="s">
        <v>88</v>
      </c>
      <c r="D654" t="s">
        <v>8</v>
      </c>
      <c r="E654" s="1">
        <v>43179.788703703707</v>
      </c>
    </row>
    <row r="655" spans="1:5">
      <c r="A655">
        <v>9053</v>
      </c>
      <c r="B655" t="s">
        <v>88</v>
      </c>
      <c r="C655" t="s">
        <v>88</v>
      </c>
      <c r="D655" t="s">
        <v>6</v>
      </c>
      <c r="E655" s="1">
        <v>43180.370289351849</v>
      </c>
    </row>
    <row r="656" spans="1:5">
      <c r="A656">
        <v>9069</v>
      </c>
      <c r="B656" t="s">
        <v>88</v>
      </c>
      <c r="C656" t="s">
        <v>88</v>
      </c>
      <c r="D656" t="s">
        <v>5</v>
      </c>
      <c r="E656" s="1">
        <v>43180.781828703701</v>
      </c>
    </row>
    <row r="657" spans="1:5">
      <c r="A657">
        <v>9088</v>
      </c>
      <c r="B657" t="s">
        <v>88</v>
      </c>
      <c r="C657" t="s">
        <v>88</v>
      </c>
      <c r="D657" t="s">
        <v>6</v>
      </c>
      <c r="E657" s="1">
        <v>43181.370983796296</v>
      </c>
    </row>
    <row r="658" spans="1:5">
      <c r="A658">
        <v>9099</v>
      </c>
      <c r="B658" t="s">
        <v>89</v>
      </c>
      <c r="C658" t="s">
        <v>88</v>
      </c>
      <c r="D658" t="s">
        <v>5</v>
      </c>
      <c r="E658" s="1">
        <v>43181.770856481482</v>
      </c>
    </row>
    <row r="659" spans="1:5">
      <c r="A659">
        <v>9102</v>
      </c>
      <c r="B659" t="s">
        <v>89</v>
      </c>
      <c r="C659" t="s">
        <v>88</v>
      </c>
      <c r="D659" t="s">
        <v>7</v>
      </c>
      <c r="E659" s="1">
        <v>43181.791145833333</v>
      </c>
    </row>
    <row r="660" spans="1:5">
      <c r="A660">
        <v>9111</v>
      </c>
      <c r="B660" t="s">
        <v>88</v>
      </c>
      <c r="C660" t="s">
        <v>88</v>
      </c>
      <c r="D660" t="s">
        <v>8</v>
      </c>
      <c r="E660" s="1">
        <v>43181.928819444445</v>
      </c>
    </row>
    <row r="661" spans="1:5">
      <c r="A661">
        <v>9123</v>
      </c>
      <c r="B661" t="s">
        <v>88</v>
      </c>
      <c r="C661" t="s">
        <v>88</v>
      </c>
      <c r="D661" t="s">
        <v>6</v>
      </c>
      <c r="E661" s="1">
        <v>43182.372719907406</v>
      </c>
    </row>
    <row r="662" spans="1:5">
      <c r="A662">
        <v>9132</v>
      </c>
      <c r="B662" t="s">
        <v>88</v>
      </c>
      <c r="C662" t="s">
        <v>88</v>
      </c>
      <c r="D662" t="s">
        <v>5</v>
      </c>
      <c r="E662" s="1">
        <v>43182.769293981481</v>
      </c>
    </row>
    <row r="663" spans="1:5">
      <c r="A663">
        <v>9141</v>
      </c>
      <c r="B663" t="s">
        <v>88</v>
      </c>
      <c r="C663" t="s">
        <v>88</v>
      </c>
      <c r="D663" t="s">
        <v>6</v>
      </c>
      <c r="E663" s="1">
        <v>43185.368750000001</v>
      </c>
    </row>
    <row r="664" spans="1:5">
      <c r="A664">
        <v>9154</v>
      </c>
      <c r="B664" t="s">
        <v>89</v>
      </c>
      <c r="C664" t="s">
        <v>88</v>
      </c>
      <c r="D664" t="s">
        <v>5</v>
      </c>
      <c r="E664" s="1">
        <v>43185.778981481482</v>
      </c>
    </row>
    <row r="665" spans="1:5">
      <c r="A665">
        <v>9168</v>
      </c>
      <c r="B665" t="s">
        <v>88</v>
      </c>
      <c r="C665" t="s">
        <v>88</v>
      </c>
      <c r="D665" t="s">
        <v>6</v>
      </c>
      <c r="E665" s="1">
        <v>43186.369687500002</v>
      </c>
    </row>
    <row r="666" spans="1:5">
      <c r="A666">
        <v>9182</v>
      </c>
      <c r="B666" t="s">
        <v>88</v>
      </c>
      <c r="C666" t="s">
        <v>88</v>
      </c>
      <c r="D666" t="s">
        <v>5</v>
      </c>
      <c r="E666" s="1">
        <v>43186.785162037035</v>
      </c>
    </row>
    <row r="667" spans="1:5">
      <c r="A667">
        <v>9196</v>
      </c>
      <c r="B667" t="s">
        <v>88</v>
      </c>
      <c r="C667" t="s">
        <v>88</v>
      </c>
      <c r="D667" t="s">
        <v>6</v>
      </c>
      <c r="E667" s="1">
        <v>43187.365277777775</v>
      </c>
    </row>
    <row r="668" spans="1:5">
      <c r="A668">
        <v>9202</v>
      </c>
      <c r="B668" t="s">
        <v>89</v>
      </c>
      <c r="C668" t="s">
        <v>88</v>
      </c>
      <c r="D668" t="s">
        <v>5</v>
      </c>
      <c r="E668" s="1">
        <v>43187.768645833334</v>
      </c>
    </row>
    <row r="669" spans="1:5">
      <c r="A669">
        <v>9232</v>
      </c>
      <c r="B669" t="s">
        <v>88</v>
      </c>
      <c r="C669" t="s">
        <v>88</v>
      </c>
      <c r="D669" t="s">
        <v>6</v>
      </c>
      <c r="E669" s="1">
        <v>43188.369687500002</v>
      </c>
    </row>
    <row r="670" spans="1:5">
      <c r="A670">
        <v>9249</v>
      </c>
      <c r="B670" t="s">
        <v>88</v>
      </c>
      <c r="C670" t="s">
        <v>88</v>
      </c>
      <c r="D670" t="s">
        <v>5</v>
      </c>
      <c r="E670" s="1">
        <v>43188.781307870369</v>
      </c>
    </row>
    <row r="671" spans="1:5">
      <c r="A671">
        <v>9264</v>
      </c>
      <c r="B671" t="s">
        <v>88</v>
      </c>
      <c r="C671" t="s">
        <v>88</v>
      </c>
      <c r="D671" t="s">
        <v>6</v>
      </c>
      <c r="E671" s="1">
        <v>43189.369467592594</v>
      </c>
    </row>
    <row r="672" spans="1:5">
      <c r="A672">
        <v>9275</v>
      </c>
      <c r="B672" t="s">
        <v>88</v>
      </c>
      <c r="C672" t="s">
        <v>88</v>
      </c>
      <c r="D672" t="s">
        <v>5</v>
      </c>
      <c r="E672" s="1">
        <v>43189.775196759256</v>
      </c>
    </row>
    <row r="673" spans="1:5">
      <c r="A673">
        <v>9289</v>
      </c>
      <c r="B673" t="s">
        <v>88</v>
      </c>
      <c r="C673" t="s">
        <v>88</v>
      </c>
      <c r="D673" t="s">
        <v>6</v>
      </c>
      <c r="E673" s="1">
        <v>43190.368402777778</v>
      </c>
    </row>
    <row r="674" spans="1:5">
      <c r="A674">
        <v>9301</v>
      </c>
      <c r="B674" t="s">
        <v>88</v>
      </c>
      <c r="C674" t="s">
        <v>88</v>
      </c>
      <c r="D674" t="s">
        <v>5</v>
      </c>
      <c r="E674" s="1">
        <v>43190.774594907409</v>
      </c>
    </row>
    <row r="675" spans="1:5">
      <c r="A675">
        <v>8566</v>
      </c>
      <c r="B675" t="s">
        <v>12</v>
      </c>
      <c r="C675" t="s">
        <v>12</v>
      </c>
      <c r="D675" t="s">
        <v>6</v>
      </c>
      <c r="E675" s="1">
        <v>43164.380509259259</v>
      </c>
    </row>
    <row r="676" spans="1:5">
      <c r="A676">
        <v>8569</v>
      </c>
      <c r="B676" t="s">
        <v>12</v>
      </c>
      <c r="C676" t="s">
        <v>12</v>
      </c>
      <c r="D676" t="s">
        <v>5</v>
      </c>
      <c r="E676" s="1">
        <v>43164.567743055559</v>
      </c>
    </row>
    <row r="677" spans="1:5">
      <c r="A677">
        <v>8667</v>
      </c>
      <c r="B677" t="s">
        <v>12</v>
      </c>
      <c r="C677" t="s">
        <v>12</v>
      </c>
      <c r="D677" t="s">
        <v>6</v>
      </c>
      <c r="E677" s="1">
        <v>43167.368321759262</v>
      </c>
    </row>
    <row r="678" spans="1:5">
      <c r="A678">
        <v>8766</v>
      </c>
      <c r="B678" t="s">
        <v>12</v>
      </c>
      <c r="C678" t="s">
        <v>12</v>
      </c>
      <c r="D678" t="s">
        <v>6</v>
      </c>
      <c r="E678" s="1">
        <v>43171.370115740741</v>
      </c>
    </row>
    <row r="679" spans="1:5">
      <c r="A679">
        <v>9318</v>
      </c>
      <c r="B679" t="s">
        <v>12</v>
      </c>
      <c r="C679" t="s">
        <v>12</v>
      </c>
      <c r="D679" t="s">
        <v>6</v>
      </c>
      <c r="E679" s="1">
        <v>43192.367175925923</v>
      </c>
    </row>
    <row r="680" spans="1:5">
      <c r="A680">
        <v>9324</v>
      </c>
      <c r="B680" t="s">
        <v>12</v>
      </c>
      <c r="C680" t="s">
        <v>12</v>
      </c>
      <c r="D680" t="s">
        <v>5</v>
      </c>
      <c r="E680" s="1">
        <v>43192.752314814818</v>
      </c>
    </row>
    <row r="681" spans="1:5">
      <c r="A681">
        <v>8492</v>
      </c>
      <c r="B681" t="s">
        <v>15</v>
      </c>
      <c r="C681" t="s">
        <v>15</v>
      </c>
      <c r="D681" t="s">
        <v>6</v>
      </c>
      <c r="E681" s="1">
        <v>43160.364583333336</v>
      </c>
    </row>
    <row r="682" spans="1:5">
      <c r="A682">
        <v>8506</v>
      </c>
      <c r="B682" t="s">
        <v>15</v>
      </c>
      <c r="C682" t="s">
        <v>15</v>
      </c>
      <c r="D682" t="s">
        <v>5</v>
      </c>
      <c r="E682" s="1">
        <v>43160.78497685185</v>
      </c>
    </row>
    <row r="683" spans="1:5">
      <c r="A683">
        <v>8507</v>
      </c>
      <c r="B683" t="s">
        <v>15</v>
      </c>
      <c r="C683" t="s">
        <v>15</v>
      </c>
      <c r="D683" t="s">
        <v>7</v>
      </c>
      <c r="E683" s="1">
        <v>43160.78502314815</v>
      </c>
    </row>
    <row r="684" spans="1:5">
      <c r="A684">
        <v>8516</v>
      </c>
      <c r="B684" t="s">
        <v>15</v>
      </c>
      <c r="C684" t="s">
        <v>15</v>
      </c>
      <c r="D684" t="s">
        <v>8</v>
      </c>
      <c r="E684" s="1">
        <v>43160.822743055556</v>
      </c>
    </row>
    <row r="685" spans="1:5">
      <c r="A685">
        <v>8524</v>
      </c>
      <c r="B685" t="s">
        <v>15</v>
      </c>
      <c r="C685" t="s">
        <v>15</v>
      </c>
      <c r="D685" t="s">
        <v>6</v>
      </c>
      <c r="E685" s="1">
        <v>43161.365011574075</v>
      </c>
    </row>
    <row r="686" spans="1:5">
      <c r="A686">
        <v>8538</v>
      </c>
      <c r="B686" t="s">
        <v>15</v>
      </c>
      <c r="C686" t="s">
        <v>15</v>
      </c>
      <c r="D686" t="s">
        <v>5</v>
      </c>
      <c r="E686" s="1">
        <v>43161.773622685185</v>
      </c>
    </row>
    <row r="687" spans="1:5">
      <c r="A687">
        <v>8539</v>
      </c>
      <c r="B687" t="s">
        <v>15</v>
      </c>
      <c r="C687" t="s">
        <v>15</v>
      </c>
      <c r="D687" t="s">
        <v>7</v>
      </c>
      <c r="E687" s="1">
        <v>43161.773668981485</v>
      </c>
    </row>
    <row r="688" spans="1:5">
      <c r="A688">
        <v>8544</v>
      </c>
      <c r="B688" t="s">
        <v>15</v>
      </c>
      <c r="C688" t="s">
        <v>15</v>
      </c>
      <c r="D688" t="s">
        <v>8</v>
      </c>
      <c r="E688" s="1">
        <v>43161.824756944443</v>
      </c>
    </row>
    <row r="689" spans="1:5">
      <c r="A689">
        <v>8561</v>
      </c>
      <c r="B689" t="s">
        <v>15</v>
      </c>
      <c r="C689" t="s">
        <v>15</v>
      </c>
      <c r="D689" t="s">
        <v>6</v>
      </c>
      <c r="E689" s="1">
        <v>43164.36478009259</v>
      </c>
    </row>
    <row r="690" spans="1:5">
      <c r="A690">
        <v>8574</v>
      </c>
      <c r="B690" t="s">
        <v>15</v>
      </c>
      <c r="C690" t="s">
        <v>15</v>
      </c>
      <c r="D690" t="s">
        <v>5</v>
      </c>
      <c r="E690" s="1">
        <v>43164.762280092589</v>
      </c>
    </row>
    <row r="691" spans="1:5">
      <c r="A691">
        <v>8584</v>
      </c>
      <c r="B691" t="s">
        <v>15</v>
      </c>
      <c r="C691" t="s">
        <v>15</v>
      </c>
      <c r="D691" t="s">
        <v>7</v>
      </c>
      <c r="E691" s="1">
        <v>43164.801041666666</v>
      </c>
    </row>
    <row r="692" spans="1:5">
      <c r="A692">
        <v>8590</v>
      </c>
      <c r="B692" t="s">
        <v>15</v>
      </c>
      <c r="C692" t="s">
        <v>15</v>
      </c>
      <c r="D692" t="s">
        <v>8</v>
      </c>
      <c r="E692" s="1">
        <v>43164.930856481478</v>
      </c>
    </row>
    <row r="693" spans="1:5">
      <c r="A693">
        <v>8599</v>
      </c>
      <c r="B693" t="s">
        <v>15</v>
      </c>
      <c r="C693" t="s">
        <v>15</v>
      </c>
      <c r="D693" t="s">
        <v>6</v>
      </c>
      <c r="E693" s="1">
        <v>43165.369502314818</v>
      </c>
    </row>
    <row r="694" spans="1:5">
      <c r="A694">
        <v>8606</v>
      </c>
      <c r="B694" t="s">
        <v>15</v>
      </c>
      <c r="C694" t="s">
        <v>15</v>
      </c>
      <c r="D694" t="s">
        <v>5</v>
      </c>
      <c r="E694" s="1">
        <v>43165.764062499999</v>
      </c>
    </row>
    <row r="695" spans="1:5">
      <c r="A695">
        <v>8619</v>
      </c>
      <c r="B695" t="s">
        <v>15</v>
      </c>
      <c r="C695" t="s">
        <v>15</v>
      </c>
      <c r="D695" t="s">
        <v>7</v>
      </c>
      <c r="E695" s="1">
        <v>43165.788055555553</v>
      </c>
    </row>
    <row r="696" spans="1:5">
      <c r="A696">
        <v>8622</v>
      </c>
      <c r="B696" t="s">
        <v>15</v>
      </c>
      <c r="C696" t="s">
        <v>15</v>
      </c>
      <c r="D696" t="s">
        <v>8</v>
      </c>
      <c r="E696" s="1">
        <v>43165.899189814816</v>
      </c>
    </row>
    <row r="697" spans="1:5">
      <c r="A697">
        <v>8634</v>
      </c>
      <c r="B697" t="s">
        <v>15</v>
      </c>
      <c r="C697" t="s">
        <v>15</v>
      </c>
      <c r="D697" t="s">
        <v>6</v>
      </c>
      <c r="E697" s="1">
        <v>43166.371666666666</v>
      </c>
    </row>
    <row r="698" spans="1:5">
      <c r="A698">
        <v>8644</v>
      </c>
      <c r="B698" t="s">
        <v>15</v>
      </c>
      <c r="C698" t="s">
        <v>15</v>
      </c>
      <c r="D698" t="s">
        <v>5</v>
      </c>
      <c r="E698" s="1">
        <v>43166.770613425928</v>
      </c>
    </row>
    <row r="699" spans="1:5">
      <c r="A699">
        <v>8665</v>
      </c>
      <c r="B699" t="s">
        <v>15</v>
      </c>
      <c r="C699" t="s">
        <v>15</v>
      </c>
      <c r="D699" t="s">
        <v>6</v>
      </c>
      <c r="E699" s="1">
        <v>43167.364722222221</v>
      </c>
    </row>
    <row r="700" spans="1:5">
      <c r="A700">
        <v>8675</v>
      </c>
      <c r="B700" t="s">
        <v>15</v>
      </c>
      <c r="C700" t="s">
        <v>15</v>
      </c>
      <c r="D700" t="s">
        <v>5</v>
      </c>
      <c r="E700" s="1">
        <v>43167.766863425924</v>
      </c>
    </row>
    <row r="701" spans="1:5">
      <c r="A701">
        <v>8696</v>
      </c>
      <c r="B701" t="s">
        <v>15</v>
      </c>
      <c r="C701" t="s">
        <v>15</v>
      </c>
      <c r="D701" t="s">
        <v>6</v>
      </c>
      <c r="E701" s="1">
        <v>43168.367430555554</v>
      </c>
    </row>
    <row r="702" spans="1:5">
      <c r="A702">
        <v>8707</v>
      </c>
      <c r="B702" t="s">
        <v>95</v>
      </c>
      <c r="C702" t="s">
        <v>15</v>
      </c>
      <c r="D702" t="s">
        <v>5</v>
      </c>
      <c r="E702" s="1">
        <v>43168.771111111113</v>
      </c>
    </row>
    <row r="703" spans="1:5">
      <c r="A703">
        <v>8708</v>
      </c>
      <c r="B703" t="s">
        <v>95</v>
      </c>
      <c r="C703" t="s">
        <v>15</v>
      </c>
      <c r="D703" t="s">
        <v>7</v>
      </c>
      <c r="E703" s="1">
        <v>43168.771145833336</v>
      </c>
    </row>
    <row r="704" spans="1:5">
      <c r="A704">
        <v>8714</v>
      </c>
      <c r="B704" t="s">
        <v>15</v>
      </c>
      <c r="C704" t="s">
        <v>15</v>
      </c>
      <c r="D704" t="s">
        <v>8</v>
      </c>
      <c r="E704" s="1">
        <v>43168.785324074073</v>
      </c>
    </row>
    <row r="705" spans="1:5">
      <c r="A705">
        <v>8732</v>
      </c>
      <c r="B705" t="s">
        <v>95</v>
      </c>
      <c r="C705" t="s">
        <v>15</v>
      </c>
      <c r="D705" t="s">
        <v>7</v>
      </c>
      <c r="E705" s="1">
        <v>43170.436840277776</v>
      </c>
    </row>
    <row r="706" spans="1:5">
      <c r="A706">
        <v>8736</v>
      </c>
      <c r="B706" t="s">
        <v>15</v>
      </c>
      <c r="C706" t="s">
        <v>15</v>
      </c>
      <c r="D706" t="s">
        <v>8</v>
      </c>
      <c r="E706" s="1">
        <v>43170.549791666665</v>
      </c>
    </row>
    <row r="707" spans="1:5">
      <c r="A707">
        <v>8743</v>
      </c>
      <c r="B707" t="s">
        <v>15</v>
      </c>
      <c r="C707" t="s">
        <v>15</v>
      </c>
      <c r="D707" t="s">
        <v>7</v>
      </c>
      <c r="E707" s="1">
        <v>43170.584976851853</v>
      </c>
    </row>
    <row r="708" spans="1:5">
      <c r="A708">
        <v>8749</v>
      </c>
      <c r="B708" t="s">
        <v>15</v>
      </c>
      <c r="C708" t="s">
        <v>15</v>
      </c>
      <c r="D708" t="s">
        <v>5</v>
      </c>
      <c r="E708" s="1">
        <v>43170.751018518517</v>
      </c>
    </row>
    <row r="709" spans="1:5">
      <c r="A709">
        <v>8750</v>
      </c>
      <c r="B709" t="s">
        <v>15</v>
      </c>
      <c r="C709" t="s">
        <v>15</v>
      </c>
      <c r="D709" t="s">
        <v>8</v>
      </c>
      <c r="E709" s="1">
        <v>43170.751134259262</v>
      </c>
    </row>
    <row r="710" spans="1:5">
      <c r="A710">
        <v>8751</v>
      </c>
      <c r="B710" t="s">
        <v>15</v>
      </c>
      <c r="C710" t="s">
        <v>15</v>
      </c>
      <c r="D710" t="s">
        <v>7</v>
      </c>
      <c r="E710" s="1">
        <v>43170.751192129632</v>
      </c>
    </row>
    <row r="711" spans="1:5">
      <c r="A711">
        <v>8759</v>
      </c>
      <c r="B711" t="s">
        <v>15</v>
      </c>
      <c r="C711" t="s">
        <v>15</v>
      </c>
      <c r="D711" t="s">
        <v>8</v>
      </c>
      <c r="E711" s="1">
        <v>43170.792662037034</v>
      </c>
    </row>
    <row r="712" spans="1:5">
      <c r="A712">
        <v>8765</v>
      </c>
      <c r="B712" t="s">
        <v>15</v>
      </c>
      <c r="C712" t="s">
        <v>15</v>
      </c>
      <c r="D712" t="s">
        <v>6</v>
      </c>
      <c r="E712" s="1">
        <v>43171.369097222225</v>
      </c>
    </row>
    <row r="713" spans="1:5">
      <c r="A713">
        <v>8779</v>
      </c>
      <c r="B713" t="s">
        <v>15</v>
      </c>
      <c r="C713" t="s">
        <v>15</v>
      </c>
      <c r="D713" t="s">
        <v>5</v>
      </c>
      <c r="E713" s="1">
        <v>43171.770277777781</v>
      </c>
    </row>
    <row r="714" spans="1:5">
      <c r="A714">
        <v>8807</v>
      </c>
      <c r="B714" t="s">
        <v>95</v>
      </c>
      <c r="C714" t="s">
        <v>15</v>
      </c>
      <c r="D714" t="s">
        <v>6</v>
      </c>
      <c r="E714" s="1">
        <v>43172.369039351855</v>
      </c>
    </row>
    <row r="715" spans="1:5">
      <c r="A715">
        <v>8812</v>
      </c>
      <c r="B715" t="s">
        <v>15</v>
      </c>
      <c r="C715" t="s">
        <v>15</v>
      </c>
      <c r="D715" t="s">
        <v>5</v>
      </c>
      <c r="E715" s="1">
        <v>43172.76935185185</v>
      </c>
    </row>
    <row r="716" spans="1:5">
      <c r="A716">
        <v>8813</v>
      </c>
      <c r="B716" t="s">
        <v>15</v>
      </c>
      <c r="C716" t="s">
        <v>15</v>
      </c>
      <c r="D716" t="s">
        <v>7</v>
      </c>
      <c r="E716" s="1">
        <v>43172.770925925928</v>
      </c>
    </row>
    <row r="717" spans="1:5">
      <c r="A717">
        <v>8830</v>
      </c>
      <c r="B717" t="s">
        <v>15</v>
      </c>
      <c r="C717" t="s">
        <v>15</v>
      </c>
      <c r="D717" t="s">
        <v>8</v>
      </c>
      <c r="E717" s="1">
        <v>43172.863553240742</v>
      </c>
    </row>
    <row r="718" spans="1:5">
      <c r="A718">
        <v>8842</v>
      </c>
      <c r="B718" t="s">
        <v>15</v>
      </c>
      <c r="C718" t="s">
        <v>15</v>
      </c>
      <c r="D718" t="s">
        <v>6</v>
      </c>
      <c r="E718" s="1">
        <v>43173.369479166664</v>
      </c>
    </row>
    <row r="719" spans="1:5">
      <c r="A719">
        <v>8849</v>
      </c>
      <c r="B719" t="s">
        <v>15</v>
      </c>
      <c r="C719" t="s">
        <v>15</v>
      </c>
      <c r="D719" t="s">
        <v>5</v>
      </c>
      <c r="E719" s="1">
        <v>43173.76798611111</v>
      </c>
    </row>
    <row r="720" spans="1:5">
      <c r="A720">
        <v>8856</v>
      </c>
      <c r="B720" t="s">
        <v>15</v>
      </c>
      <c r="C720" t="s">
        <v>15</v>
      </c>
      <c r="D720" t="s">
        <v>7</v>
      </c>
      <c r="E720" s="1">
        <v>43173.772187499999</v>
      </c>
    </row>
    <row r="721" spans="1:5">
      <c r="A721">
        <v>8860</v>
      </c>
      <c r="B721" t="s">
        <v>15</v>
      </c>
      <c r="C721" t="s">
        <v>15</v>
      </c>
      <c r="D721" t="s">
        <v>8</v>
      </c>
      <c r="E721" s="1">
        <v>43173.832083333335</v>
      </c>
    </row>
    <row r="722" spans="1:5">
      <c r="A722">
        <v>8861</v>
      </c>
      <c r="B722" t="s">
        <v>15</v>
      </c>
      <c r="C722" t="s">
        <v>15</v>
      </c>
      <c r="D722" t="s">
        <v>7</v>
      </c>
      <c r="E722" s="1">
        <v>43173.838993055557</v>
      </c>
    </row>
    <row r="723" spans="1:5">
      <c r="A723">
        <v>8870</v>
      </c>
      <c r="B723" t="s">
        <v>15</v>
      </c>
      <c r="C723" t="s">
        <v>15</v>
      </c>
      <c r="D723" t="s">
        <v>8</v>
      </c>
      <c r="E723" s="1">
        <v>43173.882060185184</v>
      </c>
    </row>
    <row r="724" spans="1:5">
      <c r="A724">
        <v>8877</v>
      </c>
      <c r="B724" t="s">
        <v>95</v>
      </c>
      <c r="C724" t="s">
        <v>15</v>
      </c>
      <c r="D724" t="s">
        <v>6</v>
      </c>
      <c r="E724" s="1">
        <v>43174.369270833333</v>
      </c>
    </row>
    <row r="725" spans="1:5">
      <c r="A725">
        <v>8887</v>
      </c>
      <c r="B725" t="s">
        <v>15</v>
      </c>
      <c r="C725" t="s">
        <v>15</v>
      </c>
      <c r="D725" t="s">
        <v>5</v>
      </c>
      <c r="E725" s="1">
        <v>43174.771319444444</v>
      </c>
    </row>
    <row r="726" spans="1:5">
      <c r="A726">
        <v>8888</v>
      </c>
      <c r="B726" t="s">
        <v>15</v>
      </c>
      <c r="C726" t="s">
        <v>15</v>
      </c>
      <c r="D726" t="s">
        <v>7</v>
      </c>
      <c r="E726" s="1">
        <v>43174.771354166667</v>
      </c>
    </row>
    <row r="727" spans="1:5">
      <c r="A727">
        <v>8902</v>
      </c>
      <c r="B727" t="s">
        <v>15</v>
      </c>
      <c r="C727" t="s">
        <v>15</v>
      </c>
      <c r="D727" t="s">
        <v>8</v>
      </c>
      <c r="E727" s="1">
        <v>43174.863692129627</v>
      </c>
    </row>
    <row r="728" spans="1:5">
      <c r="A728">
        <v>8906</v>
      </c>
      <c r="B728" t="s">
        <v>15</v>
      </c>
      <c r="C728" t="s">
        <v>15</v>
      </c>
      <c r="D728" t="s">
        <v>6</v>
      </c>
      <c r="E728" s="1">
        <v>43175.331493055557</v>
      </c>
    </row>
    <row r="729" spans="1:5">
      <c r="A729">
        <v>8918</v>
      </c>
      <c r="B729" t="s">
        <v>95</v>
      </c>
      <c r="C729" t="s">
        <v>15</v>
      </c>
      <c r="D729" t="s">
        <v>5</v>
      </c>
      <c r="E729" s="1">
        <v>43175.764872685184</v>
      </c>
    </row>
    <row r="730" spans="1:5">
      <c r="A730">
        <v>8960</v>
      </c>
      <c r="B730" t="s">
        <v>15</v>
      </c>
      <c r="C730" t="s">
        <v>15</v>
      </c>
      <c r="D730" t="s">
        <v>7</v>
      </c>
      <c r="E730" s="1">
        <v>43176.582395833335</v>
      </c>
    </row>
    <row r="731" spans="1:5">
      <c r="A731">
        <v>8969</v>
      </c>
      <c r="B731" t="s">
        <v>15</v>
      </c>
      <c r="C731" t="s">
        <v>15</v>
      </c>
      <c r="D731" t="s">
        <v>8</v>
      </c>
      <c r="E731" s="1">
        <v>43176.743437500001</v>
      </c>
    </row>
    <row r="732" spans="1:5">
      <c r="A732">
        <v>8970</v>
      </c>
      <c r="B732" t="s">
        <v>15</v>
      </c>
      <c r="C732" t="s">
        <v>15</v>
      </c>
      <c r="D732" t="s">
        <v>7</v>
      </c>
      <c r="E732" s="1">
        <v>43176.743495370371</v>
      </c>
    </row>
    <row r="733" spans="1:5">
      <c r="A733">
        <v>8971</v>
      </c>
      <c r="B733" t="s">
        <v>15</v>
      </c>
      <c r="C733" t="s">
        <v>15</v>
      </c>
      <c r="D733" t="s">
        <v>8</v>
      </c>
      <c r="E733" s="1">
        <v>43176.832384259258</v>
      </c>
    </row>
    <row r="734" spans="1:5">
      <c r="A734">
        <v>8982</v>
      </c>
      <c r="B734" t="s">
        <v>95</v>
      </c>
      <c r="C734" t="s">
        <v>15</v>
      </c>
      <c r="D734" t="s">
        <v>6</v>
      </c>
      <c r="E734" s="1">
        <v>43178.430451388886</v>
      </c>
    </row>
    <row r="735" spans="1:5">
      <c r="A735">
        <v>8983</v>
      </c>
      <c r="B735" t="s">
        <v>15</v>
      </c>
      <c r="C735" t="s">
        <v>15</v>
      </c>
      <c r="D735" t="s">
        <v>5</v>
      </c>
      <c r="E735" s="1">
        <v>43178.762141203704</v>
      </c>
    </row>
    <row r="736" spans="1:5">
      <c r="A736">
        <v>8995</v>
      </c>
      <c r="B736" t="s">
        <v>15</v>
      </c>
      <c r="C736" t="s">
        <v>15</v>
      </c>
      <c r="D736" t="s">
        <v>7</v>
      </c>
      <c r="E736" s="1">
        <v>43178.792187500003</v>
      </c>
    </row>
    <row r="737" spans="1:5">
      <c r="A737">
        <v>9002</v>
      </c>
      <c r="B737" t="s">
        <v>15</v>
      </c>
      <c r="C737" t="s">
        <v>15</v>
      </c>
      <c r="D737" t="s">
        <v>8</v>
      </c>
      <c r="E737" s="1">
        <v>43178.864652777775</v>
      </c>
    </row>
    <row r="738" spans="1:5">
      <c r="A738">
        <v>9013</v>
      </c>
      <c r="B738" t="s">
        <v>15</v>
      </c>
      <c r="C738" t="s">
        <v>15</v>
      </c>
      <c r="D738" t="s">
        <v>6</v>
      </c>
      <c r="E738" s="1">
        <v>43179.367002314815</v>
      </c>
    </row>
    <row r="739" spans="1:5">
      <c r="A739">
        <v>9023</v>
      </c>
      <c r="B739" t="s">
        <v>15</v>
      </c>
      <c r="C739" t="s">
        <v>15</v>
      </c>
      <c r="D739" t="s">
        <v>5</v>
      </c>
      <c r="E739" s="1">
        <v>43179.767951388887</v>
      </c>
    </row>
    <row r="740" spans="1:5">
      <c r="A740">
        <v>9048</v>
      </c>
      <c r="B740" t="s">
        <v>15</v>
      </c>
      <c r="C740" t="s">
        <v>15</v>
      </c>
      <c r="D740" t="s">
        <v>6</v>
      </c>
      <c r="E740" s="1">
        <v>43180.367048611108</v>
      </c>
    </row>
    <row r="741" spans="1:5">
      <c r="A741">
        <v>9059</v>
      </c>
      <c r="B741" t="s">
        <v>15</v>
      </c>
      <c r="C741" t="s">
        <v>15</v>
      </c>
      <c r="D741" t="s">
        <v>5</v>
      </c>
      <c r="E741" s="1">
        <v>43180.770208333335</v>
      </c>
    </row>
    <row r="742" spans="1:5">
      <c r="A742">
        <v>9062</v>
      </c>
      <c r="B742" t="s">
        <v>15</v>
      </c>
      <c r="C742" t="s">
        <v>15</v>
      </c>
      <c r="D742" t="s">
        <v>7</v>
      </c>
      <c r="E742" s="1">
        <v>43180.770879629628</v>
      </c>
    </row>
    <row r="743" spans="1:5">
      <c r="A743">
        <v>9076</v>
      </c>
      <c r="B743" t="s">
        <v>15</v>
      </c>
      <c r="C743" t="s">
        <v>15</v>
      </c>
      <c r="D743" t="s">
        <v>8</v>
      </c>
      <c r="E743" s="1">
        <v>43180.819282407407</v>
      </c>
    </row>
    <row r="744" spans="1:5">
      <c r="A744">
        <v>9083</v>
      </c>
      <c r="B744" t="s">
        <v>15</v>
      </c>
      <c r="C744" t="s">
        <v>15</v>
      </c>
      <c r="D744" t="s">
        <v>6</v>
      </c>
      <c r="E744" s="1">
        <v>43181.36409722222</v>
      </c>
    </row>
    <row r="745" spans="1:5">
      <c r="A745">
        <v>9092</v>
      </c>
      <c r="B745" t="s">
        <v>15</v>
      </c>
      <c r="C745" t="s">
        <v>15</v>
      </c>
      <c r="D745" t="s">
        <v>5</v>
      </c>
      <c r="E745" s="1">
        <v>43181.761145833334</v>
      </c>
    </row>
    <row r="746" spans="1:5">
      <c r="A746">
        <v>9105</v>
      </c>
      <c r="B746" t="s">
        <v>15</v>
      </c>
      <c r="C746" t="s">
        <v>15</v>
      </c>
      <c r="D746" t="s">
        <v>7</v>
      </c>
      <c r="E746" s="1">
        <v>43181.797777777778</v>
      </c>
    </row>
    <row r="747" spans="1:5">
      <c r="A747">
        <v>9115</v>
      </c>
      <c r="B747" t="s">
        <v>15</v>
      </c>
      <c r="C747" t="s">
        <v>15</v>
      </c>
      <c r="D747" t="s">
        <v>8</v>
      </c>
      <c r="E747" s="1">
        <v>43181.95579861111</v>
      </c>
    </row>
    <row r="748" spans="1:5">
      <c r="A748">
        <v>9119</v>
      </c>
      <c r="B748" t="s">
        <v>15</v>
      </c>
      <c r="C748" t="s">
        <v>15</v>
      </c>
      <c r="D748" t="s">
        <v>6</v>
      </c>
      <c r="E748" s="1">
        <v>43182.364560185182</v>
      </c>
    </row>
    <row r="749" spans="1:5">
      <c r="A749">
        <v>9136</v>
      </c>
      <c r="B749" t="s">
        <v>15</v>
      </c>
      <c r="C749" t="s">
        <v>15</v>
      </c>
      <c r="D749" t="s">
        <v>5</v>
      </c>
      <c r="E749" s="1">
        <v>43182.782997685186</v>
      </c>
    </row>
    <row r="750" spans="1:5">
      <c r="A750">
        <v>9143</v>
      </c>
      <c r="B750" t="s">
        <v>15</v>
      </c>
      <c r="C750" t="s">
        <v>15</v>
      </c>
      <c r="D750" t="s">
        <v>6</v>
      </c>
      <c r="E750" s="1">
        <v>43185.371342592596</v>
      </c>
    </row>
    <row r="751" spans="1:5">
      <c r="A751">
        <v>9151</v>
      </c>
      <c r="B751" t="s">
        <v>15</v>
      </c>
      <c r="C751" t="s">
        <v>15</v>
      </c>
      <c r="D751" t="s">
        <v>5</v>
      </c>
      <c r="E751" s="1">
        <v>43185.771157407406</v>
      </c>
    </row>
    <row r="752" spans="1:5">
      <c r="A752">
        <v>9167</v>
      </c>
      <c r="B752" t="s">
        <v>15</v>
      </c>
      <c r="C752" t="s">
        <v>15</v>
      </c>
      <c r="D752" t="s">
        <v>6</v>
      </c>
      <c r="E752" s="1">
        <v>43186.367314814815</v>
      </c>
    </row>
    <row r="753" spans="1:5">
      <c r="A753">
        <v>9171</v>
      </c>
      <c r="B753" t="s">
        <v>15</v>
      </c>
      <c r="C753" t="s">
        <v>15</v>
      </c>
      <c r="D753" t="s">
        <v>5</v>
      </c>
      <c r="E753" s="1">
        <v>43186.767210648148</v>
      </c>
    </row>
    <row r="754" spans="1:5">
      <c r="A754">
        <v>9172</v>
      </c>
      <c r="B754" t="s">
        <v>15</v>
      </c>
      <c r="C754" t="s">
        <v>15</v>
      </c>
      <c r="D754" t="s">
        <v>7</v>
      </c>
      <c r="E754" s="1">
        <v>43186.770891203705</v>
      </c>
    </row>
    <row r="755" spans="1:5">
      <c r="A755">
        <v>9178</v>
      </c>
      <c r="B755" t="s">
        <v>15</v>
      </c>
      <c r="C755" t="s">
        <v>15</v>
      </c>
      <c r="D755" t="s">
        <v>8</v>
      </c>
      <c r="E755" s="1">
        <v>43186.773726851854</v>
      </c>
    </row>
    <row r="756" spans="1:5">
      <c r="A756">
        <v>9186</v>
      </c>
      <c r="B756" t="s">
        <v>15</v>
      </c>
      <c r="C756" t="s">
        <v>15</v>
      </c>
      <c r="D756" t="s">
        <v>7</v>
      </c>
      <c r="E756" s="1">
        <v>43186.834930555553</v>
      </c>
    </row>
    <row r="757" spans="1:5">
      <c r="A757">
        <v>9188</v>
      </c>
      <c r="B757" t="s">
        <v>15</v>
      </c>
      <c r="C757" t="s">
        <v>15</v>
      </c>
      <c r="D757" t="s">
        <v>8</v>
      </c>
      <c r="E757" s="1">
        <v>43186.896597222221</v>
      </c>
    </row>
    <row r="758" spans="1:5">
      <c r="A758">
        <v>9194</v>
      </c>
      <c r="B758" t="s">
        <v>15</v>
      </c>
      <c r="C758" t="s">
        <v>15</v>
      </c>
      <c r="D758" t="s">
        <v>6</v>
      </c>
      <c r="E758" s="1">
        <v>43187.364560185182</v>
      </c>
    </row>
    <row r="759" spans="1:5">
      <c r="A759">
        <v>9203</v>
      </c>
      <c r="B759" t="s">
        <v>15</v>
      </c>
      <c r="C759" t="s">
        <v>15</v>
      </c>
      <c r="D759" t="s">
        <v>5</v>
      </c>
      <c r="E759" s="1">
        <v>43187.769456018519</v>
      </c>
    </row>
    <row r="760" spans="1:5">
      <c r="A760">
        <v>9204</v>
      </c>
      <c r="B760" t="s">
        <v>15</v>
      </c>
      <c r="C760" t="s">
        <v>15</v>
      </c>
      <c r="D760" t="s">
        <v>7</v>
      </c>
      <c r="E760" s="1">
        <v>43187.770844907405</v>
      </c>
    </row>
    <row r="761" spans="1:5">
      <c r="A761">
        <v>9217</v>
      </c>
      <c r="B761" t="s">
        <v>15</v>
      </c>
      <c r="C761" t="s">
        <v>15</v>
      </c>
      <c r="D761" t="s">
        <v>8</v>
      </c>
      <c r="E761" s="1">
        <v>43187.787708333337</v>
      </c>
    </row>
    <row r="762" spans="1:5">
      <c r="A762">
        <v>9231</v>
      </c>
      <c r="B762" t="s">
        <v>15</v>
      </c>
      <c r="C762" t="s">
        <v>15</v>
      </c>
      <c r="D762" t="s">
        <v>6</v>
      </c>
      <c r="E762" s="1">
        <v>43188.369293981479</v>
      </c>
    </row>
    <row r="763" spans="1:5">
      <c r="A763">
        <v>9238</v>
      </c>
      <c r="B763" t="s">
        <v>15</v>
      </c>
      <c r="C763" t="s">
        <v>15</v>
      </c>
      <c r="D763" t="s">
        <v>5</v>
      </c>
      <c r="E763" s="1">
        <v>43188.766377314816</v>
      </c>
    </row>
    <row r="764" spans="1:5">
      <c r="A764">
        <v>9250</v>
      </c>
      <c r="B764" t="s">
        <v>15</v>
      </c>
      <c r="C764" t="s">
        <v>15</v>
      </c>
      <c r="D764" t="s">
        <v>7</v>
      </c>
      <c r="E764" s="1">
        <v>43188.792314814818</v>
      </c>
    </row>
    <row r="765" spans="1:5">
      <c r="A765">
        <v>9257</v>
      </c>
      <c r="B765" t="s">
        <v>15</v>
      </c>
      <c r="C765" t="s">
        <v>15</v>
      </c>
      <c r="D765" t="s">
        <v>8</v>
      </c>
      <c r="E765" s="1">
        <v>43188.84951388889</v>
      </c>
    </row>
    <row r="766" spans="1:5">
      <c r="A766">
        <v>9288</v>
      </c>
      <c r="B766" t="s">
        <v>15</v>
      </c>
      <c r="C766" t="s">
        <v>15</v>
      </c>
      <c r="D766" t="s">
        <v>6</v>
      </c>
      <c r="E766" s="1">
        <v>43190.366944444446</v>
      </c>
    </row>
    <row r="767" spans="1:5">
      <c r="A767">
        <v>9296</v>
      </c>
      <c r="B767" t="s">
        <v>15</v>
      </c>
      <c r="C767" t="s">
        <v>15</v>
      </c>
      <c r="D767" t="s">
        <v>5</v>
      </c>
      <c r="E767" s="1">
        <v>43190.770370370374</v>
      </c>
    </row>
    <row r="768" spans="1:5">
      <c r="A768">
        <v>9299</v>
      </c>
      <c r="B768" t="s">
        <v>15</v>
      </c>
      <c r="C768" t="s">
        <v>15</v>
      </c>
      <c r="D768" t="s">
        <v>7</v>
      </c>
      <c r="E768" s="1">
        <v>43190.770833333336</v>
      </c>
    </row>
    <row r="769" spans="1:5">
      <c r="A769">
        <v>9303</v>
      </c>
      <c r="B769" t="s">
        <v>15</v>
      </c>
      <c r="C769" t="s">
        <v>15</v>
      </c>
      <c r="D769" t="s">
        <v>8</v>
      </c>
      <c r="E769" s="1">
        <v>43190.788101851853</v>
      </c>
    </row>
    <row r="770" spans="1:5">
      <c r="A770">
        <v>9320</v>
      </c>
      <c r="B770" t="s">
        <v>95</v>
      </c>
      <c r="C770" t="s">
        <v>15</v>
      </c>
      <c r="D770" t="s">
        <v>6</v>
      </c>
      <c r="E770" s="1">
        <v>43192.36923611111</v>
      </c>
    </row>
    <row r="771" spans="1:5">
      <c r="A771">
        <v>9329</v>
      </c>
      <c r="B771" t="s">
        <v>15</v>
      </c>
      <c r="C771" t="s">
        <v>15</v>
      </c>
      <c r="D771" t="s">
        <v>5</v>
      </c>
      <c r="E771" s="1">
        <v>43192.76829861111</v>
      </c>
    </row>
    <row r="772" spans="1:5">
      <c r="A772">
        <v>9337</v>
      </c>
      <c r="B772" t="s">
        <v>15</v>
      </c>
      <c r="C772" t="s">
        <v>15</v>
      </c>
      <c r="D772" t="s">
        <v>7</v>
      </c>
      <c r="E772" s="1">
        <v>43192.774745370371</v>
      </c>
    </row>
    <row r="773" spans="1:5">
      <c r="A773">
        <v>8529</v>
      </c>
      <c r="B773" t="s">
        <v>90</v>
      </c>
      <c r="C773" t="s">
        <v>90</v>
      </c>
      <c r="D773" t="s">
        <v>6</v>
      </c>
      <c r="E773" s="1">
        <v>43161.372106481482</v>
      </c>
    </row>
    <row r="774" spans="1:5">
      <c r="A774">
        <v>8531</v>
      </c>
      <c r="B774" t="s">
        <v>90</v>
      </c>
      <c r="C774" t="s">
        <v>90</v>
      </c>
      <c r="D774" t="s">
        <v>5</v>
      </c>
      <c r="E774" s="1">
        <v>43161.505891203706</v>
      </c>
    </row>
    <row r="775" spans="1:5">
      <c r="A775">
        <v>8558</v>
      </c>
      <c r="B775" t="s">
        <v>90</v>
      </c>
      <c r="C775" t="s">
        <v>90</v>
      </c>
      <c r="D775" t="s">
        <v>6</v>
      </c>
      <c r="E775" s="1">
        <v>43164.362858796296</v>
      </c>
    </row>
    <row r="776" spans="1:5">
      <c r="A776">
        <v>8587</v>
      </c>
      <c r="B776" t="s">
        <v>90</v>
      </c>
      <c r="C776" t="s">
        <v>90</v>
      </c>
      <c r="D776" t="s">
        <v>5</v>
      </c>
      <c r="E776" s="1">
        <v>43164.83898148148</v>
      </c>
    </row>
    <row r="777" spans="1:5">
      <c r="A777">
        <v>8638</v>
      </c>
      <c r="B777" t="s">
        <v>90</v>
      </c>
      <c r="C777" t="s">
        <v>90</v>
      </c>
      <c r="D777" t="s">
        <v>6</v>
      </c>
      <c r="E777" s="1">
        <v>43166.650659722225</v>
      </c>
    </row>
    <row r="778" spans="1:5">
      <c r="A778">
        <v>8658</v>
      </c>
      <c r="B778" t="s">
        <v>90</v>
      </c>
      <c r="C778" t="s">
        <v>90</v>
      </c>
      <c r="D778" t="s">
        <v>5</v>
      </c>
      <c r="E778" s="1">
        <v>43166.864432870374</v>
      </c>
    </row>
    <row r="779" spans="1:5">
      <c r="A779">
        <v>8698</v>
      </c>
      <c r="B779" t="s">
        <v>90</v>
      </c>
      <c r="C779" t="s">
        <v>90</v>
      </c>
      <c r="D779" t="s">
        <v>6</v>
      </c>
      <c r="E779" s="1">
        <v>43168.369363425925</v>
      </c>
    </row>
    <row r="780" spans="1:5">
      <c r="A780">
        <v>8703</v>
      </c>
      <c r="B780" t="s">
        <v>90</v>
      </c>
      <c r="C780" t="s">
        <v>90</v>
      </c>
      <c r="D780" t="s">
        <v>5</v>
      </c>
      <c r="E780" s="1">
        <v>43168.507569444446</v>
      </c>
    </row>
    <row r="781" spans="1:5">
      <c r="A781">
        <v>8719</v>
      </c>
      <c r="B781" t="s">
        <v>90</v>
      </c>
      <c r="C781" t="s">
        <v>90</v>
      </c>
      <c r="D781" t="s">
        <v>7</v>
      </c>
      <c r="E781" s="1">
        <v>43169.41810185185</v>
      </c>
    </row>
    <row r="782" spans="1:5">
      <c r="A782">
        <v>8723</v>
      </c>
      <c r="B782" t="s">
        <v>90</v>
      </c>
      <c r="C782" t="s">
        <v>90</v>
      </c>
      <c r="D782" t="s">
        <v>8</v>
      </c>
      <c r="E782" s="1">
        <v>43169.51972222222</v>
      </c>
    </row>
    <row r="783" spans="1:5">
      <c r="A783">
        <v>8771</v>
      </c>
      <c r="B783" t="s">
        <v>90</v>
      </c>
      <c r="C783" t="s">
        <v>90</v>
      </c>
      <c r="D783" t="s">
        <v>6</v>
      </c>
      <c r="E783" s="1">
        <v>43171.375775462962</v>
      </c>
    </row>
    <row r="784" spans="1:5">
      <c r="A784">
        <v>8787</v>
      </c>
      <c r="B784" t="s">
        <v>90</v>
      </c>
      <c r="C784" t="s">
        <v>90</v>
      </c>
      <c r="D784" t="s">
        <v>5</v>
      </c>
      <c r="E784" s="1">
        <v>43171.786782407406</v>
      </c>
    </row>
    <row r="785" spans="1:5">
      <c r="A785">
        <v>8848</v>
      </c>
      <c r="B785" t="s">
        <v>103</v>
      </c>
      <c r="C785" t="s">
        <v>90</v>
      </c>
      <c r="D785" t="s">
        <v>6</v>
      </c>
      <c r="E785" s="1">
        <v>43173.715868055559</v>
      </c>
    </row>
    <row r="786" spans="1:5">
      <c r="A786">
        <v>8865</v>
      </c>
      <c r="B786" t="s">
        <v>90</v>
      </c>
      <c r="C786" t="s">
        <v>90</v>
      </c>
      <c r="D786" t="s">
        <v>5</v>
      </c>
      <c r="E786" s="1">
        <v>43173.858969907407</v>
      </c>
    </row>
    <row r="787" spans="1:5">
      <c r="A787">
        <v>8911</v>
      </c>
      <c r="B787" t="s">
        <v>90</v>
      </c>
      <c r="C787" t="s">
        <v>90</v>
      </c>
      <c r="D787" t="s">
        <v>6</v>
      </c>
      <c r="E787" s="1">
        <v>43175.36445601852</v>
      </c>
    </row>
    <row r="788" spans="1:5">
      <c r="A788">
        <v>8917</v>
      </c>
      <c r="B788" t="s">
        <v>90</v>
      </c>
      <c r="C788" t="s">
        <v>90</v>
      </c>
      <c r="D788" t="s">
        <v>5</v>
      </c>
      <c r="E788" s="1">
        <v>43175.499918981484</v>
      </c>
    </row>
    <row r="789" spans="1:5">
      <c r="A789">
        <v>8945</v>
      </c>
      <c r="B789" t="s">
        <v>90</v>
      </c>
      <c r="C789" t="s">
        <v>90</v>
      </c>
      <c r="D789" t="s">
        <v>6</v>
      </c>
      <c r="E789" s="1">
        <v>43176.426099537035</v>
      </c>
    </row>
    <row r="790" spans="1:5">
      <c r="A790">
        <v>8963</v>
      </c>
      <c r="B790" t="s">
        <v>90</v>
      </c>
      <c r="C790" t="s">
        <v>90</v>
      </c>
      <c r="D790" t="s">
        <v>5</v>
      </c>
      <c r="E790" s="1">
        <v>43176.643912037034</v>
      </c>
    </row>
    <row r="791" spans="1:5">
      <c r="A791">
        <v>8981</v>
      </c>
      <c r="B791" t="s">
        <v>90</v>
      </c>
      <c r="C791" t="s">
        <v>90</v>
      </c>
      <c r="D791" t="s">
        <v>6</v>
      </c>
      <c r="E791" s="1">
        <v>43178.383750000001</v>
      </c>
    </row>
    <row r="792" spans="1:5">
      <c r="A792">
        <v>9005</v>
      </c>
      <c r="B792" t="s">
        <v>90</v>
      </c>
      <c r="C792" t="s">
        <v>90</v>
      </c>
      <c r="D792" t="s">
        <v>5</v>
      </c>
      <c r="E792" s="1">
        <v>43178.875960648147</v>
      </c>
    </row>
    <row r="793" spans="1:5">
      <c r="A793">
        <v>9020</v>
      </c>
      <c r="B793" t="s">
        <v>104</v>
      </c>
      <c r="C793" t="s">
        <v>90</v>
      </c>
      <c r="D793" t="s">
        <v>6</v>
      </c>
      <c r="E793" s="1">
        <v>43179.71974537037</v>
      </c>
    </row>
    <row r="794" spans="1:5">
      <c r="A794">
        <v>9041</v>
      </c>
      <c r="B794" t="s">
        <v>90</v>
      </c>
      <c r="C794" t="s">
        <v>90</v>
      </c>
      <c r="D794" t="s">
        <v>5</v>
      </c>
      <c r="E794" s="1">
        <v>43179.830590277779</v>
      </c>
    </row>
    <row r="795" spans="1:5">
      <c r="A795">
        <v>9125</v>
      </c>
      <c r="B795" t="s">
        <v>90</v>
      </c>
      <c r="C795" t="s">
        <v>90</v>
      </c>
      <c r="D795" t="s">
        <v>6</v>
      </c>
      <c r="E795" s="1">
        <v>43182.377662037034</v>
      </c>
    </row>
    <row r="796" spans="1:5">
      <c r="A796">
        <v>9127</v>
      </c>
      <c r="B796" t="s">
        <v>90</v>
      </c>
      <c r="C796" t="s">
        <v>90</v>
      </c>
      <c r="D796" t="s">
        <v>5</v>
      </c>
      <c r="E796" s="1">
        <v>43182.504259259258</v>
      </c>
    </row>
    <row r="797" spans="1:5">
      <c r="A797">
        <v>9145</v>
      </c>
      <c r="B797" t="s">
        <v>90</v>
      </c>
      <c r="C797" t="s">
        <v>90</v>
      </c>
      <c r="D797" t="s">
        <v>6</v>
      </c>
      <c r="E797" s="1">
        <v>43185.413958333331</v>
      </c>
    </row>
    <row r="798" spans="1:5">
      <c r="A798">
        <v>9162</v>
      </c>
      <c r="B798" t="s">
        <v>90</v>
      </c>
      <c r="C798" t="s">
        <v>90</v>
      </c>
      <c r="D798" t="s">
        <v>5</v>
      </c>
      <c r="E798" s="1">
        <v>43185.863530092596</v>
      </c>
    </row>
    <row r="799" spans="1:5">
      <c r="A799">
        <v>9200</v>
      </c>
      <c r="B799" t="s">
        <v>104</v>
      </c>
      <c r="C799" t="s">
        <v>90</v>
      </c>
      <c r="D799" t="s">
        <v>6</v>
      </c>
      <c r="E799" s="1">
        <v>43187.714548611111</v>
      </c>
    </row>
    <row r="800" spans="1:5">
      <c r="A800">
        <v>9221</v>
      </c>
      <c r="B800" t="s">
        <v>90</v>
      </c>
      <c r="C800" t="s">
        <v>90</v>
      </c>
      <c r="D800" t="s">
        <v>5</v>
      </c>
      <c r="E800" s="1">
        <v>43187.866053240738</v>
      </c>
    </row>
    <row r="801" spans="1:5">
      <c r="A801">
        <v>9265</v>
      </c>
      <c r="B801" t="s">
        <v>90</v>
      </c>
      <c r="C801" t="s">
        <v>90</v>
      </c>
      <c r="D801" t="s">
        <v>6</v>
      </c>
      <c r="E801" s="1">
        <v>43189.371296296296</v>
      </c>
    </row>
    <row r="802" spans="1:5">
      <c r="A802">
        <v>9268</v>
      </c>
      <c r="B802" t="s">
        <v>90</v>
      </c>
      <c r="C802" t="s">
        <v>90</v>
      </c>
      <c r="D802" t="s">
        <v>5</v>
      </c>
      <c r="E802" s="1">
        <v>43189.503159722219</v>
      </c>
    </row>
    <row r="803" spans="1:5">
      <c r="A803">
        <v>9322</v>
      </c>
      <c r="B803" t="s">
        <v>90</v>
      </c>
      <c r="C803" t="s">
        <v>90</v>
      </c>
      <c r="D803" t="s">
        <v>6</v>
      </c>
      <c r="E803" s="1">
        <v>43192.390509259261</v>
      </c>
    </row>
    <row r="804" spans="1:5">
      <c r="A804">
        <v>8497</v>
      </c>
      <c r="B804" t="s">
        <v>92</v>
      </c>
      <c r="C804" t="s">
        <v>91</v>
      </c>
      <c r="D804" t="s">
        <v>6</v>
      </c>
      <c r="E804" s="1">
        <v>43160.376539351855</v>
      </c>
    </row>
    <row r="805" spans="1:5">
      <c r="A805">
        <v>8500</v>
      </c>
      <c r="B805" t="s">
        <v>91</v>
      </c>
      <c r="C805" t="s">
        <v>91</v>
      </c>
      <c r="D805" t="s">
        <v>5</v>
      </c>
      <c r="E805" s="1">
        <v>43160.761712962965</v>
      </c>
    </row>
    <row r="806" spans="1:5">
      <c r="A806">
        <v>8530</v>
      </c>
      <c r="B806" t="s">
        <v>91</v>
      </c>
      <c r="C806" t="s">
        <v>91</v>
      </c>
      <c r="D806" t="s">
        <v>6</v>
      </c>
      <c r="E806" s="1">
        <v>43161.382303240738</v>
      </c>
    </row>
    <row r="807" spans="1:5">
      <c r="A807">
        <v>8549</v>
      </c>
      <c r="B807" t="s">
        <v>92</v>
      </c>
      <c r="C807" t="s">
        <v>91</v>
      </c>
      <c r="D807" t="s">
        <v>6</v>
      </c>
      <c r="E807" s="1">
        <v>43162.486400462964</v>
      </c>
    </row>
    <row r="808" spans="1:5">
      <c r="A808">
        <v>8552</v>
      </c>
      <c r="B808" t="s">
        <v>91</v>
      </c>
      <c r="C808" t="s">
        <v>91</v>
      </c>
      <c r="D808" t="s">
        <v>5</v>
      </c>
      <c r="E808" s="1">
        <v>43162.661828703705</v>
      </c>
    </row>
    <row r="809" spans="1:5">
      <c r="A809">
        <v>8553</v>
      </c>
      <c r="B809" t="s">
        <v>91</v>
      </c>
      <c r="C809" t="s">
        <v>91</v>
      </c>
      <c r="D809" t="s">
        <v>6</v>
      </c>
      <c r="E809" s="1">
        <v>43162.683321759258</v>
      </c>
    </row>
    <row r="810" spans="1:5">
      <c r="A810">
        <v>8555</v>
      </c>
      <c r="B810" t="s">
        <v>92</v>
      </c>
      <c r="C810" t="s">
        <v>91</v>
      </c>
      <c r="D810" t="s">
        <v>5</v>
      </c>
      <c r="E810" s="1">
        <v>43162.897245370368</v>
      </c>
    </row>
    <row r="811" spans="1:5">
      <c r="A811">
        <v>8563</v>
      </c>
      <c r="B811" t="s">
        <v>91</v>
      </c>
      <c r="C811" t="s">
        <v>91</v>
      </c>
      <c r="D811" t="s">
        <v>6</v>
      </c>
      <c r="E811" s="1">
        <v>43164.369537037041</v>
      </c>
    </row>
    <row r="812" spans="1:5">
      <c r="A812">
        <v>8593</v>
      </c>
      <c r="B812" t="s">
        <v>92</v>
      </c>
      <c r="C812" t="s">
        <v>91</v>
      </c>
      <c r="D812" t="s">
        <v>5</v>
      </c>
      <c r="E812" s="1">
        <v>43164.941701388889</v>
      </c>
    </row>
    <row r="813" spans="1:5">
      <c r="A813">
        <v>8603</v>
      </c>
      <c r="B813" t="s">
        <v>92</v>
      </c>
      <c r="C813" t="s">
        <v>91</v>
      </c>
      <c r="D813" t="s">
        <v>6</v>
      </c>
      <c r="E813" s="1">
        <v>43165.383159722223</v>
      </c>
    </row>
    <row r="814" spans="1:5">
      <c r="A814">
        <v>8605</v>
      </c>
      <c r="B814" t="s">
        <v>96</v>
      </c>
      <c r="C814" t="s">
        <v>91</v>
      </c>
      <c r="D814" t="s">
        <v>5</v>
      </c>
      <c r="E814" s="1">
        <v>43165.761284722219</v>
      </c>
    </row>
    <row r="815" spans="1:5">
      <c r="A815">
        <v>8635</v>
      </c>
      <c r="B815" t="s">
        <v>96</v>
      </c>
      <c r="C815" t="s">
        <v>91</v>
      </c>
      <c r="D815" t="s">
        <v>6</v>
      </c>
      <c r="E815" s="1">
        <v>43166.399178240739</v>
      </c>
    </row>
    <row r="816" spans="1:5">
      <c r="A816">
        <v>8660</v>
      </c>
      <c r="B816" t="s">
        <v>92</v>
      </c>
      <c r="C816" t="s">
        <v>91</v>
      </c>
      <c r="D816" t="s">
        <v>5</v>
      </c>
      <c r="E816" s="1">
        <v>43166.918379629627</v>
      </c>
    </row>
    <row r="817" spans="1:5">
      <c r="A817">
        <v>8662</v>
      </c>
      <c r="B817" t="s">
        <v>91</v>
      </c>
      <c r="C817" t="s">
        <v>91</v>
      </c>
      <c r="D817" t="s">
        <v>6</v>
      </c>
      <c r="E817" s="1">
        <v>43167.357511574075</v>
      </c>
    </row>
    <row r="818" spans="1:5">
      <c r="A818">
        <v>8676</v>
      </c>
      <c r="B818" t="s">
        <v>91</v>
      </c>
      <c r="C818" t="s">
        <v>91</v>
      </c>
      <c r="D818" t="s">
        <v>5</v>
      </c>
      <c r="E818" s="1">
        <v>43167.767939814818</v>
      </c>
    </row>
    <row r="819" spans="1:5">
      <c r="A819">
        <v>8702</v>
      </c>
      <c r="B819" t="s">
        <v>92</v>
      </c>
      <c r="C819" t="s">
        <v>91</v>
      </c>
      <c r="D819" t="s">
        <v>6</v>
      </c>
      <c r="E819" s="1">
        <v>43168.381712962961</v>
      </c>
    </row>
    <row r="820" spans="1:5">
      <c r="A820">
        <v>8716</v>
      </c>
      <c r="B820" t="s">
        <v>92</v>
      </c>
      <c r="C820" t="s">
        <v>91</v>
      </c>
      <c r="D820" t="s">
        <v>5</v>
      </c>
      <c r="E820" s="1">
        <v>43168.887557870374</v>
      </c>
    </row>
    <row r="821" spans="1:5">
      <c r="A821">
        <v>8731</v>
      </c>
      <c r="B821" t="s">
        <v>96</v>
      </c>
      <c r="C821" t="s">
        <v>91</v>
      </c>
      <c r="D821" t="s">
        <v>6</v>
      </c>
      <c r="E821" s="1">
        <v>43170.428483796299</v>
      </c>
    </row>
    <row r="822" spans="1:5">
      <c r="A822">
        <v>8739</v>
      </c>
      <c r="B822" t="s">
        <v>91</v>
      </c>
      <c r="C822" t="s">
        <v>91</v>
      </c>
      <c r="D822" t="s">
        <v>5</v>
      </c>
      <c r="E822" s="1">
        <v>43170.561145833337</v>
      </c>
    </row>
    <row r="823" spans="1:5">
      <c r="A823">
        <v>8744</v>
      </c>
      <c r="B823" t="s">
        <v>92</v>
      </c>
      <c r="C823" t="s">
        <v>91</v>
      </c>
      <c r="D823" t="s">
        <v>6</v>
      </c>
      <c r="E823" s="1">
        <v>43170.604456018518</v>
      </c>
    </row>
    <row r="824" spans="1:5">
      <c r="A824">
        <v>8747</v>
      </c>
      <c r="B824" t="s">
        <v>92</v>
      </c>
      <c r="C824" t="s">
        <v>91</v>
      </c>
      <c r="D824" t="s">
        <v>5</v>
      </c>
      <c r="E824" s="1">
        <v>43170.747303240743</v>
      </c>
    </row>
    <row r="825" spans="1:5">
      <c r="A825">
        <v>8748</v>
      </c>
      <c r="B825" t="s">
        <v>92</v>
      </c>
      <c r="C825" t="s">
        <v>91</v>
      </c>
      <c r="D825" t="s">
        <v>6</v>
      </c>
      <c r="E825" s="1">
        <v>43170.748113425929</v>
      </c>
    </row>
    <row r="826" spans="1:5">
      <c r="A826">
        <v>8760</v>
      </c>
      <c r="B826" t="s">
        <v>92</v>
      </c>
      <c r="C826" t="s">
        <v>91</v>
      </c>
      <c r="D826" t="s">
        <v>5</v>
      </c>
      <c r="E826" s="1">
        <v>43170.797407407408</v>
      </c>
    </row>
    <row r="827" spans="1:5">
      <c r="A827">
        <v>8772</v>
      </c>
      <c r="B827" t="s">
        <v>91</v>
      </c>
      <c r="C827" t="s">
        <v>91</v>
      </c>
      <c r="D827" t="s">
        <v>6</v>
      </c>
      <c r="E827" s="1">
        <v>43171.382048611114</v>
      </c>
    </row>
    <row r="828" spans="1:5">
      <c r="A828">
        <v>8798</v>
      </c>
      <c r="B828" t="s">
        <v>92</v>
      </c>
      <c r="C828" t="s">
        <v>91</v>
      </c>
      <c r="D828" t="s">
        <v>5</v>
      </c>
      <c r="E828" s="1">
        <v>43171.914039351854</v>
      </c>
    </row>
    <row r="829" spans="1:5">
      <c r="A829">
        <v>8806</v>
      </c>
      <c r="B829" t="s">
        <v>96</v>
      </c>
      <c r="C829" t="s">
        <v>91</v>
      </c>
      <c r="D829" t="s">
        <v>6</v>
      </c>
      <c r="E829" s="1">
        <v>43172.368321759262</v>
      </c>
    </row>
    <row r="830" spans="1:5">
      <c r="A830">
        <v>8823</v>
      </c>
      <c r="B830" t="s">
        <v>91</v>
      </c>
      <c r="C830" t="s">
        <v>91</v>
      </c>
      <c r="D830" t="s">
        <v>5</v>
      </c>
      <c r="E830" s="1">
        <v>43172.773449074077</v>
      </c>
    </row>
    <row r="831" spans="1:5">
      <c r="A831">
        <v>8845</v>
      </c>
      <c r="B831" t="s">
        <v>91</v>
      </c>
      <c r="C831" t="s">
        <v>91</v>
      </c>
      <c r="D831" t="s">
        <v>6</v>
      </c>
      <c r="E831" s="1">
        <v>43173.372731481482</v>
      </c>
    </row>
    <row r="832" spans="1:5">
      <c r="A832">
        <v>8869</v>
      </c>
      <c r="B832" t="s">
        <v>91</v>
      </c>
      <c r="C832" t="s">
        <v>91</v>
      </c>
      <c r="D832" t="s">
        <v>5</v>
      </c>
      <c r="E832" s="1">
        <v>43173.876458333332</v>
      </c>
    </row>
    <row r="833" spans="1:5">
      <c r="A833">
        <v>8881</v>
      </c>
      <c r="B833" t="s">
        <v>96</v>
      </c>
      <c r="C833" t="s">
        <v>91</v>
      </c>
      <c r="D833" t="s">
        <v>6</v>
      </c>
      <c r="E833" s="1">
        <v>43174.379340277781</v>
      </c>
    </row>
    <row r="834" spans="1:5">
      <c r="A834">
        <v>8895</v>
      </c>
      <c r="B834" t="s">
        <v>91</v>
      </c>
      <c r="C834" t="s">
        <v>91</v>
      </c>
      <c r="D834" t="s">
        <v>5</v>
      </c>
      <c r="E834" s="1">
        <v>43174.775312500002</v>
      </c>
    </row>
    <row r="835" spans="1:5">
      <c r="A835">
        <v>8916</v>
      </c>
      <c r="B835" t="s">
        <v>91</v>
      </c>
      <c r="C835" t="s">
        <v>91</v>
      </c>
      <c r="D835" t="s">
        <v>6</v>
      </c>
      <c r="E835" s="1">
        <v>43175.389456018522</v>
      </c>
    </row>
    <row r="836" spans="1:5">
      <c r="A836">
        <v>8941</v>
      </c>
      <c r="B836" t="s">
        <v>96</v>
      </c>
      <c r="C836" t="s">
        <v>91</v>
      </c>
      <c r="D836" t="s">
        <v>5</v>
      </c>
      <c r="E836" s="1">
        <v>43175.910613425927</v>
      </c>
    </row>
    <row r="837" spans="1:5">
      <c r="A837">
        <v>8950</v>
      </c>
      <c r="B837" t="s">
        <v>96</v>
      </c>
      <c r="C837" t="s">
        <v>91</v>
      </c>
      <c r="D837" t="s">
        <v>6</v>
      </c>
      <c r="E837" s="1">
        <v>43176.471851851849</v>
      </c>
    </row>
    <row r="838" spans="1:5">
      <c r="A838">
        <v>8972</v>
      </c>
      <c r="B838" t="s">
        <v>96</v>
      </c>
      <c r="C838" t="s">
        <v>91</v>
      </c>
      <c r="D838" t="s">
        <v>5</v>
      </c>
      <c r="E838" s="1">
        <v>43176.836921296293</v>
      </c>
    </row>
    <row r="839" spans="1:5">
      <c r="A839">
        <v>8977</v>
      </c>
      <c r="B839" t="s">
        <v>91</v>
      </c>
      <c r="C839" t="s">
        <v>91</v>
      </c>
      <c r="D839" t="s">
        <v>6</v>
      </c>
      <c r="E839" s="1">
        <v>43178.368078703701</v>
      </c>
    </row>
    <row r="840" spans="1:5">
      <c r="A840">
        <v>8992</v>
      </c>
      <c r="B840" t="s">
        <v>92</v>
      </c>
      <c r="C840" t="s">
        <v>91</v>
      </c>
      <c r="D840" t="s">
        <v>5</v>
      </c>
      <c r="E840" s="1">
        <v>43178.770011574074</v>
      </c>
    </row>
    <row r="841" spans="1:5">
      <c r="A841">
        <v>8993</v>
      </c>
      <c r="B841" t="s">
        <v>92</v>
      </c>
      <c r="C841" t="s">
        <v>91</v>
      </c>
      <c r="D841" t="s">
        <v>7</v>
      </c>
      <c r="E841" s="1">
        <v>43178.770069444443</v>
      </c>
    </row>
    <row r="842" spans="1:5">
      <c r="A842">
        <v>9004</v>
      </c>
      <c r="B842" t="s">
        <v>91</v>
      </c>
      <c r="C842" t="s">
        <v>91</v>
      </c>
      <c r="D842" t="s">
        <v>8</v>
      </c>
      <c r="E842" s="1">
        <v>43178.868437500001</v>
      </c>
    </row>
    <row r="843" spans="1:5">
      <c r="A843">
        <v>9017</v>
      </c>
      <c r="B843" t="s">
        <v>91</v>
      </c>
      <c r="C843" t="s">
        <v>91</v>
      </c>
      <c r="D843" t="s">
        <v>6</v>
      </c>
      <c r="E843" s="1">
        <v>43179.37332175926</v>
      </c>
    </row>
    <row r="844" spans="1:5">
      <c r="A844">
        <v>9021</v>
      </c>
      <c r="B844" t="s">
        <v>96</v>
      </c>
      <c r="C844" t="s">
        <v>91</v>
      </c>
      <c r="D844" t="s">
        <v>5</v>
      </c>
      <c r="E844" s="1">
        <v>43179.76152777778</v>
      </c>
    </row>
    <row r="845" spans="1:5">
      <c r="A845">
        <v>9054</v>
      </c>
      <c r="B845" t="s">
        <v>96</v>
      </c>
      <c r="C845" t="s">
        <v>91</v>
      </c>
      <c r="D845" t="s">
        <v>6</v>
      </c>
      <c r="E845" s="1">
        <v>43180.375254629631</v>
      </c>
    </row>
    <row r="846" spans="1:5">
      <c r="A846">
        <v>9071</v>
      </c>
      <c r="B846" t="s">
        <v>91</v>
      </c>
      <c r="C846" t="s">
        <v>91</v>
      </c>
      <c r="D846" t="s">
        <v>5</v>
      </c>
      <c r="E846" s="1">
        <v>43180.79347222222</v>
      </c>
    </row>
    <row r="847" spans="1:5">
      <c r="A847">
        <v>9075</v>
      </c>
      <c r="B847" t="s">
        <v>92</v>
      </c>
      <c r="C847" t="s">
        <v>91</v>
      </c>
      <c r="D847" t="s">
        <v>7</v>
      </c>
      <c r="E847" s="1">
        <v>43180.817465277774</v>
      </c>
    </row>
    <row r="848" spans="1:5">
      <c r="A848">
        <v>9080</v>
      </c>
      <c r="B848" t="s">
        <v>92</v>
      </c>
      <c r="C848" t="s">
        <v>91</v>
      </c>
      <c r="D848" t="s">
        <v>8</v>
      </c>
      <c r="E848" s="1">
        <v>43180.893796296295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E854"/>
  <sheetViews>
    <sheetView workbookViewId="0"/>
  </sheetViews>
  <sheetFormatPr defaultColWidth="8.875" defaultRowHeight="16.5"/>
  <cols>
    <col min="5" max="5" width="18.125" customWidth="1"/>
  </cols>
  <sheetData>
    <row r="1" spans="1: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>
      <c r="A2">
        <v>8810</v>
      </c>
      <c r="B2" t="s">
        <v>43</v>
      </c>
      <c r="C2" t="s">
        <v>43</v>
      </c>
      <c r="D2" t="s">
        <v>6</v>
      </c>
      <c r="E2" s="1">
        <v>43172.623773148145</v>
      </c>
    </row>
    <row r="3" spans="1:5">
      <c r="A3">
        <v>8827</v>
      </c>
      <c r="B3" t="s">
        <v>43</v>
      </c>
      <c r="C3" t="s">
        <v>43</v>
      </c>
      <c r="D3" t="s">
        <v>5</v>
      </c>
      <c r="E3" s="1">
        <v>43172.79277777778</v>
      </c>
    </row>
    <row r="4" spans="1:5">
      <c r="A4">
        <v>8846</v>
      </c>
      <c r="B4" t="s">
        <v>43</v>
      </c>
      <c r="C4" t="s">
        <v>43</v>
      </c>
      <c r="D4" t="s">
        <v>6</v>
      </c>
      <c r="E4" s="1">
        <v>43173.467245370368</v>
      </c>
    </row>
    <row r="5" spans="1:5" s="2" customFormat="1">
      <c r="A5" s="2">
        <v>8898</v>
      </c>
      <c r="B5" s="2" t="s">
        <v>43</v>
      </c>
      <c r="C5" s="2" t="s">
        <v>43</v>
      </c>
      <c r="D5" s="2" t="s">
        <v>5</v>
      </c>
      <c r="E5" s="405">
        <v>43173.771180555559</v>
      </c>
    </row>
    <row r="6" spans="1:5">
      <c r="A6">
        <v>8882</v>
      </c>
      <c r="B6" t="s">
        <v>43</v>
      </c>
      <c r="C6" t="s">
        <v>43</v>
      </c>
      <c r="D6" t="s">
        <v>6</v>
      </c>
      <c r="E6" s="1">
        <v>43174.434930555559</v>
      </c>
    </row>
    <row r="7" spans="1:5">
      <c r="A7">
        <v>8898</v>
      </c>
      <c r="B7" t="s">
        <v>43</v>
      </c>
      <c r="C7" t="s">
        <v>43</v>
      </c>
      <c r="D7" t="s">
        <v>5</v>
      </c>
      <c r="E7" s="1">
        <v>43174.823263888888</v>
      </c>
    </row>
    <row r="8" spans="1:5">
      <c r="A8">
        <v>9018</v>
      </c>
      <c r="B8" t="s">
        <v>98</v>
      </c>
      <c r="C8" t="s">
        <v>43</v>
      </c>
      <c r="D8" t="s">
        <v>6</v>
      </c>
      <c r="E8" s="1">
        <v>43179.422511574077</v>
      </c>
    </row>
    <row r="9" spans="1:5">
      <c r="A9">
        <v>9033</v>
      </c>
      <c r="B9" t="s">
        <v>43</v>
      </c>
      <c r="C9" t="s">
        <v>43</v>
      </c>
      <c r="D9" t="s">
        <v>5</v>
      </c>
      <c r="E9" s="1">
        <v>43179.773518518516</v>
      </c>
    </row>
    <row r="10" spans="1:5">
      <c r="A10">
        <v>9055</v>
      </c>
      <c r="B10" t="s">
        <v>43</v>
      </c>
      <c r="C10" t="s">
        <v>43</v>
      </c>
      <c r="D10" t="s">
        <v>6</v>
      </c>
      <c r="E10" s="1">
        <v>43180.390474537038</v>
      </c>
    </row>
    <row r="11" spans="1:5">
      <c r="A11">
        <v>9079</v>
      </c>
      <c r="B11" t="s">
        <v>43</v>
      </c>
      <c r="C11" t="s">
        <v>43</v>
      </c>
      <c r="D11" t="s">
        <v>5</v>
      </c>
      <c r="E11" s="1">
        <v>43180.888749999998</v>
      </c>
    </row>
    <row r="12" spans="1:5" s="2" customFormat="1">
      <c r="A12" s="2">
        <v>9055</v>
      </c>
      <c r="B12" s="2" t="s">
        <v>43</v>
      </c>
      <c r="C12" s="2" t="s">
        <v>43</v>
      </c>
      <c r="D12" s="2" t="s">
        <v>6</v>
      </c>
      <c r="E12" s="405">
        <v>43181.416863425926</v>
      </c>
    </row>
    <row r="13" spans="1:5" s="2" customFormat="1">
      <c r="A13" s="2">
        <v>9079</v>
      </c>
      <c r="B13" s="2" t="s">
        <v>43</v>
      </c>
      <c r="C13" s="2" t="s">
        <v>43</v>
      </c>
      <c r="D13" s="2" t="s">
        <v>5</v>
      </c>
      <c r="E13" s="405">
        <v>43181.667222222219</v>
      </c>
    </row>
    <row r="14" spans="1:5">
      <c r="A14">
        <v>9170</v>
      </c>
      <c r="B14" t="s">
        <v>43</v>
      </c>
      <c r="C14" t="s">
        <v>43</v>
      </c>
      <c r="D14" t="s">
        <v>6</v>
      </c>
      <c r="E14" s="1">
        <v>43186.39571759259</v>
      </c>
    </row>
    <row r="15" spans="1:5">
      <c r="A15">
        <v>9181</v>
      </c>
      <c r="B15" t="s">
        <v>43</v>
      </c>
      <c r="C15" t="s">
        <v>43</v>
      </c>
      <c r="D15" t="s">
        <v>5</v>
      </c>
      <c r="E15" s="1">
        <v>43186.785081018519</v>
      </c>
    </row>
    <row r="16" spans="1:5">
      <c r="A16">
        <v>9199</v>
      </c>
      <c r="B16" t="s">
        <v>43</v>
      </c>
      <c r="C16" t="s">
        <v>43</v>
      </c>
      <c r="D16" t="s">
        <v>6</v>
      </c>
      <c r="E16" s="1">
        <v>43187.415520833332</v>
      </c>
    </row>
    <row r="17" spans="1:5">
      <c r="A17">
        <v>9213</v>
      </c>
      <c r="B17" t="s">
        <v>43</v>
      </c>
      <c r="C17" t="s">
        <v>43</v>
      </c>
      <c r="D17" t="s">
        <v>5</v>
      </c>
      <c r="E17" s="1">
        <v>43187.771597222221</v>
      </c>
    </row>
    <row r="18" spans="1:5">
      <c r="A18">
        <v>9214</v>
      </c>
      <c r="B18" t="s">
        <v>43</v>
      </c>
      <c r="C18" t="s">
        <v>43</v>
      </c>
      <c r="D18" t="s">
        <v>7</v>
      </c>
      <c r="E18" s="1">
        <v>43187.771701388891</v>
      </c>
    </row>
    <row r="19" spans="1:5">
      <c r="A19">
        <v>9220</v>
      </c>
      <c r="B19" t="s">
        <v>43</v>
      </c>
      <c r="C19" t="s">
        <v>43</v>
      </c>
      <c r="D19" t="s">
        <v>8</v>
      </c>
      <c r="E19" s="1">
        <v>43187.849131944444</v>
      </c>
    </row>
    <row r="20" spans="1:5">
      <c r="A20">
        <v>9236</v>
      </c>
      <c r="B20" t="s">
        <v>43</v>
      </c>
      <c r="C20" t="s">
        <v>43</v>
      </c>
      <c r="D20" t="s">
        <v>6</v>
      </c>
      <c r="E20" s="1">
        <v>43188.416863425926</v>
      </c>
    </row>
    <row r="21" spans="1:5" s="2" customFormat="1">
      <c r="A21" s="2">
        <v>9213</v>
      </c>
      <c r="B21" s="2" t="s">
        <v>43</v>
      </c>
      <c r="C21" s="2" t="s">
        <v>43</v>
      </c>
      <c r="D21" s="2" t="s">
        <v>5</v>
      </c>
      <c r="E21" s="405">
        <v>43188.771597222221</v>
      </c>
    </row>
    <row r="22" spans="1:5" s="2" customFormat="1">
      <c r="A22" s="2">
        <v>9214</v>
      </c>
      <c r="B22" s="2" t="s">
        <v>43</v>
      </c>
      <c r="C22" s="2" t="s">
        <v>43</v>
      </c>
      <c r="D22" s="2" t="s">
        <v>7</v>
      </c>
      <c r="E22" s="405">
        <v>43188.771701388891</v>
      </c>
    </row>
    <row r="23" spans="1:5">
      <c r="A23">
        <v>9254</v>
      </c>
      <c r="B23" t="s">
        <v>43</v>
      </c>
      <c r="C23" t="s">
        <v>43</v>
      </c>
      <c r="D23" t="s">
        <v>8</v>
      </c>
      <c r="E23" s="1">
        <v>43188.81753472222</v>
      </c>
    </row>
    <row r="24" spans="1:5">
      <c r="A24">
        <v>9292</v>
      </c>
      <c r="B24" t="s">
        <v>43</v>
      </c>
      <c r="C24" t="s">
        <v>43</v>
      </c>
      <c r="D24" t="s">
        <v>6</v>
      </c>
      <c r="E24" s="1">
        <v>43190.411076388889</v>
      </c>
    </row>
    <row r="25" spans="1:5">
      <c r="A25">
        <v>9302</v>
      </c>
      <c r="B25" t="s">
        <v>43</v>
      </c>
      <c r="C25" t="s">
        <v>43</v>
      </c>
      <c r="D25" t="s">
        <v>5</v>
      </c>
      <c r="E25" s="1">
        <v>43190.776030092595</v>
      </c>
    </row>
    <row r="26" spans="1:5">
      <c r="A26">
        <v>8499</v>
      </c>
      <c r="B26" t="s">
        <v>9</v>
      </c>
      <c r="C26" t="s">
        <v>9</v>
      </c>
      <c r="D26" t="s">
        <v>6</v>
      </c>
      <c r="E26" s="1">
        <v>43160.725474537037</v>
      </c>
    </row>
    <row r="27" spans="1:5">
      <c r="A27">
        <v>8512</v>
      </c>
      <c r="B27" t="s">
        <v>9</v>
      </c>
      <c r="C27" t="s">
        <v>9</v>
      </c>
      <c r="D27" t="s">
        <v>5</v>
      </c>
      <c r="E27" s="1">
        <v>43160.787256944444</v>
      </c>
    </row>
    <row r="28" spans="1:5">
      <c r="A28">
        <v>8522</v>
      </c>
      <c r="B28" t="s">
        <v>9</v>
      </c>
      <c r="C28" t="s">
        <v>9</v>
      </c>
      <c r="D28" t="s">
        <v>6</v>
      </c>
      <c r="E28" s="1">
        <v>43161.363958333335</v>
      </c>
    </row>
    <row r="29" spans="1:5">
      <c r="A29">
        <v>8532</v>
      </c>
      <c r="B29" t="s">
        <v>9</v>
      </c>
      <c r="C29" t="s">
        <v>9</v>
      </c>
      <c r="D29" t="s">
        <v>5</v>
      </c>
      <c r="E29" s="1">
        <v>43161.517256944448</v>
      </c>
    </row>
    <row r="30" spans="1:5">
      <c r="A30">
        <v>8533</v>
      </c>
      <c r="B30" t="s">
        <v>9</v>
      </c>
      <c r="C30" t="s">
        <v>9</v>
      </c>
      <c r="D30" t="s">
        <v>6</v>
      </c>
      <c r="E30" s="1">
        <v>43161.679837962962</v>
      </c>
    </row>
    <row r="31" spans="1:5">
      <c r="A31">
        <v>8534</v>
      </c>
      <c r="B31" t="s">
        <v>9</v>
      </c>
      <c r="C31" t="s">
        <v>9</v>
      </c>
      <c r="D31" t="s">
        <v>5</v>
      </c>
      <c r="E31" s="1">
        <v>43161.759039351855</v>
      </c>
    </row>
    <row r="32" spans="1:5">
      <c r="A32">
        <v>8565</v>
      </c>
      <c r="B32" t="s">
        <v>93</v>
      </c>
      <c r="C32" t="s">
        <v>9</v>
      </c>
      <c r="D32" t="s">
        <v>6</v>
      </c>
      <c r="E32" s="1">
        <v>43164.373113425929</v>
      </c>
    </row>
    <row r="33" spans="1:5">
      <c r="A33">
        <v>8570</v>
      </c>
      <c r="B33" t="s">
        <v>9</v>
      </c>
      <c r="C33" t="s">
        <v>9</v>
      </c>
      <c r="D33" t="s">
        <v>5</v>
      </c>
      <c r="E33" s="1">
        <v>43164.71471064815</v>
      </c>
    </row>
    <row r="34" spans="1:5">
      <c r="A34">
        <v>8600</v>
      </c>
      <c r="B34" t="s">
        <v>9</v>
      </c>
      <c r="C34" t="s">
        <v>9</v>
      </c>
      <c r="D34" t="s">
        <v>6</v>
      </c>
      <c r="E34" s="1">
        <v>43165.369710648149</v>
      </c>
    </row>
    <row r="35" spans="1:5">
      <c r="A35">
        <v>8604</v>
      </c>
      <c r="B35" t="s">
        <v>9</v>
      </c>
      <c r="C35" t="s">
        <v>9</v>
      </c>
      <c r="D35" t="s">
        <v>5</v>
      </c>
      <c r="E35" s="1">
        <v>43165.750092592592</v>
      </c>
    </row>
    <row r="36" spans="1:5">
      <c r="A36">
        <v>8632</v>
      </c>
      <c r="B36" t="s">
        <v>9</v>
      </c>
      <c r="C36" t="s">
        <v>9</v>
      </c>
      <c r="D36" t="s">
        <v>6</v>
      </c>
      <c r="E36" s="1">
        <v>43166.369409722225</v>
      </c>
    </row>
    <row r="37" spans="1:5">
      <c r="A37">
        <v>8639</v>
      </c>
      <c r="B37" t="s">
        <v>9</v>
      </c>
      <c r="C37" t="s">
        <v>9</v>
      </c>
      <c r="D37" t="s">
        <v>5</v>
      </c>
      <c r="E37" s="1">
        <v>43166.719189814816</v>
      </c>
    </row>
    <row r="38" spans="1:5">
      <c r="A38">
        <v>8666</v>
      </c>
      <c r="B38" t="s">
        <v>9</v>
      </c>
      <c r="C38" t="s">
        <v>9</v>
      </c>
      <c r="D38" t="s">
        <v>6</v>
      </c>
      <c r="E38" s="1">
        <v>43167.368275462963</v>
      </c>
    </row>
    <row r="39" spans="1:5">
      <c r="A39">
        <v>8673</v>
      </c>
      <c r="B39" t="s">
        <v>9</v>
      </c>
      <c r="C39" t="s">
        <v>9</v>
      </c>
      <c r="D39" t="s">
        <v>5</v>
      </c>
      <c r="E39" s="1">
        <v>43167.765798611108</v>
      </c>
    </row>
    <row r="40" spans="1:5">
      <c r="A40">
        <v>8694</v>
      </c>
      <c r="B40" t="s">
        <v>93</v>
      </c>
      <c r="C40" t="s">
        <v>9</v>
      </c>
      <c r="D40" t="s">
        <v>6</v>
      </c>
      <c r="E40" s="1">
        <v>43168.363437499997</v>
      </c>
    </row>
    <row r="41" spans="1:5">
      <c r="A41">
        <v>8706</v>
      </c>
      <c r="B41" t="s">
        <v>9</v>
      </c>
      <c r="C41" t="s">
        <v>9</v>
      </c>
      <c r="D41" t="s">
        <v>5</v>
      </c>
      <c r="E41" s="1">
        <v>43168.767951388887</v>
      </c>
    </row>
    <row r="42" spans="1:5" s="406" customFormat="1">
      <c r="A42" s="406">
        <v>8728</v>
      </c>
      <c r="B42" s="406" t="s">
        <v>9</v>
      </c>
      <c r="C42" s="406" t="s">
        <v>9</v>
      </c>
      <c r="D42" s="406" t="s">
        <v>108</v>
      </c>
      <c r="E42" s="390">
        <v>43170.37572916667</v>
      </c>
    </row>
    <row r="43" spans="1:5">
      <c r="A43">
        <v>8734</v>
      </c>
      <c r="B43" t="s">
        <v>9</v>
      </c>
      <c r="C43" t="s">
        <v>9</v>
      </c>
      <c r="D43" t="s">
        <v>8</v>
      </c>
      <c r="E43" s="1">
        <v>43170.546168981484</v>
      </c>
    </row>
    <row r="44" spans="1:5">
      <c r="A44">
        <v>8767</v>
      </c>
      <c r="B44" t="s">
        <v>9</v>
      </c>
      <c r="C44" t="s">
        <v>9</v>
      </c>
      <c r="D44" t="s">
        <v>6</v>
      </c>
      <c r="E44" s="1">
        <v>43171.370196759257</v>
      </c>
    </row>
    <row r="45" spans="1:5">
      <c r="A45">
        <v>8773</v>
      </c>
      <c r="B45" t="s">
        <v>9</v>
      </c>
      <c r="C45" t="s">
        <v>9</v>
      </c>
      <c r="D45" t="s">
        <v>5</v>
      </c>
      <c r="E45" s="1">
        <v>43171.719606481478</v>
      </c>
    </row>
    <row r="46" spans="1:5">
      <c r="A46">
        <v>8801</v>
      </c>
      <c r="B46" t="s">
        <v>9</v>
      </c>
      <c r="C46" t="s">
        <v>9</v>
      </c>
      <c r="D46" t="s">
        <v>6</v>
      </c>
      <c r="E46" s="1">
        <v>43172.361921296295</v>
      </c>
    </row>
    <row r="47" spans="1:5">
      <c r="A47">
        <v>8811</v>
      </c>
      <c r="B47" t="s">
        <v>9</v>
      </c>
      <c r="C47" t="s">
        <v>9</v>
      </c>
      <c r="D47" t="s">
        <v>5</v>
      </c>
      <c r="E47" s="1">
        <v>43172.714143518519</v>
      </c>
    </row>
    <row r="48" spans="1:5">
      <c r="A48">
        <v>8839</v>
      </c>
      <c r="B48" t="s">
        <v>9</v>
      </c>
      <c r="C48" t="s">
        <v>9</v>
      </c>
      <c r="D48" t="s">
        <v>6</v>
      </c>
      <c r="E48" s="1">
        <v>43173.36383101852</v>
      </c>
    </row>
    <row r="49" spans="1:5">
      <c r="A49">
        <v>8847</v>
      </c>
      <c r="B49" t="s">
        <v>9</v>
      </c>
      <c r="C49" t="s">
        <v>9</v>
      </c>
      <c r="D49" t="s">
        <v>5</v>
      </c>
      <c r="E49" s="1">
        <v>43173.714131944442</v>
      </c>
    </row>
    <row r="50" spans="1:5">
      <c r="A50">
        <v>8874</v>
      </c>
      <c r="B50" t="s">
        <v>93</v>
      </c>
      <c r="C50" t="s">
        <v>9</v>
      </c>
      <c r="D50" t="s">
        <v>6</v>
      </c>
      <c r="E50" s="1">
        <v>43174.363240740742</v>
      </c>
    </row>
    <row r="51" spans="1:5">
      <c r="A51">
        <v>8886</v>
      </c>
      <c r="B51" t="s">
        <v>9</v>
      </c>
      <c r="C51" t="s">
        <v>9</v>
      </c>
      <c r="D51" t="s">
        <v>5</v>
      </c>
      <c r="E51" s="1">
        <v>43174.768576388888</v>
      </c>
    </row>
    <row r="52" spans="1:5">
      <c r="A52">
        <v>8912</v>
      </c>
      <c r="B52" t="s">
        <v>9</v>
      </c>
      <c r="C52" t="s">
        <v>9</v>
      </c>
      <c r="D52" t="s">
        <v>6</v>
      </c>
      <c r="E52" s="1">
        <v>43175.365243055552</v>
      </c>
    </row>
    <row r="53" spans="1:5">
      <c r="A53">
        <v>8919</v>
      </c>
      <c r="B53" t="s">
        <v>9</v>
      </c>
      <c r="C53" t="s">
        <v>9</v>
      </c>
      <c r="D53" t="s">
        <v>5</v>
      </c>
      <c r="E53" s="1">
        <v>43175.76494212963</v>
      </c>
    </row>
    <row r="54" spans="1:5">
      <c r="A54">
        <v>8924</v>
      </c>
      <c r="B54" t="s">
        <v>9</v>
      </c>
      <c r="C54" t="s">
        <v>9</v>
      </c>
      <c r="D54" t="s">
        <v>7</v>
      </c>
      <c r="E54" s="1">
        <v>43175.771273148152</v>
      </c>
    </row>
    <row r="55" spans="1:5">
      <c r="A55">
        <v>8935</v>
      </c>
      <c r="B55" t="s">
        <v>9</v>
      </c>
      <c r="C55" t="s">
        <v>9</v>
      </c>
      <c r="D55" t="s">
        <v>8</v>
      </c>
      <c r="E55" s="1">
        <v>43175.814016203702</v>
      </c>
    </row>
    <row r="56" spans="1:5" s="2" customFormat="1">
      <c r="A56" s="2">
        <v>9010</v>
      </c>
      <c r="B56" s="2" t="s">
        <v>9</v>
      </c>
      <c r="C56" s="2" t="s">
        <v>9</v>
      </c>
      <c r="D56" s="2" t="s">
        <v>6</v>
      </c>
      <c r="E56" s="405">
        <v>43178.354710648149</v>
      </c>
    </row>
    <row r="57" spans="1:5" s="2" customFormat="1">
      <c r="A57" s="2">
        <v>9019</v>
      </c>
      <c r="B57" s="2" t="s">
        <v>9</v>
      </c>
      <c r="C57" s="2" t="s">
        <v>9</v>
      </c>
      <c r="D57" s="2" t="s">
        <v>5</v>
      </c>
      <c r="E57" s="405">
        <v>43178.750208333331</v>
      </c>
    </row>
    <row r="58" spans="1:5">
      <c r="A58">
        <v>9010</v>
      </c>
      <c r="B58" t="s">
        <v>9</v>
      </c>
      <c r="C58" t="s">
        <v>9</v>
      </c>
      <c r="D58" t="s">
        <v>6</v>
      </c>
      <c r="E58" s="1">
        <v>43179.362349537034</v>
      </c>
    </row>
    <row r="59" spans="1:5">
      <c r="A59">
        <v>9019</v>
      </c>
      <c r="B59" t="s">
        <v>9</v>
      </c>
      <c r="C59" t="s">
        <v>9</v>
      </c>
      <c r="D59" t="s">
        <v>5</v>
      </c>
      <c r="E59" s="1">
        <v>43179.718958333331</v>
      </c>
    </row>
    <row r="60" spans="1:5">
      <c r="A60">
        <v>9049</v>
      </c>
      <c r="B60" t="s">
        <v>9</v>
      </c>
      <c r="C60" t="s">
        <v>9</v>
      </c>
      <c r="D60" t="s">
        <v>6</v>
      </c>
      <c r="E60" s="1">
        <v>43180.367094907408</v>
      </c>
    </row>
    <row r="61" spans="1:5">
      <c r="A61">
        <v>9057</v>
      </c>
      <c r="B61" t="s">
        <v>9</v>
      </c>
      <c r="C61" t="s">
        <v>9</v>
      </c>
      <c r="D61" t="s">
        <v>5</v>
      </c>
      <c r="E61" s="1">
        <v>43180.714965277781</v>
      </c>
    </row>
    <row r="62" spans="1:5">
      <c r="A62">
        <v>9089</v>
      </c>
      <c r="B62" t="s">
        <v>9</v>
      </c>
      <c r="C62" t="s">
        <v>9</v>
      </c>
      <c r="D62" t="s">
        <v>6</v>
      </c>
      <c r="E62" s="1">
        <v>43181.372604166667</v>
      </c>
    </row>
    <row r="63" spans="1:5">
      <c r="A63">
        <v>9091</v>
      </c>
      <c r="B63" t="s">
        <v>93</v>
      </c>
      <c r="C63" t="s">
        <v>9</v>
      </c>
      <c r="D63" t="s">
        <v>5</v>
      </c>
      <c r="E63" s="1">
        <v>43181.584687499999</v>
      </c>
    </row>
    <row r="64" spans="1:5">
      <c r="A64">
        <v>9120</v>
      </c>
      <c r="B64" t="s">
        <v>9</v>
      </c>
      <c r="C64" t="s">
        <v>9</v>
      </c>
      <c r="D64" t="s">
        <v>6</v>
      </c>
      <c r="E64" s="1">
        <v>43182.364606481482</v>
      </c>
    </row>
    <row r="65" spans="1:5">
      <c r="A65">
        <v>9133</v>
      </c>
      <c r="B65" t="s">
        <v>93</v>
      </c>
      <c r="C65" t="s">
        <v>9</v>
      </c>
      <c r="D65" t="s">
        <v>5</v>
      </c>
      <c r="E65" s="1">
        <v>43182.773877314816</v>
      </c>
    </row>
    <row r="66" spans="1:5">
      <c r="A66">
        <v>9138</v>
      </c>
      <c r="B66" t="s">
        <v>9</v>
      </c>
      <c r="C66" t="s">
        <v>9</v>
      </c>
      <c r="D66" t="s">
        <v>6</v>
      </c>
      <c r="E66" s="1">
        <v>43185.360289351855</v>
      </c>
    </row>
    <row r="67" spans="1:5">
      <c r="A67">
        <v>9146</v>
      </c>
      <c r="B67" t="s">
        <v>9</v>
      </c>
      <c r="C67" t="s">
        <v>9</v>
      </c>
      <c r="D67" t="s">
        <v>5</v>
      </c>
      <c r="E67" s="1">
        <v>43185.723333333335</v>
      </c>
    </row>
    <row r="68" spans="1:5" s="2" customFormat="1">
      <c r="A68" s="2">
        <v>9010</v>
      </c>
      <c r="B68" s="2" t="s">
        <v>9</v>
      </c>
      <c r="C68" s="2" t="s">
        <v>9</v>
      </c>
      <c r="D68" s="2" t="s">
        <v>6</v>
      </c>
      <c r="E68" s="405">
        <v>43186.354710648149</v>
      </c>
    </row>
    <row r="69" spans="1:5" s="2" customFormat="1">
      <c r="A69" s="2">
        <v>9019</v>
      </c>
      <c r="B69" s="2" t="s">
        <v>9</v>
      </c>
      <c r="C69" s="2" t="s">
        <v>9</v>
      </c>
      <c r="D69" s="2" t="s">
        <v>5</v>
      </c>
      <c r="E69" s="405">
        <v>43186.750208333331</v>
      </c>
    </row>
    <row r="70" spans="1:5">
      <c r="A70">
        <v>9193</v>
      </c>
      <c r="B70" t="s">
        <v>9</v>
      </c>
      <c r="C70" t="s">
        <v>9</v>
      </c>
      <c r="D70" t="s">
        <v>6</v>
      </c>
      <c r="E70" s="1">
        <v>43187.363703703704</v>
      </c>
    </row>
    <row r="71" spans="1:5">
      <c r="A71">
        <v>9201</v>
      </c>
      <c r="B71" t="s">
        <v>9</v>
      </c>
      <c r="C71" t="s">
        <v>9</v>
      </c>
      <c r="D71" t="s">
        <v>5</v>
      </c>
      <c r="E71" s="1">
        <v>43187.717395833337</v>
      </c>
    </row>
    <row r="72" spans="1:5">
      <c r="A72">
        <v>9234</v>
      </c>
      <c r="B72" t="s">
        <v>9</v>
      </c>
      <c r="C72" t="s">
        <v>9</v>
      </c>
      <c r="D72" t="s">
        <v>6</v>
      </c>
      <c r="E72" s="1">
        <v>43188.372164351851</v>
      </c>
    </row>
    <row r="73" spans="1:5">
      <c r="A73">
        <v>9240</v>
      </c>
      <c r="B73" t="s">
        <v>9</v>
      </c>
      <c r="C73" t="s">
        <v>9</v>
      </c>
      <c r="D73" t="s">
        <v>5</v>
      </c>
      <c r="E73" s="1">
        <v>43188.771134259259</v>
      </c>
    </row>
    <row r="74" spans="1:5">
      <c r="A74">
        <v>9263</v>
      </c>
      <c r="B74" t="s">
        <v>9</v>
      </c>
      <c r="C74" t="s">
        <v>9</v>
      </c>
      <c r="D74" t="s">
        <v>6</v>
      </c>
      <c r="E74" s="1">
        <v>43189.364768518521</v>
      </c>
    </row>
    <row r="75" spans="1:5">
      <c r="A75">
        <v>9271</v>
      </c>
      <c r="B75" t="s">
        <v>9</v>
      </c>
      <c r="C75" t="s">
        <v>9</v>
      </c>
      <c r="D75" t="s">
        <v>5</v>
      </c>
      <c r="E75" s="1">
        <v>43189.771423611113</v>
      </c>
    </row>
    <row r="76" spans="1:5">
      <c r="A76">
        <v>9272</v>
      </c>
      <c r="B76" t="s">
        <v>9</v>
      </c>
      <c r="C76" t="s">
        <v>9</v>
      </c>
      <c r="D76" t="s">
        <v>7</v>
      </c>
      <c r="E76" s="1">
        <v>43189.771458333336</v>
      </c>
    </row>
    <row r="77" spans="1:5">
      <c r="A77">
        <v>9279</v>
      </c>
      <c r="B77" t="s">
        <v>9</v>
      </c>
      <c r="C77" t="s">
        <v>9</v>
      </c>
      <c r="D77" t="s">
        <v>8</v>
      </c>
      <c r="E77" s="1">
        <v>43189.783275462964</v>
      </c>
    </row>
    <row r="78" spans="1:5">
      <c r="A78">
        <v>9290</v>
      </c>
      <c r="B78" t="s">
        <v>9</v>
      </c>
      <c r="C78" t="s">
        <v>9</v>
      </c>
      <c r="D78" t="s">
        <v>6</v>
      </c>
      <c r="E78" s="1">
        <v>43190.370393518519</v>
      </c>
    </row>
    <row r="79" spans="1:5">
      <c r="A79">
        <v>9295</v>
      </c>
      <c r="B79" t="s">
        <v>9</v>
      </c>
      <c r="C79" t="s">
        <v>9</v>
      </c>
      <c r="D79" t="s">
        <v>5</v>
      </c>
      <c r="E79" s="1">
        <v>43190.767708333333</v>
      </c>
    </row>
    <row r="80" spans="1:5">
      <c r="A80">
        <v>9300</v>
      </c>
      <c r="B80" t="s">
        <v>9</v>
      </c>
      <c r="C80" t="s">
        <v>9</v>
      </c>
      <c r="D80" t="s">
        <v>7</v>
      </c>
      <c r="E80" s="1">
        <v>43190.771620370368</v>
      </c>
    </row>
    <row r="81" spans="1:5">
      <c r="A81">
        <v>9310</v>
      </c>
      <c r="B81" t="s">
        <v>9</v>
      </c>
      <c r="C81" t="s">
        <v>9</v>
      </c>
      <c r="D81" t="s">
        <v>8</v>
      </c>
      <c r="E81" s="1">
        <v>43190.946331018517</v>
      </c>
    </row>
    <row r="82" spans="1:5" s="406" customFormat="1">
      <c r="A82" s="406">
        <v>9223</v>
      </c>
      <c r="B82" s="406" t="s">
        <v>105</v>
      </c>
      <c r="C82" s="406" t="s">
        <v>105</v>
      </c>
      <c r="D82" s="406" t="s">
        <v>6</v>
      </c>
      <c r="E82" s="390">
        <v>43174.583807870367</v>
      </c>
    </row>
    <row r="83" spans="1:5" s="406" customFormat="1">
      <c r="A83" s="406">
        <v>9223</v>
      </c>
      <c r="B83" s="406" t="s">
        <v>105</v>
      </c>
      <c r="C83" s="406" t="s">
        <v>105</v>
      </c>
      <c r="D83" s="406" t="s">
        <v>5</v>
      </c>
      <c r="E83" s="390">
        <v>43174.729548611111</v>
      </c>
    </row>
    <row r="84" spans="1:5" s="406" customFormat="1">
      <c r="A84" s="406">
        <v>9223</v>
      </c>
      <c r="B84" s="406" t="s">
        <v>105</v>
      </c>
      <c r="C84" s="406" t="s">
        <v>105</v>
      </c>
      <c r="D84" s="406" t="s">
        <v>6</v>
      </c>
      <c r="E84" s="390">
        <v>43187.417141203703</v>
      </c>
    </row>
    <row r="85" spans="1:5" s="406" customFormat="1">
      <c r="A85" s="406">
        <v>9223</v>
      </c>
      <c r="B85" s="406" t="s">
        <v>105</v>
      </c>
      <c r="C85" s="406" t="s">
        <v>105</v>
      </c>
      <c r="D85" s="406" t="s">
        <v>5</v>
      </c>
      <c r="E85" s="390">
        <v>43187.521215277775</v>
      </c>
    </row>
    <row r="86" spans="1:5">
      <c r="A86">
        <v>8495</v>
      </c>
      <c r="B86" t="s">
        <v>73</v>
      </c>
      <c r="C86" t="s">
        <v>73</v>
      </c>
      <c r="D86" t="s">
        <v>6</v>
      </c>
      <c r="E86" s="1">
        <v>43160.370567129627</v>
      </c>
    </row>
    <row r="87" spans="1:5">
      <c r="A87">
        <v>8501</v>
      </c>
      <c r="B87" t="s">
        <v>73</v>
      </c>
      <c r="C87" t="s">
        <v>73</v>
      </c>
      <c r="D87" t="s">
        <v>5</v>
      </c>
      <c r="E87" s="1">
        <v>43160.770902777775</v>
      </c>
    </row>
    <row r="88" spans="1:5">
      <c r="A88">
        <v>8503</v>
      </c>
      <c r="B88" t="s">
        <v>73</v>
      </c>
      <c r="C88" t="s">
        <v>73</v>
      </c>
      <c r="D88" t="s">
        <v>7</v>
      </c>
      <c r="E88" s="1">
        <v>43160.770983796298</v>
      </c>
    </row>
    <row r="89" spans="1:5">
      <c r="A89">
        <v>8515</v>
      </c>
      <c r="B89" t="s">
        <v>73</v>
      </c>
      <c r="C89" t="s">
        <v>73</v>
      </c>
      <c r="D89" t="s">
        <v>8</v>
      </c>
      <c r="E89" s="1">
        <v>43160.814201388886</v>
      </c>
    </row>
    <row r="90" spans="1:5">
      <c r="A90">
        <v>8528</v>
      </c>
      <c r="B90" t="s">
        <v>73</v>
      </c>
      <c r="C90" t="s">
        <v>73</v>
      </c>
      <c r="D90" t="s">
        <v>6</v>
      </c>
      <c r="E90" s="1">
        <v>43161.370648148149</v>
      </c>
    </row>
    <row r="91" spans="1:5">
      <c r="A91">
        <v>8501</v>
      </c>
      <c r="B91" t="s">
        <v>73</v>
      </c>
      <c r="C91" t="s">
        <v>73</v>
      </c>
      <c r="D91" t="s">
        <v>5</v>
      </c>
      <c r="E91" s="1">
        <v>43161.770902777775</v>
      </c>
    </row>
    <row r="92" spans="1:5">
      <c r="A92">
        <v>8503</v>
      </c>
      <c r="B92" t="s">
        <v>73</v>
      </c>
      <c r="C92" t="s">
        <v>73</v>
      </c>
      <c r="D92" t="s">
        <v>7</v>
      </c>
      <c r="E92" s="1">
        <v>43161.770983796298</v>
      </c>
    </row>
    <row r="93" spans="1:5">
      <c r="A93">
        <v>8543</v>
      </c>
      <c r="B93" t="s">
        <v>73</v>
      </c>
      <c r="C93" t="s">
        <v>73</v>
      </c>
      <c r="D93" t="s">
        <v>8</v>
      </c>
      <c r="E93" s="1">
        <v>43161.801782407405</v>
      </c>
    </row>
    <row r="94" spans="1:5">
      <c r="A94">
        <v>8564</v>
      </c>
      <c r="B94" t="s">
        <v>73</v>
      </c>
      <c r="C94" t="s">
        <v>73</v>
      </c>
      <c r="D94" t="s">
        <v>6</v>
      </c>
      <c r="E94" s="1">
        <v>43164.36991898148</v>
      </c>
    </row>
    <row r="95" spans="1:5">
      <c r="A95">
        <v>8579</v>
      </c>
      <c r="B95" t="s">
        <v>73</v>
      </c>
      <c r="C95" t="s">
        <v>73</v>
      </c>
      <c r="D95" t="s">
        <v>5</v>
      </c>
      <c r="E95" s="1">
        <v>43164.772824074076</v>
      </c>
    </row>
    <row r="96" spans="1:5">
      <c r="A96">
        <v>8580</v>
      </c>
      <c r="B96" t="s">
        <v>73</v>
      </c>
      <c r="C96" t="s">
        <v>73</v>
      </c>
      <c r="D96" t="s">
        <v>7</v>
      </c>
      <c r="E96" s="1">
        <v>43164.772986111115</v>
      </c>
    </row>
    <row r="97" spans="1:5">
      <c r="A97">
        <v>8585</v>
      </c>
      <c r="B97" t="s">
        <v>73</v>
      </c>
      <c r="C97" t="s">
        <v>73</v>
      </c>
      <c r="D97" t="s">
        <v>8</v>
      </c>
      <c r="E97" s="1">
        <v>43164.834791666668</v>
      </c>
    </row>
    <row r="98" spans="1:5">
      <c r="A98">
        <v>8598</v>
      </c>
      <c r="B98" t="s">
        <v>73</v>
      </c>
      <c r="C98" t="s">
        <v>73</v>
      </c>
      <c r="D98" t="s">
        <v>6</v>
      </c>
      <c r="E98" s="1">
        <v>43165.369328703702</v>
      </c>
    </row>
    <row r="99" spans="1:5">
      <c r="A99">
        <v>8608</v>
      </c>
      <c r="B99" t="s">
        <v>73</v>
      </c>
      <c r="C99" t="s">
        <v>73</v>
      </c>
      <c r="D99" t="s">
        <v>5</v>
      </c>
      <c r="E99" s="1">
        <v>43165.766770833332</v>
      </c>
    </row>
    <row r="100" spans="1:5">
      <c r="A100">
        <v>8618</v>
      </c>
      <c r="B100" t="s">
        <v>73</v>
      </c>
      <c r="C100" t="s">
        <v>73</v>
      </c>
      <c r="D100" t="s">
        <v>7</v>
      </c>
      <c r="E100" s="1">
        <v>43165.78702546296</v>
      </c>
    </row>
    <row r="101" spans="1:5">
      <c r="A101">
        <v>8620</v>
      </c>
      <c r="B101" t="s">
        <v>73</v>
      </c>
      <c r="C101" t="s">
        <v>73</v>
      </c>
      <c r="D101" t="s">
        <v>8</v>
      </c>
      <c r="E101" s="1">
        <v>43165.876226851855</v>
      </c>
    </row>
    <row r="102" spans="1:5">
      <c r="A102">
        <v>8633</v>
      </c>
      <c r="B102" t="s">
        <v>73</v>
      </c>
      <c r="C102" t="s">
        <v>73</v>
      </c>
      <c r="D102" t="s">
        <v>6</v>
      </c>
      <c r="E102" s="1">
        <v>43166.370625000003</v>
      </c>
    </row>
    <row r="103" spans="1:5">
      <c r="A103">
        <v>8642</v>
      </c>
      <c r="B103" t="s">
        <v>73</v>
      </c>
      <c r="C103" t="s">
        <v>73</v>
      </c>
      <c r="D103" t="s">
        <v>5</v>
      </c>
      <c r="E103" s="1">
        <v>43166.770324074074</v>
      </c>
    </row>
    <row r="104" spans="1:5">
      <c r="A104">
        <v>8643</v>
      </c>
      <c r="B104" t="s">
        <v>73</v>
      </c>
      <c r="C104" t="s">
        <v>73</v>
      </c>
      <c r="D104" t="s">
        <v>7</v>
      </c>
      <c r="E104" s="1">
        <v>43166.770335648151</v>
      </c>
    </row>
    <row r="105" spans="1:5">
      <c r="A105">
        <v>8657</v>
      </c>
      <c r="B105" t="s">
        <v>73</v>
      </c>
      <c r="C105" t="s">
        <v>73</v>
      </c>
      <c r="D105" t="s">
        <v>8</v>
      </c>
      <c r="E105" s="1">
        <v>43166.855914351851</v>
      </c>
    </row>
    <row r="106" spans="1:5">
      <c r="A106">
        <v>8671</v>
      </c>
      <c r="B106" t="s">
        <v>73</v>
      </c>
      <c r="C106" t="s">
        <v>73</v>
      </c>
      <c r="D106" t="s">
        <v>6</v>
      </c>
      <c r="E106" s="1">
        <v>43167.371261574073</v>
      </c>
    </row>
    <row r="107" spans="1:5">
      <c r="A107">
        <v>8677</v>
      </c>
      <c r="B107" t="s">
        <v>73</v>
      </c>
      <c r="C107" t="s">
        <v>73</v>
      </c>
      <c r="D107" t="s">
        <v>5</v>
      </c>
      <c r="E107" s="1">
        <v>43167.770868055559</v>
      </c>
    </row>
    <row r="108" spans="1:5">
      <c r="A108">
        <v>8685</v>
      </c>
      <c r="B108" t="s">
        <v>73</v>
      </c>
      <c r="C108" t="s">
        <v>73</v>
      </c>
      <c r="D108" t="s">
        <v>7</v>
      </c>
      <c r="E108" s="1">
        <v>43167.781597222223</v>
      </c>
    </row>
    <row r="109" spans="1:5">
      <c r="A109">
        <v>8686</v>
      </c>
      <c r="B109" t="s">
        <v>73</v>
      </c>
      <c r="C109" t="s">
        <v>73</v>
      </c>
      <c r="D109" t="s">
        <v>8</v>
      </c>
      <c r="E109" s="1">
        <v>43167.795949074076</v>
      </c>
    </row>
    <row r="110" spans="1:5">
      <c r="A110">
        <v>8700</v>
      </c>
      <c r="B110" t="s">
        <v>73</v>
      </c>
      <c r="C110" t="s">
        <v>73</v>
      </c>
      <c r="D110" t="s">
        <v>6</v>
      </c>
      <c r="E110" s="1">
        <v>43168.37295138889</v>
      </c>
    </row>
    <row r="111" spans="1:5">
      <c r="A111">
        <v>8709</v>
      </c>
      <c r="B111" t="s">
        <v>73</v>
      </c>
      <c r="C111" t="s">
        <v>73</v>
      </c>
      <c r="D111" t="s">
        <v>5</v>
      </c>
      <c r="E111" s="1">
        <v>43168.771168981482</v>
      </c>
    </row>
    <row r="112" spans="1:5">
      <c r="A112">
        <v>8769</v>
      </c>
      <c r="B112" t="s">
        <v>73</v>
      </c>
      <c r="C112" t="s">
        <v>73</v>
      </c>
      <c r="D112" t="s">
        <v>6</v>
      </c>
      <c r="E112" s="1">
        <v>43171.371828703705</v>
      </c>
    </row>
    <row r="113" spans="1:5">
      <c r="A113">
        <v>8780</v>
      </c>
      <c r="B113" t="s">
        <v>87</v>
      </c>
      <c r="C113" t="s">
        <v>73</v>
      </c>
      <c r="D113" t="s">
        <v>5</v>
      </c>
      <c r="E113" s="1">
        <v>43171.77070601852</v>
      </c>
    </row>
    <row r="114" spans="1:5">
      <c r="A114">
        <v>8789</v>
      </c>
      <c r="B114" t="s">
        <v>87</v>
      </c>
      <c r="C114" t="s">
        <v>73</v>
      </c>
      <c r="D114" t="s">
        <v>7</v>
      </c>
      <c r="E114" s="1">
        <v>43171.798321759263</v>
      </c>
    </row>
    <row r="115" spans="1:5">
      <c r="A115">
        <v>8794</v>
      </c>
      <c r="B115" t="s">
        <v>73</v>
      </c>
      <c r="C115" t="s">
        <v>73</v>
      </c>
      <c r="D115" t="s">
        <v>8</v>
      </c>
      <c r="E115" s="1">
        <v>43171.9062962963</v>
      </c>
    </row>
    <row r="116" spans="1:5">
      <c r="A116">
        <v>8808</v>
      </c>
      <c r="B116" t="s">
        <v>73</v>
      </c>
      <c r="C116" t="s">
        <v>73</v>
      </c>
      <c r="D116" t="s">
        <v>6</v>
      </c>
      <c r="E116" s="1">
        <v>43172.369884259257</v>
      </c>
    </row>
    <row r="117" spans="1:5">
      <c r="A117">
        <v>8816</v>
      </c>
      <c r="B117" t="s">
        <v>73</v>
      </c>
      <c r="C117" t="s">
        <v>73</v>
      </c>
      <c r="D117" t="s">
        <v>5</v>
      </c>
      <c r="E117" s="1">
        <v>43172.772013888891</v>
      </c>
    </row>
    <row r="118" spans="1:5">
      <c r="A118">
        <v>8824</v>
      </c>
      <c r="B118" t="s">
        <v>73</v>
      </c>
      <c r="C118" t="s">
        <v>73</v>
      </c>
      <c r="D118" t="s">
        <v>7</v>
      </c>
      <c r="E118" s="1">
        <v>43172.775231481479</v>
      </c>
    </row>
    <row r="119" spans="1:5">
      <c r="A119">
        <v>8835</v>
      </c>
      <c r="B119" t="s">
        <v>73</v>
      </c>
      <c r="C119" t="s">
        <v>73</v>
      </c>
      <c r="D119" t="s">
        <v>8</v>
      </c>
      <c r="E119" s="1">
        <v>43172.909479166665</v>
      </c>
    </row>
    <row r="120" spans="1:5">
      <c r="A120">
        <v>8844</v>
      </c>
      <c r="B120" t="s">
        <v>73</v>
      </c>
      <c r="C120" t="s">
        <v>73</v>
      </c>
      <c r="D120" t="s">
        <v>6</v>
      </c>
      <c r="E120" s="1">
        <v>43173.371423611112</v>
      </c>
    </row>
    <row r="121" spans="1:5">
      <c r="A121">
        <v>8853</v>
      </c>
      <c r="B121" t="s">
        <v>87</v>
      </c>
      <c r="C121" t="s">
        <v>73</v>
      </c>
      <c r="D121" t="s">
        <v>5</v>
      </c>
      <c r="E121" s="1">
        <v>43173.771828703706</v>
      </c>
    </row>
    <row r="122" spans="1:5">
      <c r="A122">
        <v>8854</v>
      </c>
      <c r="B122" t="s">
        <v>87</v>
      </c>
      <c r="C122" t="s">
        <v>73</v>
      </c>
      <c r="D122" t="s">
        <v>7</v>
      </c>
      <c r="E122" s="1">
        <v>43173.771863425929</v>
      </c>
    </row>
    <row r="123" spans="1:5">
      <c r="A123">
        <v>8863</v>
      </c>
      <c r="B123" t="s">
        <v>73</v>
      </c>
      <c r="C123" t="s">
        <v>73</v>
      </c>
      <c r="D123" t="s">
        <v>8</v>
      </c>
      <c r="E123" s="1">
        <v>43173.854097222225</v>
      </c>
    </row>
    <row r="124" spans="1:5">
      <c r="A124">
        <v>8878</v>
      </c>
      <c r="B124" t="s">
        <v>73</v>
      </c>
      <c r="C124" t="s">
        <v>73</v>
      </c>
      <c r="D124" t="s">
        <v>6</v>
      </c>
      <c r="E124" s="1">
        <v>43174.369722222225</v>
      </c>
    </row>
    <row r="125" spans="1:5">
      <c r="A125">
        <v>8894</v>
      </c>
      <c r="B125" t="s">
        <v>87</v>
      </c>
      <c r="C125" t="s">
        <v>73</v>
      </c>
      <c r="D125" t="s">
        <v>5</v>
      </c>
      <c r="E125" s="1">
        <v>43174.772534722222</v>
      </c>
    </row>
    <row r="126" spans="1:5">
      <c r="A126">
        <v>8896</v>
      </c>
      <c r="B126" t="s">
        <v>87</v>
      </c>
      <c r="C126" t="s">
        <v>73</v>
      </c>
      <c r="D126" t="s">
        <v>7</v>
      </c>
      <c r="E126" s="1">
        <v>43174.775324074071</v>
      </c>
    </row>
    <row r="127" spans="1:5">
      <c r="A127">
        <v>8900</v>
      </c>
      <c r="B127" t="s">
        <v>73</v>
      </c>
      <c r="C127" t="s">
        <v>73</v>
      </c>
      <c r="D127" t="s">
        <v>8</v>
      </c>
      <c r="E127" s="1">
        <v>43174.849930555552</v>
      </c>
    </row>
    <row r="128" spans="1:5">
      <c r="A128">
        <v>8914</v>
      </c>
      <c r="B128" t="s">
        <v>73</v>
      </c>
      <c r="C128" t="s">
        <v>73</v>
      </c>
      <c r="D128" t="s">
        <v>6</v>
      </c>
      <c r="E128" s="1">
        <v>43175.370972222219</v>
      </c>
    </row>
    <row r="129" spans="1:5">
      <c r="A129">
        <v>8929</v>
      </c>
      <c r="B129" t="s">
        <v>73</v>
      </c>
      <c r="C129" t="s">
        <v>73</v>
      </c>
      <c r="D129" t="s">
        <v>5</v>
      </c>
      <c r="E129" s="1">
        <v>43175.774571759262</v>
      </c>
    </row>
    <row r="130" spans="1:5">
      <c r="A130">
        <v>8930</v>
      </c>
      <c r="B130" t="s">
        <v>73</v>
      </c>
      <c r="C130" t="s">
        <v>73</v>
      </c>
      <c r="D130" t="s">
        <v>7</v>
      </c>
      <c r="E130" s="1">
        <v>43175.774606481478</v>
      </c>
    </row>
    <row r="131" spans="1:5">
      <c r="A131">
        <v>8934</v>
      </c>
      <c r="B131" t="s">
        <v>73</v>
      </c>
      <c r="C131" t="s">
        <v>73</v>
      </c>
      <c r="D131" t="s">
        <v>8</v>
      </c>
      <c r="E131" s="1">
        <v>43175.806134259263</v>
      </c>
    </row>
    <row r="132" spans="1:5">
      <c r="A132">
        <v>8944</v>
      </c>
      <c r="B132" t="s">
        <v>73</v>
      </c>
      <c r="C132" t="s">
        <v>73</v>
      </c>
      <c r="D132" t="s">
        <v>7</v>
      </c>
      <c r="E132" s="1">
        <v>43176.426030092596</v>
      </c>
    </row>
    <row r="133" spans="1:5">
      <c r="A133">
        <v>8952</v>
      </c>
      <c r="B133" t="s">
        <v>73</v>
      </c>
      <c r="C133" t="s">
        <v>73</v>
      </c>
      <c r="D133" t="s">
        <v>8</v>
      </c>
      <c r="E133" s="1">
        <v>43176.503946759258</v>
      </c>
    </row>
    <row r="134" spans="1:5">
      <c r="A134">
        <v>8957</v>
      </c>
      <c r="B134" t="s">
        <v>73</v>
      </c>
      <c r="C134" t="s">
        <v>73</v>
      </c>
      <c r="D134" t="s">
        <v>7</v>
      </c>
      <c r="E134" s="1">
        <v>43176.567928240744</v>
      </c>
    </row>
    <row r="135" spans="1:5">
      <c r="A135">
        <v>8964</v>
      </c>
      <c r="B135" t="s">
        <v>87</v>
      </c>
      <c r="C135" t="s">
        <v>73</v>
      </c>
      <c r="D135" t="s">
        <v>8</v>
      </c>
      <c r="E135" s="1">
        <v>43176.684062499997</v>
      </c>
    </row>
    <row r="136" spans="1:5">
      <c r="A136">
        <v>8979</v>
      </c>
      <c r="B136" t="s">
        <v>73</v>
      </c>
      <c r="C136" t="s">
        <v>73</v>
      </c>
      <c r="D136" t="s">
        <v>6</v>
      </c>
      <c r="E136" s="1">
        <v>43178.370821759258</v>
      </c>
    </row>
    <row r="137" spans="1:5">
      <c r="A137">
        <v>8991</v>
      </c>
      <c r="B137" t="s">
        <v>87</v>
      </c>
      <c r="C137" t="s">
        <v>73</v>
      </c>
      <c r="D137" t="s">
        <v>5</v>
      </c>
      <c r="E137" s="1">
        <v>43178.769166666665</v>
      </c>
    </row>
    <row r="138" spans="1:5">
      <c r="A138">
        <v>8997</v>
      </c>
      <c r="B138" t="s">
        <v>87</v>
      </c>
      <c r="C138" t="s">
        <v>73</v>
      </c>
      <c r="D138" t="s">
        <v>7</v>
      </c>
      <c r="E138" s="1">
        <v>43178.793032407404</v>
      </c>
    </row>
    <row r="139" spans="1:5">
      <c r="A139">
        <v>9001</v>
      </c>
      <c r="B139" t="s">
        <v>73</v>
      </c>
      <c r="C139" t="s">
        <v>73</v>
      </c>
      <c r="D139" t="s">
        <v>8</v>
      </c>
      <c r="E139" s="1">
        <v>43178.857222222221</v>
      </c>
    </row>
    <row r="140" spans="1:5">
      <c r="A140">
        <v>9015</v>
      </c>
      <c r="B140" t="s">
        <v>73</v>
      </c>
      <c r="C140" t="s">
        <v>73</v>
      </c>
      <c r="D140" t="s">
        <v>6</v>
      </c>
      <c r="E140" s="1">
        <v>43179.370300925926</v>
      </c>
    </row>
    <row r="141" spans="1:5">
      <c r="A141">
        <v>9022</v>
      </c>
      <c r="B141" t="s">
        <v>87</v>
      </c>
      <c r="C141" t="s">
        <v>73</v>
      </c>
      <c r="D141" t="s">
        <v>5</v>
      </c>
      <c r="E141" s="1">
        <v>43179.766759259262</v>
      </c>
    </row>
    <row r="142" spans="1:5">
      <c r="A142">
        <v>9038</v>
      </c>
      <c r="B142" t="s">
        <v>87</v>
      </c>
      <c r="C142" t="s">
        <v>73</v>
      </c>
      <c r="D142" t="s">
        <v>7</v>
      </c>
      <c r="E142" s="1">
        <v>43179.795983796299</v>
      </c>
    </row>
    <row r="143" spans="1:5">
      <c r="A143">
        <v>9042</v>
      </c>
      <c r="B143" t="s">
        <v>73</v>
      </c>
      <c r="C143" t="s">
        <v>73</v>
      </c>
      <c r="D143" t="s">
        <v>8</v>
      </c>
      <c r="E143" s="1">
        <v>43179.882395833331</v>
      </c>
    </row>
    <row r="144" spans="1:5">
      <c r="A144">
        <v>9052</v>
      </c>
      <c r="B144" t="s">
        <v>73</v>
      </c>
      <c r="C144" t="s">
        <v>73</v>
      </c>
      <c r="D144" t="s">
        <v>6</v>
      </c>
      <c r="E144" s="1">
        <v>43180.370254629626</v>
      </c>
    </row>
    <row r="145" spans="1:5">
      <c r="A145">
        <v>9067</v>
      </c>
      <c r="B145" t="s">
        <v>73</v>
      </c>
      <c r="C145" t="s">
        <v>73</v>
      </c>
      <c r="D145" t="s">
        <v>5</v>
      </c>
      <c r="E145" s="1">
        <v>43180.771261574075</v>
      </c>
    </row>
    <row r="146" spans="1:5">
      <c r="A146">
        <v>9068</v>
      </c>
      <c r="B146" t="s">
        <v>73</v>
      </c>
      <c r="C146" t="s">
        <v>73</v>
      </c>
      <c r="D146" t="s">
        <v>7</v>
      </c>
      <c r="E146" s="1">
        <v>43180.77134259259</v>
      </c>
    </row>
    <row r="147" spans="1:5">
      <c r="A147">
        <v>9073</v>
      </c>
      <c r="B147" t="s">
        <v>73</v>
      </c>
      <c r="C147" t="s">
        <v>73</v>
      </c>
      <c r="D147" t="s">
        <v>8</v>
      </c>
      <c r="E147" s="1">
        <v>43180.802083333336</v>
      </c>
    </row>
    <row r="148" spans="1:5">
      <c r="A148">
        <v>9087</v>
      </c>
      <c r="B148" t="s">
        <v>73</v>
      </c>
      <c r="C148" t="s">
        <v>73</v>
      </c>
      <c r="D148" t="s">
        <v>6</v>
      </c>
      <c r="E148" s="1">
        <v>43181.370266203703</v>
      </c>
    </row>
    <row r="149" spans="1:5">
      <c r="A149">
        <v>9098</v>
      </c>
      <c r="B149" t="s">
        <v>73</v>
      </c>
      <c r="C149" t="s">
        <v>73</v>
      </c>
      <c r="D149" t="s">
        <v>5</v>
      </c>
      <c r="E149" s="1">
        <v>43181.766435185185</v>
      </c>
    </row>
    <row r="150" spans="1:5">
      <c r="A150">
        <v>9108</v>
      </c>
      <c r="B150" t="s">
        <v>73</v>
      </c>
      <c r="C150" t="s">
        <v>73</v>
      </c>
      <c r="D150" t="s">
        <v>7</v>
      </c>
      <c r="E150" s="1">
        <v>43181.810185185182</v>
      </c>
    </row>
    <row r="151" spans="1:5">
      <c r="A151">
        <v>9112</v>
      </c>
      <c r="B151" t="s">
        <v>73</v>
      </c>
      <c r="C151" t="s">
        <v>73</v>
      </c>
      <c r="D151" t="s">
        <v>8</v>
      </c>
      <c r="E151" s="1">
        <v>43181.93105324074</v>
      </c>
    </row>
    <row r="152" spans="1:5">
      <c r="A152">
        <v>9122</v>
      </c>
      <c r="B152" t="s">
        <v>87</v>
      </c>
      <c r="C152" t="s">
        <v>73</v>
      </c>
      <c r="D152" t="s">
        <v>6</v>
      </c>
      <c r="E152" s="1">
        <v>43182.372523148151</v>
      </c>
    </row>
    <row r="153" spans="1:5">
      <c r="A153">
        <v>9131</v>
      </c>
      <c r="B153" t="s">
        <v>73</v>
      </c>
      <c r="C153" t="s">
        <v>73</v>
      </c>
      <c r="D153" t="s">
        <v>5</v>
      </c>
      <c r="E153" s="1">
        <v>43182.769016203703</v>
      </c>
    </row>
    <row r="154" spans="1:5">
      <c r="A154">
        <v>9142</v>
      </c>
      <c r="B154" t="s">
        <v>73</v>
      </c>
      <c r="C154" t="s">
        <v>73</v>
      </c>
      <c r="D154" t="s">
        <v>6</v>
      </c>
      <c r="E154" s="1">
        <v>43185.369583333333</v>
      </c>
    </row>
    <row r="155" spans="1:5">
      <c r="A155">
        <v>9155</v>
      </c>
      <c r="B155" t="s">
        <v>87</v>
      </c>
      <c r="C155" t="s">
        <v>73</v>
      </c>
      <c r="D155" t="s">
        <v>5</v>
      </c>
      <c r="E155" s="1">
        <v>43185.78229166667</v>
      </c>
    </row>
    <row r="156" spans="1:5">
      <c r="A156">
        <v>9156</v>
      </c>
      <c r="B156" t="s">
        <v>87</v>
      </c>
      <c r="C156" t="s">
        <v>73</v>
      </c>
      <c r="D156" t="s">
        <v>7</v>
      </c>
      <c r="E156" s="1">
        <v>43185.782337962963</v>
      </c>
    </row>
    <row r="157" spans="1:5">
      <c r="A157">
        <v>9161</v>
      </c>
      <c r="B157" t="s">
        <v>73</v>
      </c>
      <c r="C157" t="s">
        <v>73</v>
      </c>
      <c r="D157" t="s">
        <v>8</v>
      </c>
      <c r="E157" s="1">
        <v>43185.853217592594</v>
      </c>
    </row>
    <row r="158" spans="1:5">
      <c r="A158">
        <v>9169</v>
      </c>
      <c r="B158" t="s">
        <v>73</v>
      </c>
      <c r="C158" t="s">
        <v>73</v>
      </c>
      <c r="D158" t="s">
        <v>6</v>
      </c>
      <c r="E158" s="1">
        <v>43186.372106481482</v>
      </c>
    </row>
    <row r="159" spans="1:5">
      <c r="A159">
        <v>9179</v>
      </c>
      <c r="B159" t="s">
        <v>73</v>
      </c>
      <c r="C159" t="s">
        <v>73</v>
      </c>
      <c r="D159" t="s">
        <v>5</v>
      </c>
      <c r="E159" s="1">
        <v>43186.77511574074</v>
      </c>
    </row>
    <row r="160" spans="1:5">
      <c r="A160">
        <v>9180</v>
      </c>
      <c r="B160" t="s">
        <v>73</v>
      </c>
      <c r="C160" t="s">
        <v>73</v>
      </c>
      <c r="D160" t="s">
        <v>7</v>
      </c>
      <c r="E160" s="1">
        <v>43186.780092592591</v>
      </c>
    </row>
    <row r="161" spans="1:5">
      <c r="A161">
        <v>9183</v>
      </c>
      <c r="B161" t="s">
        <v>73</v>
      </c>
      <c r="C161" t="s">
        <v>73</v>
      </c>
      <c r="D161" t="s">
        <v>8</v>
      </c>
      <c r="E161" s="1">
        <v>43186.790196759262</v>
      </c>
    </row>
    <row r="162" spans="1:5">
      <c r="A162">
        <v>9198</v>
      </c>
      <c r="B162" t="s">
        <v>73</v>
      </c>
      <c r="C162" t="s">
        <v>73</v>
      </c>
      <c r="D162" t="s">
        <v>6</v>
      </c>
      <c r="E162" s="1">
        <v>43187.372523148151</v>
      </c>
    </row>
    <row r="163" spans="1:5">
      <c r="A163">
        <v>9215</v>
      </c>
      <c r="B163" t="s">
        <v>87</v>
      </c>
      <c r="C163" t="s">
        <v>73</v>
      </c>
      <c r="D163" t="s">
        <v>5</v>
      </c>
      <c r="E163" s="1">
        <v>43187.773645833331</v>
      </c>
    </row>
    <row r="164" spans="1:5">
      <c r="A164">
        <v>9216</v>
      </c>
      <c r="B164" t="s">
        <v>87</v>
      </c>
      <c r="C164" t="s">
        <v>73</v>
      </c>
      <c r="D164" t="s">
        <v>7</v>
      </c>
      <c r="E164" s="1">
        <v>43187.773692129631</v>
      </c>
    </row>
    <row r="165" spans="1:5">
      <c r="A165">
        <v>9224</v>
      </c>
      <c r="B165" t="s">
        <v>73</v>
      </c>
      <c r="C165" t="s">
        <v>73</v>
      </c>
      <c r="D165" t="s">
        <v>8</v>
      </c>
      <c r="E165" s="1">
        <v>43187.928969907407</v>
      </c>
    </row>
    <row r="166" spans="1:5">
      <c r="A166">
        <v>9233</v>
      </c>
      <c r="B166" t="s">
        <v>73</v>
      </c>
      <c r="C166" t="s">
        <v>73</v>
      </c>
      <c r="D166" t="s">
        <v>6</v>
      </c>
      <c r="E166" s="1">
        <v>43188.371481481481</v>
      </c>
    </row>
    <row r="167" spans="1:5">
      <c r="A167">
        <v>9239</v>
      </c>
      <c r="B167" t="s">
        <v>73</v>
      </c>
      <c r="C167" t="s">
        <v>73</v>
      </c>
      <c r="D167" t="s">
        <v>5</v>
      </c>
      <c r="E167" s="1">
        <v>43188.771087962959</v>
      </c>
    </row>
    <row r="168" spans="1:5">
      <c r="A168">
        <v>9242</v>
      </c>
      <c r="B168" t="s">
        <v>73</v>
      </c>
      <c r="C168" t="s">
        <v>73</v>
      </c>
      <c r="D168" t="s">
        <v>7</v>
      </c>
      <c r="E168" s="1">
        <v>43188.771192129629</v>
      </c>
    </row>
    <row r="169" spans="1:5">
      <c r="A169">
        <v>9253</v>
      </c>
      <c r="B169" t="s">
        <v>73</v>
      </c>
      <c r="C169" t="s">
        <v>73</v>
      </c>
      <c r="D169" t="s">
        <v>8</v>
      </c>
      <c r="E169" s="1">
        <v>43188.811759259261</v>
      </c>
    </row>
    <row r="170" spans="1:5">
      <c r="A170">
        <v>9267</v>
      </c>
      <c r="B170" t="s">
        <v>73</v>
      </c>
      <c r="C170" t="s">
        <v>73</v>
      </c>
      <c r="D170" t="s">
        <v>6</v>
      </c>
      <c r="E170" s="1">
        <v>43189.375243055554</v>
      </c>
    </row>
    <row r="171" spans="1:5">
      <c r="A171">
        <v>9273</v>
      </c>
      <c r="B171" t="s">
        <v>73</v>
      </c>
      <c r="C171" t="s">
        <v>73</v>
      </c>
      <c r="D171" t="s">
        <v>5</v>
      </c>
      <c r="E171" s="1">
        <v>43189.772175925929</v>
      </c>
    </row>
    <row r="172" spans="1:5">
      <c r="A172">
        <v>9291</v>
      </c>
      <c r="B172" t="s">
        <v>73</v>
      </c>
      <c r="C172" t="s">
        <v>73</v>
      </c>
      <c r="D172" t="s">
        <v>6</v>
      </c>
      <c r="E172" s="1">
        <v>43190.37226851852</v>
      </c>
    </row>
    <row r="173" spans="1:5">
      <c r="A173">
        <v>9297</v>
      </c>
      <c r="B173" t="s">
        <v>87</v>
      </c>
      <c r="C173" t="s">
        <v>73</v>
      </c>
      <c r="D173" t="s">
        <v>5</v>
      </c>
      <c r="E173" s="1">
        <v>43190.770416666666</v>
      </c>
    </row>
    <row r="174" spans="1:5">
      <c r="A174">
        <v>9298</v>
      </c>
      <c r="B174" t="s">
        <v>87</v>
      </c>
      <c r="C174" t="s">
        <v>73</v>
      </c>
      <c r="D174" t="s">
        <v>7</v>
      </c>
      <c r="E174" s="1">
        <v>43190.770474537036</v>
      </c>
    </row>
    <row r="175" spans="1:5">
      <c r="A175">
        <v>9308</v>
      </c>
      <c r="B175" t="s">
        <v>73</v>
      </c>
      <c r="C175" t="s">
        <v>73</v>
      </c>
      <c r="D175" t="s">
        <v>8</v>
      </c>
      <c r="E175" s="1">
        <v>43190.891689814816</v>
      </c>
    </row>
    <row r="176" spans="1:5">
      <c r="A176">
        <v>8490</v>
      </c>
      <c r="B176" t="s">
        <v>11</v>
      </c>
      <c r="C176" t="s">
        <v>11</v>
      </c>
      <c r="D176" t="s">
        <v>6</v>
      </c>
      <c r="E176" s="1">
        <v>43160.362199074072</v>
      </c>
    </row>
    <row r="177" spans="1:5">
      <c r="A177">
        <v>8518</v>
      </c>
      <c r="B177" t="s">
        <v>11</v>
      </c>
      <c r="C177" t="s">
        <v>11</v>
      </c>
      <c r="D177" t="s">
        <v>5</v>
      </c>
      <c r="E177" s="1">
        <v>43160.842546296299</v>
      </c>
    </row>
    <row r="178" spans="1:5">
      <c r="A178">
        <v>8523</v>
      </c>
      <c r="B178" t="s">
        <v>11</v>
      </c>
      <c r="C178" t="s">
        <v>11</v>
      </c>
      <c r="D178" t="s">
        <v>6</v>
      </c>
      <c r="E178" s="1">
        <v>43161.364131944443</v>
      </c>
    </row>
    <row r="179" spans="1:5">
      <c r="A179">
        <v>8545</v>
      </c>
      <c r="B179" t="s">
        <v>11</v>
      </c>
      <c r="C179" t="s">
        <v>11</v>
      </c>
      <c r="D179" t="s">
        <v>5</v>
      </c>
      <c r="E179" s="1">
        <v>43161.845891203702</v>
      </c>
    </row>
    <row r="180" spans="1:5">
      <c r="A180">
        <v>8559</v>
      </c>
      <c r="B180" t="s">
        <v>11</v>
      </c>
      <c r="C180" t="s">
        <v>11</v>
      </c>
      <c r="D180" t="s">
        <v>6</v>
      </c>
      <c r="E180" s="1">
        <v>43164.362916666665</v>
      </c>
    </row>
    <row r="181" spans="1:5">
      <c r="A181">
        <v>8589</v>
      </c>
      <c r="B181" t="s">
        <v>11</v>
      </c>
      <c r="C181" t="s">
        <v>11</v>
      </c>
      <c r="D181" t="s">
        <v>5</v>
      </c>
      <c r="E181" s="1">
        <v>43164.886423611111</v>
      </c>
    </row>
    <row r="182" spans="1:5">
      <c r="A182">
        <v>8595</v>
      </c>
      <c r="B182" t="s">
        <v>11</v>
      </c>
      <c r="C182" t="s">
        <v>11</v>
      </c>
      <c r="D182" t="s">
        <v>6</v>
      </c>
      <c r="E182" s="1">
        <v>43165.362002314818</v>
      </c>
    </row>
    <row r="183" spans="1:5">
      <c r="A183">
        <v>8624</v>
      </c>
      <c r="B183" t="s">
        <v>11</v>
      </c>
      <c r="C183" t="s">
        <v>11</v>
      </c>
      <c r="D183" t="s">
        <v>5</v>
      </c>
      <c r="E183" s="1">
        <v>43165.906597222223</v>
      </c>
    </row>
    <row r="184" spans="1:5">
      <c r="A184">
        <v>8629</v>
      </c>
      <c r="B184" t="s">
        <v>11</v>
      </c>
      <c r="C184" t="s">
        <v>11</v>
      </c>
      <c r="D184" t="s">
        <v>6</v>
      </c>
      <c r="E184" s="1">
        <v>43166.364965277775</v>
      </c>
    </row>
    <row r="185" spans="1:5">
      <c r="A185">
        <v>8656</v>
      </c>
      <c r="B185" t="s">
        <v>11</v>
      </c>
      <c r="C185" t="s">
        <v>11</v>
      </c>
      <c r="D185" t="s">
        <v>5</v>
      </c>
      <c r="E185" s="1">
        <v>43166.85255787037</v>
      </c>
    </row>
    <row r="186" spans="1:5">
      <c r="A186">
        <v>8664</v>
      </c>
      <c r="B186" t="s">
        <v>11</v>
      </c>
      <c r="C186" t="s">
        <v>11</v>
      </c>
      <c r="D186" t="s">
        <v>6</v>
      </c>
      <c r="E186" s="1">
        <v>43167.360162037039</v>
      </c>
    </row>
    <row r="187" spans="1:5">
      <c r="A187">
        <v>8688</v>
      </c>
      <c r="B187" t="s">
        <v>11</v>
      </c>
      <c r="C187" t="s">
        <v>11</v>
      </c>
      <c r="D187" t="s">
        <v>5</v>
      </c>
      <c r="E187" s="1">
        <v>43167.834745370368</v>
      </c>
    </row>
    <row r="188" spans="1:5">
      <c r="A188">
        <v>8693</v>
      </c>
      <c r="B188" t="s">
        <v>78</v>
      </c>
      <c r="C188" t="s">
        <v>11</v>
      </c>
      <c r="D188" t="s">
        <v>6</v>
      </c>
      <c r="E188" s="1">
        <v>43168.362719907411</v>
      </c>
    </row>
    <row r="189" spans="1:5">
      <c r="A189">
        <v>8715</v>
      </c>
      <c r="B189" t="s">
        <v>11</v>
      </c>
      <c r="C189" t="s">
        <v>11</v>
      </c>
      <c r="D189" t="s">
        <v>5</v>
      </c>
      <c r="E189" s="1">
        <v>43168.786909722221</v>
      </c>
    </row>
    <row r="190" spans="1:5">
      <c r="A190">
        <v>8718</v>
      </c>
      <c r="B190" t="s">
        <v>11</v>
      </c>
      <c r="C190" t="s">
        <v>11</v>
      </c>
      <c r="D190" t="s">
        <v>7</v>
      </c>
      <c r="E190" s="1">
        <v>43169.418043981481</v>
      </c>
    </row>
    <row r="191" spans="1:5">
      <c r="A191">
        <v>8720</v>
      </c>
      <c r="B191" t="s">
        <v>11</v>
      </c>
      <c r="C191" t="s">
        <v>11</v>
      </c>
      <c r="D191" t="s">
        <v>8</v>
      </c>
      <c r="E191" s="1">
        <v>43169.421759259261</v>
      </c>
    </row>
    <row r="192" spans="1:5">
      <c r="A192">
        <v>8721</v>
      </c>
      <c r="B192" t="s">
        <v>11</v>
      </c>
      <c r="C192" t="s">
        <v>11</v>
      </c>
      <c r="D192" t="s">
        <v>7</v>
      </c>
      <c r="E192" s="1">
        <v>43169.430486111109</v>
      </c>
    </row>
    <row r="193" spans="1:5">
      <c r="A193">
        <v>8724</v>
      </c>
      <c r="B193" t="s">
        <v>11</v>
      </c>
      <c r="C193" t="s">
        <v>11</v>
      </c>
      <c r="D193" t="s">
        <v>8</v>
      </c>
      <c r="E193" s="1">
        <v>43169.550254629627</v>
      </c>
    </row>
    <row r="194" spans="1:5">
      <c r="A194">
        <v>8762</v>
      </c>
      <c r="B194" t="s">
        <v>11</v>
      </c>
      <c r="C194" t="s">
        <v>11</v>
      </c>
      <c r="D194" t="s">
        <v>6</v>
      </c>
      <c r="E194" s="1">
        <v>43171.362523148149</v>
      </c>
    </row>
    <row r="195" spans="1:5">
      <c r="A195">
        <v>8797</v>
      </c>
      <c r="B195" t="s">
        <v>11</v>
      </c>
      <c r="C195" t="s">
        <v>11</v>
      </c>
      <c r="D195" t="s">
        <v>5</v>
      </c>
      <c r="E195" s="1">
        <v>43171.909074074072</v>
      </c>
    </row>
    <row r="196" spans="1:5">
      <c r="A196">
        <v>8800</v>
      </c>
      <c r="B196" t="s">
        <v>11</v>
      </c>
      <c r="C196" t="s">
        <v>11</v>
      </c>
      <c r="D196" t="s">
        <v>6</v>
      </c>
      <c r="E196" s="1">
        <v>43172.361863425926</v>
      </c>
    </row>
    <row r="197" spans="1:5">
      <c r="A197">
        <v>8831</v>
      </c>
      <c r="B197" t="s">
        <v>11</v>
      </c>
      <c r="C197" t="s">
        <v>11</v>
      </c>
      <c r="D197" t="s">
        <v>5</v>
      </c>
      <c r="E197" s="1">
        <v>43172.86550925926</v>
      </c>
    </row>
    <row r="198" spans="1:5">
      <c r="A198">
        <v>8837</v>
      </c>
      <c r="B198" t="s">
        <v>11</v>
      </c>
      <c r="C198" t="s">
        <v>11</v>
      </c>
      <c r="D198" t="s">
        <v>6</v>
      </c>
      <c r="E198" s="1">
        <v>43173.361215277779</v>
      </c>
    </row>
    <row r="199" spans="1:5">
      <c r="A199">
        <v>8864</v>
      </c>
      <c r="B199" t="s">
        <v>11</v>
      </c>
      <c r="C199" t="s">
        <v>11</v>
      </c>
      <c r="D199" t="s">
        <v>5</v>
      </c>
      <c r="E199" s="1">
        <v>43173.857407407406</v>
      </c>
    </row>
    <row r="200" spans="1:5">
      <c r="A200">
        <v>8873</v>
      </c>
      <c r="B200" t="s">
        <v>78</v>
      </c>
      <c r="C200" t="s">
        <v>11</v>
      </c>
      <c r="D200" t="s">
        <v>6</v>
      </c>
      <c r="E200" s="1">
        <v>43174.363182870373</v>
      </c>
    </row>
    <row r="201" spans="1:5">
      <c r="A201">
        <v>8904</v>
      </c>
      <c r="B201" t="s">
        <v>11</v>
      </c>
      <c r="C201" t="s">
        <v>11</v>
      </c>
      <c r="D201" t="s">
        <v>5</v>
      </c>
      <c r="E201" s="1">
        <v>43174.878645833334</v>
      </c>
    </row>
    <row r="202" spans="1:5">
      <c r="A202">
        <v>8909</v>
      </c>
      <c r="B202" t="s">
        <v>11</v>
      </c>
      <c r="C202" t="s">
        <v>11</v>
      </c>
      <c r="D202" t="s">
        <v>6</v>
      </c>
      <c r="E202" s="1">
        <v>43175.36273148148</v>
      </c>
    </row>
    <row r="203" spans="1:5">
      <c r="A203">
        <v>8936</v>
      </c>
      <c r="B203" t="s">
        <v>11</v>
      </c>
      <c r="C203" t="s">
        <v>11</v>
      </c>
      <c r="D203" t="s">
        <v>5</v>
      </c>
      <c r="E203" s="1">
        <v>43175.815983796296</v>
      </c>
    </row>
    <row r="204" spans="1:5">
      <c r="A204">
        <v>8943</v>
      </c>
      <c r="B204" t="s">
        <v>11</v>
      </c>
      <c r="C204" t="s">
        <v>11</v>
      </c>
      <c r="D204" t="s">
        <v>7</v>
      </c>
      <c r="E204" s="1">
        <v>43176.42428240741</v>
      </c>
    </row>
    <row r="205" spans="1:5">
      <c r="A205">
        <v>8961</v>
      </c>
      <c r="B205" t="s">
        <v>11</v>
      </c>
      <c r="C205" t="s">
        <v>11</v>
      </c>
      <c r="D205" t="s">
        <v>8</v>
      </c>
      <c r="E205" s="1">
        <v>43176.587546296294</v>
      </c>
    </row>
    <row r="206" spans="1:5" s="2" customFormat="1">
      <c r="A206" s="2">
        <v>9009</v>
      </c>
      <c r="B206" s="2" t="s">
        <v>11</v>
      </c>
      <c r="C206" s="2" t="s">
        <v>11</v>
      </c>
      <c r="D206" s="2" t="s">
        <v>6</v>
      </c>
      <c r="E206" s="405">
        <v>43178.354664351849</v>
      </c>
    </row>
    <row r="207" spans="1:5" s="2" customFormat="1">
      <c r="A207" s="2">
        <v>9040</v>
      </c>
      <c r="B207" s="2" t="s">
        <v>11</v>
      </c>
      <c r="C207" s="2" t="s">
        <v>11</v>
      </c>
      <c r="D207" s="2" t="s">
        <v>5</v>
      </c>
      <c r="E207" s="405">
        <v>43178.750104166669</v>
      </c>
    </row>
    <row r="208" spans="1:5">
      <c r="A208">
        <v>9009</v>
      </c>
      <c r="B208" t="s">
        <v>11</v>
      </c>
      <c r="C208" t="s">
        <v>11</v>
      </c>
      <c r="D208" t="s">
        <v>6</v>
      </c>
      <c r="E208" s="1">
        <v>43179.362303240741</v>
      </c>
    </row>
    <row r="209" spans="1:5">
      <c r="A209">
        <v>9040</v>
      </c>
      <c r="B209" t="s">
        <v>11</v>
      </c>
      <c r="C209" t="s">
        <v>11</v>
      </c>
      <c r="D209" t="s">
        <v>5</v>
      </c>
      <c r="E209" s="1">
        <v>43179.817465277774</v>
      </c>
    </row>
    <row r="210" spans="1:5">
      <c r="A210">
        <v>9056</v>
      </c>
      <c r="B210" t="s">
        <v>78</v>
      </c>
      <c r="C210" t="s">
        <v>11</v>
      </c>
      <c r="D210" t="s">
        <v>6</v>
      </c>
      <c r="E210" s="1">
        <v>43180.597361111111</v>
      </c>
    </row>
    <row r="211" spans="1:5">
      <c r="A211">
        <v>9077</v>
      </c>
      <c r="B211" t="s">
        <v>11</v>
      </c>
      <c r="C211" t="s">
        <v>11</v>
      </c>
      <c r="D211" t="s">
        <v>5</v>
      </c>
      <c r="E211" s="1">
        <v>43180.849444444444</v>
      </c>
    </row>
    <row r="212" spans="1:5">
      <c r="A212">
        <v>9082</v>
      </c>
      <c r="B212" t="s">
        <v>11</v>
      </c>
      <c r="C212" t="s">
        <v>11</v>
      </c>
      <c r="D212" t="s">
        <v>6</v>
      </c>
      <c r="E212" s="1">
        <v>43181.364050925928</v>
      </c>
    </row>
    <row r="213" spans="1:5">
      <c r="A213">
        <v>9109</v>
      </c>
      <c r="B213" t="s">
        <v>11</v>
      </c>
      <c r="C213" t="s">
        <v>11</v>
      </c>
      <c r="D213" t="s">
        <v>5</v>
      </c>
      <c r="E213" s="1">
        <v>43181.830023148148</v>
      </c>
    </row>
    <row r="214" spans="1:5">
      <c r="A214">
        <v>9118</v>
      </c>
      <c r="B214" t="s">
        <v>11</v>
      </c>
      <c r="C214" t="s">
        <v>11</v>
      </c>
      <c r="D214" t="s">
        <v>6</v>
      </c>
      <c r="E214" s="1">
        <v>43182.36246527778</v>
      </c>
    </row>
    <row r="215" spans="1:5">
      <c r="A215">
        <v>9134</v>
      </c>
      <c r="B215" t="s">
        <v>11</v>
      </c>
      <c r="C215" t="s">
        <v>11</v>
      </c>
      <c r="D215" t="s">
        <v>5</v>
      </c>
      <c r="E215" s="1">
        <v>43182.774131944447</v>
      </c>
    </row>
    <row r="216" spans="1:5">
      <c r="A216">
        <v>9137</v>
      </c>
      <c r="B216" t="s">
        <v>11</v>
      </c>
      <c r="C216" t="s">
        <v>11</v>
      </c>
      <c r="D216" t="s">
        <v>6</v>
      </c>
      <c r="E216" s="1">
        <v>43185.359409722223</v>
      </c>
    </row>
    <row r="217" spans="1:5">
      <c r="A217">
        <v>9160</v>
      </c>
      <c r="B217" t="s">
        <v>11</v>
      </c>
      <c r="C217" t="s">
        <v>11</v>
      </c>
      <c r="D217" t="s">
        <v>5</v>
      </c>
      <c r="E217" s="1">
        <v>43185.839166666665</v>
      </c>
    </row>
    <row r="218" spans="1:5">
      <c r="A218">
        <v>9164</v>
      </c>
      <c r="B218" t="s">
        <v>78</v>
      </c>
      <c r="C218" t="s">
        <v>11</v>
      </c>
      <c r="D218" t="s">
        <v>6</v>
      </c>
      <c r="E218" s="1">
        <v>43186.360960648148</v>
      </c>
    </row>
    <row r="219" spans="1:5">
      <c r="A219">
        <v>9184</v>
      </c>
      <c r="B219" t="s">
        <v>11</v>
      </c>
      <c r="C219" t="s">
        <v>11</v>
      </c>
      <c r="D219" t="s">
        <v>5</v>
      </c>
      <c r="E219" s="1">
        <v>43186.812974537039</v>
      </c>
    </row>
    <row r="220" spans="1:5">
      <c r="A220">
        <v>9190</v>
      </c>
      <c r="B220" t="s">
        <v>11</v>
      </c>
      <c r="C220" t="s">
        <v>11</v>
      </c>
      <c r="D220" t="s">
        <v>6</v>
      </c>
      <c r="E220" s="1">
        <v>43187.35533564815</v>
      </c>
    </row>
    <row r="221" spans="1:5">
      <c r="A221">
        <v>9225</v>
      </c>
      <c r="B221" t="s">
        <v>11</v>
      </c>
      <c r="C221" t="s">
        <v>11</v>
      </c>
      <c r="D221" t="s">
        <v>5</v>
      </c>
      <c r="E221" s="1">
        <v>43187.950115740743</v>
      </c>
    </row>
    <row r="222" spans="1:5">
      <c r="A222">
        <v>9228</v>
      </c>
      <c r="B222" t="s">
        <v>11</v>
      </c>
      <c r="C222" t="s">
        <v>11</v>
      </c>
      <c r="D222" t="s">
        <v>6</v>
      </c>
      <c r="E222" s="1">
        <v>43188.364201388889</v>
      </c>
    </row>
    <row r="223" spans="1:5">
      <c r="A223">
        <v>9251</v>
      </c>
      <c r="B223" t="s">
        <v>11</v>
      </c>
      <c r="C223" t="s">
        <v>11</v>
      </c>
      <c r="D223" t="s">
        <v>5</v>
      </c>
      <c r="E223" s="1">
        <v>43188.802905092591</v>
      </c>
    </row>
    <row r="224" spans="1:5">
      <c r="A224">
        <v>9259</v>
      </c>
      <c r="B224" t="s">
        <v>11</v>
      </c>
      <c r="C224" t="s">
        <v>11</v>
      </c>
      <c r="D224" t="s">
        <v>6</v>
      </c>
      <c r="E224" s="1">
        <v>43189.359861111108</v>
      </c>
    </row>
    <row r="225" spans="1:5">
      <c r="A225">
        <v>9280</v>
      </c>
      <c r="B225" t="s">
        <v>11</v>
      </c>
      <c r="C225" t="s">
        <v>11</v>
      </c>
      <c r="D225" t="s">
        <v>5</v>
      </c>
      <c r="E225" s="1">
        <v>43189.8125462963</v>
      </c>
    </row>
    <row r="226" spans="1:5">
      <c r="A226">
        <v>9285</v>
      </c>
      <c r="B226" t="s">
        <v>78</v>
      </c>
      <c r="C226" t="s">
        <v>11</v>
      </c>
      <c r="D226" t="s">
        <v>6</v>
      </c>
      <c r="E226" s="1">
        <v>43190.361770833333</v>
      </c>
    </row>
    <row r="227" spans="1:5">
      <c r="A227">
        <v>9307</v>
      </c>
      <c r="B227" t="s">
        <v>11</v>
      </c>
      <c r="C227" t="s">
        <v>11</v>
      </c>
      <c r="D227" t="s">
        <v>5</v>
      </c>
      <c r="E227" s="1">
        <v>43190.818657407406</v>
      </c>
    </row>
    <row r="228" spans="1:5">
      <c r="A228">
        <v>8498</v>
      </c>
      <c r="B228" t="s">
        <v>99</v>
      </c>
      <c r="C228" t="s">
        <v>99</v>
      </c>
      <c r="D228" t="s">
        <v>6</v>
      </c>
      <c r="E228" s="1">
        <v>43160.379236111112</v>
      </c>
    </row>
    <row r="229" spans="1:5">
      <c r="A229">
        <v>8513</v>
      </c>
      <c r="B229" t="s">
        <v>99</v>
      </c>
      <c r="C229" t="s">
        <v>99</v>
      </c>
      <c r="D229" t="s">
        <v>5</v>
      </c>
      <c r="E229" s="1">
        <v>43160.793622685182</v>
      </c>
    </row>
    <row r="230" spans="1:5">
      <c r="A230">
        <v>8520</v>
      </c>
      <c r="B230" t="s">
        <v>99</v>
      </c>
      <c r="C230" t="s">
        <v>99</v>
      </c>
      <c r="D230" t="s">
        <v>6</v>
      </c>
      <c r="E230" s="1">
        <v>43161.358206018522</v>
      </c>
    </row>
    <row r="231" spans="1:5" s="406" customFormat="1">
      <c r="A231" s="406">
        <v>8537</v>
      </c>
      <c r="B231" s="406" t="s">
        <v>99</v>
      </c>
      <c r="C231" s="406" t="s">
        <v>99</v>
      </c>
      <c r="D231" s="406" t="s">
        <v>106</v>
      </c>
      <c r="E231" s="390">
        <v>43161.769212962965</v>
      </c>
    </row>
    <row r="232" spans="1:5" s="406" customFormat="1">
      <c r="A232" s="406">
        <v>8551</v>
      </c>
      <c r="B232" s="406" t="s">
        <v>99</v>
      </c>
      <c r="C232" s="406" t="s">
        <v>99</v>
      </c>
      <c r="D232" s="406" t="s">
        <v>7</v>
      </c>
      <c r="E232" s="390">
        <v>43161.771157407406</v>
      </c>
    </row>
    <row r="233" spans="1:5" s="406" customFormat="1">
      <c r="A233" s="406">
        <v>8547</v>
      </c>
      <c r="B233" s="406" t="s">
        <v>99</v>
      </c>
      <c r="C233" s="406" t="s">
        <v>99</v>
      </c>
      <c r="D233" s="406" t="s">
        <v>107</v>
      </c>
      <c r="E233" s="390">
        <v>43161.890439814815</v>
      </c>
    </row>
    <row r="234" spans="1:5" s="406" customFormat="1">
      <c r="A234" s="406">
        <v>8548</v>
      </c>
      <c r="B234" s="406" t="s">
        <v>99</v>
      </c>
      <c r="C234" s="406" t="s">
        <v>99</v>
      </c>
      <c r="D234" s="406" t="s">
        <v>108</v>
      </c>
      <c r="E234" s="390">
        <v>43162.420185185183</v>
      </c>
    </row>
    <row r="235" spans="1:5">
      <c r="A235">
        <v>8550</v>
      </c>
      <c r="B235" t="s">
        <v>99</v>
      </c>
      <c r="C235" t="s">
        <v>99</v>
      </c>
      <c r="D235" t="s">
        <v>8</v>
      </c>
      <c r="E235" s="1">
        <v>43162.555868055555</v>
      </c>
    </row>
    <row r="236" spans="1:5">
      <c r="A236">
        <v>8551</v>
      </c>
      <c r="B236" t="s">
        <v>99</v>
      </c>
      <c r="C236" t="s">
        <v>99</v>
      </c>
      <c r="D236" t="s">
        <v>7</v>
      </c>
      <c r="E236" s="1">
        <v>43162.577407407407</v>
      </c>
    </row>
    <row r="237" spans="1:5">
      <c r="A237">
        <v>8554</v>
      </c>
      <c r="B237" t="s">
        <v>99</v>
      </c>
      <c r="C237" t="s">
        <v>99</v>
      </c>
      <c r="D237" t="s">
        <v>8</v>
      </c>
      <c r="E237" s="1">
        <v>43162.718888888892</v>
      </c>
    </row>
    <row r="238" spans="1:5">
      <c r="A238">
        <v>8556</v>
      </c>
      <c r="B238" t="s">
        <v>99</v>
      </c>
      <c r="C238" t="s">
        <v>99</v>
      </c>
      <c r="D238" t="s">
        <v>6</v>
      </c>
      <c r="E238" s="1">
        <v>43164.357928240737</v>
      </c>
    </row>
    <row r="239" spans="1:5">
      <c r="A239">
        <v>8572</v>
      </c>
      <c r="B239" t="s">
        <v>99</v>
      </c>
      <c r="C239" t="s">
        <v>99</v>
      </c>
      <c r="D239" t="s">
        <v>5</v>
      </c>
      <c r="E239" s="1">
        <v>43164.76153935185</v>
      </c>
    </row>
    <row r="240" spans="1:5">
      <c r="A240">
        <v>8573</v>
      </c>
      <c r="B240" t="s">
        <v>99</v>
      </c>
      <c r="C240" t="s">
        <v>99</v>
      </c>
      <c r="D240" t="s">
        <v>7</v>
      </c>
      <c r="E240" s="1">
        <v>43164.761574074073</v>
      </c>
    </row>
    <row r="241" spans="1:5">
      <c r="A241">
        <v>8592</v>
      </c>
      <c r="B241" t="s">
        <v>99</v>
      </c>
      <c r="C241" t="s">
        <v>99</v>
      </c>
      <c r="D241" t="s">
        <v>8</v>
      </c>
      <c r="E241" s="1">
        <v>43164.939097222225</v>
      </c>
    </row>
    <row r="242" spans="1:5">
      <c r="A242">
        <v>8597</v>
      </c>
      <c r="B242" t="s">
        <v>99</v>
      </c>
      <c r="C242" t="s">
        <v>99</v>
      </c>
      <c r="D242" t="s">
        <v>6</v>
      </c>
      <c r="E242" s="1">
        <v>43165.363275462965</v>
      </c>
    </row>
    <row r="243" spans="1:5">
      <c r="A243">
        <v>8609</v>
      </c>
      <c r="B243" t="s">
        <v>99</v>
      </c>
      <c r="C243" t="s">
        <v>99</v>
      </c>
      <c r="D243" t="s">
        <v>5</v>
      </c>
      <c r="E243" s="1">
        <v>43165.768449074072</v>
      </c>
    </row>
    <row r="244" spans="1:5">
      <c r="A244">
        <v>8626</v>
      </c>
      <c r="B244" t="s">
        <v>99</v>
      </c>
      <c r="C244" t="s">
        <v>99</v>
      </c>
      <c r="D244" t="s">
        <v>6</v>
      </c>
      <c r="E244" s="1">
        <v>43166.359155092592</v>
      </c>
    </row>
    <row r="245" spans="1:5">
      <c r="A245">
        <v>8636</v>
      </c>
      <c r="B245" t="s">
        <v>99</v>
      </c>
      <c r="C245" t="s">
        <v>99</v>
      </c>
      <c r="D245" t="s">
        <v>5</v>
      </c>
      <c r="E245" s="1">
        <v>43166.438518518517</v>
      </c>
    </row>
    <row r="246" spans="1:5">
      <c r="A246">
        <v>8637</v>
      </c>
      <c r="B246" t="s">
        <v>99</v>
      </c>
      <c r="C246" t="s">
        <v>99</v>
      </c>
      <c r="D246" t="s">
        <v>6</v>
      </c>
      <c r="E246" s="1">
        <v>43166.584039351852</v>
      </c>
    </row>
    <row r="247" spans="1:5">
      <c r="A247">
        <v>8649</v>
      </c>
      <c r="B247" t="s">
        <v>99</v>
      </c>
      <c r="C247" t="s">
        <v>99</v>
      </c>
      <c r="D247" t="s">
        <v>5</v>
      </c>
      <c r="E247" s="1">
        <v>43166.77652777778</v>
      </c>
    </row>
    <row r="248" spans="1:5">
      <c r="A248">
        <v>8650</v>
      </c>
      <c r="B248" t="s">
        <v>99</v>
      </c>
      <c r="C248" t="s">
        <v>99</v>
      </c>
      <c r="D248" t="s">
        <v>7</v>
      </c>
      <c r="E248" s="1">
        <v>43166.776562500003</v>
      </c>
    </row>
    <row r="249" spans="1:5">
      <c r="A249">
        <v>8654</v>
      </c>
      <c r="B249" t="s">
        <v>99</v>
      </c>
      <c r="C249" t="s">
        <v>99</v>
      </c>
      <c r="D249" t="s">
        <v>8</v>
      </c>
      <c r="E249" s="1">
        <v>43166.84888888889</v>
      </c>
    </row>
    <row r="250" spans="1:5">
      <c r="A250">
        <v>8663</v>
      </c>
      <c r="B250" t="s">
        <v>99</v>
      </c>
      <c r="C250" t="s">
        <v>99</v>
      </c>
      <c r="D250" t="s">
        <v>6</v>
      </c>
      <c r="E250" s="1">
        <v>43167.359780092593</v>
      </c>
    </row>
    <row r="251" spans="1:5">
      <c r="A251">
        <v>8683</v>
      </c>
      <c r="B251" t="s">
        <v>99</v>
      </c>
      <c r="C251" t="s">
        <v>99</v>
      </c>
      <c r="D251" t="s">
        <v>5</v>
      </c>
      <c r="E251" s="1">
        <v>43167.773865740739</v>
      </c>
    </row>
    <row r="252" spans="1:5">
      <c r="A252">
        <v>8684</v>
      </c>
      <c r="B252" t="s">
        <v>99</v>
      </c>
      <c r="C252" t="s">
        <v>99</v>
      </c>
      <c r="D252" t="s">
        <v>7</v>
      </c>
      <c r="E252" s="1">
        <v>43167.773912037039</v>
      </c>
    </row>
    <row r="253" spans="1:5">
      <c r="A253">
        <v>8689</v>
      </c>
      <c r="B253" t="s">
        <v>99</v>
      </c>
      <c r="C253" t="s">
        <v>99</v>
      </c>
      <c r="D253" t="s">
        <v>8</v>
      </c>
      <c r="E253" s="1">
        <v>43167.839606481481</v>
      </c>
    </row>
    <row r="254" spans="1:5">
      <c r="A254">
        <v>8695</v>
      </c>
      <c r="B254" t="s">
        <v>99</v>
      </c>
      <c r="C254" t="s">
        <v>99</v>
      </c>
      <c r="D254" t="s">
        <v>6</v>
      </c>
      <c r="E254" s="1">
        <v>43168.365740740737</v>
      </c>
    </row>
    <row r="255" spans="1:5">
      <c r="A255">
        <v>8704</v>
      </c>
      <c r="B255" t="s">
        <v>99</v>
      </c>
      <c r="C255" t="s">
        <v>99</v>
      </c>
      <c r="D255" t="s">
        <v>5</v>
      </c>
      <c r="E255" s="1">
        <v>43168.767094907409</v>
      </c>
    </row>
    <row r="256" spans="1:5">
      <c r="A256">
        <v>8730</v>
      </c>
      <c r="B256" t="s">
        <v>99</v>
      </c>
      <c r="C256" t="s">
        <v>99</v>
      </c>
      <c r="D256" t="s">
        <v>7</v>
      </c>
      <c r="E256" s="1">
        <v>43170.422500000001</v>
      </c>
    </row>
    <row r="257" spans="1:5">
      <c r="A257">
        <v>8738</v>
      </c>
      <c r="B257" t="s">
        <v>99</v>
      </c>
      <c r="C257" t="s">
        <v>99</v>
      </c>
      <c r="D257" t="s">
        <v>8</v>
      </c>
      <c r="E257" s="1">
        <v>43170.550740740742</v>
      </c>
    </row>
    <row r="258" spans="1:5">
      <c r="A258">
        <v>8740</v>
      </c>
      <c r="B258" t="s">
        <v>99</v>
      </c>
      <c r="C258" t="s">
        <v>99</v>
      </c>
      <c r="D258" t="s">
        <v>7</v>
      </c>
      <c r="E258" s="1">
        <v>43170.572627314818</v>
      </c>
    </row>
    <row r="259" spans="1:5">
      <c r="A259">
        <v>8752</v>
      </c>
      <c r="B259" t="s">
        <v>99</v>
      </c>
      <c r="C259" t="s">
        <v>99</v>
      </c>
      <c r="D259" t="s">
        <v>8</v>
      </c>
      <c r="E259" s="1">
        <v>43170.751284722224</v>
      </c>
    </row>
    <row r="260" spans="1:5">
      <c r="A260">
        <v>8754</v>
      </c>
      <c r="B260" t="s">
        <v>99</v>
      </c>
      <c r="C260" t="s">
        <v>99</v>
      </c>
      <c r="D260" t="s">
        <v>7</v>
      </c>
      <c r="E260" s="1">
        <v>43170.751423611109</v>
      </c>
    </row>
    <row r="261" spans="1:5">
      <c r="A261">
        <v>8756</v>
      </c>
      <c r="B261" t="s">
        <v>99</v>
      </c>
      <c r="C261" t="s">
        <v>99</v>
      </c>
      <c r="D261" t="s">
        <v>8</v>
      </c>
      <c r="E261" s="1">
        <v>43170.785173611112</v>
      </c>
    </row>
    <row r="262" spans="1:5">
      <c r="A262">
        <v>8763</v>
      </c>
      <c r="B262" t="s">
        <v>100</v>
      </c>
      <c r="C262" t="s">
        <v>99</v>
      </c>
      <c r="D262" t="s">
        <v>6</v>
      </c>
      <c r="E262" s="1">
        <v>43171.366400462961</v>
      </c>
    </row>
    <row r="263" spans="1:5">
      <c r="A263">
        <v>8775</v>
      </c>
      <c r="B263" t="s">
        <v>99</v>
      </c>
      <c r="C263" t="s">
        <v>99</v>
      </c>
      <c r="D263" t="s">
        <v>5</v>
      </c>
      <c r="E263" s="1">
        <v>43171.768958333334</v>
      </c>
    </row>
    <row r="264" spans="1:5">
      <c r="A264">
        <v>8776</v>
      </c>
      <c r="B264" t="s">
        <v>99</v>
      </c>
      <c r="C264" t="s">
        <v>99</v>
      </c>
      <c r="D264" t="s">
        <v>7</v>
      </c>
      <c r="E264" s="1">
        <v>43171.769004629627</v>
      </c>
    </row>
    <row r="265" spans="1:5">
      <c r="A265">
        <v>8795</v>
      </c>
      <c r="B265" t="s">
        <v>99</v>
      </c>
      <c r="C265" t="s">
        <v>99</v>
      </c>
      <c r="D265" t="s">
        <v>8</v>
      </c>
      <c r="E265" s="1">
        <v>43171.908946759257</v>
      </c>
    </row>
    <row r="266" spans="1:5">
      <c r="A266">
        <v>8805</v>
      </c>
      <c r="B266" t="s">
        <v>100</v>
      </c>
      <c r="C266" t="s">
        <v>99</v>
      </c>
      <c r="D266" t="s">
        <v>6</v>
      </c>
      <c r="E266" s="1">
        <v>43172.368263888886</v>
      </c>
    </row>
    <row r="267" spans="1:5">
      <c r="A267">
        <v>8817</v>
      </c>
      <c r="B267" t="s">
        <v>99</v>
      </c>
      <c r="C267" t="s">
        <v>99</v>
      </c>
      <c r="D267" t="s">
        <v>5</v>
      </c>
      <c r="E267" s="1">
        <v>43172.773148148146</v>
      </c>
    </row>
    <row r="268" spans="1:5">
      <c r="A268">
        <v>8820</v>
      </c>
      <c r="B268" t="s">
        <v>99</v>
      </c>
      <c r="C268" t="s">
        <v>99</v>
      </c>
      <c r="D268" t="s">
        <v>7</v>
      </c>
      <c r="E268" s="1">
        <v>43172.773229166669</v>
      </c>
    </row>
    <row r="269" spans="1:5">
      <c r="A269">
        <v>8833</v>
      </c>
      <c r="B269" t="s">
        <v>99</v>
      </c>
      <c r="C269" t="s">
        <v>99</v>
      </c>
      <c r="D269" t="s">
        <v>8</v>
      </c>
      <c r="E269" s="1">
        <v>43172.872106481482</v>
      </c>
    </row>
    <row r="270" spans="1:5">
      <c r="A270">
        <v>8836</v>
      </c>
      <c r="B270" t="s">
        <v>99</v>
      </c>
      <c r="C270" t="s">
        <v>99</v>
      </c>
      <c r="D270" t="s">
        <v>6</v>
      </c>
      <c r="E270" s="1">
        <v>43173.356898148151</v>
      </c>
    </row>
    <row r="271" spans="1:5">
      <c r="A271">
        <v>8850</v>
      </c>
      <c r="B271" t="s">
        <v>99</v>
      </c>
      <c r="C271" t="s">
        <v>99</v>
      </c>
      <c r="D271" t="s">
        <v>5</v>
      </c>
      <c r="E271" s="1">
        <v>43173.768090277779</v>
      </c>
    </row>
    <row r="272" spans="1:5">
      <c r="A272">
        <v>8868</v>
      </c>
      <c r="B272" t="s">
        <v>100</v>
      </c>
      <c r="C272" t="s">
        <v>99</v>
      </c>
      <c r="D272" t="s">
        <v>5</v>
      </c>
      <c r="E272" s="1">
        <v>43173.864004629628</v>
      </c>
    </row>
    <row r="273" spans="1:5">
      <c r="A273">
        <v>8876</v>
      </c>
      <c r="B273" t="s">
        <v>100</v>
      </c>
      <c r="C273" t="s">
        <v>99</v>
      </c>
      <c r="D273" t="s">
        <v>6</v>
      </c>
      <c r="E273" s="1">
        <v>43174.36341435185</v>
      </c>
    </row>
    <row r="274" spans="1:5">
      <c r="A274">
        <v>8884</v>
      </c>
      <c r="B274" t="s">
        <v>99</v>
      </c>
      <c r="C274" t="s">
        <v>99</v>
      </c>
      <c r="D274" t="s">
        <v>5</v>
      </c>
      <c r="E274" s="1">
        <v>43174.767604166664</v>
      </c>
    </row>
    <row r="275" spans="1:5">
      <c r="A275">
        <v>8885</v>
      </c>
      <c r="B275" t="s">
        <v>99</v>
      </c>
      <c r="C275" t="s">
        <v>99</v>
      </c>
      <c r="D275" t="s">
        <v>7</v>
      </c>
      <c r="E275" s="1">
        <v>43174.767650462964</v>
      </c>
    </row>
    <row r="276" spans="1:5">
      <c r="A276">
        <v>8899</v>
      </c>
      <c r="B276" t="s">
        <v>99</v>
      </c>
      <c r="C276" t="s">
        <v>99</v>
      </c>
      <c r="D276" t="s">
        <v>8</v>
      </c>
      <c r="E276" s="1">
        <v>43174.848460648151</v>
      </c>
    </row>
    <row r="277" spans="1:5">
      <c r="A277">
        <v>8908</v>
      </c>
      <c r="B277" t="s">
        <v>99</v>
      </c>
      <c r="C277" t="s">
        <v>99</v>
      </c>
      <c r="D277" t="s">
        <v>6</v>
      </c>
      <c r="E277" s="1">
        <v>43175.362615740742</v>
      </c>
    </row>
    <row r="278" spans="1:5">
      <c r="A278">
        <v>8922</v>
      </c>
      <c r="B278" t="s">
        <v>99</v>
      </c>
      <c r="C278" t="s">
        <v>99</v>
      </c>
      <c r="D278" t="s">
        <v>5</v>
      </c>
      <c r="E278" s="1">
        <v>43175.768692129626</v>
      </c>
    </row>
    <row r="279" spans="1:5">
      <c r="A279">
        <v>8923</v>
      </c>
      <c r="B279" t="s">
        <v>99</v>
      </c>
      <c r="C279" t="s">
        <v>99</v>
      </c>
      <c r="D279" t="s">
        <v>7</v>
      </c>
      <c r="E279" s="1">
        <v>43175.76871527778</v>
      </c>
    </row>
    <row r="280" spans="1:5">
      <c r="A280">
        <v>8939</v>
      </c>
      <c r="B280" t="s">
        <v>100</v>
      </c>
      <c r="C280" t="s">
        <v>99</v>
      </c>
      <c r="D280" t="s">
        <v>8</v>
      </c>
      <c r="E280" s="1">
        <v>43175.905902777777</v>
      </c>
    </row>
    <row r="281" spans="1:5">
      <c r="A281">
        <v>8947</v>
      </c>
      <c r="B281" t="s">
        <v>99</v>
      </c>
      <c r="C281" t="s">
        <v>99</v>
      </c>
      <c r="D281" t="s">
        <v>6</v>
      </c>
      <c r="E281" s="1">
        <v>43176.453449074077</v>
      </c>
    </row>
    <row r="282" spans="1:5">
      <c r="A282">
        <v>8948</v>
      </c>
      <c r="B282" t="s">
        <v>99</v>
      </c>
      <c r="C282" t="s">
        <v>99</v>
      </c>
      <c r="D282" t="s">
        <v>5</v>
      </c>
      <c r="E282" s="1">
        <v>43176.453576388885</v>
      </c>
    </row>
    <row r="283" spans="1:5">
      <c r="A283">
        <v>8949</v>
      </c>
      <c r="B283" t="s">
        <v>99</v>
      </c>
      <c r="C283" t="s">
        <v>99</v>
      </c>
      <c r="D283" t="s">
        <v>7</v>
      </c>
      <c r="E283" s="1">
        <v>43176.453634259262</v>
      </c>
    </row>
    <row r="284" spans="1:5">
      <c r="A284">
        <v>8962</v>
      </c>
      <c r="B284" t="s">
        <v>99</v>
      </c>
      <c r="C284" t="s">
        <v>99</v>
      </c>
      <c r="D284" t="s">
        <v>8</v>
      </c>
      <c r="E284" s="1">
        <v>43176.633009259262</v>
      </c>
    </row>
    <row r="285" spans="1:5">
      <c r="A285">
        <v>8974</v>
      </c>
      <c r="B285" t="s">
        <v>99</v>
      </c>
      <c r="C285" t="s">
        <v>99</v>
      </c>
      <c r="D285" t="s">
        <v>6</v>
      </c>
      <c r="E285" s="1">
        <v>43178.364537037036</v>
      </c>
    </row>
    <row r="286" spans="1:5">
      <c r="A286">
        <v>8986</v>
      </c>
      <c r="B286" t="s">
        <v>99</v>
      </c>
      <c r="C286" t="s">
        <v>99</v>
      </c>
      <c r="D286" t="s">
        <v>5</v>
      </c>
      <c r="E286" s="1">
        <v>43178.767708333333</v>
      </c>
    </row>
    <row r="287" spans="1:5">
      <c r="A287">
        <v>8988</v>
      </c>
      <c r="B287" t="s">
        <v>99</v>
      </c>
      <c r="C287" t="s">
        <v>99</v>
      </c>
      <c r="D287" t="s">
        <v>7</v>
      </c>
      <c r="E287" s="1">
        <v>43178.768101851849</v>
      </c>
    </row>
    <row r="288" spans="1:5">
      <c r="A288">
        <v>9007</v>
      </c>
      <c r="B288" t="s">
        <v>99</v>
      </c>
      <c r="C288" t="s">
        <v>99</v>
      </c>
      <c r="D288" t="s">
        <v>8</v>
      </c>
      <c r="E288" s="1">
        <v>43178.914525462962</v>
      </c>
    </row>
    <row r="289" spans="1:5">
      <c r="A289">
        <v>9008</v>
      </c>
      <c r="B289" t="s">
        <v>99</v>
      </c>
      <c r="C289" t="s">
        <v>99</v>
      </c>
      <c r="D289" t="s">
        <v>6</v>
      </c>
      <c r="E289" s="1">
        <v>43179.361250000002</v>
      </c>
    </row>
    <row r="290" spans="1:5">
      <c r="A290">
        <v>9027</v>
      </c>
      <c r="B290" t="s">
        <v>99</v>
      </c>
      <c r="C290" t="s">
        <v>99</v>
      </c>
      <c r="D290" t="s">
        <v>5</v>
      </c>
      <c r="E290" s="1">
        <v>43179.769803240742</v>
      </c>
    </row>
    <row r="291" spans="1:5">
      <c r="A291">
        <v>9028</v>
      </c>
      <c r="B291" t="s">
        <v>99</v>
      </c>
      <c r="C291" t="s">
        <v>99</v>
      </c>
      <c r="D291" t="s">
        <v>7</v>
      </c>
      <c r="E291" s="1">
        <v>43179.769837962966</v>
      </c>
    </row>
    <row r="292" spans="1:5">
      <c r="A292">
        <v>9034</v>
      </c>
      <c r="B292" t="s">
        <v>99</v>
      </c>
      <c r="C292" t="s">
        <v>99</v>
      </c>
      <c r="D292" t="s">
        <v>8</v>
      </c>
      <c r="E292" s="1">
        <v>43179.778877314813</v>
      </c>
    </row>
    <row r="293" spans="1:5">
      <c r="A293">
        <v>9039</v>
      </c>
      <c r="B293" t="s">
        <v>99</v>
      </c>
      <c r="C293" t="s">
        <v>99</v>
      </c>
      <c r="D293" t="s">
        <v>7</v>
      </c>
      <c r="E293" s="1">
        <v>43179.799328703702</v>
      </c>
    </row>
    <row r="294" spans="1:5">
      <c r="A294">
        <v>9044</v>
      </c>
      <c r="B294" t="s">
        <v>99</v>
      </c>
      <c r="C294" t="s">
        <v>99</v>
      </c>
      <c r="D294" t="s">
        <v>8</v>
      </c>
      <c r="E294" s="1">
        <v>43179.884421296294</v>
      </c>
    </row>
    <row r="295" spans="1:5">
      <c r="A295">
        <v>9046</v>
      </c>
      <c r="B295" t="s">
        <v>99</v>
      </c>
      <c r="C295" t="s">
        <v>99</v>
      </c>
      <c r="D295" t="s">
        <v>6</v>
      </c>
      <c r="E295" s="1">
        <v>43180.363136574073</v>
      </c>
    </row>
    <row r="296" spans="1:5">
      <c r="A296">
        <v>9066</v>
      </c>
      <c r="B296" t="s">
        <v>99</v>
      </c>
      <c r="C296" t="s">
        <v>99</v>
      </c>
      <c r="D296" t="s">
        <v>5</v>
      </c>
      <c r="E296" s="1">
        <v>43180.771122685182</v>
      </c>
    </row>
    <row r="297" spans="1:5">
      <c r="A297">
        <v>9085</v>
      </c>
      <c r="B297" t="s">
        <v>99</v>
      </c>
      <c r="C297" t="s">
        <v>99</v>
      </c>
      <c r="D297" t="s">
        <v>6</v>
      </c>
      <c r="E297" s="1">
        <v>43181.364212962966</v>
      </c>
    </row>
    <row r="298" spans="1:5">
      <c r="A298">
        <v>9094</v>
      </c>
      <c r="B298" t="s">
        <v>99</v>
      </c>
      <c r="C298" t="s">
        <v>99</v>
      </c>
      <c r="D298" t="s">
        <v>5</v>
      </c>
      <c r="E298" s="1">
        <v>43181.763807870368</v>
      </c>
    </row>
    <row r="299" spans="1:5">
      <c r="A299">
        <v>9095</v>
      </c>
      <c r="B299" t="s">
        <v>99</v>
      </c>
      <c r="C299" t="s">
        <v>99</v>
      </c>
      <c r="D299" t="s">
        <v>7</v>
      </c>
      <c r="E299" s="1">
        <v>43181.764016203706</v>
      </c>
    </row>
    <row r="300" spans="1:5">
      <c r="A300">
        <v>9101</v>
      </c>
      <c r="B300" t="s">
        <v>99</v>
      </c>
      <c r="C300" t="s">
        <v>99</v>
      </c>
      <c r="D300" t="s">
        <v>8</v>
      </c>
      <c r="E300" s="1">
        <v>43181.784907407404</v>
      </c>
    </row>
    <row r="301" spans="1:5">
      <c r="A301">
        <v>9103</v>
      </c>
      <c r="B301" t="s">
        <v>99</v>
      </c>
      <c r="C301" t="s">
        <v>99</v>
      </c>
      <c r="D301" t="s">
        <v>7</v>
      </c>
      <c r="E301" s="1">
        <v>43181.796006944445</v>
      </c>
    </row>
    <row r="302" spans="1:5">
      <c r="A302">
        <v>9114</v>
      </c>
      <c r="B302" t="s">
        <v>99</v>
      </c>
      <c r="C302" t="s">
        <v>99</v>
      </c>
      <c r="D302" t="s">
        <v>8</v>
      </c>
      <c r="E302" s="1">
        <v>43181.935682870368</v>
      </c>
    </row>
    <row r="303" spans="1:5">
      <c r="A303">
        <v>9117</v>
      </c>
      <c r="B303" t="s">
        <v>99</v>
      </c>
      <c r="C303" t="s">
        <v>99</v>
      </c>
      <c r="D303" t="s">
        <v>6</v>
      </c>
      <c r="E303" s="1">
        <v>43182.362407407411</v>
      </c>
    </row>
    <row r="304" spans="1:5">
      <c r="A304">
        <v>9129</v>
      </c>
      <c r="B304" t="s">
        <v>99</v>
      </c>
      <c r="C304" t="s">
        <v>99</v>
      </c>
      <c r="D304" t="s">
        <v>5</v>
      </c>
      <c r="E304" s="1">
        <v>43182.768067129633</v>
      </c>
    </row>
    <row r="305" spans="1:5">
      <c r="A305">
        <v>9139</v>
      </c>
      <c r="B305" t="s">
        <v>99</v>
      </c>
      <c r="C305" t="s">
        <v>99</v>
      </c>
      <c r="D305" t="s">
        <v>6</v>
      </c>
      <c r="E305" s="1">
        <v>43185.363240740742</v>
      </c>
    </row>
    <row r="306" spans="1:5">
      <c r="A306">
        <v>9149</v>
      </c>
      <c r="B306" t="s">
        <v>99</v>
      </c>
      <c r="C306" t="s">
        <v>99</v>
      </c>
      <c r="D306" t="s">
        <v>5</v>
      </c>
      <c r="E306" s="1">
        <v>43185.767858796295</v>
      </c>
    </row>
    <row r="307" spans="1:5">
      <c r="A307">
        <v>9150</v>
      </c>
      <c r="B307" t="s">
        <v>99</v>
      </c>
      <c r="C307" t="s">
        <v>99</v>
      </c>
      <c r="D307" t="s">
        <v>7</v>
      </c>
      <c r="E307" s="1">
        <v>43185.767893518518</v>
      </c>
    </row>
    <row r="308" spans="1:5">
      <c r="A308">
        <v>9159</v>
      </c>
      <c r="B308" t="s">
        <v>99</v>
      </c>
      <c r="C308" t="s">
        <v>99</v>
      </c>
      <c r="D308" t="s">
        <v>8</v>
      </c>
      <c r="E308" s="1">
        <v>43185.831516203703</v>
      </c>
    </row>
    <row r="309" spans="1:5">
      <c r="A309">
        <v>9165</v>
      </c>
      <c r="B309" t="s">
        <v>100</v>
      </c>
      <c r="C309" t="s">
        <v>99</v>
      </c>
      <c r="D309" t="s">
        <v>6</v>
      </c>
      <c r="E309" s="1">
        <v>43186.360995370371</v>
      </c>
    </row>
    <row r="310" spans="1:5">
      <c r="A310">
        <v>9174</v>
      </c>
      <c r="B310" t="s">
        <v>100</v>
      </c>
      <c r="C310" t="s">
        <v>99</v>
      </c>
      <c r="D310" t="s">
        <v>5</v>
      </c>
      <c r="E310" s="1">
        <v>43186.773194444446</v>
      </c>
    </row>
    <row r="311" spans="1:5">
      <c r="A311">
        <v>9175</v>
      </c>
      <c r="B311" t="s">
        <v>100</v>
      </c>
      <c r="C311" t="s">
        <v>99</v>
      </c>
      <c r="D311" t="s">
        <v>7</v>
      </c>
      <c r="E311" s="1">
        <v>43186.773252314815</v>
      </c>
    </row>
    <row r="312" spans="1:5">
      <c r="A312">
        <v>9187</v>
      </c>
      <c r="B312" t="s">
        <v>99</v>
      </c>
      <c r="C312" t="s">
        <v>99</v>
      </c>
      <c r="D312" t="s">
        <v>8</v>
      </c>
      <c r="E312" s="1">
        <v>43186.835428240738</v>
      </c>
    </row>
    <row r="313" spans="1:5">
      <c r="A313">
        <v>9191</v>
      </c>
      <c r="B313" t="s">
        <v>99</v>
      </c>
      <c r="C313" t="s">
        <v>99</v>
      </c>
      <c r="D313" t="s">
        <v>6</v>
      </c>
      <c r="E313" s="1">
        <v>43187.357928240737</v>
      </c>
    </row>
    <row r="314" spans="1:5">
      <c r="A314">
        <v>9209</v>
      </c>
      <c r="B314" t="s">
        <v>99</v>
      </c>
      <c r="C314" t="s">
        <v>99</v>
      </c>
      <c r="D314" t="s">
        <v>5</v>
      </c>
      <c r="E314" s="1">
        <v>43187.771469907406</v>
      </c>
    </row>
    <row r="315" spans="1:5">
      <c r="A315">
        <v>9210</v>
      </c>
      <c r="B315" t="s">
        <v>99</v>
      </c>
      <c r="C315" t="s">
        <v>99</v>
      </c>
      <c r="D315" t="s">
        <v>7</v>
      </c>
      <c r="E315" s="1">
        <v>43187.771516203706</v>
      </c>
    </row>
    <row r="316" spans="1:5">
      <c r="A316">
        <v>9219</v>
      </c>
      <c r="B316" t="s">
        <v>99</v>
      </c>
      <c r="C316" t="s">
        <v>99</v>
      </c>
      <c r="D316" t="s">
        <v>8</v>
      </c>
      <c r="E316" s="1">
        <v>43187.796111111114</v>
      </c>
    </row>
    <row r="317" spans="1:5">
      <c r="A317">
        <v>9230</v>
      </c>
      <c r="B317" t="s">
        <v>99</v>
      </c>
      <c r="C317" t="s">
        <v>99</v>
      </c>
      <c r="D317" t="s">
        <v>6</v>
      </c>
      <c r="E317" s="1">
        <v>43188.366759259261</v>
      </c>
    </row>
    <row r="318" spans="1:5">
      <c r="A318">
        <v>9245</v>
      </c>
      <c r="B318" t="s">
        <v>100</v>
      </c>
      <c r="C318" t="s">
        <v>99</v>
      </c>
      <c r="D318" t="s">
        <v>5</v>
      </c>
      <c r="E318" s="1">
        <v>43188.772743055553</v>
      </c>
    </row>
    <row r="319" spans="1:5">
      <c r="A319">
        <v>9246</v>
      </c>
      <c r="B319" t="s">
        <v>100</v>
      </c>
      <c r="C319" t="s">
        <v>99</v>
      </c>
      <c r="D319" t="s">
        <v>7</v>
      </c>
      <c r="E319" s="1">
        <v>43188.772777777776</v>
      </c>
    </row>
    <row r="320" spans="1:5">
      <c r="A320">
        <v>9258</v>
      </c>
      <c r="B320" t="s">
        <v>99</v>
      </c>
      <c r="C320" t="s">
        <v>99</v>
      </c>
      <c r="D320" t="s">
        <v>8</v>
      </c>
      <c r="E320" s="1">
        <v>43188.850104166668</v>
      </c>
    </row>
    <row r="321" spans="1:5">
      <c r="A321">
        <v>9262</v>
      </c>
      <c r="B321" t="s">
        <v>100</v>
      </c>
      <c r="C321" t="s">
        <v>99</v>
      </c>
      <c r="D321" t="s">
        <v>6</v>
      </c>
      <c r="E321" s="1">
        <v>43189.364699074074</v>
      </c>
    </row>
    <row r="322" spans="1:5">
      <c r="A322">
        <v>9269</v>
      </c>
      <c r="B322" t="s">
        <v>99</v>
      </c>
      <c r="C322" t="s">
        <v>99</v>
      </c>
      <c r="D322" t="s">
        <v>5</v>
      </c>
      <c r="E322" s="1">
        <v>43189.765613425923</v>
      </c>
    </row>
    <row r="323" spans="1:5">
      <c r="A323">
        <v>9270</v>
      </c>
      <c r="B323" t="s">
        <v>99</v>
      </c>
      <c r="C323" t="s">
        <v>99</v>
      </c>
      <c r="D323" t="s">
        <v>108</v>
      </c>
      <c r="E323" s="1">
        <v>43189.771203703705</v>
      </c>
    </row>
    <row r="324" spans="1:5">
      <c r="A324">
        <v>9281</v>
      </c>
      <c r="B324" t="s">
        <v>99</v>
      </c>
      <c r="C324" t="s">
        <v>99</v>
      </c>
      <c r="D324" t="s">
        <v>8</v>
      </c>
      <c r="E324" s="1">
        <v>43189.846805555557</v>
      </c>
    </row>
    <row r="325" spans="1:5">
      <c r="A325">
        <v>9284</v>
      </c>
      <c r="B325" t="s">
        <v>100</v>
      </c>
      <c r="C325" t="s">
        <v>99</v>
      </c>
      <c r="D325" t="s">
        <v>6</v>
      </c>
      <c r="E325" s="1">
        <v>43190.361724537041</v>
      </c>
    </row>
    <row r="326" spans="1:5">
      <c r="A326">
        <v>9304</v>
      </c>
      <c r="B326" t="s">
        <v>99</v>
      </c>
      <c r="C326" t="s">
        <v>99</v>
      </c>
      <c r="D326" t="s">
        <v>5</v>
      </c>
      <c r="E326" s="1">
        <v>43190.792604166665</v>
      </c>
    </row>
    <row r="327" spans="1:5">
      <c r="A327">
        <v>8493</v>
      </c>
      <c r="B327" t="s">
        <v>39</v>
      </c>
      <c r="C327" t="s">
        <v>39</v>
      </c>
      <c r="D327" t="s">
        <v>6</v>
      </c>
      <c r="E327" s="1">
        <v>43160.367395833331</v>
      </c>
    </row>
    <row r="328" spans="1:5">
      <c r="A328">
        <v>8502</v>
      </c>
      <c r="B328" t="s">
        <v>39</v>
      </c>
      <c r="C328" t="s">
        <v>39</v>
      </c>
      <c r="D328" t="s">
        <v>5</v>
      </c>
      <c r="E328" s="1">
        <v>43160.770937499998</v>
      </c>
    </row>
    <row r="329" spans="1:5">
      <c r="A329">
        <v>8504</v>
      </c>
      <c r="B329" t="s">
        <v>39</v>
      </c>
      <c r="C329" t="s">
        <v>39</v>
      </c>
      <c r="D329" t="s">
        <v>7</v>
      </c>
      <c r="E329" s="1">
        <v>43160.770995370367</v>
      </c>
    </row>
    <row r="330" spans="1:5">
      <c r="A330">
        <v>8514</v>
      </c>
      <c r="B330" t="s">
        <v>39</v>
      </c>
      <c r="C330" t="s">
        <v>39</v>
      </c>
      <c r="D330" t="s">
        <v>8</v>
      </c>
      <c r="E330" s="1">
        <v>43160.804236111115</v>
      </c>
    </row>
    <row r="331" spans="1:5">
      <c r="A331">
        <v>8521</v>
      </c>
      <c r="B331" t="s">
        <v>39</v>
      </c>
      <c r="C331" t="s">
        <v>39</v>
      </c>
      <c r="D331" t="s">
        <v>6</v>
      </c>
      <c r="E331" s="1">
        <v>43161.363912037035</v>
      </c>
    </row>
    <row r="332" spans="1:5">
      <c r="A332">
        <v>8536</v>
      </c>
      <c r="B332" t="s">
        <v>39</v>
      </c>
      <c r="C332" t="s">
        <v>39</v>
      </c>
      <c r="D332" t="s">
        <v>5</v>
      </c>
      <c r="E332" s="1">
        <v>43161.767812500002</v>
      </c>
    </row>
    <row r="333" spans="1:5">
      <c r="A333">
        <v>8557</v>
      </c>
      <c r="B333" t="s">
        <v>39</v>
      </c>
      <c r="C333" t="s">
        <v>39</v>
      </c>
      <c r="D333" t="s">
        <v>6</v>
      </c>
      <c r="E333" s="1">
        <v>43164.361770833333</v>
      </c>
    </row>
    <row r="334" spans="1:5">
      <c r="A334">
        <v>8576</v>
      </c>
      <c r="B334" t="s">
        <v>39</v>
      </c>
      <c r="C334" t="s">
        <v>39</v>
      </c>
      <c r="D334" t="s">
        <v>5</v>
      </c>
      <c r="E334" s="1">
        <v>43164.765347222223</v>
      </c>
    </row>
    <row r="335" spans="1:5">
      <c r="A335">
        <v>8581</v>
      </c>
      <c r="B335" t="s">
        <v>39</v>
      </c>
      <c r="C335" t="s">
        <v>39</v>
      </c>
      <c r="D335" t="s">
        <v>7</v>
      </c>
      <c r="E335" s="1">
        <v>43164.774062500001</v>
      </c>
    </row>
    <row r="336" spans="1:5">
      <c r="A336">
        <v>8586</v>
      </c>
      <c r="B336" t="s">
        <v>39</v>
      </c>
      <c r="C336" t="s">
        <v>39</v>
      </c>
      <c r="D336" t="s">
        <v>8</v>
      </c>
      <c r="E336" s="1">
        <v>43164.836886574078</v>
      </c>
    </row>
    <row r="337" spans="1:5">
      <c r="A337">
        <v>8594</v>
      </c>
      <c r="B337" t="s">
        <v>39</v>
      </c>
      <c r="C337" t="s">
        <v>39</v>
      </c>
      <c r="D337" t="s">
        <v>6</v>
      </c>
      <c r="E337" s="1">
        <v>43165.361122685186</v>
      </c>
    </row>
    <row r="338" spans="1:5">
      <c r="A338">
        <v>8607</v>
      </c>
      <c r="B338" t="s">
        <v>39</v>
      </c>
      <c r="C338" t="s">
        <v>39</v>
      </c>
      <c r="D338" t="s">
        <v>5</v>
      </c>
      <c r="E338" s="1">
        <v>43165.764143518521</v>
      </c>
    </row>
    <row r="339" spans="1:5">
      <c r="A339">
        <v>8617</v>
      </c>
      <c r="B339" t="s">
        <v>39</v>
      </c>
      <c r="C339" t="s">
        <v>39</v>
      </c>
      <c r="D339" t="s">
        <v>7</v>
      </c>
      <c r="E339" s="1">
        <v>43165.786886574075</v>
      </c>
    </row>
    <row r="340" spans="1:5">
      <c r="A340">
        <v>8621</v>
      </c>
      <c r="B340" t="s">
        <v>39</v>
      </c>
      <c r="C340" t="s">
        <v>39</v>
      </c>
      <c r="D340" t="s">
        <v>8</v>
      </c>
      <c r="E340" s="1">
        <v>43165.884479166663</v>
      </c>
    </row>
    <row r="341" spans="1:5">
      <c r="A341">
        <v>8627</v>
      </c>
      <c r="B341" t="s">
        <v>39</v>
      </c>
      <c r="C341" t="s">
        <v>39</v>
      </c>
      <c r="D341" t="s">
        <v>6</v>
      </c>
      <c r="E341" s="1">
        <v>43166.363900462966</v>
      </c>
    </row>
    <row r="342" spans="1:5">
      <c r="A342">
        <v>8640</v>
      </c>
      <c r="B342" t="s">
        <v>39</v>
      </c>
      <c r="C342" t="s">
        <v>39</v>
      </c>
      <c r="D342" t="s">
        <v>5</v>
      </c>
      <c r="E342" s="1">
        <v>43166.762476851851</v>
      </c>
    </row>
    <row r="343" spans="1:5">
      <c r="A343">
        <v>8646</v>
      </c>
      <c r="B343" t="s">
        <v>39</v>
      </c>
      <c r="C343" t="s">
        <v>39</v>
      </c>
      <c r="D343" t="s">
        <v>7</v>
      </c>
      <c r="E343" s="1">
        <v>43166.771087962959</v>
      </c>
    </row>
    <row r="344" spans="1:5">
      <c r="A344">
        <v>8659</v>
      </c>
      <c r="B344" t="s">
        <v>39</v>
      </c>
      <c r="C344" t="s">
        <v>39</v>
      </c>
      <c r="D344" t="s">
        <v>8</v>
      </c>
      <c r="E344" s="1">
        <v>43166.865011574075</v>
      </c>
    </row>
    <row r="345" spans="1:5">
      <c r="A345">
        <v>8668</v>
      </c>
      <c r="B345" t="s">
        <v>39</v>
      </c>
      <c r="C345" t="s">
        <v>39</v>
      </c>
      <c r="D345" t="s">
        <v>6</v>
      </c>
      <c r="E345" s="1">
        <v>43167.368495370371</v>
      </c>
    </row>
    <row r="346" spans="1:5">
      <c r="A346">
        <v>8640</v>
      </c>
      <c r="B346" t="s">
        <v>39</v>
      </c>
      <c r="C346" t="s">
        <v>39</v>
      </c>
      <c r="D346" t="s">
        <v>5</v>
      </c>
      <c r="E346" s="1">
        <v>43167.766643518517</v>
      </c>
    </row>
    <row r="347" spans="1:5">
      <c r="A347">
        <v>8678</v>
      </c>
      <c r="B347" t="s">
        <v>39</v>
      </c>
      <c r="C347" t="s">
        <v>39</v>
      </c>
      <c r="D347" t="s">
        <v>7</v>
      </c>
      <c r="E347" s="1">
        <v>43167.770914351851</v>
      </c>
    </row>
    <row r="348" spans="1:5">
      <c r="A348">
        <v>8687</v>
      </c>
      <c r="B348" t="s">
        <v>39</v>
      </c>
      <c r="C348" t="s">
        <v>39</v>
      </c>
      <c r="D348" t="s">
        <v>8</v>
      </c>
      <c r="E348" s="1">
        <v>43167.808240740742</v>
      </c>
    </row>
    <row r="349" spans="1:5" s="406" customFormat="1">
      <c r="A349" s="406">
        <v>8699</v>
      </c>
      <c r="B349" s="406" t="s">
        <v>39</v>
      </c>
      <c r="C349" s="406" t="s">
        <v>39</v>
      </c>
      <c r="D349" s="406" t="s">
        <v>109</v>
      </c>
      <c r="E349" s="390">
        <v>43168.354502314818</v>
      </c>
    </row>
    <row r="350" spans="1:5">
      <c r="A350">
        <v>8710</v>
      </c>
      <c r="B350" t="s">
        <v>39</v>
      </c>
      <c r="C350" t="s">
        <v>39</v>
      </c>
      <c r="D350" t="s">
        <v>5</v>
      </c>
      <c r="E350" s="1">
        <v>43168.77144675926</v>
      </c>
    </row>
    <row r="351" spans="1:5">
      <c r="A351">
        <v>8761</v>
      </c>
      <c r="B351" t="s">
        <v>39</v>
      </c>
      <c r="C351" t="s">
        <v>39</v>
      </c>
      <c r="D351" t="s">
        <v>6</v>
      </c>
      <c r="E351" s="1">
        <v>43171.362060185187</v>
      </c>
    </row>
    <row r="352" spans="1:5">
      <c r="A352">
        <v>8774</v>
      </c>
      <c r="B352" t="s">
        <v>39</v>
      </c>
      <c r="C352" t="s">
        <v>39</v>
      </c>
      <c r="D352" t="s">
        <v>5</v>
      </c>
      <c r="E352" s="1">
        <v>43171.764328703706</v>
      </c>
    </row>
    <row r="353" spans="1:5">
      <c r="A353">
        <v>8783</v>
      </c>
      <c r="B353" t="s">
        <v>39</v>
      </c>
      <c r="C353" t="s">
        <v>39</v>
      </c>
      <c r="D353" t="s">
        <v>7</v>
      </c>
      <c r="E353" s="1">
        <v>43171.771365740744</v>
      </c>
    </row>
    <row r="354" spans="1:5">
      <c r="A354">
        <v>8786</v>
      </c>
      <c r="B354" t="s">
        <v>39</v>
      </c>
      <c r="C354" t="s">
        <v>39</v>
      </c>
      <c r="D354" t="s">
        <v>8</v>
      </c>
      <c r="E354" s="1">
        <v>43171.784398148149</v>
      </c>
    </row>
    <row r="355" spans="1:5">
      <c r="A355">
        <v>8790</v>
      </c>
      <c r="B355" t="s">
        <v>39</v>
      </c>
      <c r="C355" t="s">
        <v>39</v>
      </c>
      <c r="D355" t="s">
        <v>7</v>
      </c>
      <c r="E355" s="1">
        <v>43171.798576388886</v>
      </c>
    </row>
    <row r="356" spans="1:5">
      <c r="A356">
        <v>8793</v>
      </c>
      <c r="B356" t="s">
        <v>39</v>
      </c>
      <c r="C356" t="s">
        <v>39</v>
      </c>
      <c r="D356" t="s">
        <v>8</v>
      </c>
      <c r="E356" s="1">
        <v>43171.902939814812</v>
      </c>
    </row>
    <row r="357" spans="1:5">
      <c r="A357">
        <v>8802</v>
      </c>
      <c r="B357" t="s">
        <v>39</v>
      </c>
      <c r="C357" t="s">
        <v>39</v>
      </c>
      <c r="D357" t="s">
        <v>6</v>
      </c>
      <c r="E357" s="1">
        <v>43172.362141203703</v>
      </c>
    </row>
    <row r="358" spans="1:5">
      <c r="A358">
        <v>8818</v>
      </c>
      <c r="B358" t="s">
        <v>39</v>
      </c>
      <c r="C358" t="s">
        <v>39</v>
      </c>
      <c r="D358" t="s">
        <v>5</v>
      </c>
      <c r="E358" s="1">
        <v>43172.7731712963</v>
      </c>
    </row>
    <row r="359" spans="1:5">
      <c r="A359">
        <v>8819</v>
      </c>
      <c r="B359" t="s">
        <v>39</v>
      </c>
      <c r="C359" t="s">
        <v>39</v>
      </c>
      <c r="D359" t="s">
        <v>7</v>
      </c>
      <c r="E359" s="1">
        <v>43172.773217592592</v>
      </c>
    </row>
    <row r="360" spans="1:5">
      <c r="A360">
        <v>8829</v>
      </c>
      <c r="B360" t="s">
        <v>39</v>
      </c>
      <c r="C360" t="s">
        <v>39</v>
      </c>
      <c r="D360" t="s">
        <v>8</v>
      </c>
      <c r="E360" s="1">
        <v>43172.852893518517</v>
      </c>
    </row>
    <row r="361" spans="1:5">
      <c r="A361">
        <v>8841</v>
      </c>
      <c r="B361" t="s">
        <v>39</v>
      </c>
      <c r="C361" t="s">
        <v>39</v>
      </c>
      <c r="D361" t="s">
        <v>6</v>
      </c>
      <c r="E361" s="1">
        <v>43173.36787037037</v>
      </c>
    </row>
    <row r="362" spans="1:5">
      <c r="A362">
        <v>8851</v>
      </c>
      <c r="B362" t="s">
        <v>39</v>
      </c>
      <c r="C362" t="s">
        <v>39</v>
      </c>
      <c r="D362" t="s">
        <v>5</v>
      </c>
      <c r="E362" s="1">
        <v>43173.770127314812</v>
      </c>
    </row>
    <row r="363" spans="1:5">
      <c r="A363">
        <v>8857</v>
      </c>
      <c r="B363" t="s">
        <v>39</v>
      </c>
      <c r="C363" t="s">
        <v>39</v>
      </c>
      <c r="D363" t="s">
        <v>7</v>
      </c>
      <c r="E363" s="1">
        <v>43173.772361111114</v>
      </c>
    </row>
    <row r="364" spans="1:5">
      <c r="A364">
        <v>8862</v>
      </c>
      <c r="B364" t="s">
        <v>39</v>
      </c>
      <c r="C364" t="s">
        <v>39</v>
      </c>
      <c r="D364" t="s">
        <v>8</v>
      </c>
      <c r="E364" s="1">
        <v>43173.849074074074</v>
      </c>
    </row>
    <row r="365" spans="1:5">
      <c r="A365">
        <v>8875</v>
      </c>
      <c r="B365" t="s">
        <v>94</v>
      </c>
      <c r="C365" t="s">
        <v>39</v>
      </c>
      <c r="D365" t="s">
        <v>6</v>
      </c>
      <c r="E365" s="1">
        <v>43174.363333333335</v>
      </c>
    </row>
    <row r="366" spans="1:5">
      <c r="A366">
        <v>8883</v>
      </c>
      <c r="B366" t="s">
        <v>39</v>
      </c>
      <c r="C366" t="s">
        <v>39</v>
      </c>
      <c r="D366" t="s">
        <v>5</v>
      </c>
      <c r="E366" s="1">
        <v>43174.76489583333</v>
      </c>
    </row>
    <row r="367" spans="1:5">
      <c r="A367">
        <v>8893</v>
      </c>
      <c r="B367" t="s">
        <v>39</v>
      </c>
      <c r="C367" t="s">
        <v>39</v>
      </c>
      <c r="D367" t="s">
        <v>7</v>
      </c>
      <c r="E367" s="1">
        <v>43174.77238425926</v>
      </c>
    </row>
    <row r="368" spans="1:5">
      <c r="A368">
        <v>8901</v>
      </c>
      <c r="B368" t="s">
        <v>39</v>
      </c>
      <c r="C368" t="s">
        <v>39</v>
      </c>
      <c r="D368" t="s">
        <v>8</v>
      </c>
      <c r="E368" s="1">
        <v>43174.86209490741</v>
      </c>
    </row>
    <row r="369" spans="1:5">
      <c r="A369">
        <v>8907</v>
      </c>
      <c r="B369" t="s">
        <v>39</v>
      </c>
      <c r="C369" t="s">
        <v>39</v>
      </c>
      <c r="D369" t="s">
        <v>6</v>
      </c>
      <c r="E369" s="1">
        <v>43175.361458333333</v>
      </c>
    </row>
    <row r="370" spans="1:5">
      <c r="A370">
        <v>8927</v>
      </c>
      <c r="B370" t="s">
        <v>39</v>
      </c>
      <c r="C370" t="s">
        <v>39</v>
      </c>
      <c r="D370" t="s">
        <v>5</v>
      </c>
      <c r="E370" s="1">
        <v>43175.774444444447</v>
      </c>
    </row>
    <row r="371" spans="1:5">
      <c r="A371">
        <v>8928</v>
      </c>
      <c r="B371" t="s">
        <v>39</v>
      </c>
      <c r="C371" t="s">
        <v>39</v>
      </c>
      <c r="D371" t="s">
        <v>7</v>
      </c>
      <c r="E371" s="1">
        <v>43175.77447916667</v>
      </c>
    </row>
    <row r="372" spans="1:5">
      <c r="A372">
        <v>8933</v>
      </c>
      <c r="B372" t="s">
        <v>39</v>
      </c>
      <c r="C372" t="s">
        <v>39</v>
      </c>
      <c r="D372" t="s">
        <v>8</v>
      </c>
      <c r="E372" s="1">
        <v>43175.798368055555</v>
      </c>
    </row>
    <row r="373" spans="1:5">
      <c r="A373">
        <v>8946</v>
      </c>
      <c r="B373" t="s">
        <v>101</v>
      </c>
      <c r="C373" t="s">
        <v>39</v>
      </c>
      <c r="D373" t="s">
        <v>7</v>
      </c>
      <c r="E373" s="1">
        <v>43176.441747685189</v>
      </c>
    </row>
    <row r="374" spans="1:5">
      <c r="A374">
        <v>8953</v>
      </c>
      <c r="B374" t="s">
        <v>39</v>
      </c>
      <c r="C374" t="s">
        <v>39</v>
      </c>
      <c r="D374" t="s">
        <v>8</v>
      </c>
      <c r="E374" s="1">
        <v>43176.506793981483</v>
      </c>
    </row>
    <row r="375" spans="1:5">
      <c r="A375">
        <v>8954</v>
      </c>
      <c r="B375" t="s">
        <v>39</v>
      </c>
      <c r="C375" t="s">
        <v>39</v>
      </c>
      <c r="D375" t="s">
        <v>7</v>
      </c>
      <c r="E375" s="1">
        <v>43176.562071759261</v>
      </c>
    </row>
    <row r="376" spans="1:5">
      <c r="A376">
        <v>8966</v>
      </c>
      <c r="B376" t="s">
        <v>39</v>
      </c>
      <c r="C376" t="s">
        <v>39</v>
      </c>
      <c r="D376" t="s">
        <v>8</v>
      </c>
      <c r="E376" s="1">
        <v>43176.699236111112</v>
      </c>
    </row>
    <row r="377" spans="1:5">
      <c r="A377">
        <v>8976</v>
      </c>
      <c r="B377" t="s">
        <v>39</v>
      </c>
      <c r="C377" t="s">
        <v>39</v>
      </c>
      <c r="D377" t="s">
        <v>6</v>
      </c>
      <c r="E377" s="1">
        <v>43178.366608796299</v>
      </c>
    </row>
    <row r="378" spans="1:5">
      <c r="A378">
        <v>8984</v>
      </c>
      <c r="B378" t="s">
        <v>39</v>
      </c>
      <c r="C378" t="s">
        <v>39</v>
      </c>
      <c r="D378" t="s">
        <v>5</v>
      </c>
      <c r="E378" s="1">
        <v>43178.765694444446</v>
      </c>
    </row>
    <row r="379" spans="1:5">
      <c r="A379">
        <v>8996</v>
      </c>
      <c r="B379" t="s">
        <v>39</v>
      </c>
      <c r="C379" t="s">
        <v>39</v>
      </c>
      <c r="D379" t="s">
        <v>7</v>
      </c>
      <c r="E379" s="1">
        <v>43178.792685185188</v>
      </c>
    </row>
    <row r="380" spans="1:5">
      <c r="A380">
        <v>9000</v>
      </c>
      <c r="B380" t="s">
        <v>39</v>
      </c>
      <c r="C380" t="s">
        <v>39</v>
      </c>
      <c r="D380" t="s">
        <v>8</v>
      </c>
      <c r="E380" s="1">
        <v>43178.856608796297</v>
      </c>
    </row>
    <row r="381" spans="1:5">
      <c r="A381">
        <v>9011</v>
      </c>
      <c r="B381" t="s">
        <v>39</v>
      </c>
      <c r="C381" t="s">
        <v>39</v>
      </c>
      <c r="D381" t="s">
        <v>6</v>
      </c>
      <c r="E381" s="1">
        <v>43179.364502314813</v>
      </c>
    </row>
    <row r="382" spans="1:5">
      <c r="A382">
        <v>9024</v>
      </c>
      <c r="B382" t="s">
        <v>39</v>
      </c>
      <c r="C382" t="s">
        <v>39</v>
      </c>
      <c r="D382" t="s">
        <v>5</v>
      </c>
      <c r="E382" s="1">
        <v>43179.768495370372</v>
      </c>
    </row>
    <row r="383" spans="1:5">
      <c r="A383">
        <v>9050</v>
      </c>
      <c r="B383" t="s">
        <v>39</v>
      </c>
      <c r="C383" t="s">
        <v>39</v>
      </c>
      <c r="D383" t="s">
        <v>6</v>
      </c>
      <c r="E383" s="1">
        <v>43180.368634259263</v>
      </c>
    </row>
    <row r="384" spans="1:5">
      <c r="A384">
        <v>9058</v>
      </c>
      <c r="B384" t="s">
        <v>39</v>
      </c>
      <c r="C384" t="s">
        <v>39</v>
      </c>
      <c r="D384" t="s">
        <v>5</v>
      </c>
      <c r="E384" s="1">
        <v>43180.769606481481</v>
      </c>
    </row>
    <row r="385" spans="1:5">
      <c r="A385">
        <v>9060</v>
      </c>
      <c r="B385" t="s">
        <v>39</v>
      </c>
      <c r="C385" t="s">
        <v>39</v>
      </c>
      <c r="D385" t="s">
        <v>7</v>
      </c>
      <c r="E385" s="1">
        <v>43180.770833333336</v>
      </c>
    </row>
    <row r="386" spans="1:5">
      <c r="A386">
        <v>9070</v>
      </c>
      <c r="B386" t="s">
        <v>39</v>
      </c>
      <c r="C386" t="s">
        <v>39</v>
      </c>
      <c r="D386" t="s">
        <v>8</v>
      </c>
      <c r="E386" s="1">
        <v>43180.782523148147</v>
      </c>
    </row>
    <row r="387" spans="1:5">
      <c r="A387">
        <v>9086</v>
      </c>
      <c r="B387" t="s">
        <v>39</v>
      </c>
      <c r="C387" t="s">
        <v>39</v>
      </c>
      <c r="D387" t="s">
        <v>6</v>
      </c>
      <c r="E387" s="1">
        <v>43181.36613425926</v>
      </c>
    </row>
    <row r="388" spans="1:5">
      <c r="A388">
        <v>9093</v>
      </c>
      <c r="B388" t="s">
        <v>39</v>
      </c>
      <c r="C388" t="s">
        <v>39</v>
      </c>
      <c r="D388" t="s">
        <v>5</v>
      </c>
      <c r="E388" s="1">
        <v>43181.762696759259</v>
      </c>
    </row>
    <row r="389" spans="1:5">
      <c r="A389">
        <v>9106</v>
      </c>
      <c r="B389" t="s">
        <v>39</v>
      </c>
      <c r="C389" t="s">
        <v>39</v>
      </c>
      <c r="D389" t="s">
        <v>7</v>
      </c>
      <c r="E389" s="1">
        <v>43181.798495370371</v>
      </c>
    </row>
    <row r="390" spans="1:5">
      <c r="A390">
        <v>9110</v>
      </c>
      <c r="B390" t="s">
        <v>39</v>
      </c>
      <c r="C390" t="s">
        <v>39</v>
      </c>
      <c r="D390" t="s">
        <v>8</v>
      </c>
      <c r="E390" s="1">
        <v>43181.927824074075</v>
      </c>
    </row>
    <row r="391" spans="1:5" s="406" customFormat="1">
      <c r="A391" s="406">
        <v>9124</v>
      </c>
      <c r="B391" s="406" t="s">
        <v>39</v>
      </c>
      <c r="C391" s="406" t="s">
        <v>39</v>
      </c>
      <c r="D391" s="406" t="s">
        <v>109</v>
      </c>
      <c r="E391" s="390">
        <v>43182.354826388888</v>
      </c>
    </row>
    <row r="392" spans="1:5">
      <c r="A392">
        <v>9128</v>
      </c>
      <c r="B392" t="s">
        <v>39</v>
      </c>
      <c r="C392" t="s">
        <v>39</v>
      </c>
      <c r="D392" t="s">
        <v>5</v>
      </c>
      <c r="E392" s="1">
        <v>43182.763171296298</v>
      </c>
    </row>
    <row r="393" spans="1:5" s="2" customFormat="1">
      <c r="A393" s="2">
        <v>9192</v>
      </c>
      <c r="B393" s="2" t="s">
        <v>39</v>
      </c>
      <c r="C393" s="2" t="s">
        <v>39</v>
      </c>
      <c r="D393" s="2" t="s">
        <v>6</v>
      </c>
      <c r="E393" s="405">
        <v>43185.354756944442</v>
      </c>
    </row>
    <row r="394" spans="1:5" s="2" customFormat="1">
      <c r="A394" s="2">
        <v>9211</v>
      </c>
      <c r="B394" s="2" t="s">
        <v>39</v>
      </c>
      <c r="C394" s="2" t="s">
        <v>39</v>
      </c>
      <c r="D394" s="2" t="s">
        <v>5</v>
      </c>
      <c r="E394" s="405">
        <v>43185.75</v>
      </c>
    </row>
    <row r="395" spans="1:5" s="2" customFormat="1">
      <c r="A395" s="2">
        <v>9192</v>
      </c>
      <c r="B395" s="2" t="s">
        <v>39</v>
      </c>
      <c r="C395" s="2" t="s">
        <v>39</v>
      </c>
      <c r="D395" s="2" t="s">
        <v>6</v>
      </c>
      <c r="E395" s="405">
        <v>43186.354756944442</v>
      </c>
    </row>
    <row r="396" spans="1:5" s="2" customFormat="1">
      <c r="A396" s="2">
        <v>9211</v>
      </c>
      <c r="B396" s="2" t="s">
        <v>39</v>
      </c>
      <c r="C396" s="2" t="s">
        <v>39</v>
      </c>
      <c r="D396" s="2" t="s">
        <v>5</v>
      </c>
      <c r="E396" s="405">
        <v>43186.75</v>
      </c>
    </row>
    <row r="397" spans="1:5">
      <c r="A397">
        <v>9192</v>
      </c>
      <c r="B397" t="s">
        <v>39</v>
      </c>
      <c r="C397" t="s">
        <v>39</v>
      </c>
      <c r="D397" t="s">
        <v>6</v>
      </c>
      <c r="E397" s="1">
        <v>43187.359618055554</v>
      </c>
    </row>
    <row r="398" spans="1:5">
      <c r="A398">
        <v>9211</v>
      </c>
      <c r="B398" t="s">
        <v>39</v>
      </c>
      <c r="C398" t="s">
        <v>39</v>
      </c>
      <c r="D398" t="s">
        <v>5</v>
      </c>
      <c r="E398" s="1">
        <v>43187.771527777775</v>
      </c>
    </row>
    <row r="399" spans="1:5">
      <c r="A399">
        <v>9212</v>
      </c>
      <c r="B399" t="s">
        <v>39</v>
      </c>
      <c r="C399" t="s">
        <v>39</v>
      </c>
      <c r="D399" t="s">
        <v>7</v>
      </c>
      <c r="E399" s="1">
        <v>43187.771574074075</v>
      </c>
    </row>
    <row r="400" spans="1:5">
      <c r="A400">
        <v>9223</v>
      </c>
      <c r="B400" t="s">
        <v>39</v>
      </c>
      <c r="C400" t="s">
        <v>39</v>
      </c>
      <c r="D400" t="s">
        <v>8</v>
      </c>
      <c r="E400" s="1">
        <v>43187.896979166668</v>
      </c>
    </row>
    <row r="401" spans="1:5">
      <c r="A401">
        <v>9227</v>
      </c>
      <c r="B401" t="s">
        <v>39</v>
      </c>
      <c r="C401" t="s">
        <v>39</v>
      </c>
      <c r="D401" t="s">
        <v>6</v>
      </c>
      <c r="E401" s="1">
        <v>43188.357118055559</v>
      </c>
    </row>
    <row r="402" spans="1:5">
      <c r="A402">
        <v>9237</v>
      </c>
      <c r="B402" t="s">
        <v>39</v>
      </c>
      <c r="C402" t="s">
        <v>39</v>
      </c>
      <c r="D402" t="s">
        <v>5</v>
      </c>
      <c r="E402" s="1">
        <v>43188.763692129629</v>
      </c>
    </row>
    <row r="403" spans="1:5">
      <c r="A403">
        <v>9241</v>
      </c>
      <c r="B403" t="s">
        <v>39</v>
      </c>
      <c r="C403" t="s">
        <v>39</v>
      </c>
      <c r="D403" t="s">
        <v>7</v>
      </c>
      <c r="E403" s="1">
        <v>43188.771134259259</v>
      </c>
    </row>
    <row r="404" spans="1:5">
      <c r="A404">
        <v>9252</v>
      </c>
      <c r="B404" t="s">
        <v>39</v>
      </c>
      <c r="C404" t="s">
        <v>39</v>
      </c>
      <c r="D404" t="s">
        <v>8</v>
      </c>
      <c r="E404" s="1">
        <v>43188.811423611114</v>
      </c>
    </row>
    <row r="405" spans="1:5">
      <c r="A405">
        <v>9260</v>
      </c>
      <c r="B405" t="s">
        <v>39</v>
      </c>
      <c r="C405" t="s">
        <v>39</v>
      </c>
      <c r="D405" t="s">
        <v>6</v>
      </c>
      <c r="E405" s="1">
        <v>43189.360821759263</v>
      </c>
    </row>
    <row r="406" spans="1:5">
      <c r="A406">
        <v>9274</v>
      </c>
      <c r="B406" t="s">
        <v>39</v>
      </c>
      <c r="C406" t="s">
        <v>39</v>
      </c>
      <c r="D406" t="s">
        <v>5</v>
      </c>
      <c r="E406" s="1">
        <v>43189.773657407408</v>
      </c>
    </row>
    <row r="407" spans="1:5">
      <c r="A407">
        <v>9286</v>
      </c>
      <c r="B407" t="s">
        <v>94</v>
      </c>
      <c r="C407" t="s">
        <v>39</v>
      </c>
      <c r="D407" t="s">
        <v>6</v>
      </c>
      <c r="E407" s="1">
        <v>43190.361967592595</v>
      </c>
    </row>
    <row r="408" spans="1:5">
      <c r="A408">
        <v>9293</v>
      </c>
      <c r="B408" t="s">
        <v>39</v>
      </c>
      <c r="C408" t="s">
        <v>39</v>
      </c>
      <c r="D408" t="s">
        <v>5</v>
      </c>
      <c r="E408" s="1">
        <v>43190.764513888891</v>
      </c>
    </row>
    <row r="409" spans="1:5">
      <c r="A409">
        <v>8496</v>
      </c>
      <c r="B409" t="s">
        <v>63</v>
      </c>
      <c r="C409" t="s">
        <v>63</v>
      </c>
      <c r="D409" t="s">
        <v>6</v>
      </c>
      <c r="E409" s="1">
        <v>43160.373043981483</v>
      </c>
    </row>
    <row r="410" spans="1:5">
      <c r="A410">
        <v>8508</v>
      </c>
      <c r="B410" t="s">
        <v>63</v>
      </c>
      <c r="C410" t="s">
        <v>63</v>
      </c>
      <c r="D410" t="s">
        <v>5</v>
      </c>
      <c r="E410" s="1">
        <v>43160.785138888888</v>
      </c>
    </row>
    <row r="411" spans="1:5">
      <c r="A411">
        <v>8510</v>
      </c>
      <c r="B411" t="s">
        <v>63</v>
      </c>
      <c r="C411" t="s">
        <v>63</v>
      </c>
      <c r="D411" t="s">
        <v>7</v>
      </c>
      <c r="E411" s="1">
        <v>43160.785150462965</v>
      </c>
    </row>
    <row r="412" spans="1:5">
      <c r="A412">
        <v>8519</v>
      </c>
      <c r="B412" t="s">
        <v>63</v>
      </c>
      <c r="C412" t="s">
        <v>63</v>
      </c>
      <c r="D412" t="s">
        <v>8</v>
      </c>
      <c r="E412" s="1">
        <v>43160.891759259262</v>
      </c>
    </row>
    <row r="413" spans="1:5">
      <c r="A413">
        <v>8526</v>
      </c>
      <c r="B413" t="s">
        <v>63</v>
      </c>
      <c r="C413" t="s">
        <v>63</v>
      </c>
      <c r="D413" t="s">
        <v>6</v>
      </c>
      <c r="E413" s="1">
        <v>43161.368634259263</v>
      </c>
    </row>
    <row r="414" spans="1:5">
      <c r="A414">
        <v>8541</v>
      </c>
      <c r="B414" t="s">
        <v>79</v>
      </c>
      <c r="C414" t="s">
        <v>63</v>
      </c>
      <c r="D414" t="s">
        <v>5</v>
      </c>
      <c r="E414" s="1">
        <v>43161.799074074072</v>
      </c>
    </row>
    <row r="415" spans="1:5">
      <c r="A415">
        <v>8542</v>
      </c>
      <c r="B415" t="s">
        <v>79</v>
      </c>
      <c r="C415" t="s">
        <v>63</v>
      </c>
      <c r="D415" t="s">
        <v>108</v>
      </c>
      <c r="E415" s="1">
        <v>43161.799120370371</v>
      </c>
    </row>
    <row r="416" spans="1:5">
      <c r="A416">
        <v>8546</v>
      </c>
      <c r="B416" t="s">
        <v>63</v>
      </c>
      <c r="C416" t="s">
        <v>63</v>
      </c>
      <c r="D416" t="s">
        <v>8</v>
      </c>
      <c r="E416" s="1">
        <v>43161.885972222219</v>
      </c>
    </row>
    <row r="417" spans="1:5">
      <c r="A417">
        <v>8562</v>
      </c>
      <c r="B417" t="s">
        <v>63</v>
      </c>
      <c r="C417" t="s">
        <v>63</v>
      </c>
      <c r="D417" t="s">
        <v>6</v>
      </c>
      <c r="E417" s="1">
        <v>43164.3671875</v>
      </c>
    </row>
    <row r="418" spans="1:5">
      <c r="A418">
        <v>8577</v>
      </c>
      <c r="B418" t="s">
        <v>63</v>
      </c>
      <c r="C418" t="s">
        <v>63</v>
      </c>
      <c r="D418" t="s">
        <v>5</v>
      </c>
      <c r="E418" s="1">
        <v>43164.771631944444</v>
      </c>
    </row>
    <row r="419" spans="1:5">
      <c r="A419">
        <v>8578</v>
      </c>
      <c r="B419" t="s">
        <v>63</v>
      </c>
      <c r="C419" t="s">
        <v>63</v>
      </c>
      <c r="D419" t="s">
        <v>7</v>
      </c>
      <c r="E419" s="1">
        <v>43164.771643518521</v>
      </c>
    </row>
    <row r="420" spans="1:5">
      <c r="A420">
        <v>8591</v>
      </c>
      <c r="B420" t="s">
        <v>63</v>
      </c>
      <c r="C420" t="s">
        <v>63</v>
      </c>
      <c r="D420" t="s">
        <v>8</v>
      </c>
      <c r="E420" s="1">
        <v>43164.936956018515</v>
      </c>
    </row>
    <row r="421" spans="1:5">
      <c r="A421">
        <v>8602</v>
      </c>
      <c r="B421" t="s">
        <v>63</v>
      </c>
      <c r="C421" t="s">
        <v>63</v>
      </c>
      <c r="D421" t="s">
        <v>6</v>
      </c>
      <c r="E421" s="1">
        <v>43165.372662037036</v>
      </c>
    </row>
    <row r="422" spans="1:5">
      <c r="A422">
        <v>8612</v>
      </c>
      <c r="B422" t="s">
        <v>63</v>
      </c>
      <c r="C422" t="s">
        <v>63</v>
      </c>
      <c r="D422" t="s">
        <v>5</v>
      </c>
      <c r="E422" s="1">
        <v>43165.77616898148</v>
      </c>
    </row>
    <row r="423" spans="1:5">
      <c r="A423">
        <v>8613</v>
      </c>
      <c r="B423" t="s">
        <v>63</v>
      </c>
      <c r="C423" t="s">
        <v>63</v>
      </c>
      <c r="D423" t="s">
        <v>7</v>
      </c>
      <c r="E423" s="1">
        <v>43165.776180555556</v>
      </c>
    </row>
    <row r="424" spans="1:5">
      <c r="A424">
        <v>8625</v>
      </c>
      <c r="B424" t="s">
        <v>63</v>
      </c>
      <c r="C424" t="s">
        <v>63</v>
      </c>
      <c r="D424" t="s">
        <v>8</v>
      </c>
      <c r="E424" s="1">
        <v>43165.936967592592</v>
      </c>
    </row>
    <row r="425" spans="1:5">
      <c r="A425">
        <v>8630</v>
      </c>
      <c r="B425" t="s">
        <v>63</v>
      </c>
      <c r="C425" t="s">
        <v>63</v>
      </c>
      <c r="D425" t="s">
        <v>6</v>
      </c>
      <c r="E425" s="1">
        <v>43166.367060185185</v>
      </c>
    </row>
    <row r="426" spans="1:5">
      <c r="A426">
        <v>8651</v>
      </c>
      <c r="B426" t="s">
        <v>63</v>
      </c>
      <c r="C426" t="s">
        <v>63</v>
      </c>
      <c r="D426" t="s">
        <v>5</v>
      </c>
      <c r="E426" s="1">
        <v>43166.788541666669</v>
      </c>
    </row>
    <row r="427" spans="1:5">
      <c r="A427">
        <v>8652</v>
      </c>
      <c r="B427" t="s">
        <v>63</v>
      </c>
      <c r="C427" t="s">
        <v>63</v>
      </c>
      <c r="D427" t="s">
        <v>7</v>
      </c>
      <c r="E427" s="1">
        <v>43166.788564814815</v>
      </c>
    </row>
    <row r="428" spans="1:5">
      <c r="A428">
        <v>8661</v>
      </c>
      <c r="B428" t="s">
        <v>63</v>
      </c>
      <c r="C428" t="s">
        <v>63</v>
      </c>
      <c r="D428" t="s">
        <v>8</v>
      </c>
      <c r="E428" s="1">
        <v>43166.921157407407</v>
      </c>
    </row>
    <row r="429" spans="1:5">
      <c r="A429">
        <v>8672</v>
      </c>
      <c r="B429" t="s">
        <v>63</v>
      </c>
      <c r="C429" t="s">
        <v>63</v>
      </c>
      <c r="D429" t="s">
        <v>6</v>
      </c>
      <c r="E429" s="1">
        <v>43167.371944444443</v>
      </c>
    </row>
    <row r="430" spans="1:5">
      <c r="A430">
        <v>8679</v>
      </c>
      <c r="B430" t="s">
        <v>63</v>
      </c>
      <c r="C430" t="s">
        <v>63</v>
      </c>
      <c r="D430" t="s">
        <v>5</v>
      </c>
      <c r="E430" s="1">
        <v>43167.773773148147</v>
      </c>
    </row>
    <row r="431" spans="1:5">
      <c r="A431">
        <v>8680</v>
      </c>
      <c r="B431" t="s">
        <v>63</v>
      </c>
      <c r="C431" t="s">
        <v>63</v>
      </c>
      <c r="D431" t="s">
        <v>7</v>
      </c>
      <c r="E431" s="1">
        <v>43167.773796296293</v>
      </c>
    </row>
    <row r="432" spans="1:5">
      <c r="A432">
        <v>8691</v>
      </c>
      <c r="B432" t="s">
        <v>63</v>
      </c>
      <c r="C432" t="s">
        <v>63</v>
      </c>
      <c r="D432" t="s">
        <v>8</v>
      </c>
      <c r="E432" s="1">
        <v>43167.886759259258</v>
      </c>
    </row>
    <row r="433" spans="1:5">
      <c r="A433">
        <v>8701</v>
      </c>
      <c r="B433" t="s">
        <v>63</v>
      </c>
      <c r="C433" t="s">
        <v>63</v>
      </c>
      <c r="D433" t="s">
        <v>6</v>
      </c>
      <c r="E433" s="1">
        <v>43168.377453703702</v>
      </c>
    </row>
    <row r="434" spans="1:5">
      <c r="A434">
        <v>8711</v>
      </c>
      <c r="B434" t="s">
        <v>79</v>
      </c>
      <c r="C434" t="s">
        <v>63</v>
      </c>
      <c r="D434" t="s">
        <v>5</v>
      </c>
      <c r="E434" s="1">
        <v>43168.771481481483</v>
      </c>
    </row>
    <row r="435" spans="1:5">
      <c r="A435">
        <v>8712</v>
      </c>
      <c r="B435" t="s">
        <v>79</v>
      </c>
      <c r="C435" t="s">
        <v>63</v>
      </c>
      <c r="D435" t="s">
        <v>7</v>
      </c>
      <c r="E435" s="1">
        <v>43168.771562499998</v>
      </c>
    </row>
    <row r="436" spans="1:5">
      <c r="A436">
        <v>8717</v>
      </c>
      <c r="B436" t="s">
        <v>63</v>
      </c>
      <c r="C436" t="s">
        <v>63</v>
      </c>
      <c r="D436" t="s">
        <v>8</v>
      </c>
      <c r="E436" s="1">
        <v>43168.918483796297</v>
      </c>
    </row>
    <row r="437" spans="1:5">
      <c r="A437">
        <v>8722</v>
      </c>
      <c r="B437" t="s">
        <v>63</v>
      </c>
      <c r="C437" t="s">
        <v>63</v>
      </c>
      <c r="D437" t="s">
        <v>7</v>
      </c>
      <c r="E437" s="1">
        <v>43169.459178240744</v>
      </c>
    </row>
    <row r="438" spans="1:5">
      <c r="A438">
        <v>8725</v>
      </c>
      <c r="B438" t="s">
        <v>63</v>
      </c>
      <c r="C438" t="s">
        <v>63</v>
      </c>
      <c r="D438" t="s">
        <v>8</v>
      </c>
      <c r="E438" s="1">
        <v>43169.601655092592</v>
      </c>
    </row>
    <row r="439" spans="1:5">
      <c r="A439">
        <v>8726</v>
      </c>
      <c r="B439" t="s">
        <v>63</v>
      </c>
      <c r="C439" t="s">
        <v>63</v>
      </c>
      <c r="D439" t="s">
        <v>7</v>
      </c>
      <c r="E439" s="1">
        <v>43169.601712962962</v>
      </c>
    </row>
    <row r="440" spans="1:5">
      <c r="A440">
        <v>8727</v>
      </c>
      <c r="B440" t="s">
        <v>63</v>
      </c>
      <c r="C440" t="s">
        <v>63</v>
      </c>
      <c r="D440" t="s">
        <v>8</v>
      </c>
      <c r="E440" s="1">
        <v>43169.694780092592</v>
      </c>
    </row>
    <row r="441" spans="1:5">
      <c r="A441">
        <v>8733</v>
      </c>
      <c r="B441" t="s">
        <v>63</v>
      </c>
      <c r="C441" t="s">
        <v>63</v>
      </c>
      <c r="D441" t="s">
        <v>7</v>
      </c>
      <c r="E441" s="1">
        <v>43170.465104166666</v>
      </c>
    </row>
    <row r="442" spans="1:5">
      <c r="A442">
        <v>8737</v>
      </c>
      <c r="B442" t="s">
        <v>63</v>
      </c>
      <c r="C442" t="s">
        <v>63</v>
      </c>
      <c r="D442" t="s">
        <v>8</v>
      </c>
      <c r="E442" s="1">
        <v>43170.549849537034</v>
      </c>
    </row>
    <row r="443" spans="1:5">
      <c r="A443">
        <v>8742</v>
      </c>
      <c r="B443" t="s">
        <v>63</v>
      </c>
      <c r="C443" t="s">
        <v>63</v>
      </c>
      <c r="D443" t="s">
        <v>7</v>
      </c>
      <c r="E443" s="1">
        <v>43170.581793981481</v>
      </c>
    </row>
    <row r="444" spans="1:5">
      <c r="A444">
        <v>8753</v>
      </c>
      <c r="B444" t="s">
        <v>63</v>
      </c>
      <c r="C444" t="s">
        <v>63</v>
      </c>
      <c r="D444" t="s">
        <v>8</v>
      </c>
      <c r="E444" s="1">
        <v>43170.751388888886</v>
      </c>
    </row>
    <row r="445" spans="1:5">
      <c r="A445">
        <v>8755</v>
      </c>
      <c r="B445" t="s">
        <v>63</v>
      </c>
      <c r="C445" t="s">
        <v>63</v>
      </c>
      <c r="D445" t="s">
        <v>7</v>
      </c>
      <c r="E445" s="1">
        <v>43170.751435185186</v>
      </c>
    </row>
    <row r="446" spans="1:5">
      <c r="A446">
        <v>8757</v>
      </c>
      <c r="B446" t="s">
        <v>79</v>
      </c>
      <c r="C446" t="s">
        <v>63</v>
      </c>
      <c r="D446" t="s">
        <v>8</v>
      </c>
      <c r="E446" s="1">
        <v>43170.785185185188</v>
      </c>
    </row>
    <row r="447" spans="1:5">
      <c r="A447">
        <v>8770</v>
      </c>
      <c r="B447" t="s">
        <v>63</v>
      </c>
      <c r="C447" t="s">
        <v>63</v>
      </c>
      <c r="D447" t="s">
        <v>6</v>
      </c>
      <c r="E447" s="1">
        <v>43171.373472222222</v>
      </c>
    </row>
    <row r="448" spans="1:5">
      <c r="A448">
        <v>8784</v>
      </c>
      <c r="B448" t="s">
        <v>63</v>
      </c>
      <c r="C448" t="s">
        <v>63</v>
      </c>
      <c r="D448" t="s">
        <v>5</v>
      </c>
      <c r="E448" s="1">
        <v>43171.776643518519</v>
      </c>
    </row>
    <row r="449" spans="1:5">
      <c r="A449">
        <v>8785</v>
      </c>
      <c r="B449" t="s">
        <v>63</v>
      </c>
      <c r="C449" t="s">
        <v>63</v>
      </c>
      <c r="D449" t="s">
        <v>7</v>
      </c>
      <c r="E449" s="1">
        <v>43171.776655092595</v>
      </c>
    </row>
    <row r="450" spans="1:5">
      <c r="A450">
        <v>8788</v>
      </c>
      <c r="B450" t="s">
        <v>63</v>
      </c>
      <c r="C450" t="s">
        <v>63</v>
      </c>
      <c r="D450" t="s">
        <v>8</v>
      </c>
      <c r="E450" s="1">
        <v>43171.796215277776</v>
      </c>
    </row>
    <row r="451" spans="1:5">
      <c r="A451">
        <v>8792</v>
      </c>
      <c r="B451" t="s">
        <v>79</v>
      </c>
      <c r="C451" t="s">
        <v>63</v>
      </c>
      <c r="D451" t="s">
        <v>7</v>
      </c>
      <c r="E451" s="1">
        <v>43171.828460648147</v>
      </c>
    </row>
    <row r="452" spans="1:5">
      <c r="A452">
        <v>8799</v>
      </c>
      <c r="B452" t="s">
        <v>63</v>
      </c>
      <c r="C452" t="s">
        <v>63</v>
      </c>
      <c r="D452" t="s">
        <v>8</v>
      </c>
      <c r="E452" s="1">
        <v>43171.914884259262</v>
      </c>
    </row>
    <row r="453" spans="1:5">
      <c r="A453">
        <v>8803</v>
      </c>
      <c r="B453" t="s">
        <v>79</v>
      </c>
      <c r="C453" t="s">
        <v>63</v>
      </c>
      <c r="D453" t="s">
        <v>6</v>
      </c>
      <c r="E453" s="1">
        <v>43172.363738425927</v>
      </c>
    </row>
    <row r="454" spans="1:5">
      <c r="A454">
        <v>8825</v>
      </c>
      <c r="B454" t="s">
        <v>63</v>
      </c>
      <c r="C454" t="s">
        <v>63</v>
      </c>
      <c r="D454" t="s">
        <v>5</v>
      </c>
      <c r="E454" s="1">
        <v>43172.781076388892</v>
      </c>
    </row>
    <row r="455" spans="1:5">
      <c r="A455">
        <v>8826</v>
      </c>
      <c r="B455" t="s">
        <v>63</v>
      </c>
      <c r="C455" t="s">
        <v>63</v>
      </c>
      <c r="D455" t="s">
        <v>7</v>
      </c>
      <c r="E455" s="1">
        <v>43172.781099537038</v>
      </c>
    </row>
    <row r="456" spans="1:5">
      <c r="A456">
        <v>8834</v>
      </c>
      <c r="B456" t="s">
        <v>63</v>
      </c>
      <c r="C456" t="s">
        <v>63</v>
      </c>
      <c r="D456" t="s">
        <v>8</v>
      </c>
      <c r="E456" s="1">
        <v>43172.906770833331</v>
      </c>
    </row>
    <row r="457" spans="1:5">
      <c r="A457">
        <v>8840</v>
      </c>
      <c r="B457" t="s">
        <v>63</v>
      </c>
      <c r="C457" t="s">
        <v>63</v>
      </c>
      <c r="D457" t="s">
        <v>6</v>
      </c>
      <c r="E457" s="1">
        <v>43173.363900462966</v>
      </c>
    </row>
    <row r="458" spans="1:5">
      <c r="A458">
        <v>8858</v>
      </c>
      <c r="B458" t="s">
        <v>63</v>
      </c>
      <c r="C458" t="s">
        <v>63</v>
      </c>
      <c r="D458" t="s">
        <v>5</v>
      </c>
      <c r="E458" s="1">
        <v>43173.781793981485</v>
      </c>
    </row>
    <row r="459" spans="1:5">
      <c r="A459">
        <v>8859</v>
      </c>
      <c r="B459" t="s">
        <v>63</v>
      </c>
      <c r="C459" t="s">
        <v>63</v>
      </c>
      <c r="D459" t="s">
        <v>7</v>
      </c>
      <c r="E459" s="1">
        <v>43173.781805555554</v>
      </c>
    </row>
    <row r="460" spans="1:5">
      <c r="A460">
        <v>8871</v>
      </c>
      <c r="B460" t="s">
        <v>63</v>
      </c>
      <c r="C460" t="s">
        <v>63</v>
      </c>
      <c r="D460" t="s">
        <v>8</v>
      </c>
      <c r="E460" s="1">
        <v>43173.897604166668</v>
      </c>
    </row>
    <row r="461" spans="1:5">
      <c r="A461">
        <v>8880</v>
      </c>
      <c r="B461" t="s">
        <v>63</v>
      </c>
      <c r="C461" t="s">
        <v>63</v>
      </c>
      <c r="D461" t="s">
        <v>6</v>
      </c>
      <c r="E461" s="1">
        <v>43174.37332175926</v>
      </c>
    </row>
    <row r="462" spans="1:5">
      <c r="A462">
        <v>8891</v>
      </c>
      <c r="B462" t="s">
        <v>63</v>
      </c>
      <c r="C462" t="s">
        <v>63</v>
      </c>
      <c r="D462" t="s">
        <v>5</v>
      </c>
      <c r="E462" s="1">
        <v>43174.772233796299</v>
      </c>
    </row>
    <row r="463" spans="1:5">
      <c r="A463">
        <v>8892</v>
      </c>
      <c r="B463" t="s">
        <v>63</v>
      </c>
      <c r="C463" t="s">
        <v>63</v>
      </c>
      <c r="D463" t="s">
        <v>7</v>
      </c>
      <c r="E463" s="1">
        <v>43174.772280092591</v>
      </c>
    </row>
    <row r="464" spans="1:5">
      <c r="A464">
        <v>8905</v>
      </c>
      <c r="B464" t="s">
        <v>63</v>
      </c>
      <c r="C464" t="s">
        <v>63</v>
      </c>
      <c r="D464" t="s">
        <v>8</v>
      </c>
      <c r="E464" s="1">
        <v>43174.915555555555</v>
      </c>
    </row>
    <row r="465" spans="1:5">
      <c r="A465">
        <v>8915</v>
      </c>
      <c r="B465" t="s">
        <v>63</v>
      </c>
      <c r="C465" t="s">
        <v>63</v>
      </c>
      <c r="D465" t="s">
        <v>6</v>
      </c>
      <c r="E465" s="1">
        <v>43175.37158564815</v>
      </c>
    </row>
    <row r="466" spans="1:5">
      <c r="A466">
        <v>8925</v>
      </c>
      <c r="B466" t="s">
        <v>63</v>
      </c>
      <c r="C466" t="s">
        <v>63</v>
      </c>
      <c r="D466" t="s">
        <v>5</v>
      </c>
      <c r="E466" s="1">
        <v>43175.774097222224</v>
      </c>
    </row>
    <row r="467" spans="1:5">
      <c r="A467">
        <v>8926</v>
      </c>
      <c r="B467" t="s">
        <v>63</v>
      </c>
      <c r="C467" t="s">
        <v>63</v>
      </c>
      <c r="D467" t="s">
        <v>7</v>
      </c>
      <c r="E467" s="1">
        <v>43175.774108796293</v>
      </c>
    </row>
    <row r="468" spans="1:5">
      <c r="A468">
        <v>8931</v>
      </c>
      <c r="B468" t="s">
        <v>63</v>
      </c>
      <c r="C468" t="s">
        <v>63</v>
      </c>
      <c r="D468" t="s">
        <v>8</v>
      </c>
      <c r="E468" s="1">
        <v>43175.788819444446</v>
      </c>
    </row>
    <row r="469" spans="1:5">
      <c r="A469">
        <v>8937</v>
      </c>
      <c r="B469" t="s">
        <v>63</v>
      </c>
      <c r="C469" t="s">
        <v>63</v>
      </c>
      <c r="D469" t="s">
        <v>7</v>
      </c>
      <c r="E469" s="1">
        <v>43175.827546296299</v>
      </c>
    </row>
    <row r="470" spans="1:5">
      <c r="A470">
        <v>8940</v>
      </c>
      <c r="B470" t="s">
        <v>63</v>
      </c>
      <c r="C470" t="s">
        <v>63</v>
      </c>
      <c r="D470" t="s">
        <v>8</v>
      </c>
      <c r="E470" s="1">
        <v>43175.906192129631</v>
      </c>
    </row>
    <row r="471" spans="1:5">
      <c r="A471">
        <v>8951</v>
      </c>
      <c r="B471" t="s">
        <v>63</v>
      </c>
      <c r="C471" t="s">
        <v>63</v>
      </c>
      <c r="D471" t="s">
        <v>7</v>
      </c>
      <c r="E471" s="1">
        <v>43176.501944444448</v>
      </c>
    </row>
    <row r="472" spans="1:5">
      <c r="A472">
        <v>8955</v>
      </c>
      <c r="B472" t="s">
        <v>63</v>
      </c>
      <c r="C472" t="s">
        <v>63</v>
      </c>
      <c r="D472" t="s">
        <v>8</v>
      </c>
      <c r="E472" s="1">
        <v>43176.56695601852</v>
      </c>
    </row>
    <row r="473" spans="1:5">
      <c r="A473">
        <v>8959</v>
      </c>
      <c r="B473" t="s">
        <v>63</v>
      </c>
      <c r="C473" t="s">
        <v>63</v>
      </c>
      <c r="D473" t="s">
        <v>7</v>
      </c>
      <c r="E473" s="1">
        <v>43176.57576388889</v>
      </c>
    </row>
    <row r="474" spans="1:5">
      <c r="A474">
        <v>8967</v>
      </c>
      <c r="B474" t="s">
        <v>63</v>
      </c>
      <c r="C474" t="s">
        <v>63</v>
      </c>
      <c r="D474" t="s">
        <v>8</v>
      </c>
      <c r="E474" s="1">
        <v>43176.709537037037</v>
      </c>
    </row>
    <row r="475" spans="1:5">
      <c r="A475">
        <v>8968</v>
      </c>
      <c r="B475" t="s">
        <v>63</v>
      </c>
      <c r="C475" t="s">
        <v>63</v>
      </c>
      <c r="D475" t="s">
        <v>7</v>
      </c>
      <c r="E475" s="1">
        <v>43176.709548611114</v>
      </c>
    </row>
    <row r="476" spans="1:5">
      <c r="A476">
        <v>8973</v>
      </c>
      <c r="B476" t="s">
        <v>79</v>
      </c>
      <c r="C476" t="s">
        <v>63</v>
      </c>
      <c r="D476" t="s">
        <v>8</v>
      </c>
      <c r="E476" s="1">
        <v>43176.839062500003</v>
      </c>
    </row>
    <row r="477" spans="1:5">
      <c r="A477">
        <v>8980</v>
      </c>
      <c r="B477" t="s">
        <v>63</v>
      </c>
      <c r="C477" t="s">
        <v>63</v>
      </c>
      <c r="D477" t="s">
        <v>6</v>
      </c>
      <c r="E477" s="1">
        <v>43178.371666666666</v>
      </c>
    </row>
    <row r="478" spans="1:5">
      <c r="A478">
        <v>8987</v>
      </c>
      <c r="B478" t="s">
        <v>63</v>
      </c>
      <c r="C478" t="s">
        <v>63</v>
      </c>
      <c r="D478" t="s">
        <v>5</v>
      </c>
      <c r="E478" s="1">
        <v>43178.767800925925</v>
      </c>
    </row>
    <row r="479" spans="1:5">
      <c r="A479">
        <v>8998</v>
      </c>
      <c r="B479" t="s">
        <v>63</v>
      </c>
      <c r="C479" t="s">
        <v>63</v>
      </c>
      <c r="D479" t="s">
        <v>7</v>
      </c>
      <c r="E479" s="1">
        <v>43178.794733796298</v>
      </c>
    </row>
    <row r="480" spans="1:5">
      <c r="A480">
        <v>9006</v>
      </c>
      <c r="B480" t="s">
        <v>63</v>
      </c>
      <c r="C480" t="s">
        <v>63</v>
      </c>
      <c r="D480" t="s">
        <v>8</v>
      </c>
      <c r="E480" s="1">
        <v>43178.910752314812</v>
      </c>
    </row>
    <row r="481" spans="1:5">
      <c r="A481">
        <v>9014</v>
      </c>
      <c r="B481" t="s">
        <v>79</v>
      </c>
      <c r="C481" t="s">
        <v>63</v>
      </c>
      <c r="D481" t="s">
        <v>6</v>
      </c>
      <c r="E481" s="1">
        <v>43179.368750000001</v>
      </c>
    </row>
    <row r="482" spans="1:5">
      <c r="A482">
        <v>9029</v>
      </c>
      <c r="B482" t="s">
        <v>63</v>
      </c>
      <c r="C482" t="s">
        <v>63</v>
      </c>
      <c r="D482" t="s">
        <v>5</v>
      </c>
      <c r="E482" s="1">
        <v>43179.770729166667</v>
      </c>
    </row>
    <row r="483" spans="1:5">
      <c r="A483">
        <v>9035</v>
      </c>
      <c r="B483" t="s">
        <v>63</v>
      </c>
      <c r="C483" t="s">
        <v>63</v>
      </c>
      <c r="D483" t="s">
        <v>7</v>
      </c>
      <c r="E483" s="1">
        <v>43179.787592592591</v>
      </c>
    </row>
    <row r="484" spans="1:5">
      <c r="A484">
        <v>9045</v>
      </c>
      <c r="B484" t="s">
        <v>63</v>
      </c>
      <c r="C484" t="s">
        <v>63</v>
      </c>
      <c r="D484" t="s">
        <v>8</v>
      </c>
      <c r="E484" s="1">
        <v>43179.89508101852</v>
      </c>
    </row>
    <row r="485" spans="1:5">
      <c r="A485">
        <v>9051</v>
      </c>
      <c r="B485" t="s">
        <v>63</v>
      </c>
      <c r="C485" t="s">
        <v>63</v>
      </c>
      <c r="D485" t="s">
        <v>6</v>
      </c>
      <c r="E485" s="1">
        <v>43180.368668981479</v>
      </c>
    </row>
    <row r="486" spans="1:5">
      <c r="A486">
        <v>9061</v>
      </c>
      <c r="B486" t="s">
        <v>63</v>
      </c>
      <c r="C486" t="s">
        <v>63</v>
      </c>
      <c r="D486" t="s">
        <v>5</v>
      </c>
      <c r="E486" s="1">
        <v>43180.770833333336</v>
      </c>
    </row>
    <row r="487" spans="1:5">
      <c r="A487">
        <v>9063</v>
      </c>
      <c r="B487" t="s">
        <v>63</v>
      </c>
      <c r="C487" t="s">
        <v>63</v>
      </c>
      <c r="D487" t="s">
        <v>7</v>
      </c>
      <c r="E487" s="1">
        <v>43180.770914351851</v>
      </c>
    </row>
    <row r="488" spans="1:5">
      <c r="A488">
        <v>9072</v>
      </c>
      <c r="B488" t="s">
        <v>79</v>
      </c>
      <c r="C488" t="s">
        <v>63</v>
      </c>
      <c r="D488" t="s">
        <v>8</v>
      </c>
      <c r="E488" s="1">
        <v>43180.793495370373</v>
      </c>
    </row>
    <row r="489" spans="1:5">
      <c r="A489">
        <v>9074</v>
      </c>
      <c r="B489" t="s">
        <v>79</v>
      </c>
      <c r="C489" t="s">
        <v>63</v>
      </c>
      <c r="D489" t="s">
        <v>7</v>
      </c>
      <c r="E489" s="1">
        <v>43180.813136574077</v>
      </c>
    </row>
    <row r="490" spans="1:5">
      <c r="A490">
        <v>9081</v>
      </c>
      <c r="B490" t="s">
        <v>63</v>
      </c>
      <c r="C490" t="s">
        <v>63</v>
      </c>
      <c r="D490" t="s">
        <v>8</v>
      </c>
      <c r="E490" s="1">
        <v>43180.924537037034</v>
      </c>
    </row>
    <row r="491" spans="1:5">
      <c r="A491">
        <v>9090</v>
      </c>
      <c r="B491" t="s">
        <v>79</v>
      </c>
      <c r="C491" t="s">
        <v>63</v>
      </c>
      <c r="D491" t="s">
        <v>6</v>
      </c>
      <c r="E491" s="1">
        <v>43181.37327546296</v>
      </c>
    </row>
    <row r="492" spans="1:5">
      <c r="A492">
        <v>9100</v>
      </c>
      <c r="B492" t="s">
        <v>63</v>
      </c>
      <c r="C492" t="s">
        <v>63</v>
      </c>
      <c r="D492" t="s">
        <v>5</v>
      </c>
      <c r="E492" s="1">
        <v>43181.781655092593</v>
      </c>
    </row>
    <row r="493" spans="1:5">
      <c r="A493">
        <v>9107</v>
      </c>
      <c r="B493" t="s">
        <v>63</v>
      </c>
      <c r="C493" t="s">
        <v>63</v>
      </c>
      <c r="D493" t="s">
        <v>7</v>
      </c>
      <c r="E493" s="1">
        <v>43181.80777777778</v>
      </c>
    </row>
    <row r="494" spans="1:5">
      <c r="A494">
        <v>9116</v>
      </c>
      <c r="B494" t="s">
        <v>63</v>
      </c>
      <c r="C494" t="s">
        <v>63</v>
      </c>
      <c r="D494" t="s">
        <v>8</v>
      </c>
      <c r="E494" s="1">
        <v>43181.958391203705</v>
      </c>
    </row>
    <row r="495" spans="1:5">
      <c r="A495">
        <v>9126</v>
      </c>
      <c r="B495" t="s">
        <v>63</v>
      </c>
      <c r="C495" t="s">
        <v>63</v>
      </c>
      <c r="D495" t="s">
        <v>6</v>
      </c>
      <c r="E495" s="1">
        <v>43182.382407407407</v>
      </c>
    </row>
    <row r="496" spans="1:5">
      <c r="A496">
        <v>9135</v>
      </c>
      <c r="B496" t="s">
        <v>79</v>
      </c>
      <c r="C496" t="s">
        <v>63</v>
      </c>
      <c r="D496" t="s">
        <v>5</v>
      </c>
      <c r="E496" s="1">
        <v>43182.774178240739</v>
      </c>
    </row>
    <row r="497" spans="1:5">
      <c r="A497">
        <v>9144</v>
      </c>
      <c r="B497" t="s">
        <v>63</v>
      </c>
      <c r="C497" t="s">
        <v>63</v>
      </c>
      <c r="D497" t="s">
        <v>6</v>
      </c>
      <c r="E497" s="1">
        <v>43185.374988425923</v>
      </c>
    </row>
    <row r="498" spans="1:5">
      <c r="A498">
        <v>9152</v>
      </c>
      <c r="B498" t="s">
        <v>63</v>
      </c>
      <c r="C498" t="s">
        <v>63</v>
      </c>
      <c r="D498" t="s">
        <v>5</v>
      </c>
      <c r="E498" s="1">
        <v>43185.771192129629</v>
      </c>
    </row>
    <row r="499" spans="1:5">
      <c r="A499">
        <v>9153</v>
      </c>
      <c r="B499" t="s">
        <v>63</v>
      </c>
      <c r="C499" t="s">
        <v>63</v>
      </c>
      <c r="D499" t="s">
        <v>7</v>
      </c>
      <c r="E499" s="1">
        <v>43185.771215277775</v>
      </c>
    </row>
    <row r="500" spans="1:5" s="2" customFormat="1">
      <c r="A500" s="2">
        <v>9189</v>
      </c>
      <c r="B500" s="2" t="s">
        <v>63</v>
      </c>
      <c r="C500" s="2" t="s">
        <v>63</v>
      </c>
      <c r="D500" s="2" t="s">
        <v>8</v>
      </c>
      <c r="E500" s="405">
        <v>43185.899918981479</v>
      </c>
    </row>
    <row r="501" spans="1:5">
      <c r="A501">
        <v>9163</v>
      </c>
      <c r="B501" t="s">
        <v>79</v>
      </c>
      <c r="C501" t="s">
        <v>63</v>
      </c>
      <c r="D501" t="s">
        <v>6</v>
      </c>
      <c r="E501" s="1">
        <v>43186.3596412037</v>
      </c>
    </row>
    <row r="502" spans="1:5">
      <c r="A502">
        <v>9173</v>
      </c>
      <c r="B502" t="s">
        <v>63</v>
      </c>
      <c r="C502" t="s">
        <v>63</v>
      </c>
      <c r="D502" t="s">
        <v>5</v>
      </c>
      <c r="E502" s="1">
        <v>43186.770949074074</v>
      </c>
    </row>
    <row r="503" spans="1:5" s="2" customFormat="1">
      <c r="A503" s="2">
        <v>9208</v>
      </c>
      <c r="B503" s="2" t="s">
        <v>63</v>
      </c>
      <c r="C503" s="2" t="s">
        <v>63</v>
      </c>
      <c r="D503" s="2" t="s">
        <v>7</v>
      </c>
      <c r="E503" s="405">
        <v>43186.77144675926</v>
      </c>
    </row>
    <row r="504" spans="1:5">
      <c r="A504">
        <v>9189</v>
      </c>
      <c r="B504" t="s">
        <v>63</v>
      </c>
      <c r="C504" t="s">
        <v>63</v>
      </c>
      <c r="D504" t="s">
        <v>8</v>
      </c>
      <c r="E504" s="1">
        <v>43186.945752314816</v>
      </c>
    </row>
    <row r="505" spans="1:5">
      <c r="A505">
        <v>9197</v>
      </c>
      <c r="B505" t="s">
        <v>63</v>
      </c>
      <c r="C505" t="s">
        <v>63</v>
      </c>
      <c r="D505" t="s">
        <v>6</v>
      </c>
      <c r="E505" s="1">
        <v>43187.370706018519</v>
      </c>
    </row>
    <row r="506" spans="1:5">
      <c r="A506">
        <v>9207</v>
      </c>
      <c r="B506" t="s">
        <v>63</v>
      </c>
      <c r="C506" t="s">
        <v>63</v>
      </c>
      <c r="D506" t="s">
        <v>5</v>
      </c>
      <c r="E506" s="1">
        <v>43187.771412037036</v>
      </c>
    </row>
    <row r="507" spans="1:5">
      <c r="A507">
        <v>9208</v>
      </c>
      <c r="B507" t="s">
        <v>63</v>
      </c>
      <c r="C507" t="s">
        <v>63</v>
      </c>
      <c r="D507" t="s">
        <v>7</v>
      </c>
      <c r="E507" s="1">
        <v>43187.77144675926</v>
      </c>
    </row>
    <row r="508" spans="1:5">
      <c r="A508">
        <v>9226</v>
      </c>
      <c r="B508" t="s">
        <v>63</v>
      </c>
      <c r="C508" t="s">
        <v>63</v>
      </c>
      <c r="D508" t="s">
        <v>8</v>
      </c>
      <c r="E508" s="1">
        <v>43187.969224537039</v>
      </c>
    </row>
    <row r="509" spans="1:5">
      <c r="A509">
        <v>9235</v>
      </c>
      <c r="B509" t="s">
        <v>63</v>
      </c>
      <c r="C509" t="s">
        <v>63</v>
      </c>
      <c r="D509" t="s">
        <v>6</v>
      </c>
      <c r="E509" s="1">
        <v>43188.372858796298</v>
      </c>
    </row>
    <row r="510" spans="1:5">
      <c r="A510">
        <v>9247</v>
      </c>
      <c r="B510" t="s">
        <v>63</v>
      </c>
      <c r="C510" t="s">
        <v>63</v>
      </c>
      <c r="D510" t="s">
        <v>5</v>
      </c>
      <c r="E510" s="1">
        <v>43188.778402777774</v>
      </c>
    </row>
    <row r="511" spans="1:5">
      <c r="A511">
        <v>9248</v>
      </c>
      <c r="B511" t="s">
        <v>63</v>
      </c>
      <c r="C511" t="s">
        <v>63</v>
      </c>
      <c r="D511" t="s">
        <v>7</v>
      </c>
      <c r="E511" s="1">
        <v>43188.778414351851</v>
      </c>
    </row>
    <row r="512" spans="1:5">
      <c r="A512">
        <v>9255</v>
      </c>
      <c r="B512" t="s">
        <v>63</v>
      </c>
      <c r="C512" t="s">
        <v>63</v>
      </c>
      <c r="D512" t="s">
        <v>8</v>
      </c>
      <c r="E512" s="1">
        <v>43188.8362037037</v>
      </c>
    </row>
    <row r="513" spans="1:5">
      <c r="A513">
        <v>9266</v>
      </c>
      <c r="B513" t="s">
        <v>79</v>
      </c>
      <c r="C513" t="s">
        <v>63</v>
      </c>
      <c r="D513" t="s">
        <v>6</v>
      </c>
      <c r="E513" s="1">
        <v>43189.371331018519</v>
      </c>
    </row>
    <row r="514" spans="1:5">
      <c r="A514">
        <v>9277</v>
      </c>
      <c r="B514" t="s">
        <v>63</v>
      </c>
      <c r="C514" t="s">
        <v>63</v>
      </c>
      <c r="D514" t="s">
        <v>5</v>
      </c>
      <c r="E514" s="1">
        <v>43189.77584490741</v>
      </c>
    </row>
    <row r="515" spans="1:5">
      <c r="A515">
        <v>9278</v>
      </c>
      <c r="B515" t="s">
        <v>63</v>
      </c>
      <c r="C515" t="s">
        <v>63</v>
      </c>
      <c r="D515" t="s">
        <v>7</v>
      </c>
      <c r="E515" s="1">
        <v>43189.775902777779</v>
      </c>
    </row>
    <row r="516" spans="1:5">
      <c r="A516">
        <v>9282</v>
      </c>
      <c r="B516" t="s">
        <v>63</v>
      </c>
      <c r="C516" t="s">
        <v>63</v>
      </c>
      <c r="D516" t="s">
        <v>8</v>
      </c>
      <c r="E516" s="1">
        <v>43189.846886574072</v>
      </c>
    </row>
    <row r="517" spans="1:5">
      <c r="A517">
        <v>9287</v>
      </c>
      <c r="B517" t="s">
        <v>79</v>
      </c>
      <c r="C517" t="s">
        <v>63</v>
      </c>
      <c r="D517" t="s">
        <v>6</v>
      </c>
      <c r="E517" s="1">
        <v>43190.366932870369</v>
      </c>
    </row>
    <row r="518" spans="1:5">
      <c r="A518">
        <v>9305</v>
      </c>
      <c r="B518" t="s">
        <v>79</v>
      </c>
      <c r="C518" t="s">
        <v>63</v>
      </c>
      <c r="D518" t="s">
        <v>5</v>
      </c>
      <c r="E518" s="1">
        <v>43190.797442129631</v>
      </c>
    </row>
    <row r="519" spans="1:5">
      <c r="A519">
        <v>9306</v>
      </c>
      <c r="B519" t="s">
        <v>79</v>
      </c>
      <c r="C519" t="s">
        <v>63</v>
      </c>
      <c r="D519" t="s">
        <v>7</v>
      </c>
      <c r="E519" s="1">
        <v>43190.797465277778</v>
      </c>
    </row>
    <row r="520" spans="1:5">
      <c r="A520">
        <v>9309</v>
      </c>
      <c r="B520" t="s">
        <v>79</v>
      </c>
      <c r="C520" t="s">
        <v>63</v>
      </c>
      <c r="D520" t="s">
        <v>8</v>
      </c>
      <c r="E520" s="1">
        <v>43190.926006944443</v>
      </c>
    </row>
    <row r="521" spans="1:5">
      <c r="A521">
        <v>8491</v>
      </c>
      <c r="B521" t="s">
        <v>72</v>
      </c>
      <c r="C521" t="s">
        <v>72</v>
      </c>
      <c r="D521" t="s">
        <v>6</v>
      </c>
      <c r="E521" s="1">
        <v>43160.362291666665</v>
      </c>
    </row>
    <row r="522" spans="1:5">
      <c r="A522">
        <v>8509</v>
      </c>
      <c r="B522" t="s">
        <v>71</v>
      </c>
      <c r="C522" t="s">
        <v>72</v>
      </c>
      <c r="D522" t="s">
        <v>5</v>
      </c>
      <c r="E522" s="1">
        <v>43160.785150462965</v>
      </c>
    </row>
    <row r="523" spans="1:5">
      <c r="A523">
        <v>8511</v>
      </c>
      <c r="B523" t="s">
        <v>71</v>
      </c>
      <c r="C523" t="s">
        <v>72</v>
      </c>
      <c r="D523" t="s">
        <v>7</v>
      </c>
      <c r="E523" s="1">
        <v>43160.785185185188</v>
      </c>
    </row>
    <row r="524" spans="1:5">
      <c r="A524">
        <v>8517</v>
      </c>
      <c r="B524" t="s">
        <v>71</v>
      </c>
      <c r="C524" t="s">
        <v>72</v>
      </c>
      <c r="D524" t="s">
        <v>8</v>
      </c>
      <c r="E524" s="1">
        <v>43160.837962962964</v>
      </c>
    </row>
    <row r="525" spans="1:5">
      <c r="A525">
        <v>8525</v>
      </c>
      <c r="B525" t="s">
        <v>71</v>
      </c>
      <c r="C525" t="s">
        <v>72</v>
      </c>
      <c r="D525" t="s">
        <v>6</v>
      </c>
      <c r="E525" s="1">
        <v>43161.365624999999</v>
      </c>
    </row>
    <row r="526" spans="1:5">
      <c r="A526">
        <v>8540</v>
      </c>
      <c r="B526" t="s">
        <v>71</v>
      </c>
      <c r="C526" t="s">
        <v>72</v>
      </c>
      <c r="D526" t="s">
        <v>5</v>
      </c>
      <c r="E526" s="1">
        <v>43161.780821759261</v>
      </c>
    </row>
    <row r="527" spans="1:5">
      <c r="A527">
        <v>8560</v>
      </c>
      <c r="B527" t="s">
        <v>72</v>
      </c>
      <c r="C527" t="s">
        <v>72</v>
      </c>
      <c r="D527" t="s">
        <v>6</v>
      </c>
      <c r="E527" s="1">
        <v>43164.364525462966</v>
      </c>
    </row>
    <row r="528" spans="1:5">
      <c r="A528">
        <v>8582</v>
      </c>
      <c r="B528" t="s">
        <v>71</v>
      </c>
      <c r="C528" t="s">
        <v>72</v>
      </c>
      <c r="D528" t="s">
        <v>5</v>
      </c>
      <c r="E528" s="1">
        <v>43164.783391203702</v>
      </c>
    </row>
    <row r="529" spans="1:5">
      <c r="A529">
        <v>8583</v>
      </c>
      <c r="B529" t="s">
        <v>71</v>
      </c>
      <c r="C529" t="s">
        <v>72</v>
      </c>
      <c r="D529" t="s">
        <v>7</v>
      </c>
      <c r="E529" s="1">
        <v>43164.783425925925</v>
      </c>
    </row>
    <row r="530" spans="1:5">
      <c r="A530">
        <v>8588</v>
      </c>
      <c r="B530" t="s">
        <v>71</v>
      </c>
      <c r="C530" t="s">
        <v>72</v>
      </c>
      <c r="D530" t="s">
        <v>8</v>
      </c>
      <c r="E530" s="1">
        <v>43164.855034722219</v>
      </c>
    </row>
    <row r="531" spans="1:5">
      <c r="A531">
        <v>8596</v>
      </c>
      <c r="B531" t="s">
        <v>72</v>
      </c>
      <c r="C531" t="s">
        <v>72</v>
      </c>
      <c r="D531" t="s">
        <v>6</v>
      </c>
      <c r="E531" s="1">
        <v>43165.363182870373</v>
      </c>
    </row>
    <row r="532" spans="1:5">
      <c r="A532">
        <v>8614</v>
      </c>
      <c r="B532" t="s">
        <v>72</v>
      </c>
      <c r="C532" t="s">
        <v>72</v>
      </c>
      <c r="D532" t="s">
        <v>5</v>
      </c>
      <c r="E532" s="1">
        <v>43165.776226851849</v>
      </c>
    </row>
    <row r="533" spans="1:5">
      <c r="A533">
        <v>8615</v>
      </c>
      <c r="B533" t="s">
        <v>72</v>
      </c>
      <c r="C533" t="s">
        <v>72</v>
      </c>
      <c r="D533" t="s">
        <v>7</v>
      </c>
      <c r="E533" s="1">
        <v>43165.776261574072</v>
      </c>
    </row>
    <row r="534" spans="1:5">
      <c r="A534">
        <v>8623</v>
      </c>
      <c r="B534" t="s">
        <v>72</v>
      </c>
      <c r="C534" t="s">
        <v>72</v>
      </c>
      <c r="D534" t="s">
        <v>8</v>
      </c>
      <c r="E534" s="1">
        <v>43165.902118055557</v>
      </c>
    </row>
    <row r="535" spans="1:5">
      <c r="A535">
        <v>8628</v>
      </c>
      <c r="B535" t="s">
        <v>72</v>
      </c>
      <c r="C535" t="s">
        <v>72</v>
      </c>
      <c r="D535" t="s">
        <v>6</v>
      </c>
      <c r="E535" s="1">
        <v>43166.364398148151</v>
      </c>
    </row>
    <row r="536" spans="1:5">
      <c r="A536">
        <v>8647</v>
      </c>
      <c r="B536" t="s">
        <v>71</v>
      </c>
      <c r="C536" t="s">
        <v>72</v>
      </c>
      <c r="D536" t="s">
        <v>5</v>
      </c>
      <c r="E536" s="1">
        <v>43166.776412037034</v>
      </c>
    </row>
    <row r="537" spans="1:5">
      <c r="A537">
        <v>8648</v>
      </c>
      <c r="B537" t="s">
        <v>71</v>
      </c>
      <c r="C537" t="s">
        <v>72</v>
      </c>
      <c r="D537" t="s">
        <v>7</v>
      </c>
      <c r="E537" s="1">
        <v>43166.77648148148</v>
      </c>
    </row>
    <row r="538" spans="1:5">
      <c r="A538">
        <v>8655</v>
      </c>
      <c r="B538" t="s">
        <v>72</v>
      </c>
      <c r="C538" t="s">
        <v>72</v>
      </c>
      <c r="D538" t="s">
        <v>8</v>
      </c>
      <c r="E538" s="1">
        <v>43166.848969907405</v>
      </c>
    </row>
    <row r="539" spans="1:5">
      <c r="A539">
        <v>8670</v>
      </c>
      <c r="B539" t="s">
        <v>71</v>
      </c>
      <c r="C539" t="s">
        <v>72</v>
      </c>
      <c r="D539" t="s">
        <v>6</v>
      </c>
      <c r="E539" s="1">
        <v>43167.371180555558</v>
      </c>
    </row>
    <row r="540" spans="1:5">
      <c r="A540">
        <v>8681</v>
      </c>
      <c r="B540" t="s">
        <v>71</v>
      </c>
      <c r="C540" t="s">
        <v>72</v>
      </c>
      <c r="D540" t="s">
        <v>5</v>
      </c>
      <c r="E540" s="1">
        <v>43167.773796296293</v>
      </c>
    </row>
    <row r="541" spans="1:5">
      <c r="A541">
        <v>8682</v>
      </c>
      <c r="B541" t="s">
        <v>71</v>
      </c>
      <c r="C541" t="s">
        <v>72</v>
      </c>
      <c r="D541" t="s">
        <v>7</v>
      </c>
      <c r="E541" s="1">
        <v>43167.773854166669</v>
      </c>
    </row>
    <row r="542" spans="1:5">
      <c r="A542">
        <v>8690</v>
      </c>
      <c r="B542" t="s">
        <v>72</v>
      </c>
      <c r="C542" t="s">
        <v>72</v>
      </c>
      <c r="D542" t="s">
        <v>8</v>
      </c>
      <c r="E542" s="1">
        <v>43167.839675925927</v>
      </c>
    </row>
    <row r="543" spans="1:5">
      <c r="A543">
        <v>8692</v>
      </c>
      <c r="B543" t="s">
        <v>71</v>
      </c>
      <c r="C543" t="s">
        <v>72</v>
      </c>
      <c r="D543" t="s">
        <v>6</v>
      </c>
      <c r="E543" s="1">
        <v>43168.362662037034</v>
      </c>
    </row>
    <row r="544" spans="1:5">
      <c r="A544">
        <v>8705</v>
      </c>
      <c r="B544" t="s">
        <v>72</v>
      </c>
      <c r="C544" t="s">
        <v>72</v>
      </c>
      <c r="D544" t="s">
        <v>5</v>
      </c>
      <c r="E544" s="1">
        <v>43168.767766203702</v>
      </c>
    </row>
    <row r="545" spans="1:5">
      <c r="A545">
        <v>8729</v>
      </c>
      <c r="B545" t="s">
        <v>71</v>
      </c>
      <c r="C545" t="s">
        <v>72</v>
      </c>
      <c r="D545" t="s">
        <v>7</v>
      </c>
      <c r="E545" s="1">
        <v>43170.422361111108</v>
      </c>
    </row>
    <row r="546" spans="1:5">
      <c r="A546">
        <v>8735</v>
      </c>
      <c r="B546" t="s">
        <v>71</v>
      </c>
      <c r="C546" t="s">
        <v>72</v>
      </c>
      <c r="D546" t="s">
        <v>8</v>
      </c>
      <c r="E546" s="1">
        <v>43170.549699074072</v>
      </c>
    </row>
    <row r="547" spans="1:5">
      <c r="A547">
        <v>8741</v>
      </c>
      <c r="B547" t="s">
        <v>72</v>
      </c>
      <c r="C547" t="s">
        <v>72</v>
      </c>
      <c r="D547" t="s">
        <v>7</v>
      </c>
      <c r="E547" s="1">
        <v>43170.572708333333</v>
      </c>
    </row>
    <row r="548" spans="1:5">
      <c r="A548">
        <v>8746</v>
      </c>
      <c r="B548" t="s">
        <v>72</v>
      </c>
      <c r="C548" t="s">
        <v>72</v>
      </c>
      <c r="D548" t="s">
        <v>8</v>
      </c>
      <c r="E548" s="1">
        <v>43170.742708333331</v>
      </c>
    </row>
    <row r="549" spans="1:5">
      <c r="A549">
        <v>8764</v>
      </c>
      <c r="B549" t="s">
        <v>71</v>
      </c>
      <c r="C549" t="s">
        <v>72</v>
      </c>
      <c r="D549" t="s">
        <v>6</v>
      </c>
      <c r="E549" s="1">
        <v>43171.366435185184</v>
      </c>
    </row>
    <row r="550" spans="1:5">
      <c r="A550">
        <v>8777</v>
      </c>
      <c r="B550" t="s">
        <v>72</v>
      </c>
      <c r="C550" t="s">
        <v>72</v>
      </c>
      <c r="D550" t="s">
        <v>5</v>
      </c>
      <c r="E550" s="1">
        <v>43171.769074074073</v>
      </c>
    </row>
    <row r="551" spans="1:5">
      <c r="A551">
        <v>8778</v>
      </c>
      <c r="B551" t="s">
        <v>72</v>
      </c>
      <c r="C551" t="s">
        <v>72</v>
      </c>
      <c r="D551" t="s">
        <v>7</v>
      </c>
      <c r="E551" s="1">
        <v>43171.769131944442</v>
      </c>
    </row>
    <row r="552" spans="1:5">
      <c r="A552">
        <v>8796</v>
      </c>
      <c r="B552" t="s">
        <v>72</v>
      </c>
      <c r="C552" t="s">
        <v>72</v>
      </c>
      <c r="D552" t="s">
        <v>8</v>
      </c>
      <c r="E552" s="1">
        <v>43171.909016203703</v>
      </c>
    </row>
    <row r="553" spans="1:5">
      <c r="A553">
        <v>8804</v>
      </c>
      <c r="B553" t="s">
        <v>71</v>
      </c>
      <c r="C553" t="s">
        <v>72</v>
      </c>
      <c r="D553" t="s">
        <v>6</v>
      </c>
      <c r="E553" s="1">
        <v>43172.366342592592</v>
      </c>
    </row>
    <row r="554" spans="1:5">
      <c r="A554">
        <v>8821</v>
      </c>
      <c r="B554" t="s">
        <v>72</v>
      </c>
      <c r="C554" t="s">
        <v>72</v>
      </c>
      <c r="D554" t="s">
        <v>5</v>
      </c>
      <c r="E554" s="1">
        <v>43172.773298611108</v>
      </c>
    </row>
    <row r="555" spans="1:5">
      <c r="A555">
        <v>8822</v>
      </c>
      <c r="B555" t="s">
        <v>72</v>
      </c>
      <c r="C555" t="s">
        <v>72</v>
      </c>
      <c r="D555" t="s">
        <v>7</v>
      </c>
      <c r="E555" s="1">
        <v>43172.773344907408</v>
      </c>
    </row>
    <row r="556" spans="1:5">
      <c r="A556">
        <v>8832</v>
      </c>
      <c r="B556" t="s">
        <v>71</v>
      </c>
      <c r="C556" t="s">
        <v>72</v>
      </c>
      <c r="D556" t="s">
        <v>8</v>
      </c>
      <c r="E556" s="1">
        <v>43172.872094907405</v>
      </c>
    </row>
    <row r="557" spans="1:5">
      <c r="A557">
        <v>8838</v>
      </c>
      <c r="B557" t="s">
        <v>72</v>
      </c>
      <c r="C557" t="s">
        <v>72</v>
      </c>
      <c r="D557" t="s">
        <v>6</v>
      </c>
      <c r="E557" s="1">
        <v>43173.363634259258</v>
      </c>
    </row>
    <row r="558" spans="1:5" s="2" customFormat="1">
      <c r="A558" s="2">
        <v>8821</v>
      </c>
      <c r="B558" s="2" t="s">
        <v>72</v>
      </c>
      <c r="C558" s="2" t="s">
        <v>72</v>
      </c>
      <c r="D558" s="2" t="s">
        <v>5</v>
      </c>
      <c r="E558" s="405">
        <v>43173.771215277775</v>
      </c>
    </row>
    <row r="559" spans="1:5" s="2" customFormat="1">
      <c r="A559" s="2">
        <v>8822</v>
      </c>
      <c r="B559" s="2" t="s">
        <v>72</v>
      </c>
      <c r="C559" s="2" t="s">
        <v>72</v>
      </c>
      <c r="D559" s="2" t="s">
        <v>7</v>
      </c>
      <c r="E559" s="405">
        <v>43173.771261574075</v>
      </c>
    </row>
    <row r="560" spans="1:5">
      <c r="A560">
        <v>8867</v>
      </c>
      <c r="B560" t="s">
        <v>71</v>
      </c>
      <c r="C560" t="s">
        <v>72</v>
      </c>
      <c r="D560" t="s">
        <v>8</v>
      </c>
      <c r="E560" s="1">
        <v>43173.862118055556</v>
      </c>
    </row>
    <row r="561" spans="1:5">
      <c r="A561">
        <v>8872</v>
      </c>
      <c r="B561" t="s">
        <v>71</v>
      </c>
      <c r="C561" t="s">
        <v>72</v>
      </c>
      <c r="D561" t="s">
        <v>6</v>
      </c>
      <c r="E561" s="1">
        <v>43174.363125000003</v>
      </c>
    </row>
    <row r="562" spans="1:5">
      <c r="A562">
        <v>8889</v>
      </c>
      <c r="B562" t="s">
        <v>72</v>
      </c>
      <c r="C562" t="s">
        <v>72</v>
      </c>
      <c r="D562" t="s">
        <v>5</v>
      </c>
      <c r="E562" s="1">
        <v>43174.771412037036</v>
      </c>
    </row>
    <row r="563" spans="1:5">
      <c r="A563">
        <v>8890</v>
      </c>
      <c r="B563" t="s">
        <v>72</v>
      </c>
      <c r="C563" t="s">
        <v>72</v>
      </c>
      <c r="D563" t="s">
        <v>7</v>
      </c>
      <c r="E563" s="1">
        <v>43174.771469907406</v>
      </c>
    </row>
    <row r="564" spans="1:5">
      <c r="A564">
        <v>8903</v>
      </c>
      <c r="B564" t="s">
        <v>71</v>
      </c>
      <c r="C564" t="s">
        <v>72</v>
      </c>
      <c r="D564" t="s">
        <v>8</v>
      </c>
      <c r="E564" s="1">
        <v>43174.864120370374</v>
      </c>
    </row>
    <row r="565" spans="1:5">
      <c r="A565">
        <v>8910</v>
      </c>
      <c r="B565" t="s">
        <v>72</v>
      </c>
      <c r="C565" t="s">
        <v>72</v>
      </c>
      <c r="D565" t="s">
        <v>6</v>
      </c>
      <c r="E565" s="1">
        <v>43175.363020833334</v>
      </c>
    </row>
    <row r="566" spans="1:5">
      <c r="A566">
        <v>8920</v>
      </c>
      <c r="B566" t="s">
        <v>72</v>
      </c>
      <c r="C566" t="s">
        <v>72</v>
      </c>
      <c r="D566" t="s">
        <v>5</v>
      </c>
      <c r="E566" s="1">
        <v>43175.768587962964</v>
      </c>
    </row>
    <row r="567" spans="1:5">
      <c r="A567">
        <v>8921</v>
      </c>
      <c r="B567" t="s">
        <v>72</v>
      </c>
      <c r="C567" t="s">
        <v>72</v>
      </c>
      <c r="D567" t="s">
        <v>7</v>
      </c>
      <c r="E567" s="1">
        <v>43175.768645833334</v>
      </c>
    </row>
    <row r="568" spans="1:5">
      <c r="A568">
        <v>8938</v>
      </c>
      <c r="B568" t="s">
        <v>71</v>
      </c>
      <c r="C568" t="s">
        <v>72</v>
      </c>
      <c r="D568" t="s">
        <v>8</v>
      </c>
      <c r="E568" s="1">
        <v>43175.905868055554</v>
      </c>
    </row>
    <row r="569" spans="1:5">
      <c r="A569">
        <v>8942</v>
      </c>
      <c r="B569" t="s">
        <v>71</v>
      </c>
      <c r="C569" t="s">
        <v>72</v>
      </c>
      <c r="D569" t="s">
        <v>7</v>
      </c>
      <c r="E569" s="1">
        <v>43176.417395833334</v>
      </c>
    </row>
    <row r="570" spans="1:5">
      <c r="A570">
        <v>8956</v>
      </c>
      <c r="B570" t="s">
        <v>71</v>
      </c>
      <c r="C570" t="s">
        <v>72</v>
      </c>
      <c r="D570" t="s">
        <v>8</v>
      </c>
      <c r="E570" s="1">
        <v>43176.567013888889</v>
      </c>
    </row>
    <row r="571" spans="1:5">
      <c r="A571">
        <v>8958</v>
      </c>
      <c r="B571" t="s">
        <v>71</v>
      </c>
      <c r="C571" t="s">
        <v>72</v>
      </c>
      <c r="D571" t="s">
        <v>7</v>
      </c>
      <c r="E571" s="1">
        <v>43176.573819444442</v>
      </c>
    </row>
    <row r="572" spans="1:5">
      <c r="A572">
        <v>8965</v>
      </c>
      <c r="B572" t="s">
        <v>72</v>
      </c>
      <c r="C572" t="s">
        <v>72</v>
      </c>
      <c r="D572" t="s">
        <v>8</v>
      </c>
      <c r="E572" s="1">
        <v>43176.693854166668</v>
      </c>
    </row>
    <row r="573" spans="1:5">
      <c r="A573">
        <v>8975</v>
      </c>
      <c r="B573" t="s">
        <v>72</v>
      </c>
      <c r="C573" t="s">
        <v>72</v>
      </c>
      <c r="D573" t="s">
        <v>6</v>
      </c>
      <c r="E573" s="1">
        <v>43178.364583333336</v>
      </c>
    </row>
    <row r="574" spans="1:5">
      <c r="A574">
        <v>8989</v>
      </c>
      <c r="B574" t="s">
        <v>72</v>
      </c>
      <c r="C574" t="s">
        <v>72</v>
      </c>
      <c r="D574" t="s">
        <v>5</v>
      </c>
      <c r="E574" s="1">
        <v>43178.768275462964</v>
      </c>
    </row>
    <row r="575" spans="1:5">
      <c r="A575">
        <v>8990</v>
      </c>
      <c r="B575" t="s">
        <v>72</v>
      </c>
      <c r="C575" t="s">
        <v>72</v>
      </c>
      <c r="D575" t="s">
        <v>7</v>
      </c>
      <c r="E575" s="1">
        <v>43178.768321759257</v>
      </c>
    </row>
    <row r="576" spans="1:5">
      <c r="A576">
        <v>9003</v>
      </c>
      <c r="B576" t="s">
        <v>71</v>
      </c>
      <c r="C576" t="s">
        <v>72</v>
      </c>
      <c r="D576" t="s">
        <v>8</v>
      </c>
      <c r="E576" s="1">
        <v>43178.8672337963</v>
      </c>
    </row>
    <row r="577" spans="1:5">
      <c r="A577">
        <v>9012</v>
      </c>
      <c r="B577" t="s">
        <v>72</v>
      </c>
      <c r="C577" t="s">
        <v>72</v>
      </c>
      <c r="D577" t="s">
        <v>6</v>
      </c>
      <c r="E577" s="1">
        <v>43179.366030092591</v>
      </c>
    </row>
    <row r="578" spans="1:5">
      <c r="A578">
        <v>9025</v>
      </c>
      <c r="B578" t="s">
        <v>72</v>
      </c>
      <c r="C578" t="s">
        <v>72</v>
      </c>
      <c r="D578" t="s">
        <v>5</v>
      </c>
      <c r="E578" s="1">
        <v>43179.76971064815</v>
      </c>
    </row>
    <row r="579" spans="1:5">
      <c r="A579">
        <v>9026</v>
      </c>
      <c r="B579" t="s">
        <v>72</v>
      </c>
      <c r="C579" t="s">
        <v>72</v>
      </c>
      <c r="D579" t="s">
        <v>7</v>
      </c>
      <c r="E579" s="1">
        <v>43179.769756944443</v>
      </c>
    </row>
    <row r="580" spans="1:5">
      <c r="A580">
        <v>9030</v>
      </c>
      <c r="B580" t="s">
        <v>72</v>
      </c>
      <c r="C580" t="s">
        <v>72</v>
      </c>
      <c r="D580" t="s">
        <v>8</v>
      </c>
      <c r="E580" s="1">
        <v>43179.771481481483</v>
      </c>
    </row>
    <row r="581" spans="1:5">
      <c r="A581">
        <v>9037</v>
      </c>
      <c r="B581" t="s">
        <v>71</v>
      </c>
      <c r="C581" t="s">
        <v>72</v>
      </c>
      <c r="D581" t="s">
        <v>7</v>
      </c>
      <c r="E581" s="1">
        <v>43179.791238425925</v>
      </c>
    </row>
    <row r="582" spans="1:5">
      <c r="A582">
        <v>9043</v>
      </c>
      <c r="B582" t="s">
        <v>71</v>
      </c>
      <c r="C582" t="s">
        <v>72</v>
      </c>
      <c r="D582" t="s">
        <v>8</v>
      </c>
      <c r="E582" s="1">
        <v>43179.883935185186</v>
      </c>
    </row>
    <row r="583" spans="1:5">
      <c r="A583">
        <v>9047</v>
      </c>
      <c r="B583" t="s">
        <v>72</v>
      </c>
      <c r="C583" t="s">
        <v>72</v>
      </c>
      <c r="D583" t="s">
        <v>6</v>
      </c>
      <c r="E583" s="1">
        <v>43180.364814814813</v>
      </c>
    </row>
    <row r="584" spans="1:5">
      <c r="A584">
        <v>9064</v>
      </c>
      <c r="B584" t="s">
        <v>72</v>
      </c>
      <c r="C584" t="s">
        <v>72</v>
      </c>
      <c r="D584" t="s">
        <v>5</v>
      </c>
      <c r="E584" s="1">
        <v>43180.770972222221</v>
      </c>
    </row>
    <row r="585" spans="1:5">
      <c r="A585">
        <v>9065</v>
      </c>
      <c r="B585" t="s">
        <v>72</v>
      </c>
      <c r="C585" t="s">
        <v>72</v>
      </c>
      <c r="D585" t="s">
        <v>7</v>
      </c>
      <c r="E585" s="1">
        <v>43180.771018518521</v>
      </c>
    </row>
    <row r="586" spans="1:5">
      <c r="A586">
        <v>9078</v>
      </c>
      <c r="B586" t="s">
        <v>71</v>
      </c>
      <c r="C586" t="s">
        <v>72</v>
      </c>
      <c r="D586" t="s">
        <v>8</v>
      </c>
      <c r="E586" s="1">
        <v>43180.860636574071</v>
      </c>
    </row>
    <row r="587" spans="1:5">
      <c r="A587">
        <v>9084</v>
      </c>
      <c r="B587" t="s">
        <v>72</v>
      </c>
      <c r="C587" t="s">
        <v>72</v>
      </c>
      <c r="D587" t="s">
        <v>6</v>
      </c>
      <c r="E587" s="1">
        <v>43181.36414351852</v>
      </c>
    </row>
    <row r="588" spans="1:5">
      <c r="A588">
        <v>9096</v>
      </c>
      <c r="B588" t="s">
        <v>72</v>
      </c>
      <c r="C588" t="s">
        <v>72</v>
      </c>
      <c r="D588" t="s">
        <v>5</v>
      </c>
      <c r="E588" s="1">
        <v>43181.764143518521</v>
      </c>
    </row>
    <row r="589" spans="1:5">
      <c r="A589">
        <v>9097</v>
      </c>
      <c r="B589" t="s">
        <v>72</v>
      </c>
      <c r="C589" t="s">
        <v>72</v>
      </c>
      <c r="D589" t="s">
        <v>7</v>
      </c>
      <c r="E589" s="1">
        <v>43181.764189814814</v>
      </c>
    </row>
    <row r="590" spans="1:5">
      <c r="A590">
        <v>9104</v>
      </c>
      <c r="B590" t="s">
        <v>71</v>
      </c>
      <c r="C590" t="s">
        <v>72</v>
      </c>
      <c r="D590" t="s">
        <v>8</v>
      </c>
      <c r="E590" s="1">
        <v>43181.796226851853</v>
      </c>
    </row>
    <row r="591" spans="1:5" s="2" customFormat="1">
      <c r="A591" s="2">
        <v>9097</v>
      </c>
      <c r="B591" s="2" t="s">
        <v>72</v>
      </c>
      <c r="C591" s="2" t="s">
        <v>72</v>
      </c>
      <c r="D591" s="2" t="s">
        <v>7</v>
      </c>
      <c r="E591" s="405">
        <v>43181.805856481478</v>
      </c>
    </row>
    <row r="592" spans="1:5">
      <c r="A592">
        <v>9113</v>
      </c>
      <c r="B592" t="s">
        <v>71</v>
      </c>
      <c r="C592" t="s">
        <v>72</v>
      </c>
      <c r="D592" t="s">
        <v>8</v>
      </c>
      <c r="E592" s="1">
        <v>43181.934814814813</v>
      </c>
    </row>
    <row r="593" spans="1:5">
      <c r="A593">
        <v>9121</v>
      </c>
      <c r="B593" t="s">
        <v>72</v>
      </c>
      <c r="C593" t="s">
        <v>72</v>
      </c>
      <c r="D593" t="s">
        <v>6</v>
      </c>
      <c r="E593" s="1">
        <v>43182.365787037037</v>
      </c>
    </row>
    <row r="594" spans="1:5">
      <c r="A594">
        <v>9130</v>
      </c>
      <c r="B594" t="s">
        <v>72</v>
      </c>
      <c r="C594" t="s">
        <v>72</v>
      </c>
      <c r="D594" t="s">
        <v>5</v>
      </c>
      <c r="E594" s="1">
        <v>43182.768171296295</v>
      </c>
    </row>
    <row r="595" spans="1:5">
      <c r="A595">
        <v>9140</v>
      </c>
      <c r="B595" t="s">
        <v>72</v>
      </c>
      <c r="C595" t="s">
        <v>72</v>
      </c>
      <c r="D595" t="s">
        <v>6</v>
      </c>
      <c r="E595" s="1">
        <v>43185.364085648151</v>
      </c>
    </row>
    <row r="596" spans="1:5">
      <c r="A596">
        <v>9147</v>
      </c>
      <c r="B596" t="s">
        <v>72</v>
      </c>
      <c r="C596" t="s">
        <v>72</v>
      </c>
      <c r="D596" t="s">
        <v>5</v>
      </c>
      <c r="E596" s="1">
        <v>43185.767766203702</v>
      </c>
    </row>
    <row r="597" spans="1:5">
      <c r="A597">
        <v>9148</v>
      </c>
      <c r="B597" t="s">
        <v>72</v>
      </c>
      <c r="C597" t="s">
        <v>72</v>
      </c>
      <c r="D597" t="s">
        <v>7</v>
      </c>
      <c r="E597" s="1">
        <v>43185.767824074072</v>
      </c>
    </row>
    <row r="598" spans="1:5">
      <c r="A598">
        <v>9158</v>
      </c>
      <c r="B598" t="s">
        <v>72</v>
      </c>
      <c r="C598" t="s">
        <v>72</v>
      </c>
      <c r="D598" t="s">
        <v>8</v>
      </c>
      <c r="E598" s="1">
        <v>43185.831458333334</v>
      </c>
    </row>
    <row r="599" spans="1:5">
      <c r="A599">
        <v>9166</v>
      </c>
      <c r="B599" t="s">
        <v>72</v>
      </c>
      <c r="C599" t="s">
        <v>72</v>
      </c>
      <c r="D599" t="s">
        <v>6</v>
      </c>
      <c r="E599" s="1">
        <v>43186.364432870374</v>
      </c>
    </row>
    <row r="600" spans="1:5">
      <c r="A600">
        <v>9176</v>
      </c>
      <c r="B600" t="s">
        <v>71</v>
      </c>
      <c r="C600" t="s">
        <v>72</v>
      </c>
      <c r="D600" t="s">
        <v>5</v>
      </c>
      <c r="E600" s="1">
        <v>43186.773310185185</v>
      </c>
    </row>
    <row r="601" spans="1:5">
      <c r="A601">
        <v>9177</v>
      </c>
      <c r="B601" t="s">
        <v>71</v>
      </c>
      <c r="C601" t="s">
        <v>72</v>
      </c>
      <c r="D601" t="s">
        <v>7</v>
      </c>
      <c r="E601" s="1">
        <v>43186.773344907408</v>
      </c>
    </row>
    <row r="602" spans="1:5">
      <c r="A602">
        <v>9185</v>
      </c>
      <c r="B602" t="s">
        <v>71</v>
      </c>
      <c r="C602" t="s">
        <v>72</v>
      </c>
      <c r="D602" t="s">
        <v>8</v>
      </c>
      <c r="E602" s="1">
        <v>43186.833564814813</v>
      </c>
    </row>
    <row r="603" spans="1:5">
      <c r="A603">
        <v>9195</v>
      </c>
      <c r="B603" t="s">
        <v>72</v>
      </c>
      <c r="C603" t="s">
        <v>72</v>
      </c>
      <c r="D603" t="s">
        <v>6</v>
      </c>
      <c r="E603" s="1">
        <v>43187.364629629628</v>
      </c>
    </row>
    <row r="604" spans="1:5">
      <c r="A604">
        <v>9205</v>
      </c>
      <c r="B604" t="s">
        <v>72</v>
      </c>
      <c r="C604" t="s">
        <v>72</v>
      </c>
      <c r="D604" t="s">
        <v>5</v>
      </c>
      <c r="E604" s="1">
        <v>43187.771296296298</v>
      </c>
    </row>
    <row r="605" spans="1:5">
      <c r="A605">
        <v>9206</v>
      </c>
      <c r="B605" t="s">
        <v>72</v>
      </c>
      <c r="C605" t="s">
        <v>72</v>
      </c>
      <c r="D605" t="s">
        <v>7</v>
      </c>
      <c r="E605" s="1">
        <v>43187.771377314813</v>
      </c>
    </row>
    <row r="606" spans="1:5">
      <c r="A606">
        <v>9222</v>
      </c>
      <c r="B606" t="s">
        <v>97</v>
      </c>
      <c r="C606" t="s">
        <v>72</v>
      </c>
      <c r="D606" t="s">
        <v>8</v>
      </c>
      <c r="E606" s="1">
        <v>43187.866747685184</v>
      </c>
    </row>
    <row r="607" spans="1:5">
      <c r="A607">
        <v>9229</v>
      </c>
      <c r="B607" t="s">
        <v>72</v>
      </c>
      <c r="C607" t="s">
        <v>72</v>
      </c>
      <c r="D607" t="s">
        <v>6</v>
      </c>
      <c r="E607" s="1">
        <v>43188.364247685182</v>
      </c>
    </row>
    <row r="608" spans="1:5">
      <c r="A608">
        <v>9243</v>
      </c>
      <c r="B608" t="s">
        <v>71</v>
      </c>
      <c r="C608" t="s">
        <v>72</v>
      </c>
      <c r="D608" t="s">
        <v>5</v>
      </c>
      <c r="E608" s="1">
        <v>43188.772650462961</v>
      </c>
    </row>
    <row r="609" spans="1:5">
      <c r="A609">
        <v>9244</v>
      </c>
      <c r="B609" t="s">
        <v>71</v>
      </c>
      <c r="C609" t="s">
        <v>72</v>
      </c>
      <c r="D609" t="s">
        <v>7</v>
      </c>
      <c r="E609" s="1">
        <v>43188.772685185184</v>
      </c>
    </row>
    <row r="610" spans="1:5">
      <c r="A610">
        <v>9256</v>
      </c>
      <c r="B610" t="s">
        <v>71</v>
      </c>
      <c r="C610" t="s">
        <v>72</v>
      </c>
      <c r="D610" t="s">
        <v>8</v>
      </c>
      <c r="E610" s="1">
        <v>43188.848252314812</v>
      </c>
    </row>
    <row r="611" spans="1:5">
      <c r="A611">
        <v>9261</v>
      </c>
      <c r="B611" t="s">
        <v>71</v>
      </c>
      <c r="C611" t="s">
        <v>72</v>
      </c>
      <c r="D611" t="s">
        <v>6</v>
      </c>
      <c r="E611" s="1">
        <v>43189.364664351851</v>
      </c>
    </row>
    <row r="612" spans="1:5">
      <c r="A612">
        <v>9276</v>
      </c>
      <c r="B612" t="s">
        <v>72</v>
      </c>
      <c r="C612" t="s">
        <v>72</v>
      </c>
      <c r="D612" t="s">
        <v>5</v>
      </c>
      <c r="E612" s="1">
        <v>43189.775706018518</v>
      </c>
    </row>
    <row r="613" spans="1:5">
      <c r="A613">
        <v>9283</v>
      </c>
      <c r="B613" t="s">
        <v>71</v>
      </c>
      <c r="C613" t="s">
        <v>72</v>
      </c>
      <c r="D613" t="s">
        <v>6</v>
      </c>
      <c r="E613" s="1">
        <v>43190.361689814818</v>
      </c>
    </row>
    <row r="614" spans="1:5">
      <c r="A614">
        <v>9294</v>
      </c>
      <c r="B614" t="s">
        <v>71</v>
      </c>
      <c r="C614" t="s">
        <v>72</v>
      </c>
      <c r="D614" t="s">
        <v>5</v>
      </c>
      <c r="E614" s="1">
        <v>43190.766122685185</v>
      </c>
    </row>
    <row r="615" spans="1:5">
      <c r="A615">
        <v>8494</v>
      </c>
      <c r="B615" t="s">
        <v>88</v>
      </c>
      <c r="C615" t="s">
        <v>88</v>
      </c>
      <c r="D615" t="s">
        <v>6</v>
      </c>
      <c r="E615" s="1">
        <v>43160.368009259262</v>
      </c>
    </row>
    <row r="616" spans="1:5">
      <c r="A616">
        <v>8505</v>
      </c>
      <c r="B616" t="s">
        <v>88</v>
      </c>
      <c r="C616" t="s">
        <v>88</v>
      </c>
      <c r="D616" t="s">
        <v>5</v>
      </c>
      <c r="E616" s="1">
        <v>43160.771053240744</v>
      </c>
    </row>
    <row r="617" spans="1:5">
      <c r="A617">
        <v>8527</v>
      </c>
      <c r="B617" t="s">
        <v>88</v>
      </c>
      <c r="C617" t="s">
        <v>88</v>
      </c>
      <c r="D617" t="s">
        <v>6</v>
      </c>
      <c r="E617" s="1">
        <v>43161.369259259256</v>
      </c>
    </row>
    <row r="618" spans="1:5">
      <c r="A618">
        <v>8535</v>
      </c>
      <c r="B618" t="s">
        <v>88</v>
      </c>
      <c r="C618" t="s">
        <v>88</v>
      </c>
      <c r="D618" t="s">
        <v>5</v>
      </c>
      <c r="E618" s="1">
        <v>43161.767060185186</v>
      </c>
    </row>
    <row r="619" spans="1:5">
      <c r="A619">
        <v>8568</v>
      </c>
      <c r="B619" t="s">
        <v>88</v>
      </c>
      <c r="C619" t="s">
        <v>88</v>
      </c>
      <c r="D619" t="s">
        <v>6</v>
      </c>
      <c r="E619" s="1">
        <v>43164.550879629627</v>
      </c>
    </row>
    <row r="620" spans="1:5">
      <c r="A620">
        <v>8575</v>
      </c>
      <c r="B620" t="s">
        <v>89</v>
      </c>
      <c r="C620" t="s">
        <v>88</v>
      </c>
      <c r="D620" t="s">
        <v>5</v>
      </c>
      <c r="E620" s="1">
        <v>43164.765069444446</v>
      </c>
    </row>
    <row r="621" spans="1:5">
      <c r="A621">
        <v>8601</v>
      </c>
      <c r="B621" t="s">
        <v>88</v>
      </c>
      <c r="C621" t="s">
        <v>88</v>
      </c>
      <c r="D621" t="s">
        <v>6</v>
      </c>
      <c r="E621" s="1">
        <v>43165.369756944441</v>
      </c>
    </row>
    <row r="622" spans="1:5">
      <c r="A622">
        <v>8610</v>
      </c>
      <c r="B622" t="s">
        <v>89</v>
      </c>
      <c r="C622" t="s">
        <v>88</v>
      </c>
      <c r="D622" t="s">
        <v>5</v>
      </c>
      <c r="E622" s="1">
        <v>43165.773113425923</v>
      </c>
    </row>
    <row r="623" spans="1:5">
      <c r="A623">
        <v>8611</v>
      </c>
      <c r="B623" t="s">
        <v>89</v>
      </c>
      <c r="C623" t="s">
        <v>88</v>
      </c>
      <c r="D623" t="s">
        <v>7</v>
      </c>
      <c r="E623" s="1">
        <v>43165.773194444446</v>
      </c>
    </row>
    <row r="624" spans="1:5">
      <c r="A624">
        <v>8616</v>
      </c>
      <c r="B624" t="s">
        <v>89</v>
      </c>
      <c r="C624" t="s">
        <v>88</v>
      </c>
      <c r="D624" t="s">
        <v>8</v>
      </c>
      <c r="E624" s="1">
        <v>43165.78229166667</v>
      </c>
    </row>
    <row r="625" spans="1:5">
      <c r="A625">
        <v>8631</v>
      </c>
      <c r="B625" t="s">
        <v>88</v>
      </c>
      <c r="C625" t="s">
        <v>88</v>
      </c>
      <c r="D625" t="s">
        <v>6</v>
      </c>
      <c r="E625" s="1">
        <v>43166.367650462962</v>
      </c>
    </row>
    <row r="626" spans="1:5">
      <c r="A626">
        <v>8641</v>
      </c>
      <c r="B626" t="s">
        <v>89</v>
      </c>
      <c r="C626" t="s">
        <v>88</v>
      </c>
      <c r="D626" t="s">
        <v>5</v>
      </c>
      <c r="E626" s="1">
        <v>43166.770243055558</v>
      </c>
    </row>
    <row r="627" spans="1:5">
      <c r="A627">
        <v>8645</v>
      </c>
      <c r="B627" t="s">
        <v>89</v>
      </c>
      <c r="C627" t="s">
        <v>88</v>
      </c>
      <c r="D627" t="s">
        <v>7</v>
      </c>
      <c r="E627" s="1">
        <v>43166.770949074074</v>
      </c>
    </row>
    <row r="628" spans="1:5">
      <c r="A628">
        <v>8653</v>
      </c>
      <c r="B628" t="s">
        <v>89</v>
      </c>
      <c r="C628" t="s">
        <v>88</v>
      </c>
      <c r="D628" t="s">
        <v>8</v>
      </c>
      <c r="E628" s="1">
        <v>43166.798622685186</v>
      </c>
    </row>
    <row r="629" spans="1:5">
      <c r="A629">
        <v>8669</v>
      </c>
      <c r="B629" t="s">
        <v>88</v>
      </c>
      <c r="C629" t="s">
        <v>88</v>
      </c>
      <c r="D629" t="s">
        <v>6</v>
      </c>
      <c r="E629" s="1">
        <v>43167.369953703703</v>
      </c>
    </row>
    <row r="630" spans="1:5">
      <c r="A630">
        <v>8674</v>
      </c>
      <c r="B630" t="s">
        <v>89</v>
      </c>
      <c r="C630" t="s">
        <v>88</v>
      </c>
      <c r="D630" t="s">
        <v>5</v>
      </c>
      <c r="E630" s="1">
        <v>43167.76667824074</v>
      </c>
    </row>
    <row r="631" spans="1:5">
      <c r="A631">
        <v>8697</v>
      </c>
      <c r="B631" t="s">
        <v>88</v>
      </c>
      <c r="C631" t="s">
        <v>88</v>
      </c>
      <c r="D631" t="s">
        <v>6</v>
      </c>
      <c r="E631" s="1">
        <v>43168.36922453704</v>
      </c>
    </row>
    <row r="632" spans="1:5">
      <c r="A632">
        <v>8713</v>
      </c>
      <c r="B632" t="s">
        <v>88</v>
      </c>
      <c r="C632" t="s">
        <v>88</v>
      </c>
      <c r="D632" t="s">
        <v>5</v>
      </c>
      <c r="E632" s="1">
        <v>43168.777488425927</v>
      </c>
    </row>
    <row r="633" spans="1:5">
      <c r="A633">
        <v>8745</v>
      </c>
      <c r="B633" t="s">
        <v>88</v>
      </c>
      <c r="C633" t="s">
        <v>88</v>
      </c>
      <c r="D633" t="s">
        <v>7</v>
      </c>
      <c r="E633" s="1">
        <v>43170.653912037036</v>
      </c>
    </row>
    <row r="634" spans="1:5">
      <c r="A634">
        <v>8758</v>
      </c>
      <c r="B634" t="s">
        <v>88</v>
      </c>
      <c r="C634" t="s">
        <v>88</v>
      </c>
      <c r="D634" t="s">
        <v>8</v>
      </c>
      <c r="E634" s="1">
        <v>43170.787361111114</v>
      </c>
    </row>
    <row r="635" spans="1:5">
      <c r="A635">
        <v>8768</v>
      </c>
      <c r="B635" t="s">
        <v>88</v>
      </c>
      <c r="C635" t="s">
        <v>88</v>
      </c>
      <c r="D635" t="s">
        <v>6</v>
      </c>
      <c r="E635" s="1">
        <v>43171.371006944442</v>
      </c>
    </row>
    <row r="636" spans="1:5">
      <c r="A636">
        <v>8781</v>
      </c>
      <c r="B636" t="s">
        <v>89</v>
      </c>
      <c r="C636" t="s">
        <v>88</v>
      </c>
      <c r="D636" t="s">
        <v>5</v>
      </c>
      <c r="E636" s="1">
        <v>43171.771099537036</v>
      </c>
    </row>
    <row r="637" spans="1:5">
      <c r="A637">
        <v>8782</v>
      </c>
      <c r="B637" t="s">
        <v>89</v>
      </c>
      <c r="C637" t="s">
        <v>88</v>
      </c>
      <c r="D637" t="s">
        <v>7</v>
      </c>
      <c r="E637" s="1">
        <v>43171.771180555559</v>
      </c>
    </row>
    <row r="638" spans="1:5">
      <c r="A638">
        <v>8791</v>
      </c>
      <c r="B638" t="s">
        <v>89</v>
      </c>
      <c r="C638" t="s">
        <v>88</v>
      </c>
      <c r="D638" t="s">
        <v>8</v>
      </c>
      <c r="E638" s="1">
        <v>43171.804340277777</v>
      </c>
    </row>
    <row r="639" spans="1:5">
      <c r="A639">
        <v>8809</v>
      </c>
      <c r="B639" t="s">
        <v>88</v>
      </c>
      <c r="C639" t="s">
        <v>88</v>
      </c>
      <c r="D639" t="s">
        <v>6</v>
      </c>
      <c r="E639" s="1">
        <v>43172.36991898148</v>
      </c>
    </row>
    <row r="640" spans="1:5">
      <c r="A640">
        <v>8814</v>
      </c>
      <c r="B640" t="s">
        <v>89</v>
      </c>
      <c r="C640" t="s">
        <v>88</v>
      </c>
      <c r="D640" t="s">
        <v>5</v>
      </c>
      <c r="E640" s="1">
        <v>43172.771678240744</v>
      </c>
    </row>
    <row r="641" spans="1:5">
      <c r="A641">
        <v>8815</v>
      </c>
      <c r="B641" t="s">
        <v>89</v>
      </c>
      <c r="C641" t="s">
        <v>88</v>
      </c>
      <c r="D641" t="s">
        <v>7</v>
      </c>
      <c r="E641" s="1">
        <v>43172.771886574075</v>
      </c>
    </row>
    <row r="642" spans="1:5">
      <c r="A642">
        <v>8828</v>
      </c>
      <c r="B642" t="s">
        <v>89</v>
      </c>
      <c r="C642" t="s">
        <v>88</v>
      </c>
      <c r="D642" t="s">
        <v>8</v>
      </c>
      <c r="E642" s="1">
        <v>43172.836226851854</v>
      </c>
    </row>
    <row r="643" spans="1:5">
      <c r="A643">
        <v>8843</v>
      </c>
      <c r="B643" t="s">
        <v>88</v>
      </c>
      <c r="C643" t="s">
        <v>88</v>
      </c>
      <c r="D643" t="s">
        <v>6</v>
      </c>
      <c r="E643" s="1">
        <v>43173.371018518519</v>
      </c>
    </row>
    <row r="644" spans="1:5">
      <c r="A644">
        <v>8852</v>
      </c>
      <c r="B644" t="s">
        <v>89</v>
      </c>
      <c r="C644" t="s">
        <v>88</v>
      </c>
      <c r="D644" t="s">
        <v>5</v>
      </c>
      <c r="E644" s="1">
        <v>43173.77175925926</v>
      </c>
    </row>
    <row r="645" spans="1:5">
      <c r="A645">
        <v>8855</v>
      </c>
      <c r="B645" t="s">
        <v>89</v>
      </c>
      <c r="C645" t="s">
        <v>88</v>
      </c>
      <c r="D645" t="s">
        <v>7</v>
      </c>
      <c r="E645" s="1">
        <v>43173.771898148145</v>
      </c>
    </row>
    <row r="646" spans="1:5">
      <c r="A646">
        <v>8866</v>
      </c>
      <c r="B646" t="s">
        <v>89</v>
      </c>
      <c r="C646" t="s">
        <v>88</v>
      </c>
      <c r="D646" t="s">
        <v>8</v>
      </c>
      <c r="E646" s="1">
        <v>43173.861967592595</v>
      </c>
    </row>
    <row r="647" spans="1:5">
      <c r="A647">
        <v>8879</v>
      </c>
      <c r="B647" t="s">
        <v>88</v>
      </c>
      <c r="C647" t="s">
        <v>88</v>
      </c>
      <c r="D647" t="s">
        <v>6</v>
      </c>
      <c r="E647" s="1">
        <v>43174.371828703705</v>
      </c>
    </row>
    <row r="648" spans="1:5">
      <c r="A648">
        <v>8897</v>
      </c>
      <c r="B648" t="s">
        <v>89</v>
      </c>
      <c r="C648" t="s">
        <v>88</v>
      </c>
      <c r="D648" t="s">
        <v>5</v>
      </c>
      <c r="E648" s="1">
        <v>43174.777789351851</v>
      </c>
    </row>
    <row r="649" spans="1:5">
      <c r="A649">
        <v>8913</v>
      </c>
      <c r="B649" t="s">
        <v>88</v>
      </c>
      <c r="C649" t="s">
        <v>88</v>
      </c>
      <c r="D649" t="s">
        <v>6</v>
      </c>
      <c r="E649" s="1">
        <v>43175.367476851854</v>
      </c>
    </row>
    <row r="650" spans="1:5">
      <c r="A650">
        <v>8932</v>
      </c>
      <c r="B650" t="s">
        <v>89</v>
      </c>
      <c r="C650" t="s">
        <v>88</v>
      </c>
      <c r="D650" t="s">
        <v>5</v>
      </c>
      <c r="E650" s="1">
        <v>43175.791076388887</v>
      </c>
    </row>
    <row r="651" spans="1:5">
      <c r="A651">
        <v>8978</v>
      </c>
      <c r="B651" t="s">
        <v>88</v>
      </c>
      <c r="C651" t="s">
        <v>88</v>
      </c>
      <c r="D651" t="s">
        <v>6</v>
      </c>
      <c r="E651" s="1">
        <v>43178.369305555556</v>
      </c>
    </row>
    <row r="652" spans="1:5">
      <c r="A652">
        <v>8985</v>
      </c>
      <c r="B652" t="s">
        <v>88</v>
      </c>
      <c r="C652" t="s">
        <v>88</v>
      </c>
      <c r="D652" t="s">
        <v>5</v>
      </c>
      <c r="E652" s="1">
        <v>43178.766215277778</v>
      </c>
    </row>
    <row r="653" spans="1:5">
      <c r="A653">
        <v>8994</v>
      </c>
      <c r="B653" t="s">
        <v>88</v>
      </c>
      <c r="C653" t="s">
        <v>88</v>
      </c>
      <c r="D653" t="s">
        <v>7</v>
      </c>
      <c r="E653" s="1">
        <v>43178.780497685184</v>
      </c>
    </row>
    <row r="654" spans="1:5">
      <c r="A654">
        <v>8999</v>
      </c>
      <c r="B654" t="s">
        <v>89</v>
      </c>
      <c r="C654" t="s">
        <v>88</v>
      </c>
      <c r="D654" t="s">
        <v>8</v>
      </c>
      <c r="E654" s="1">
        <v>43178.851469907408</v>
      </c>
    </row>
    <row r="655" spans="1:5">
      <c r="A655">
        <v>9016</v>
      </c>
      <c r="B655" t="s">
        <v>88</v>
      </c>
      <c r="C655" t="s">
        <v>88</v>
      </c>
      <c r="D655" t="s">
        <v>6</v>
      </c>
      <c r="E655" s="1">
        <v>43179.37054398148</v>
      </c>
    </row>
    <row r="656" spans="1:5">
      <c r="A656">
        <v>9031</v>
      </c>
      <c r="B656" t="s">
        <v>89</v>
      </c>
      <c r="C656" t="s">
        <v>88</v>
      </c>
      <c r="D656" t="s">
        <v>5</v>
      </c>
      <c r="E656" s="1">
        <v>43179.771666666667</v>
      </c>
    </row>
    <row r="657" spans="1:5">
      <c r="A657">
        <v>9032</v>
      </c>
      <c r="B657" t="s">
        <v>89</v>
      </c>
      <c r="C657" t="s">
        <v>88</v>
      </c>
      <c r="D657" t="s">
        <v>7</v>
      </c>
      <c r="E657" s="1">
        <v>43179.771701388891</v>
      </c>
    </row>
    <row r="658" spans="1:5">
      <c r="A658">
        <v>9036</v>
      </c>
      <c r="B658" t="s">
        <v>89</v>
      </c>
      <c r="C658" t="s">
        <v>88</v>
      </c>
      <c r="D658" t="s">
        <v>8</v>
      </c>
      <c r="E658" s="1">
        <v>43179.788703703707</v>
      </c>
    </row>
    <row r="659" spans="1:5">
      <c r="A659">
        <v>9053</v>
      </c>
      <c r="B659" t="s">
        <v>88</v>
      </c>
      <c r="C659" t="s">
        <v>88</v>
      </c>
      <c r="D659" t="s">
        <v>6</v>
      </c>
      <c r="E659" s="1">
        <v>43180.370289351849</v>
      </c>
    </row>
    <row r="660" spans="1:5">
      <c r="A660">
        <v>9069</v>
      </c>
      <c r="B660" t="s">
        <v>88</v>
      </c>
      <c r="C660" t="s">
        <v>88</v>
      </c>
      <c r="D660" t="s">
        <v>5</v>
      </c>
      <c r="E660" s="1">
        <v>43180.781828703701</v>
      </c>
    </row>
    <row r="661" spans="1:5">
      <c r="A661">
        <v>9088</v>
      </c>
      <c r="B661" t="s">
        <v>88</v>
      </c>
      <c r="C661" t="s">
        <v>88</v>
      </c>
      <c r="D661" t="s">
        <v>6</v>
      </c>
      <c r="E661" s="1">
        <v>43181.370983796296</v>
      </c>
    </row>
    <row r="662" spans="1:5">
      <c r="A662">
        <v>9099</v>
      </c>
      <c r="B662" t="s">
        <v>89</v>
      </c>
      <c r="C662" t="s">
        <v>88</v>
      </c>
      <c r="D662" t="s">
        <v>5</v>
      </c>
      <c r="E662" s="1">
        <v>43181.770856481482</v>
      </c>
    </row>
    <row r="663" spans="1:5">
      <c r="A663">
        <v>9102</v>
      </c>
      <c r="B663" t="s">
        <v>89</v>
      </c>
      <c r="C663" t="s">
        <v>88</v>
      </c>
      <c r="D663" t="s">
        <v>7</v>
      </c>
      <c r="E663" s="1">
        <v>43181.791145833333</v>
      </c>
    </row>
    <row r="664" spans="1:5">
      <c r="A664">
        <v>9111</v>
      </c>
      <c r="B664" t="s">
        <v>88</v>
      </c>
      <c r="C664" t="s">
        <v>88</v>
      </c>
      <c r="D664" t="s">
        <v>8</v>
      </c>
      <c r="E664" s="1">
        <v>43181.928819444445</v>
      </c>
    </row>
    <row r="665" spans="1:5">
      <c r="A665">
        <v>9123</v>
      </c>
      <c r="B665" t="s">
        <v>88</v>
      </c>
      <c r="C665" t="s">
        <v>88</v>
      </c>
      <c r="D665" t="s">
        <v>6</v>
      </c>
      <c r="E665" s="1">
        <v>43182.372719907406</v>
      </c>
    </row>
    <row r="666" spans="1:5">
      <c r="A666">
        <v>9132</v>
      </c>
      <c r="B666" t="s">
        <v>88</v>
      </c>
      <c r="C666" t="s">
        <v>88</v>
      </c>
      <c r="D666" t="s">
        <v>5</v>
      </c>
      <c r="E666" s="1">
        <v>43182.769293981481</v>
      </c>
    </row>
    <row r="667" spans="1:5">
      <c r="A667">
        <v>9141</v>
      </c>
      <c r="B667" t="s">
        <v>88</v>
      </c>
      <c r="C667" t="s">
        <v>88</v>
      </c>
      <c r="D667" t="s">
        <v>6</v>
      </c>
      <c r="E667" s="1">
        <v>43185.368750000001</v>
      </c>
    </row>
    <row r="668" spans="1:5">
      <c r="A668">
        <v>9154</v>
      </c>
      <c r="B668" t="s">
        <v>89</v>
      </c>
      <c r="C668" t="s">
        <v>88</v>
      </c>
      <c r="D668" t="s">
        <v>5</v>
      </c>
      <c r="E668" s="1">
        <v>43185.778981481482</v>
      </c>
    </row>
    <row r="669" spans="1:5">
      <c r="A669">
        <v>9168</v>
      </c>
      <c r="B669" t="s">
        <v>88</v>
      </c>
      <c r="C669" t="s">
        <v>88</v>
      </c>
      <c r="D669" t="s">
        <v>6</v>
      </c>
      <c r="E669" s="1">
        <v>43186.369687500002</v>
      </c>
    </row>
    <row r="670" spans="1:5">
      <c r="A670">
        <v>9182</v>
      </c>
      <c r="B670" t="s">
        <v>88</v>
      </c>
      <c r="C670" t="s">
        <v>88</v>
      </c>
      <c r="D670" t="s">
        <v>5</v>
      </c>
      <c r="E670" s="1">
        <v>43186.785162037035</v>
      </c>
    </row>
    <row r="671" spans="1:5">
      <c r="A671">
        <v>9196</v>
      </c>
      <c r="B671" t="s">
        <v>88</v>
      </c>
      <c r="C671" t="s">
        <v>88</v>
      </c>
      <c r="D671" t="s">
        <v>6</v>
      </c>
      <c r="E671" s="1">
        <v>43187.365277777775</v>
      </c>
    </row>
    <row r="672" spans="1:5">
      <c r="A672">
        <v>9202</v>
      </c>
      <c r="B672" t="s">
        <v>89</v>
      </c>
      <c r="C672" t="s">
        <v>88</v>
      </c>
      <c r="D672" t="s">
        <v>5</v>
      </c>
      <c r="E672" s="1">
        <v>43187.768645833334</v>
      </c>
    </row>
    <row r="673" spans="1:5">
      <c r="A673">
        <v>9232</v>
      </c>
      <c r="B673" t="s">
        <v>88</v>
      </c>
      <c r="C673" t="s">
        <v>88</v>
      </c>
      <c r="D673" t="s">
        <v>6</v>
      </c>
      <c r="E673" s="1">
        <v>43188.369687500002</v>
      </c>
    </row>
    <row r="674" spans="1:5">
      <c r="A674">
        <v>9249</v>
      </c>
      <c r="B674" t="s">
        <v>88</v>
      </c>
      <c r="C674" t="s">
        <v>88</v>
      </c>
      <c r="D674" t="s">
        <v>5</v>
      </c>
      <c r="E674" s="1">
        <v>43188.781307870369</v>
      </c>
    </row>
    <row r="675" spans="1:5">
      <c r="A675">
        <v>9264</v>
      </c>
      <c r="B675" t="s">
        <v>88</v>
      </c>
      <c r="C675" t="s">
        <v>88</v>
      </c>
      <c r="D675" t="s">
        <v>6</v>
      </c>
      <c r="E675" s="1">
        <v>43189.369467592594</v>
      </c>
    </row>
    <row r="676" spans="1:5">
      <c r="A676">
        <v>9275</v>
      </c>
      <c r="B676" t="s">
        <v>88</v>
      </c>
      <c r="C676" t="s">
        <v>88</v>
      </c>
      <c r="D676" t="s">
        <v>5</v>
      </c>
      <c r="E676" s="1">
        <v>43189.775196759256</v>
      </c>
    </row>
    <row r="677" spans="1:5">
      <c r="A677">
        <v>9289</v>
      </c>
      <c r="B677" t="s">
        <v>88</v>
      </c>
      <c r="C677" t="s">
        <v>88</v>
      </c>
      <c r="D677" t="s">
        <v>6</v>
      </c>
      <c r="E677" s="1">
        <v>43190.368402777778</v>
      </c>
    </row>
    <row r="678" spans="1:5">
      <c r="A678">
        <v>9301</v>
      </c>
      <c r="B678" t="s">
        <v>88</v>
      </c>
      <c r="C678" t="s">
        <v>88</v>
      </c>
      <c r="D678" t="s">
        <v>5</v>
      </c>
      <c r="E678" s="1">
        <v>43190.774594907409</v>
      </c>
    </row>
    <row r="679" spans="1:5">
      <c r="A679">
        <v>8566</v>
      </c>
      <c r="B679" t="s">
        <v>12</v>
      </c>
      <c r="C679" t="s">
        <v>12</v>
      </c>
      <c r="D679" t="s">
        <v>6</v>
      </c>
      <c r="E679" s="1">
        <v>43164.380509259259</v>
      </c>
    </row>
    <row r="680" spans="1:5">
      <c r="A680">
        <v>8569</v>
      </c>
      <c r="B680" t="s">
        <v>12</v>
      </c>
      <c r="C680" t="s">
        <v>12</v>
      </c>
      <c r="D680" t="s">
        <v>5</v>
      </c>
      <c r="E680" s="1">
        <v>43164.567743055559</v>
      </c>
    </row>
    <row r="681" spans="1:5">
      <c r="A681">
        <v>8667</v>
      </c>
      <c r="B681" t="s">
        <v>12</v>
      </c>
      <c r="C681" t="s">
        <v>12</v>
      </c>
      <c r="D681" t="s">
        <v>6</v>
      </c>
      <c r="E681" s="1">
        <v>43167.368321759262</v>
      </c>
    </row>
    <row r="682" spans="1:5" s="2" customFormat="1">
      <c r="A682" s="2">
        <v>8569</v>
      </c>
      <c r="B682" s="2" t="s">
        <v>12</v>
      </c>
      <c r="C682" s="2" t="s">
        <v>12</v>
      </c>
      <c r="D682" s="2" t="s">
        <v>5</v>
      </c>
      <c r="E682" s="405">
        <v>43167.500381944446</v>
      </c>
    </row>
    <row r="683" spans="1:5">
      <c r="A683">
        <v>8766</v>
      </c>
      <c r="B683" t="s">
        <v>12</v>
      </c>
      <c r="C683" t="s">
        <v>12</v>
      </c>
      <c r="D683" t="s">
        <v>6</v>
      </c>
      <c r="E683" s="1">
        <v>43171.370115740741</v>
      </c>
    </row>
    <row r="684" spans="1:5" s="2" customFormat="1">
      <c r="A684" s="2">
        <v>8569</v>
      </c>
      <c r="B684" s="2" t="s">
        <v>12</v>
      </c>
      <c r="C684" s="2" t="s">
        <v>12</v>
      </c>
      <c r="D684" s="2" t="s">
        <v>5</v>
      </c>
      <c r="E684" s="405">
        <v>43171.500381944446</v>
      </c>
    </row>
    <row r="685" spans="1:5">
      <c r="A685">
        <v>9318</v>
      </c>
      <c r="B685" t="s">
        <v>12</v>
      </c>
      <c r="C685" t="s">
        <v>12</v>
      </c>
      <c r="D685" t="s">
        <v>6</v>
      </c>
      <c r="E685" s="1">
        <v>43192.367175925923</v>
      </c>
    </row>
    <row r="686" spans="1:5">
      <c r="A686">
        <v>9324</v>
      </c>
      <c r="B686" t="s">
        <v>12</v>
      </c>
      <c r="C686" t="s">
        <v>12</v>
      </c>
      <c r="D686" t="s">
        <v>5</v>
      </c>
      <c r="E686" s="1">
        <v>43192.752314814818</v>
      </c>
    </row>
    <row r="687" spans="1:5">
      <c r="A687">
        <v>8492</v>
      </c>
      <c r="B687" t="s">
        <v>15</v>
      </c>
      <c r="C687" t="s">
        <v>15</v>
      </c>
      <c r="D687" t="s">
        <v>6</v>
      </c>
      <c r="E687" s="1">
        <v>43160.364583333336</v>
      </c>
    </row>
    <row r="688" spans="1:5">
      <c r="A688">
        <v>8506</v>
      </c>
      <c r="B688" t="s">
        <v>15</v>
      </c>
      <c r="C688" t="s">
        <v>15</v>
      </c>
      <c r="D688" t="s">
        <v>5</v>
      </c>
      <c r="E688" s="1">
        <v>43160.78497685185</v>
      </c>
    </row>
    <row r="689" spans="1:5">
      <c r="A689">
        <v>8507</v>
      </c>
      <c r="B689" t="s">
        <v>15</v>
      </c>
      <c r="C689" t="s">
        <v>15</v>
      </c>
      <c r="D689" t="s">
        <v>7</v>
      </c>
      <c r="E689" s="1">
        <v>43160.78502314815</v>
      </c>
    </row>
    <row r="690" spans="1:5">
      <c r="A690">
        <v>8516</v>
      </c>
      <c r="B690" t="s">
        <v>15</v>
      </c>
      <c r="C690" t="s">
        <v>15</v>
      </c>
      <c r="D690" t="s">
        <v>8</v>
      </c>
      <c r="E690" s="1">
        <v>43160.822743055556</v>
      </c>
    </row>
    <row r="691" spans="1:5">
      <c r="A691">
        <v>8524</v>
      </c>
      <c r="B691" t="s">
        <v>15</v>
      </c>
      <c r="C691" t="s">
        <v>15</v>
      </c>
      <c r="D691" t="s">
        <v>6</v>
      </c>
      <c r="E691" s="1">
        <v>43161.365011574075</v>
      </c>
    </row>
    <row r="692" spans="1:5">
      <c r="A692">
        <v>8538</v>
      </c>
      <c r="B692" t="s">
        <v>15</v>
      </c>
      <c r="C692" t="s">
        <v>15</v>
      </c>
      <c r="D692" t="s">
        <v>5</v>
      </c>
      <c r="E692" s="1">
        <v>43161.773622685185</v>
      </c>
    </row>
    <row r="693" spans="1:5">
      <c r="A693">
        <v>8539</v>
      </c>
      <c r="B693" t="s">
        <v>15</v>
      </c>
      <c r="C693" t="s">
        <v>15</v>
      </c>
      <c r="D693" t="s">
        <v>7</v>
      </c>
      <c r="E693" s="1">
        <v>43161.773668981485</v>
      </c>
    </row>
    <row r="694" spans="1:5">
      <c r="A694">
        <v>8544</v>
      </c>
      <c r="B694" t="s">
        <v>15</v>
      </c>
      <c r="C694" t="s">
        <v>15</v>
      </c>
      <c r="D694" t="s">
        <v>8</v>
      </c>
      <c r="E694" s="1">
        <v>43161.824756944443</v>
      </c>
    </row>
    <row r="695" spans="1:5">
      <c r="A695">
        <v>8561</v>
      </c>
      <c r="B695" t="s">
        <v>15</v>
      </c>
      <c r="C695" t="s">
        <v>15</v>
      </c>
      <c r="D695" t="s">
        <v>6</v>
      </c>
      <c r="E695" s="1">
        <v>43164.36478009259</v>
      </c>
    </row>
    <row r="696" spans="1:5">
      <c r="A696">
        <v>8574</v>
      </c>
      <c r="B696" t="s">
        <v>15</v>
      </c>
      <c r="C696" t="s">
        <v>15</v>
      </c>
      <c r="D696" t="s">
        <v>5</v>
      </c>
      <c r="E696" s="1">
        <v>43164.762280092589</v>
      </c>
    </row>
    <row r="697" spans="1:5">
      <c r="A697">
        <v>8584</v>
      </c>
      <c r="B697" t="s">
        <v>15</v>
      </c>
      <c r="C697" t="s">
        <v>15</v>
      </c>
      <c r="D697" t="s">
        <v>7</v>
      </c>
      <c r="E697" s="1">
        <v>43164.801041666666</v>
      </c>
    </row>
    <row r="698" spans="1:5">
      <c r="A698">
        <v>8590</v>
      </c>
      <c r="B698" t="s">
        <v>15</v>
      </c>
      <c r="C698" t="s">
        <v>15</v>
      </c>
      <c r="D698" t="s">
        <v>8</v>
      </c>
      <c r="E698" s="1">
        <v>43164.930856481478</v>
      </c>
    </row>
    <row r="699" spans="1:5">
      <c r="A699">
        <v>8599</v>
      </c>
      <c r="B699" t="s">
        <v>15</v>
      </c>
      <c r="C699" t="s">
        <v>15</v>
      </c>
      <c r="D699" t="s">
        <v>6</v>
      </c>
      <c r="E699" s="1">
        <v>43165.369502314818</v>
      </c>
    </row>
    <row r="700" spans="1:5">
      <c r="A700">
        <v>8606</v>
      </c>
      <c r="B700" t="s">
        <v>15</v>
      </c>
      <c r="C700" t="s">
        <v>15</v>
      </c>
      <c r="D700" t="s">
        <v>5</v>
      </c>
      <c r="E700" s="1">
        <v>43165.764062499999</v>
      </c>
    </row>
    <row r="701" spans="1:5">
      <c r="A701">
        <v>8619</v>
      </c>
      <c r="B701" t="s">
        <v>15</v>
      </c>
      <c r="C701" t="s">
        <v>15</v>
      </c>
      <c r="D701" t="s">
        <v>7</v>
      </c>
      <c r="E701" s="1">
        <v>43165.788055555553</v>
      </c>
    </row>
    <row r="702" spans="1:5">
      <c r="A702">
        <v>8622</v>
      </c>
      <c r="B702" t="s">
        <v>15</v>
      </c>
      <c r="C702" t="s">
        <v>15</v>
      </c>
      <c r="D702" t="s">
        <v>8</v>
      </c>
      <c r="E702" s="1">
        <v>43165.899189814816</v>
      </c>
    </row>
    <row r="703" spans="1:5">
      <c r="A703">
        <v>8634</v>
      </c>
      <c r="B703" t="s">
        <v>15</v>
      </c>
      <c r="C703" t="s">
        <v>15</v>
      </c>
      <c r="D703" t="s">
        <v>6</v>
      </c>
      <c r="E703" s="1">
        <v>43166.371666666666</v>
      </c>
    </row>
    <row r="704" spans="1:5">
      <c r="A704">
        <v>8644</v>
      </c>
      <c r="B704" t="s">
        <v>15</v>
      </c>
      <c r="C704" t="s">
        <v>15</v>
      </c>
      <c r="D704" t="s">
        <v>5</v>
      </c>
      <c r="E704" s="1">
        <v>43166.770613425928</v>
      </c>
    </row>
    <row r="705" spans="1:5">
      <c r="A705">
        <v>8665</v>
      </c>
      <c r="B705" t="s">
        <v>15</v>
      </c>
      <c r="C705" t="s">
        <v>15</v>
      </c>
      <c r="D705" t="s">
        <v>6</v>
      </c>
      <c r="E705" s="1">
        <v>43167.364722222221</v>
      </c>
    </row>
    <row r="706" spans="1:5">
      <c r="A706">
        <v>8675</v>
      </c>
      <c r="B706" t="s">
        <v>15</v>
      </c>
      <c r="C706" t="s">
        <v>15</v>
      </c>
      <c r="D706" t="s">
        <v>5</v>
      </c>
      <c r="E706" s="1">
        <v>43167.766863425924</v>
      </c>
    </row>
    <row r="707" spans="1:5">
      <c r="A707">
        <v>8696</v>
      </c>
      <c r="B707" t="s">
        <v>15</v>
      </c>
      <c r="C707" t="s">
        <v>15</v>
      </c>
      <c r="D707" t="s">
        <v>6</v>
      </c>
      <c r="E707" s="1">
        <v>43168.367430555554</v>
      </c>
    </row>
    <row r="708" spans="1:5">
      <c r="A708">
        <v>8707</v>
      </c>
      <c r="B708" t="s">
        <v>95</v>
      </c>
      <c r="C708" t="s">
        <v>15</v>
      </c>
      <c r="D708" t="s">
        <v>5</v>
      </c>
      <c r="E708" s="1">
        <v>43168.771111111113</v>
      </c>
    </row>
    <row r="709" spans="1:5">
      <c r="A709">
        <v>8708</v>
      </c>
      <c r="B709" t="s">
        <v>95</v>
      </c>
      <c r="C709" t="s">
        <v>15</v>
      </c>
      <c r="D709" t="s">
        <v>7</v>
      </c>
      <c r="E709" s="1">
        <v>43168.771145833336</v>
      </c>
    </row>
    <row r="710" spans="1:5">
      <c r="A710">
        <v>8714</v>
      </c>
      <c r="B710" t="s">
        <v>15</v>
      </c>
      <c r="C710" t="s">
        <v>15</v>
      </c>
      <c r="D710" t="s">
        <v>8</v>
      </c>
      <c r="E710" s="1">
        <v>43168.785324074073</v>
      </c>
    </row>
    <row r="711" spans="1:5">
      <c r="A711">
        <v>8732</v>
      </c>
      <c r="B711" t="s">
        <v>95</v>
      </c>
      <c r="C711" t="s">
        <v>15</v>
      </c>
      <c r="D711" t="s">
        <v>7</v>
      </c>
      <c r="E711" s="1">
        <v>43170.436840277776</v>
      </c>
    </row>
    <row r="712" spans="1:5">
      <c r="A712">
        <v>8736</v>
      </c>
      <c r="B712" t="s">
        <v>15</v>
      </c>
      <c r="C712" t="s">
        <v>15</v>
      </c>
      <c r="D712" t="s">
        <v>8</v>
      </c>
      <c r="E712" s="1">
        <v>43170.549791666665</v>
      </c>
    </row>
    <row r="713" spans="1:5">
      <c r="A713">
        <v>8743</v>
      </c>
      <c r="B713" t="s">
        <v>15</v>
      </c>
      <c r="C713" t="s">
        <v>15</v>
      </c>
      <c r="D713" t="s">
        <v>7</v>
      </c>
      <c r="E713" s="1">
        <v>43170.584976851853</v>
      </c>
    </row>
    <row r="714" spans="1:5">
      <c r="A714">
        <v>8750</v>
      </c>
      <c r="B714" t="s">
        <v>15</v>
      </c>
      <c r="C714" t="s">
        <v>15</v>
      </c>
      <c r="D714" t="s">
        <v>8</v>
      </c>
      <c r="E714" s="1">
        <v>43170.751134259262</v>
      </c>
    </row>
    <row r="715" spans="1:5">
      <c r="A715">
        <v>8751</v>
      </c>
      <c r="B715" t="s">
        <v>15</v>
      </c>
      <c r="C715" t="s">
        <v>15</v>
      </c>
      <c r="D715" t="s">
        <v>7</v>
      </c>
      <c r="E715" s="1">
        <v>43170.751192129632</v>
      </c>
    </row>
    <row r="716" spans="1:5">
      <c r="A716">
        <v>8759</v>
      </c>
      <c r="B716" t="s">
        <v>15</v>
      </c>
      <c r="C716" t="s">
        <v>15</v>
      </c>
      <c r="D716" t="s">
        <v>8</v>
      </c>
      <c r="E716" s="1">
        <v>43170.792662037034</v>
      </c>
    </row>
    <row r="717" spans="1:5">
      <c r="A717">
        <v>8765</v>
      </c>
      <c r="B717" t="s">
        <v>15</v>
      </c>
      <c r="C717" t="s">
        <v>15</v>
      </c>
      <c r="D717" t="s">
        <v>6</v>
      </c>
      <c r="E717" s="1">
        <v>43171.369097222225</v>
      </c>
    </row>
    <row r="718" spans="1:5">
      <c r="A718">
        <v>8779</v>
      </c>
      <c r="B718" t="s">
        <v>15</v>
      </c>
      <c r="C718" t="s">
        <v>15</v>
      </c>
      <c r="D718" t="s">
        <v>5</v>
      </c>
      <c r="E718" s="1">
        <v>43171.770277777781</v>
      </c>
    </row>
    <row r="719" spans="1:5">
      <c r="A719">
        <v>8807</v>
      </c>
      <c r="B719" t="s">
        <v>95</v>
      </c>
      <c r="C719" t="s">
        <v>15</v>
      </c>
      <c r="D719" t="s">
        <v>6</v>
      </c>
      <c r="E719" s="1">
        <v>43172.369039351855</v>
      </c>
    </row>
    <row r="720" spans="1:5">
      <c r="A720">
        <v>8812</v>
      </c>
      <c r="B720" t="s">
        <v>15</v>
      </c>
      <c r="C720" t="s">
        <v>15</v>
      </c>
      <c r="D720" t="s">
        <v>5</v>
      </c>
      <c r="E720" s="1">
        <v>43172.76935185185</v>
      </c>
    </row>
    <row r="721" spans="1:5">
      <c r="A721">
        <v>8813</v>
      </c>
      <c r="B721" t="s">
        <v>15</v>
      </c>
      <c r="C721" t="s">
        <v>15</v>
      </c>
      <c r="D721" t="s">
        <v>7</v>
      </c>
      <c r="E721" s="1">
        <v>43172.770925925928</v>
      </c>
    </row>
    <row r="722" spans="1:5">
      <c r="A722">
        <v>8830</v>
      </c>
      <c r="B722" t="s">
        <v>15</v>
      </c>
      <c r="C722" t="s">
        <v>15</v>
      </c>
      <c r="D722" t="s">
        <v>8</v>
      </c>
      <c r="E722" s="1">
        <v>43172.863553240742</v>
      </c>
    </row>
    <row r="723" spans="1:5">
      <c r="A723">
        <v>8842</v>
      </c>
      <c r="B723" t="s">
        <v>15</v>
      </c>
      <c r="C723" t="s">
        <v>15</v>
      </c>
      <c r="D723" t="s">
        <v>6</v>
      </c>
      <c r="E723" s="1">
        <v>43173.369479166664</v>
      </c>
    </row>
    <row r="724" spans="1:5">
      <c r="A724">
        <v>8849</v>
      </c>
      <c r="B724" t="s">
        <v>15</v>
      </c>
      <c r="C724" t="s">
        <v>15</v>
      </c>
      <c r="D724" t="s">
        <v>5</v>
      </c>
      <c r="E724" s="1">
        <v>43173.76798611111</v>
      </c>
    </row>
    <row r="725" spans="1:5">
      <c r="A725">
        <v>8856</v>
      </c>
      <c r="B725" t="s">
        <v>15</v>
      </c>
      <c r="C725" t="s">
        <v>15</v>
      </c>
      <c r="D725" t="s">
        <v>7</v>
      </c>
      <c r="E725" s="1">
        <v>43173.772187499999</v>
      </c>
    </row>
    <row r="726" spans="1:5">
      <c r="A726">
        <v>8860</v>
      </c>
      <c r="B726" t="s">
        <v>15</v>
      </c>
      <c r="C726" t="s">
        <v>15</v>
      </c>
      <c r="D726" t="s">
        <v>8</v>
      </c>
      <c r="E726" s="1">
        <v>43173.832083333335</v>
      </c>
    </row>
    <row r="727" spans="1:5">
      <c r="A727">
        <v>8861</v>
      </c>
      <c r="B727" t="s">
        <v>15</v>
      </c>
      <c r="C727" t="s">
        <v>15</v>
      </c>
      <c r="D727" t="s">
        <v>7</v>
      </c>
      <c r="E727" s="1">
        <v>43173.838993055557</v>
      </c>
    </row>
    <row r="728" spans="1:5">
      <c r="A728">
        <v>8870</v>
      </c>
      <c r="B728" t="s">
        <v>15</v>
      </c>
      <c r="C728" t="s">
        <v>15</v>
      </c>
      <c r="D728" t="s">
        <v>8</v>
      </c>
      <c r="E728" s="1">
        <v>43173.882060185184</v>
      </c>
    </row>
    <row r="729" spans="1:5">
      <c r="A729">
        <v>8877</v>
      </c>
      <c r="B729" t="s">
        <v>95</v>
      </c>
      <c r="C729" t="s">
        <v>15</v>
      </c>
      <c r="D729" t="s">
        <v>6</v>
      </c>
      <c r="E729" s="1">
        <v>43174.369270833333</v>
      </c>
    </row>
    <row r="730" spans="1:5">
      <c r="A730">
        <v>8887</v>
      </c>
      <c r="B730" t="s">
        <v>15</v>
      </c>
      <c r="C730" t="s">
        <v>15</v>
      </c>
      <c r="D730" t="s">
        <v>5</v>
      </c>
      <c r="E730" s="1">
        <v>43174.771319444444</v>
      </c>
    </row>
    <row r="731" spans="1:5">
      <c r="A731">
        <v>8888</v>
      </c>
      <c r="B731" t="s">
        <v>15</v>
      </c>
      <c r="C731" t="s">
        <v>15</v>
      </c>
      <c r="D731" t="s">
        <v>7</v>
      </c>
      <c r="E731" s="1">
        <v>43174.771354166667</v>
      </c>
    </row>
    <row r="732" spans="1:5">
      <c r="A732">
        <v>8902</v>
      </c>
      <c r="B732" t="s">
        <v>15</v>
      </c>
      <c r="C732" t="s">
        <v>15</v>
      </c>
      <c r="D732" t="s">
        <v>8</v>
      </c>
      <c r="E732" s="1">
        <v>43174.863692129627</v>
      </c>
    </row>
    <row r="733" spans="1:5">
      <c r="A733">
        <v>8906</v>
      </c>
      <c r="B733" t="s">
        <v>15</v>
      </c>
      <c r="C733" t="s">
        <v>15</v>
      </c>
      <c r="D733" t="s">
        <v>6</v>
      </c>
      <c r="E733" s="1">
        <v>43175.331493055557</v>
      </c>
    </row>
    <row r="734" spans="1:5">
      <c r="A734">
        <v>8918</v>
      </c>
      <c r="B734" t="s">
        <v>95</v>
      </c>
      <c r="C734" t="s">
        <v>15</v>
      </c>
      <c r="D734" t="s">
        <v>5</v>
      </c>
      <c r="E734" s="1">
        <v>43175.764872685184</v>
      </c>
    </row>
    <row r="735" spans="1:5">
      <c r="A735">
        <v>8960</v>
      </c>
      <c r="B735" t="s">
        <v>15</v>
      </c>
      <c r="C735" t="s">
        <v>15</v>
      </c>
      <c r="D735" t="s">
        <v>7</v>
      </c>
      <c r="E735" s="1">
        <v>43176.582395833335</v>
      </c>
    </row>
    <row r="736" spans="1:5">
      <c r="A736">
        <v>8969</v>
      </c>
      <c r="B736" t="s">
        <v>15</v>
      </c>
      <c r="C736" t="s">
        <v>15</v>
      </c>
      <c r="D736" t="s">
        <v>8</v>
      </c>
      <c r="E736" s="1">
        <v>43176.743437500001</v>
      </c>
    </row>
    <row r="737" spans="1:5">
      <c r="A737">
        <v>8970</v>
      </c>
      <c r="B737" t="s">
        <v>15</v>
      </c>
      <c r="C737" t="s">
        <v>15</v>
      </c>
      <c r="D737" t="s">
        <v>7</v>
      </c>
      <c r="E737" s="1">
        <v>43176.743495370371</v>
      </c>
    </row>
    <row r="738" spans="1:5">
      <c r="A738">
        <v>8971</v>
      </c>
      <c r="B738" t="s">
        <v>15</v>
      </c>
      <c r="C738" t="s">
        <v>15</v>
      </c>
      <c r="D738" t="s">
        <v>8</v>
      </c>
      <c r="E738" s="1">
        <v>43176.832384259258</v>
      </c>
    </row>
    <row r="739" spans="1:5">
      <c r="A739">
        <v>8982</v>
      </c>
      <c r="B739" t="s">
        <v>95</v>
      </c>
      <c r="C739" t="s">
        <v>15</v>
      </c>
      <c r="D739" t="s">
        <v>6</v>
      </c>
      <c r="E739" s="1">
        <v>43178.430451388886</v>
      </c>
    </row>
    <row r="740" spans="1:5">
      <c r="A740">
        <v>8983</v>
      </c>
      <c r="B740" t="s">
        <v>15</v>
      </c>
      <c r="C740" t="s">
        <v>15</v>
      </c>
      <c r="D740" t="s">
        <v>5</v>
      </c>
      <c r="E740" s="1">
        <v>43178.762141203704</v>
      </c>
    </row>
    <row r="741" spans="1:5">
      <c r="A741">
        <v>8995</v>
      </c>
      <c r="B741" t="s">
        <v>15</v>
      </c>
      <c r="C741" t="s">
        <v>15</v>
      </c>
      <c r="D741" t="s">
        <v>7</v>
      </c>
      <c r="E741" s="1">
        <v>43178.792187500003</v>
      </c>
    </row>
    <row r="742" spans="1:5">
      <c r="A742">
        <v>9002</v>
      </c>
      <c r="B742" t="s">
        <v>15</v>
      </c>
      <c r="C742" t="s">
        <v>15</v>
      </c>
      <c r="D742" t="s">
        <v>8</v>
      </c>
      <c r="E742" s="1">
        <v>43178.864652777775</v>
      </c>
    </row>
    <row r="743" spans="1:5">
      <c r="A743">
        <v>9013</v>
      </c>
      <c r="B743" t="s">
        <v>15</v>
      </c>
      <c r="C743" t="s">
        <v>15</v>
      </c>
      <c r="D743" t="s">
        <v>6</v>
      </c>
      <c r="E743" s="1">
        <v>43179.367002314815</v>
      </c>
    </row>
    <row r="744" spans="1:5">
      <c r="A744">
        <v>9023</v>
      </c>
      <c r="B744" t="s">
        <v>15</v>
      </c>
      <c r="C744" t="s">
        <v>15</v>
      </c>
      <c r="D744" t="s">
        <v>5</v>
      </c>
      <c r="E744" s="1">
        <v>43179.767951388887</v>
      </c>
    </row>
    <row r="745" spans="1:5">
      <c r="A745">
        <v>9048</v>
      </c>
      <c r="B745" t="s">
        <v>15</v>
      </c>
      <c r="C745" t="s">
        <v>15</v>
      </c>
      <c r="D745" t="s">
        <v>6</v>
      </c>
      <c r="E745" s="1">
        <v>43180.367048611108</v>
      </c>
    </row>
    <row r="746" spans="1:5">
      <c r="A746">
        <v>9059</v>
      </c>
      <c r="B746" t="s">
        <v>15</v>
      </c>
      <c r="C746" t="s">
        <v>15</v>
      </c>
      <c r="D746" t="s">
        <v>5</v>
      </c>
      <c r="E746" s="1">
        <v>43180.770208333335</v>
      </c>
    </row>
    <row r="747" spans="1:5">
      <c r="A747">
        <v>9062</v>
      </c>
      <c r="B747" t="s">
        <v>15</v>
      </c>
      <c r="C747" t="s">
        <v>15</v>
      </c>
      <c r="D747" t="s">
        <v>7</v>
      </c>
      <c r="E747" s="1">
        <v>43180.770879629628</v>
      </c>
    </row>
    <row r="748" spans="1:5">
      <c r="A748">
        <v>9076</v>
      </c>
      <c r="B748" t="s">
        <v>15</v>
      </c>
      <c r="C748" t="s">
        <v>15</v>
      </c>
      <c r="D748" t="s">
        <v>8</v>
      </c>
      <c r="E748" s="1">
        <v>43180.819282407407</v>
      </c>
    </row>
    <row r="749" spans="1:5">
      <c r="A749">
        <v>9083</v>
      </c>
      <c r="B749" t="s">
        <v>15</v>
      </c>
      <c r="C749" t="s">
        <v>15</v>
      </c>
      <c r="D749" t="s">
        <v>6</v>
      </c>
      <c r="E749" s="1">
        <v>43181.36409722222</v>
      </c>
    </row>
    <row r="750" spans="1:5">
      <c r="A750">
        <v>9092</v>
      </c>
      <c r="B750" t="s">
        <v>15</v>
      </c>
      <c r="C750" t="s">
        <v>15</v>
      </c>
      <c r="D750" t="s">
        <v>5</v>
      </c>
      <c r="E750" s="1">
        <v>43181.761145833334</v>
      </c>
    </row>
    <row r="751" spans="1:5">
      <c r="A751">
        <v>9105</v>
      </c>
      <c r="B751" t="s">
        <v>15</v>
      </c>
      <c r="C751" t="s">
        <v>15</v>
      </c>
      <c r="D751" t="s">
        <v>7</v>
      </c>
      <c r="E751" s="1">
        <v>43181.797777777778</v>
      </c>
    </row>
    <row r="752" spans="1:5">
      <c r="A752">
        <v>9115</v>
      </c>
      <c r="B752" t="s">
        <v>15</v>
      </c>
      <c r="C752" t="s">
        <v>15</v>
      </c>
      <c r="D752" t="s">
        <v>8</v>
      </c>
      <c r="E752" s="1">
        <v>43181.95579861111</v>
      </c>
    </row>
    <row r="753" spans="1:5">
      <c r="A753">
        <v>9119</v>
      </c>
      <c r="B753" t="s">
        <v>15</v>
      </c>
      <c r="C753" t="s">
        <v>15</v>
      </c>
      <c r="D753" t="s">
        <v>6</v>
      </c>
      <c r="E753" s="1">
        <v>43182.364560185182</v>
      </c>
    </row>
    <row r="754" spans="1:5">
      <c r="A754">
        <v>9136</v>
      </c>
      <c r="B754" t="s">
        <v>15</v>
      </c>
      <c r="C754" t="s">
        <v>15</v>
      </c>
      <c r="D754" t="s">
        <v>5</v>
      </c>
      <c r="E754" s="1">
        <v>43182.782997685186</v>
      </c>
    </row>
    <row r="755" spans="1:5">
      <c r="A755">
        <v>9143</v>
      </c>
      <c r="B755" t="s">
        <v>15</v>
      </c>
      <c r="C755" t="s">
        <v>15</v>
      </c>
      <c r="D755" t="s">
        <v>6</v>
      </c>
      <c r="E755" s="1">
        <v>43185.371342592596</v>
      </c>
    </row>
    <row r="756" spans="1:5">
      <c r="A756">
        <v>9151</v>
      </c>
      <c r="B756" t="s">
        <v>15</v>
      </c>
      <c r="C756" t="s">
        <v>15</v>
      </c>
      <c r="D756" t="s">
        <v>5</v>
      </c>
      <c r="E756" s="1">
        <v>43185.771157407406</v>
      </c>
    </row>
    <row r="757" spans="1:5">
      <c r="A757">
        <v>9167</v>
      </c>
      <c r="B757" t="s">
        <v>15</v>
      </c>
      <c r="C757" t="s">
        <v>15</v>
      </c>
      <c r="D757" t="s">
        <v>6</v>
      </c>
      <c r="E757" s="1">
        <v>43186.367314814815</v>
      </c>
    </row>
    <row r="758" spans="1:5">
      <c r="A758">
        <v>9171</v>
      </c>
      <c r="B758" t="s">
        <v>15</v>
      </c>
      <c r="C758" t="s">
        <v>15</v>
      </c>
      <c r="D758" t="s">
        <v>5</v>
      </c>
      <c r="E758" s="1">
        <v>43186.767210648148</v>
      </c>
    </row>
    <row r="759" spans="1:5">
      <c r="A759">
        <v>9172</v>
      </c>
      <c r="B759" t="s">
        <v>15</v>
      </c>
      <c r="C759" t="s">
        <v>15</v>
      </c>
      <c r="D759" t="s">
        <v>7</v>
      </c>
      <c r="E759" s="1">
        <v>43186.770891203705</v>
      </c>
    </row>
    <row r="760" spans="1:5">
      <c r="A760">
        <v>9178</v>
      </c>
      <c r="B760" t="s">
        <v>15</v>
      </c>
      <c r="C760" t="s">
        <v>15</v>
      </c>
      <c r="D760" t="s">
        <v>8</v>
      </c>
      <c r="E760" s="1">
        <v>43186.773726851854</v>
      </c>
    </row>
    <row r="761" spans="1:5">
      <c r="A761">
        <v>9186</v>
      </c>
      <c r="B761" t="s">
        <v>15</v>
      </c>
      <c r="C761" t="s">
        <v>15</v>
      </c>
      <c r="D761" t="s">
        <v>7</v>
      </c>
      <c r="E761" s="1">
        <v>43186.834930555553</v>
      </c>
    </row>
    <row r="762" spans="1:5">
      <c r="A762">
        <v>9188</v>
      </c>
      <c r="B762" t="s">
        <v>15</v>
      </c>
      <c r="C762" t="s">
        <v>15</v>
      </c>
      <c r="D762" t="s">
        <v>8</v>
      </c>
      <c r="E762" s="1">
        <v>43186.896597222221</v>
      </c>
    </row>
    <row r="763" spans="1:5">
      <c r="A763">
        <v>9194</v>
      </c>
      <c r="B763" t="s">
        <v>15</v>
      </c>
      <c r="C763" t="s">
        <v>15</v>
      </c>
      <c r="D763" t="s">
        <v>6</v>
      </c>
      <c r="E763" s="1">
        <v>43187.364560185182</v>
      </c>
    </row>
    <row r="764" spans="1:5">
      <c r="A764">
        <v>9203</v>
      </c>
      <c r="B764" t="s">
        <v>15</v>
      </c>
      <c r="C764" t="s">
        <v>15</v>
      </c>
      <c r="D764" t="s">
        <v>5</v>
      </c>
      <c r="E764" s="1">
        <v>43187.769456018519</v>
      </c>
    </row>
    <row r="765" spans="1:5">
      <c r="A765">
        <v>9204</v>
      </c>
      <c r="B765" t="s">
        <v>15</v>
      </c>
      <c r="C765" t="s">
        <v>15</v>
      </c>
      <c r="D765" t="s">
        <v>7</v>
      </c>
      <c r="E765" s="1">
        <v>43187.770844907405</v>
      </c>
    </row>
    <row r="766" spans="1:5">
      <c r="A766">
        <v>9217</v>
      </c>
      <c r="B766" t="s">
        <v>15</v>
      </c>
      <c r="C766" t="s">
        <v>15</v>
      </c>
      <c r="D766" t="s">
        <v>8</v>
      </c>
      <c r="E766" s="1">
        <v>43187.787708333337</v>
      </c>
    </row>
    <row r="767" spans="1:5">
      <c r="A767">
        <v>9231</v>
      </c>
      <c r="B767" t="s">
        <v>15</v>
      </c>
      <c r="C767" t="s">
        <v>15</v>
      </c>
      <c r="D767" t="s">
        <v>6</v>
      </c>
      <c r="E767" s="1">
        <v>43188.369293981479</v>
      </c>
    </row>
    <row r="768" spans="1:5">
      <c r="A768">
        <v>9238</v>
      </c>
      <c r="B768" t="s">
        <v>15</v>
      </c>
      <c r="C768" t="s">
        <v>15</v>
      </c>
      <c r="D768" t="s">
        <v>5</v>
      </c>
      <c r="E768" s="1">
        <v>43188.766377314816</v>
      </c>
    </row>
    <row r="769" spans="1:5">
      <c r="A769">
        <v>9250</v>
      </c>
      <c r="B769" t="s">
        <v>15</v>
      </c>
      <c r="C769" t="s">
        <v>15</v>
      </c>
      <c r="D769" t="s">
        <v>7</v>
      </c>
      <c r="E769" s="1">
        <v>43188.792314814818</v>
      </c>
    </row>
    <row r="770" spans="1:5">
      <c r="A770">
        <v>9257</v>
      </c>
      <c r="B770" t="s">
        <v>15</v>
      </c>
      <c r="C770" t="s">
        <v>15</v>
      </c>
      <c r="D770" t="s">
        <v>8</v>
      </c>
      <c r="E770" s="1">
        <v>43188.84951388889</v>
      </c>
    </row>
    <row r="771" spans="1:5" s="2" customFormat="1">
      <c r="A771" s="2">
        <v>9288</v>
      </c>
      <c r="B771" s="2" t="s">
        <v>15</v>
      </c>
      <c r="C771" s="2" t="s">
        <v>15</v>
      </c>
      <c r="D771" s="2" t="s">
        <v>6</v>
      </c>
      <c r="E771" s="405">
        <v>43189.354444444441</v>
      </c>
    </row>
    <row r="772" spans="1:5" s="2" customFormat="1">
      <c r="A772" s="2">
        <v>9296</v>
      </c>
      <c r="B772" s="2" t="s">
        <v>15</v>
      </c>
      <c r="C772" s="2" t="s">
        <v>15</v>
      </c>
      <c r="D772" s="2" t="s">
        <v>5</v>
      </c>
      <c r="E772" s="405">
        <v>43189.771064814813</v>
      </c>
    </row>
    <row r="773" spans="1:5">
      <c r="A773">
        <v>9288</v>
      </c>
      <c r="B773" t="s">
        <v>15</v>
      </c>
      <c r="C773" t="s">
        <v>15</v>
      </c>
      <c r="D773" t="s">
        <v>6</v>
      </c>
      <c r="E773" s="1">
        <v>43190.366944444446</v>
      </c>
    </row>
    <row r="774" spans="1:5">
      <c r="A774">
        <v>9296</v>
      </c>
      <c r="B774" t="s">
        <v>15</v>
      </c>
      <c r="C774" t="s">
        <v>15</v>
      </c>
      <c r="D774" t="s">
        <v>5</v>
      </c>
      <c r="E774" s="1">
        <v>43190.770370370374</v>
      </c>
    </row>
    <row r="775" spans="1:5">
      <c r="A775">
        <v>9299</v>
      </c>
      <c r="B775" t="s">
        <v>15</v>
      </c>
      <c r="C775" t="s">
        <v>15</v>
      </c>
      <c r="D775" t="s">
        <v>7</v>
      </c>
      <c r="E775" s="1">
        <v>43190.770833333336</v>
      </c>
    </row>
    <row r="776" spans="1:5">
      <c r="A776">
        <v>9303</v>
      </c>
      <c r="B776" t="s">
        <v>15</v>
      </c>
      <c r="C776" t="s">
        <v>15</v>
      </c>
      <c r="D776" t="s">
        <v>8</v>
      </c>
      <c r="E776" s="1">
        <v>43190.788101851853</v>
      </c>
    </row>
    <row r="777" spans="1:5">
      <c r="A777">
        <v>8529</v>
      </c>
      <c r="B777" t="s">
        <v>90</v>
      </c>
      <c r="C777" t="s">
        <v>90</v>
      </c>
      <c r="D777" t="s">
        <v>6</v>
      </c>
      <c r="E777" s="1">
        <v>43161.372106481482</v>
      </c>
    </row>
    <row r="778" spans="1:5">
      <c r="A778">
        <v>8531</v>
      </c>
      <c r="B778" t="s">
        <v>90</v>
      </c>
      <c r="C778" t="s">
        <v>90</v>
      </c>
      <c r="D778" t="s">
        <v>5</v>
      </c>
      <c r="E778" s="1">
        <v>43161.505891203706</v>
      </c>
    </row>
    <row r="779" spans="1:5">
      <c r="A779">
        <v>8558</v>
      </c>
      <c r="B779" t="s">
        <v>90</v>
      </c>
      <c r="C779" t="s">
        <v>90</v>
      </c>
      <c r="D779" t="s">
        <v>6</v>
      </c>
      <c r="E779" s="1">
        <v>43164.362858796296</v>
      </c>
    </row>
    <row r="780" spans="1:5">
      <c r="A780">
        <v>8587</v>
      </c>
      <c r="B780" t="s">
        <v>90</v>
      </c>
      <c r="C780" t="s">
        <v>90</v>
      </c>
      <c r="D780" t="s">
        <v>5</v>
      </c>
      <c r="E780" s="1">
        <v>43164.83898148148</v>
      </c>
    </row>
    <row r="781" spans="1:5">
      <c r="A781">
        <v>8638</v>
      </c>
      <c r="B781" t="s">
        <v>90</v>
      </c>
      <c r="C781" t="s">
        <v>90</v>
      </c>
      <c r="D781" t="s">
        <v>6</v>
      </c>
      <c r="E781" s="1">
        <v>43166.650659722225</v>
      </c>
    </row>
    <row r="782" spans="1:5">
      <c r="A782">
        <v>8658</v>
      </c>
      <c r="B782" t="s">
        <v>90</v>
      </c>
      <c r="C782" t="s">
        <v>90</v>
      </c>
      <c r="D782" t="s">
        <v>5</v>
      </c>
      <c r="E782" s="1">
        <v>43166.864432870374</v>
      </c>
    </row>
    <row r="783" spans="1:5">
      <c r="A783">
        <v>8698</v>
      </c>
      <c r="B783" t="s">
        <v>90</v>
      </c>
      <c r="C783" t="s">
        <v>90</v>
      </c>
      <c r="D783" t="s">
        <v>6</v>
      </c>
      <c r="E783" s="1">
        <v>43168.369363425925</v>
      </c>
    </row>
    <row r="784" spans="1:5">
      <c r="A784">
        <v>8703</v>
      </c>
      <c r="B784" t="s">
        <v>90</v>
      </c>
      <c r="C784" t="s">
        <v>90</v>
      </c>
      <c r="D784" t="s">
        <v>5</v>
      </c>
      <c r="E784" s="1">
        <v>43168.507569444446</v>
      </c>
    </row>
    <row r="785" spans="1:5">
      <c r="A785">
        <v>8719</v>
      </c>
      <c r="B785" t="s">
        <v>90</v>
      </c>
      <c r="C785" t="s">
        <v>90</v>
      </c>
      <c r="D785" t="s">
        <v>7</v>
      </c>
      <c r="E785" s="1">
        <v>43169.41810185185</v>
      </c>
    </row>
    <row r="786" spans="1:5">
      <c r="A786">
        <v>8723</v>
      </c>
      <c r="B786" t="s">
        <v>90</v>
      </c>
      <c r="C786" t="s">
        <v>90</v>
      </c>
      <c r="D786" t="s">
        <v>8</v>
      </c>
      <c r="E786" s="1">
        <v>43169.51972222222</v>
      </c>
    </row>
    <row r="787" spans="1:5">
      <c r="A787">
        <v>8771</v>
      </c>
      <c r="B787" t="s">
        <v>90</v>
      </c>
      <c r="C787" t="s">
        <v>90</v>
      </c>
      <c r="D787" t="s">
        <v>6</v>
      </c>
      <c r="E787" s="1">
        <v>43171.375775462962</v>
      </c>
    </row>
    <row r="788" spans="1:5">
      <c r="A788">
        <v>8787</v>
      </c>
      <c r="B788" t="s">
        <v>90</v>
      </c>
      <c r="C788" t="s">
        <v>90</v>
      </c>
      <c r="D788" t="s">
        <v>5</v>
      </c>
      <c r="E788" s="1">
        <v>43171.786782407406</v>
      </c>
    </row>
    <row r="789" spans="1:5">
      <c r="A789">
        <v>8848</v>
      </c>
      <c r="B789" t="s">
        <v>103</v>
      </c>
      <c r="C789" t="s">
        <v>90</v>
      </c>
      <c r="D789" t="s">
        <v>6</v>
      </c>
      <c r="E789" s="1">
        <v>43173.715868055559</v>
      </c>
    </row>
    <row r="790" spans="1:5">
      <c r="A790">
        <v>8865</v>
      </c>
      <c r="B790" t="s">
        <v>90</v>
      </c>
      <c r="C790" t="s">
        <v>90</v>
      </c>
      <c r="D790" t="s">
        <v>5</v>
      </c>
      <c r="E790" s="1">
        <v>43173.858969907407</v>
      </c>
    </row>
    <row r="791" spans="1:5">
      <c r="A791">
        <v>8911</v>
      </c>
      <c r="B791" t="s">
        <v>90</v>
      </c>
      <c r="C791" t="s">
        <v>90</v>
      </c>
      <c r="D791" t="s">
        <v>6</v>
      </c>
      <c r="E791" s="1">
        <v>43175.36445601852</v>
      </c>
    </row>
    <row r="792" spans="1:5">
      <c r="A792">
        <v>8917</v>
      </c>
      <c r="B792" t="s">
        <v>90</v>
      </c>
      <c r="C792" t="s">
        <v>90</v>
      </c>
      <c r="D792" t="s">
        <v>5</v>
      </c>
      <c r="E792" s="1">
        <v>43175.499918981484</v>
      </c>
    </row>
    <row r="793" spans="1:5">
      <c r="A793">
        <v>8945</v>
      </c>
      <c r="B793" t="s">
        <v>90</v>
      </c>
      <c r="C793" t="s">
        <v>90</v>
      </c>
      <c r="D793" t="s">
        <v>6</v>
      </c>
      <c r="E793" s="1">
        <v>43176.426099537035</v>
      </c>
    </row>
    <row r="794" spans="1:5">
      <c r="A794">
        <v>8963</v>
      </c>
      <c r="B794" t="s">
        <v>90</v>
      </c>
      <c r="C794" t="s">
        <v>90</v>
      </c>
      <c r="D794" t="s">
        <v>5</v>
      </c>
      <c r="E794" s="1">
        <v>43176.643912037034</v>
      </c>
    </row>
    <row r="795" spans="1:5">
      <c r="A795">
        <v>8981</v>
      </c>
      <c r="B795" t="s">
        <v>90</v>
      </c>
      <c r="C795" t="s">
        <v>90</v>
      </c>
      <c r="D795" t="s">
        <v>6</v>
      </c>
      <c r="E795" s="1">
        <v>43178.383750000001</v>
      </c>
    </row>
    <row r="796" spans="1:5">
      <c r="A796">
        <v>9005</v>
      </c>
      <c r="B796" t="s">
        <v>90</v>
      </c>
      <c r="C796" t="s">
        <v>90</v>
      </c>
      <c r="D796" t="s">
        <v>5</v>
      </c>
      <c r="E796" s="1">
        <v>43178.875960648147</v>
      </c>
    </row>
    <row r="797" spans="1:5">
      <c r="A797">
        <v>9020</v>
      </c>
      <c r="B797" t="s">
        <v>104</v>
      </c>
      <c r="C797" t="s">
        <v>90</v>
      </c>
      <c r="D797" t="s">
        <v>6</v>
      </c>
      <c r="E797" s="1">
        <v>43179.71974537037</v>
      </c>
    </row>
    <row r="798" spans="1:5">
      <c r="A798">
        <v>9041</v>
      </c>
      <c r="B798" t="s">
        <v>90</v>
      </c>
      <c r="C798" t="s">
        <v>90</v>
      </c>
      <c r="D798" t="s">
        <v>5</v>
      </c>
      <c r="E798" s="1">
        <v>43179.830590277779</v>
      </c>
    </row>
    <row r="799" spans="1:5">
      <c r="A799">
        <v>9125</v>
      </c>
      <c r="B799" t="s">
        <v>90</v>
      </c>
      <c r="C799" t="s">
        <v>90</v>
      </c>
      <c r="D799" t="s">
        <v>6</v>
      </c>
      <c r="E799" s="1">
        <v>43182.377662037034</v>
      </c>
    </row>
    <row r="800" spans="1:5">
      <c r="A800">
        <v>9127</v>
      </c>
      <c r="B800" t="s">
        <v>90</v>
      </c>
      <c r="C800" t="s">
        <v>90</v>
      </c>
      <c r="D800" t="s">
        <v>5</v>
      </c>
      <c r="E800" s="1">
        <v>43182.504259259258</v>
      </c>
    </row>
    <row r="801" spans="1:5">
      <c r="A801">
        <v>9145</v>
      </c>
      <c r="B801" t="s">
        <v>90</v>
      </c>
      <c r="C801" t="s">
        <v>90</v>
      </c>
      <c r="D801" t="s">
        <v>6</v>
      </c>
      <c r="E801" s="1">
        <v>43185.413958333331</v>
      </c>
    </row>
    <row r="802" spans="1:5">
      <c r="A802">
        <v>9162</v>
      </c>
      <c r="B802" t="s">
        <v>90</v>
      </c>
      <c r="C802" t="s">
        <v>90</v>
      </c>
      <c r="D802" t="s">
        <v>5</v>
      </c>
      <c r="E802" s="1">
        <v>43185.863530092596</v>
      </c>
    </row>
    <row r="803" spans="1:5">
      <c r="A803">
        <v>9200</v>
      </c>
      <c r="B803" t="s">
        <v>104</v>
      </c>
      <c r="C803" t="s">
        <v>90</v>
      </c>
      <c r="D803" t="s">
        <v>6</v>
      </c>
      <c r="E803" s="1">
        <v>43187.714548611111</v>
      </c>
    </row>
    <row r="804" spans="1:5">
      <c r="A804">
        <v>9221</v>
      </c>
      <c r="B804" t="s">
        <v>90</v>
      </c>
      <c r="C804" t="s">
        <v>90</v>
      </c>
      <c r="D804" t="s">
        <v>5</v>
      </c>
      <c r="E804" s="1">
        <v>43187.866053240738</v>
      </c>
    </row>
    <row r="805" spans="1:5">
      <c r="A805">
        <v>9265</v>
      </c>
      <c r="B805" t="s">
        <v>90</v>
      </c>
      <c r="C805" t="s">
        <v>90</v>
      </c>
      <c r="D805" t="s">
        <v>6</v>
      </c>
      <c r="E805" s="1">
        <v>43189.371296296296</v>
      </c>
    </row>
    <row r="806" spans="1:5">
      <c r="A806">
        <v>9268</v>
      </c>
      <c r="B806" t="s">
        <v>90</v>
      </c>
      <c r="C806" t="s">
        <v>90</v>
      </c>
      <c r="D806" t="s">
        <v>5</v>
      </c>
      <c r="E806" s="1">
        <v>43189.503159722219</v>
      </c>
    </row>
    <row r="807" spans="1:5" s="406" customFormat="1">
      <c r="A807" s="406">
        <v>9265</v>
      </c>
      <c r="B807" s="406" t="s">
        <v>90</v>
      </c>
      <c r="C807" s="406" t="s">
        <v>90</v>
      </c>
      <c r="D807" s="406" t="s">
        <v>6</v>
      </c>
      <c r="E807" s="390">
        <v>43190.396296296298</v>
      </c>
    </row>
    <row r="808" spans="1:5" s="406" customFormat="1">
      <c r="A808" s="406">
        <v>9268</v>
      </c>
      <c r="B808" s="406" t="s">
        <v>90</v>
      </c>
      <c r="C808" s="406" t="s">
        <v>90</v>
      </c>
      <c r="D808" s="406" t="s">
        <v>5</v>
      </c>
      <c r="E808" s="390">
        <v>43190.54482638889</v>
      </c>
    </row>
    <row r="809" spans="1:5">
      <c r="A809">
        <v>8497</v>
      </c>
      <c r="B809" t="s">
        <v>92</v>
      </c>
      <c r="C809" t="s">
        <v>91</v>
      </c>
      <c r="D809" t="s">
        <v>6</v>
      </c>
      <c r="E809" s="1">
        <v>43160.376539351855</v>
      </c>
    </row>
    <row r="810" spans="1:5">
      <c r="A810">
        <v>8500</v>
      </c>
      <c r="B810" t="s">
        <v>91</v>
      </c>
      <c r="C810" t="s">
        <v>91</v>
      </c>
      <c r="D810" t="s">
        <v>5</v>
      </c>
      <c r="E810" s="1">
        <v>43160.761712962965</v>
      </c>
    </row>
    <row r="811" spans="1:5">
      <c r="A811">
        <v>8530</v>
      </c>
      <c r="B811" t="s">
        <v>91</v>
      </c>
      <c r="C811" t="s">
        <v>91</v>
      </c>
      <c r="D811" t="s">
        <v>6</v>
      </c>
      <c r="E811" s="1">
        <v>43161.382303240738</v>
      </c>
    </row>
    <row r="812" spans="1:5">
      <c r="A812">
        <v>8500</v>
      </c>
      <c r="B812" t="s">
        <v>91</v>
      </c>
      <c r="C812" t="s">
        <v>91</v>
      </c>
      <c r="D812" t="s">
        <v>5</v>
      </c>
      <c r="E812" s="1">
        <v>43161.889490740738</v>
      </c>
    </row>
    <row r="813" spans="1:5">
      <c r="A813">
        <v>8549</v>
      </c>
      <c r="B813" t="s">
        <v>92</v>
      </c>
      <c r="C813" t="s">
        <v>91</v>
      </c>
      <c r="D813" t="s">
        <v>6</v>
      </c>
      <c r="E813" s="1">
        <v>43162.486400462964</v>
      </c>
    </row>
    <row r="814" spans="1:5">
      <c r="A814">
        <v>8552</v>
      </c>
      <c r="B814" t="s">
        <v>91</v>
      </c>
      <c r="C814" t="s">
        <v>91</v>
      </c>
      <c r="D814" t="s">
        <v>5</v>
      </c>
      <c r="E814" s="1">
        <v>43162.661828703705</v>
      </c>
    </row>
    <row r="815" spans="1:5">
      <c r="A815">
        <v>8553</v>
      </c>
      <c r="B815" t="s">
        <v>91</v>
      </c>
      <c r="C815" t="s">
        <v>91</v>
      </c>
      <c r="D815" t="s">
        <v>6</v>
      </c>
      <c r="E815" s="1">
        <v>43162.683321759258</v>
      </c>
    </row>
    <row r="816" spans="1:5">
      <c r="A816">
        <v>8555</v>
      </c>
      <c r="B816" t="s">
        <v>92</v>
      </c>
      <c r="C816" t="s">
        <v>91</v>
      </c>
      <c r="D816" t="s">
        <v>5</v>
      </c>
      <c r="E816" s="1">
        <v>43162.897245370368</v>
      </c>
    </row>
    <row r="817" spans="1:5">
      <c r="A817">
        <v>8563</v>
      </c>
      <c r="B817" t="s">
        <v>91</v>
      </c>
      <c r="C817" t="s">
        <v>91</v>
      </c>
      <c r="D817" t="s">
        <v>6</v>
      </c>
      <c r="E817" s="1">
        <v>43164.369537037041</v>
      </c>
    </row>
    <row r="818" spans="1:5">
      <c r="A818">
        <v>8593</v>
      </c>
      <c r="B818" t="s">
        <v>92</v>
      </c>
      <c r="C818" t="s">
        <v>91</v>
      </c>
      <c r="D818" t="s">
        <v>5</v>
      </c>
      <c r="E818" s="1">
        <v>43164.941701388889</v>
      </c>
    </row>
    <row r="819" spans="1:5">
      <c r="A819">
        <v>8603</v>
      </c>
      <c r="B819" t="s">
        <v>92</v>
      </c>
      <c r="C819" t="s">
        <v>91</v>
      </c>
      <c r="D819" t="s">
        <v>6</v>
      </c>
      <c r="E819" s="1">
        <v>43165.383159722223</v>
      </c>
    </row>
    <row r="820" spans="1:5">
      <c r="A820">
        <v>8605</v>
      </c>
      <c r="B820" t="s">
        <v>96</v>
      </c>
      <c r="C820" t="s">
        <v>91</v>
      </c>
      <c r="D820" t="s">
        <v>5</v>
      </c>
      <c r="E820" s="1">
        <v>43165.761284722219</v>
      </c>
    </row>
    <row r="821" spans="1:5">
      <c r="A821">
        <v>8635</v>
      </c>
      <c r="B821" t="s">
        <v>96</v>
      </c>
      <c r="C821" t="s">
        <v>91</v>
      </c>
      <c r="D821" t="s">
        <v>6</v>
      </c>
      <c r="E821" s="1">
        <v>43166.399178240739</v>
      </c>
    </row>
    <row r="822" spans="1:5">
      <c r="A822">
        <v>8660</v>
      </c>
      <c r="B822" t="s">
        <v>92</v>
      </c>
      <c r="C822" t="s">
        <v>91</v>
      </c>
      <c r="D822" t="s">
        <v>5</v>
      </c>
      <c r="E822" s="1">
        <v>43166.918379629627</v>
      </c>
    </row>
    <row r="823" spans="1:5">
      <c r="A823">
        <v>8662</v>
      </c>
      <c r="B823" t="s">
        <v>91</v>
      </c>
      <c r="C823" t="s">
        <v>91</v>
      </c>
      <c r="D823" t="s">
        <v>6</v>
      </c>
      <c r="E823" s="1">
        <v>43167.357511574075</v>
      </c>
    </row>
    <row r="824" spans="1:5">
      <c r="A824">
        <v>8676</v>
      </c>
      <c r="B824" t="s">
        <v>91</v>
      </c>
      <c r="C824" t="s">
        <v>91</v>
      </c>
      <c r="D824" t="s">
        <v>5</v>
      </c>
      <c r="E824" s="1">
        <v>43167.767939814818</v>
      </c>
    </row>
    <row r="825" spans="1:5">
      <c r="A825">
        <v>8702</v>
      </c>
      <c r="B825" t="s">
        <v>92</v>
      </c>
      <c r="C825" t="s">
        <v>91</v>
      </c>
      <c r="D825" t="s">
        <v>6</v>
      </c>
      <c r="E825" s="1">
        <v>43168.381712962961</v>
      </c>
    </row>
    <row r="826" spans="1:5">
      <c r="A826">
        <v>8716</v>
      </c>
      <c r="B826" t="s">
        <v>92</v>
      </c>
      <c r="C826" t="s">
        <v>91</v>
      </c>
      <c r="D826" t="s">
        <v>5</v>
      </c>
      <c r="E826" s="1">
        <v>43168.887557870374</v>
      </c>
    </row>
    <row r="827" spans="1:5">
      <c r="A827">
        <v>8731</v>
      </c>
      <c r="B827" t="s">
        <v>96</v>
      </c>
      <c r="C827" t="s">
        <v>91</v>
      </c>
      <c r="D827" t="s">
        <v>6</v>
      </c>
      <c r="E827" s="1">
        <v>43170.428483796299</v>
      </c>
    </row>
    <row r="828" spans="1:5">
      <c r="A828">
        <v>8739</v>
      </c>
      <c r="B828" t="s">
        <v>91</v>
      </c>
      <c r="C828" t="s">
        <v>91</v>
      </c>
      <c r="D828" t="s">
        <v>5</v>
      </c>
      <c r="E828" s="1">
        <v>43170.561145833337</v>
      </c>
    </row>
    <row r="829" spans="1:5">
      <c r="A829">
        <v>8744</v>
      </c>
      <c r="B829" t="s">
        <v>92</v>
      </c>
      <c r="C829" t="s">
        <v>91</v>
      </c>
      <c r="D829" t="s">
        <v>6</v>
      </c>
      <c r="E829" s="1">
        <v>43170.604456018518</v>
      </c>
    </row>
    <row r="830" spans="1:5">
      <c r="A830">
        <v>8747</v>
      </c>
      <c r="B830" t="s">
        <v>92</v>
      </c>
      <c r="C830" t="s">
        <v>91</v>
      </c>
      <c r="D830" t="s">
        <v>5</v>
      </c>
      <c r="E830" s="1">
        <v>43170.747303240743</v>
      </c>
    </row>
    <row r="831" spans="1:5">
      <c r="A831">
        <v>8748</v>
      </c>
      <c r="B831" t="s">
        <v>92</v>
      </c>
      <c r="C831" t="s">
        <v>91</v>
      </c>
      <c r="D831" t="s">
        <v>6</v>
      </c>
      <c r="E831" s="1">
        <v>43170.748113425929</v>
      </c>
    </row>
    <row r="832" spans="1:5">
      <c r="A832">
        <v>8760</v>
      </c>
      <c r="B832" t="s">
        <v>92</v>
      </c>
      <c r="C832" t="s">
        <v>91</v>
      </c>
      <c r="D832" t="s">
        <v>5</v>
      </c>
      <c r="E832" s="1">
        <v>43170.797407407408</v>
      </c>
    </row>
    <row r="833" spans="1:5">
      <c r="A833">
        <v>8772</v>
      </c>
      <c r="B833" t="s">
        <v>91</v>
      </c>
      <c r="C833" t="s">
        <v>91</v>
      </c>
      <c r="D833" t="s">
        <v>6</v>
      </c>
      <c r="E833" s="1">
        <v>43171.382048611114</v>
      </c>
    </row>
    <row r="834" spans="1:5">
      <c r="A834">
        <v>8798</v>
      </c>
      <c r="B834" t="s">
        <v>92</v>
      </c>
      <c r="C834" t="s">
        <v>91</v>
      </c>
      <c r="D834" t="s">
        <v>5</v>
      </c>
      <c r="E834" s="1">
        <v>43171.914039351854</v>
      </c>
    </row>
    <row r="835" spans="1:5">
      <c r="A835">
        <v>8806</v>
      </c>
      <c r="B835" t="s">
        <v>96</v>
      </c>
      <c r="C835" t="s">
        <v>91</v>
      </c>
      <c r="D835" t="s">
        <v>6</v>
      </c>
      <c r="E835" s="1">
        <v>43172.368321759262</v>
      </c>
    </row>
    <row r="836" spans="1:5">
      <c r="A836">
        <v>8823</v>
      </c>
      <c r="B836" t="s">
        <v>91</v>
      </c>
      <c r="C836" t="s">
        <v>91</v>
      </c>
      <c r="D836" t="s">
        <v>5</v>
      </c>
      <c r="E836" s="1">
        <v>43172.773449074077</v>
      </c>
    </row>
    <row r="837" spans="1:5">
      <c r="A837">
        <v>8845</v>
      </c>
      <c r="B837" t="s">
        <v>91</v>
      </c>
      <c r="C837" t="s">
        <v>91</v>
      </c>
      <c r="D837" t="s">
        <v>6</v>
      </c>
      <c r="E837" s="1">
        <v>43173.372731481482</v>
      </c>
    </row>
    <row r="838" spans="1:5">
      <c r="A838">
        <v>8869</v>
      </c>
      <c r="B838" t="s">
        <v>91</v>
      </c>
      <c r="C838" t="s">
        <v>91</v>
      </c>
      <c r="D838" t="s">
        <v>5</v>
      </c>
      <c r="E838" s="1">
        <v>43173.876458333332</v>
      </c>
    </row>
    <row r="839" spans="1:5">
      <c r="A839">
        <v>8881</v>
      </c>
      <c r="B839" t="s">
        <v>96</v>
      </c>
      <c r="C839" t="s">
        <v>91</v>
      </c>
      <c r="D839" t="s">
        <v>6</v>
      </c>
      <c r="E839" s="1">
        <v>43174.379340277781</v>
      </c>
    </row>
    <row r="840" spans="1:5">
      <c r="A840">
        <v>8895</v>
      </c>
      <c r="B840" t="s">
        <v>91</v>
      </c>
      <c r="C840" t="s">
        <v>91</v>
      </c>
      <c r="D840" t="s">
        <v>5</v>
      </c>
      <c r="E840" s="1">
        <v>43174.775312500002</v>
      </c>
    </row>
    <row r="841" spans="1:5">
      <c r="A841">
        <v>8916</v>
      </c>
      <c r="B841" t="s">
        <v>91</v>
      </c>
      <c r="C841" t="s">
        <v>91</v>
      </c>
      <c r="D841" t="s">
        <v>6</v>
      </c>
      <c r="E841" s="1">
        <v>43175.389456018522</v>
      </c>
    </row>
    <row r="842" spans="1:5">
      <c r="A842">
        <v>8941</v>
      </c>
      <c r="B842" t="s">
        <v>96</v>
      </c>
      <c r="C842" t="s">
        <v>91</v>
      </c>
      <c r="D842" t="s">
        <v>5</v>
      </c>
      <c r="E842" s="1">
        <v>43175.910613425927</v>
      </c>
    </row>
    <row r="843" spans="1:5">
      <c r="A843">
        <v>8950</v>
      </c>
      <c r="B843" t="s">
        <v>96</v>
      </c>
      <c r="C843" t="s">
        <v>91</v>
      </c>
      <c r="D843" t="s">
        <v>6</v>
      </c>
      <c r="E843" s="1">
        <v>43176.471851851849</v>
      </c>
    </row>
    <row r="844" spans="1:5">
      <c r="A844">
        <v>8972</v>
      </c>
      <c r="B844" t="s">
        <v>96</v>
      </c>
      <c r="C844" t="s">
        <v>91</v>
      </c>
      <c r="D844" t="s">
        <v>5</v>
      </c>
      <c r="E844" s="1">
        <v>43176.836921296293</v>
      </c>
    </row>
    <row r="845" spans="1:5">
      <c r="A845">
        <v>8977</v>
      </c>
      <c r="B845" t="s">
        <v>91</v>
      </c>
      <c r="C845" t="s">
        <v>91</v>
      </c>
      <c r="D845" t="s">
        <v>6</v>
      </c>
      <c r="E845" s="1">
        <v>43178.368078703701</v>
      </c>
    </row>
    <row r="846" spans="1:5">
      <c r="A846">
        <v>8992</v>
      </c>
      <c r="B846" t="s">
        <v>92</v>
      </c>
      <c r="C846" t="s">
        <v>91</v>
      </c>
      <c r="D846" t="s">
        <v>5</v>
      </c>
      <c r="E846" s="1">
        <v>43178.770011574074</v>
      </c>
    </row>
    <row r="847" spans="1:5">
      <c r="A847">
        <v>8993</v>
      </c>
      <c r="B847" t="s">
        <v>92</v>
      </c>
      <c r="C847" t="s">
        <v>91</v>
      </c>
      <c r="D847" t="s">
        <v>7</v>
      </c>
      <c r="E847" s="1">
        <v>43178.770069444443</v>
      </c>
    </row>
    <row r="848" spans="1:5">
      <c r="A848">
        <v>9004</v>
      </c>
      <c r="B848" t="s">
        <v>91</v>
      </c>
      <c r="C848" t="s">
        <v>91</v>
      </c>
      <c r="D848" t="s">
        <v>8</v>
      </c>
      <c r="E848" s="1">
        <v>43178.868437500001</v>
      </c>
    </row>
    <row r="849" spans="1:5">
      <c r="A849">
        <v>9017</v>
      </c>
      <c r="B849" t="s">
        <v>91</v>
      </c>
      <c r="C849" t="s">
        <v>91</v>
      </c>
      <c r="D849" t="s">
        <v>6</v>
      </c>
      <c r="E849" s="1">
        <v>43179.37332175926</v>
      </c>
    </row>
    <row r="850" spans="1:5">
      <c r="A850">
        <v>9021</v>
      </c>
      <c r="B850" t="s">
        <v>96</v>
      </c>
      <c r="C850" t="s">
        <v>91</v>
      </c>
      <c r="D850" t="s">
        <v>5</v>
      </c>
      <c r="E850" s="1">
        <v>43179.76152777778</v>
      </c>
    </row>
    <row r="851" spans="1:5">
      <c r="A851">
        <v>9054</v>
      </c>
      <c r="B851" t="s">
        <v>96</v>
      </c>
      <c r="C851" t="s">
        <v>91</v>
      </c>
      <c r="D851" t="s">
        <v>6</v>
      </c>
      <c r="E851" s="1">
        <v>43180.375254629631</v>
      </c>
    </row>
    <row r="852" spans="1:5">
      <c r="A852">
        <v>9071</v>
      </c>
      <c r="B852" t="s">
        <v>91</v>
      </c>
      <c r="C852" t="s">
        <v>91</v>
      </c>
      <c r="D852" t="s">
        <v>5</v>
      </c>
      <c r="E852" s="1">
        <v>43180.79347222222</v>
      </c>
    </row>
    <row r="853" spans="1:5">
      <c r="A853">
        <v>9075</v>
      </c>
      <c r="B853" t="s">
        <v>92</v>
      </c>
      <c r="C853" t="s">
        <v>91</v>
      </c>
      <c r="D853" t="s">
        <v>7</v>
      </c>
      <c r="E853" s="1">
        <v>43180.817465277774</v>
      </c>
    </row>
    <row r="854" spans="1:5">
      <c r="A854">
        <v>9080</v>
      </c>
      <c r="B854" t="s">
        <v>92</v>
      </c>
      <c r="C854" t="s">
        <v>91</v>
      </c>
      <c r="D854" t="s">
        <v>8</v>
      </c>
      <c r="E854" s="1">
        <v>43180.893796296295</v>
      </c>
    </row>
  </sheetData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59941-4982-4140-AFA4-F98733B5FDEB}">
  <sheetPr codeName="工作表27"/>
  <dimension ref="A1:AL854"/>
  <sheetViews>
    <sheetView workbookViewId="0"/>
  </sheetViews>
  <sheetFormatPr defaultRowHeight="16.5"/>
  <cols>
    <col min="5" max="5" width="15" bestFit="1" customWidth="1"/>
    <col min="6" max="6" width="5.5" style="465" bestFit="1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10">
      <c r="A2">
        <v>8810</v>
      </c>
      <c r="B2" t="s">
        <v>43</v>
      </c>
      <c r="C2" t="s">
        <v>43</v>
      </c>
      <c r="D2" t="s">
        <v>6</v>
      </c>
      <c r="E2" s="1">
        <v>43172.623773148145</v>
      </c>
      <c r="F2" s="465">
        <v>43172.623773148145</v>
      </c>
      <c r="G2" s="464">
        <v>0.62361111111111112</v>
      </c>
      <c r="H2">
        <v>4.0499999999999989</v>
      </c>
      <c r="I2">
        <v>2.5499999999999989</v>
      </c>
      <c r="J2">
        <v>5.4500000000000011</v>
      </c>
    </row>
    <row r="3" spans="1:10">
      <c r="A3">
        <v>8827</v>
      </c>
      <c r="B3" t="s">
        <v>43</v>
      </c>
      <c r="C3" t="s">
        <v>43</v>
      </c>
      <c r="D3" t="s">
        <v>5</v>
      </c>
      <c r="E3" s="1">
        <v>43172.79277777778</v>
      </c>
      <c r="F3" s="465">
        <v>43172.79277777778</v>
      </c>
      <c r="G3" s="464">
        <v>0.79236111111111107</v>
      </c>
      <c r="H3" t="s">
        <v>129</v>
      </c>
      <c r="I3" t="s">
        <v>129</v>
      </c>
      <c r="J3" t="s">
        <v>129</v>
      </c>
    </row>
    <row r="4" spans="1:10">
      <c r="A4">
        <v>8846</v>
      </c>
      <c r="B4" t="s">
        <v>43</v>
      </c>
      <c r="C4" t="s">
        <v>43</v>
      </c>
      <c r="D4" t="s">
        <v>6</v>
      </c>
      <c r="E4" s="1">
        <v>43173.467245370368</v>
      </c>
      <c r="F4" s="465">
        <v>43173.467245370368</v>
      </c>
      <c r="G4" s="464">
        <v>0.46666666666666662</v>
      </c>
      <c r="H4">
        <v>7.3000000000000007</v>
      </c>
      <c r="I4">
        <v>5.8000000000000007</v>
      </c>
      <c r="J4">
        <v>2.1999999999999993</v>
      </c>
    </row>
    <row r="5" spans="1:10">
      <c r="A5">
        <v>8898</v>
      </c>
      <c r="B5" t="s">
        <v>43</v>
      </c>
      <c r="C5" t="s">
        <v>43</v>
      </c>
      <c r="D5" t="s">
        <v>5</v>
      </c>
      <c r="E5" s="1">
        <v>43173.771180555559</v>
      </c>
      <c r="F5" s="465">
        <v>43173.771180555559</v>
      </c>
      <c r="G5" s="464">
        <v>0.77083333333333337</v>
      </c>
      <c r="H5" t="s">
        <v>129</v>
      </c>
      <c r="I5" t="s">
        <v>129</v>
      </c>
      <c r="J5" t="s">
        <v>129</v>
      </c>
    </row>
    <row r="6" spans="1:10">
      <c r="A6">
        <v>8882</v>
      </c>
      <c r="B6" t="s">
        <v>43</v>
      </c>
      <c r="C6" t="s">
        <v>43</v>
      </c>
      <c r="D6" t="s">
        <v>6</v>
      </c>
      <c r="E6" s="1">
        <v>43174.434930555559</v>
      </c>
      <c r="F6" s="465">
        <v>43174.434930555559</v>
      </c>
      <c r="G6" s="464">
        <v>0.43472222222222223</v>
      </c>
      <c r="H6">
        <v>9.3166666666666664</v>
      </c>
      <c r="I6">
        <v>7.8166666666666664</v>
      </c>
      <c r="J6">
        <v>0.18333333333333357</v>
      </c>
    </row>
    <row r="7" spans="1:10">
      <c r="A7">
        <v>8898</v>
      </c>
      <c r="B7" t="s">
        <v>43</v>
      </c>
      <c r="C7" t="s">
        <v>43</v>
      </c>
      <c r="D7" t="s">
        <v>5</v>
      </c>
      <c r="E7" s="1">
        <v>43174.823263888888</v>
      </c>
      <c r="F7" s="465">
        <v>43174.823263888888</v>
      </c>
      <c r="G7" s="464">
        <v>0.82291666666666663</v>
      </c>
      <c r="H7" t="s">
        <v>129</v>
      </c>
      <c r="I7" t="s">
        <v>129</v>
      </c>
      <c r="J7" t="s">
        <v>129</v>
      </c>
    </row>
    <row r="8" spans="1:10">
      <c r="A8">
        <v>9018</v>
      </c>
      <c r="B8" t="s">
        <v>98</v>
      </c>
      <c r="C8" t="s">
        <v>43</v>
      </c>
      <c r="D8" t="s">
        <v>6</v>
      </c>
      <c r="E8" s="1">
        <v>43179.422511574077</v>
      </c>
      <c r="F8" s="465">
        <v>43179.422511574077</v>
      </c>
      <c r="G8" s="464">
        <v>0.42222222222222222</v>
      </c>
      <c r="H8">
        <v>8.4166666666666679</v>
      </c>
      <c r="I8">
        <v>6.9166666666666679</v>
      </c>
      <c r="J8">
        <v>1.0833333333333321</v>
      </c>
    </row>
    <row r="9" spans="1:10">
      <c r="A9">
        <v>9033</v>
      </c>
      <c r="B9" t="s">
        <v>43</v>
      </c>
      <c r="C9" t="s">
        <v>43</v>
      </c>
      <c r="D9" t="s">
        <v>5</v>
      </c>
      <c r="E9" s="1">
        <v>43179.773518518516</v>
      </c>
      <c r="F9" s="465">
        <v>43179.773518518516</v>
      </c>
      <c r="G9" s="464">
        <v>0.7729166666666667</v>
      </c>
      <c r="H9" t="s">
        <v>129</v>
      </c>
      <c r="I9" t="s">
        <v>129</v>
      </c>
      <c r="J9" t="s">
        <v>129</v>
      </c>
    </row>
    <row r="10" spans="1:10">
      <c r="A10">
        <v>9055</v>
      </c>
      <c r="B10" t="s">
        <v>43</v>
      </c>
      <c r="C10" t="s">
        <v>43</v>
      </c>
      <c r="D10" t="s">
        <v>6</v>
      </c>
      <c r="E10" s="1">
        <v>43180.390474537038</v>
      </c>
      <c r="F10" s="465">
        <v>43180.390474537038</v>
      </c>
      <c r="G10" s="464">
        <v>0.39027777777777778</v>
      </c>
      <c r="H10">
        <v>11.95</v>
      </c>
      <c r="I10">
        <v>8</v>
      </c>
      <c r="J10" t="s">
        <v>129</v>
      </c>
    </row>
    <row r="11" spans="1:10">
      <c r="A11">
        <v>9079</v>
      </c>
      <c r="B11" t="s">
        <v>43</v>
      </c>
      <c r="C11" t="s">
        <v>43</v>
      </c>
      <c r="D11" t="s">
        <v>5</v>
      </c>
      <c r="E11" s="1">
        <v>43180.888749999998</v>
      </c>
      <c r="F11" s="465">
        <v>43180.888749999998</v>
      </c>
      <c r="G11" s="464">
        <v>0.8881944444444444</v>
      </c>
      <c r="H11" t="s">
        <v>129</v>
      </c>
      <c r="I11" t="s">
        <v>129</v>
      </c>
      <c r="J11" t="s">
        <v>129</v>
      </c>
    </row>
    <row r="12" spans="1:10">
      <c r="A12">
        <v>9055</v>
      </c>
      <c r="B12" t="s">
        <v>43</v>
      </c>
      <c r="C12" t="s">
        <v>43</v>
      </c>
      <c r="D12" t="s">
        <v>6</v>
      </c>
      <c r="E12" s="1">
        <v>43181.416863425926</v>
      </c>
      <c r="F12" s="465">
        <v>43181.416863425926</v>
      </c>
      <c r="G12" s="464">
        <v>0.41666666666666669</v>
      </c>
      <c r="H12">
        <v>5.9999999999999982</v>
      </c>
      <c r="I12">
        <v>4.4999999999999982</v>
      </c>
      <c r="J12">
        <v>3.5000000000000018</v>
      </c>
    </row>
    <row r="13" spans="1:10">
      <c r="A13">
        <v>9079</v>
      </c>
      <c r="B13" t="s">
        <v>43</v>
      </c>
      <c r="C13" t="s">
        <v>43</v>
      </c>
      <c r="D13" t="s">
        <v>5</v>
      </c>
      <c r="E13" s="1">
        <v>43181.667222222219</v>
      </c>
      <c r="F13" s="465">
        <v>43181.667222222219</v>
      </c>
      <c r="G13" s="464">
        <v>0.66666666666666663</v>
      </c>
      <c r="H13" t="s">
        <v>129</v>
      </c>
      <c r="I13" t="s">
        <v>129</v>
      </c>
      <c r="J13" t="s">
        <v>129</v>
      </c>
    </row>
    <row r="14" spans="1:10">
      <c r="A14">
        <v>9170</v>
      </c>
      <c r="B14" t="s">
        <v>43</v>
      </c>
      <c r="C14" t="s">
        <v>43</v>
      </c>
      <c r="D14" t="s">
        <v>6</v>
      </c>
      <c r="E14" s="1">
        <v>43186.39571759259</v>
      </c>
      <c r="F14" s="465">
        <v>43186.39571759259</v>
      </c>
      <c r="G14" s="464">
        <v>0.39513888888888887</v>
      </c>
      <c r="H14">
        <v>9.35</v>
      </c>
      <c r="I14">
        <v>7.85</v>
      </c>
      <c r="J14">
        <v>0.15000000000000036</v>
      </c>
    </row>
    <row r="15" spans="1:10">
      <c r="A15">
        <v>9181</v>
      </c>
      <c r="B15" t="s">
        <v>43</v>
      </c>
      <c r="C15" t="s">
        <v>43</v>
      </c>
      <c r="D15" t="s">
        <v>5</v>
      </c>
      <c r="E15" s="1">
        <v>43186.785081018519</v>
      </c>
      <c r="F15" s="465">
        <v>43186.785081018519</v>
      </c>
      <c r="G15" s="464">
        <v>0.78472222222222221</v>
      </c>
      <c r="H15" t="s">
        <v>129</v>
      </c>
      <c r="I15" t="s">
        <v>129</v>
      </c>
      <c r="J15" t="s">
        <v>129</v>
      </c>
    </row>
    <row r="16" spans="1:10">
      <c r="A16">
        <v>9199</v>
      </c>
      <c r="B16" t="s">
        <v>43</v>
      </c>
      <c r="C16" t="s">
        <v>43</v>
      </c>
      <c r="D16" t="s">
        <v>6</v>
      </c>
      <c r="E16" s="1">
        <v>43187.415520833332</v>
      </c>
      <c r="F16" s="465">
        <v>43187.415520833332</v>
      </c>
      <c r="G16" s="464">
        <v>0.4152777777777778</v>
      </c>
      <c r="H16">
        <v>8.5500000000000007</v>
      </c>
      <c r="I16">
        <v>7.0500000000000007</v>
      </c>
      <c r="J16">
        <v>0.94999999999999929</v>
      </c>
    </row>
    <row r="17" spans="1:14">
      <c r="A17">
        <v>9213</v>
      </c>
      <c r="B17" t="s">
        <v>43</v>
      </c>
      <c r="C17" t="s">
        <v>43</v>
      </c>
      <c r="D17" t="s">
        <v>5</v>
      </c>
      <c r="E17" s="1">
        <v>43187.771597222221</v>
      </c>
      <c r="F17" s="465">
        <v>43187.771597222221</v>
      </c>
      <c r="G17" s="464">
        <v>0.7715277777777777</v>
      </c>
      <c r="H17" t="s">
        <v>129</v>
      </c>
      <c r="I17" t="s">
        <v>129</v>
      </c>
      <c r="J17" t="s">
        <v>129</v>
      </c>
    </row>
    <row r="18" spans="1:14">
      <c r="A18">
        <v>9214</v>
      </c>
      <c r="B18" t="s">
        <v>43</v>
      </c>
      <c r="C18" t="s">
        <v>43</v>
      </c>
      <c r="D18" t="s">
        <v>7</v>
      </c>
      <c r="E18" s="1">
        <v>43187.771701388891</v>
      </c>
      <c r="F18" s="465">
        <v>43187.771701388891</v>
      </c>
      <c r="G18" s="464">
        <v>0.7715277777777777</v>
      </c>
      <c r="H18" t="s">
        <v>129</v>
      </c>
      <c r="I18" t="s">
        <v>129</v>
      </c>
      <c r="J18" t="s">
        <v>129</v>
      </c>
      <c r="K18">
        <v>1.8499999999999988</v>
      </c>
      <c r="M18">
        <v>1.8499999999999988</v>
      </c>
      <c r="N18">
        <v>0</v>
      </c>
    </row>
    <row r="19" spans="1:14">
      <c r="A19">
        <v>9220</v>
      </c>
      <c r="B19" t="s">
        <v>43</v>
      </c>
      <c r="C19" t="s">
        <v>43</v>
      </c>
      <c r="D19" t="s">
        <v>8</v>
      </c>
      <c r="E19" s="1">
        <v>43187.849131944444</v>
      </c>
      <c r="F19" s="465">
        <v>43187.849131944444</v>
      </c>
      <c r="G19" s="464">
        <v>0.84861111111111109</v>
      </c>
      <c r="H19" t="s">
        <v>129</v>
      </c>
      <c r="I19" t="s">
        <v>129</v>
      </c>
      <c r="J19" t="s">
        <v>129</v>
      </c>
    </row>
    <row r="20" spans="1:14">
      <c r="A20">
        <v>9236</v>
      </c>
      <c r="B20" t="s">
        <v>43</v>
      </c>
      <c r="C20" t="s">
        <v>43</v>
      </c>
      <c r="D20" t="s">
        <v>6</v>
      </c>
      <c r="E20" s="1">
        <v>43188.416863425926</v>
      </c>
      <c r="F20" s="465">
        <v>43188.416863425926</v>
      </c>
      <c r="G20" s="464">
        <v>0.41666666666666669</v>
      </c>
      <c r="H20">
        <v>8.5166666666666675</v>
      </c>
      <c r="I20">
        <v>7.0166666666666675</v>
      </c>
      <c r="J20">
        <v>0.9833333333333325</v>
      </c>
    </row>
    <row r="21" spans="1:14">
      <c r="A21">
        <v>9213</v>
      </c>
      <c r="B21" t="s">
        <v>43</v>
      </c>
      <c r="C21" t="s">
        <v>43</v>
      </c>
      <c r="D21" t="s">
        <v>5</v>
      </c>
      <c r="E21" s="1">
        <v>43188.771597222221</v>
      </c>
      <c r="F21" s="465">
        <v>43188.771597222221</v>
      </c>
      <c r="G21" s="464">
        <v>0.7715277777777777</v>
      </c>
      <c r="H21" t="s">
        <v>129</v>
      </c>
      <c r="I21" t="s">
        <v>129</v>
      </c>
      <c r="J21" t="s">
        <v>129</v>
      </c>
    </row>
    <row r="22" spans="1:14">
      <c r="A22">
        <v>9214</v>
      </c>
      <c r="B22" t="s">
        <v>43</v>
      </c>
      <c r="C22" t="s">
        <v>43</v>
      </c>
      <c r="D22" t="s">
        <v>7</v>
      </c>
      <c r="E22" s="1">
        <v>43188.771701388891</v>
      </c>
      <c r="F22" s="465">
        <v>43188.771701388891</v>
      </c>
      <c r="G22" s="464">
        <v>0.7715277777777777</v>
      </c>
      <c r="H22" t="s">
        <v>129</v>
      </c>
      <c r="I22" t="s">
        <v>129</v>
      </c>
      <c r="J22" t="s">
        <v>129</v>
      </c>
      <c r="K22">
        <v>1.0999999999999988</v>
      </c>
      <c r="M22">
        <v>1.0999999999999988</v>
      </c>
      <c r="N22">
        <v>0</v>
      </c>
    </row>
    <row r="23" spans="1:14">
      <c r="A23">
        <v>9254</v>
      </c>
      <c r="B23" t="s">
        <v>43</v>
      </c>
      <c r="C23" t="s">
        <v>43</v>
      </c>
      <c r="D23" t="s">
        <v>8</v>
      </c>
      <c r="E23" s="1">
        <v>43188.81753472222</v>
      </c>
      <c r="F23" s="465">
        <v>43188.81753472222</v>
      </c>
      <c r="G23" s="464">
        <v>0.81736111111111109</v>
      </c>
      <c r="H23" t="s">
        <v>129</v>
      </c>
      <c r="I23" t="s">
        <v>129</v>
      </c>
      <c r="J23" t="s">
        <v>129</v>
      </c>
    </row>
    <row r="24" spans="1:14">
      <c r="A24">
        <v>9292</v>
      </c>
      <c r="B24" t="s">
        <v>43</v>
      </c>
      <c r="C24" t="s">
        <v>43</v>
      </c>
      <c r="D24" t="s">
        <v>6</v>
      </c>
      <c r="E24" s="1">
        <v>43190.411076388889</v>
      </c>
      <c r="F24" s="465">
        <v>43190.411076388889</v>
      </c>
      <c r="G24" s="464">
        <v>0.41041666666666665</v>
      </c>
      <c r="H24">
        <v>8.7666666666666675</v>
      </c>
      <c r="I24">
        <v>7.2666666666666675</v>
      </c>
      <c r="J24">
        <v>0.7333333333333325</v>
      </c>
    </row>
    <row r="25" spans="1:14">
      <c r="A25">
        <v>9302</v>
      </c>
      <c r="B25" t="s">
        <v>43</v>
      </c>
      <c r="C25" t="s">
        <v>43</v>
      </c>
      <c r="D25" t="s">
        <v>5</v>
      </c>
      <c r="E25" s="1">
        <v>43190.776030092595</v>
      </c>
      <c r="F25" s="465">
        <v>43190.776030092595</v>
      </c>
      <c r="G25" s="464">
        <v>0.77569444444444446</v>
      </c>
      <c r="H25" t="s">
        <v>129</v>
      </c>
      <c r="I25" t="s">
        <v>129</v>
      </c>
      <c r="J25" t="s">
        <v>129</v>
      </c>
    </row>
    <row r="26" spans="1:14">
      <c r="A26">
        <v>8499</v>
      </c>
      <c r="B26" t="s">
        <v>9</v>
      </c>
      <c r="C26" t="s">
        <v>9</v>
      </c>
      <c r="D26" t="s">
        <v>6</v>
      </c>
      <c r="E26" s="1">
        <v>43160.725474537037</v>
      </c>
      <c r="F26" s="465">
        <v>43160.725474537037</v>
      </c>
      <c r="G26" s="464">
        <v>0.72499999999999998</v>
      </c>
      <c r="H26">
        <v>1.4833333333333334</v>
      </c>
      <c r="I26">
        <v>-1.6666666666666607E-2</v>
      </c>
      <c r="J26">
        <v>8.0166666666666657</v>
      </c>
    </row>
    <row r="27" spans="1:14">
      <c r="A27">
        <v>8512</v>
      </c>
      <c r="B27" t="s">
        <v>9</v>
      </c>
      <c r="C27" t="s">
        <v>9</v>
      </c>
      <c r="D27" t="s">
        <v>5</v>
      </c>
      <c r="E27" s="1">
        <v>43160.787256944444</v>
      </c>
      <c r="F27" s="465">
        <v>43160.787256944444</v>
      </c>
      <c r="G27" s="464">
        <v>0.78680555555555554</v>
      </c>
      <c r="H27" t="s">
        <v>129</v>
      </c>
      <c r="I27" t="s">
        <v>129</v>
      </c>
      <c r="J27" t="s">
        <v>129</v>
      </c>
    </row>
    <row r="28" spans="1:14">
      <c r="A28">
        <v>8522</v>
      </c>
      <c r="B28" t="s">
        <v>9</v>
      </c>
      <c r="C28" t="s">
        <v>9</v>
      </c>
      <c r="D28" t="s">
        <v>6</v>
      </c>
      <c r="E28" s="1">
        <v>43161.363958333335</v>
      </c>
      <c r="F28" s="465">
        <v>43161.363958333335</v>
      </c>
      <c r="G28" s="464">
        <v>0.36388888888888887</v>
      </c>
      <c r="H28">
        <v>3.6666666666666683</v>
      </c>
      <c r="I28">
        <v>2.1666666666666683</v>
      </c>
      <c r="J28">
        <v>5.8333333333333321</v>
      </c>
    </row>
    <row r="29" spans="1:14">
      <c r="A29">
        <v>8532</v>
      </c>
      <c r="B29" t="s">
        <v>9</v>
      </c>
      <c r="C29" t="s">
        <v>9</v>
      </c>
      <c r="D29" t="s">
        <v>5</v>
      </c>
      <c r="E29" s="1">
        <v>43161.517256944448</v>
      </c>
      <c r="F29" s="465">
        <v>43161.517256944448</v>
      </c>
      <c r="G29" s="464">
        <v>0.51666666666666672</v>
      </c>
      <c r="H29" t="s">
        <v>129</v>
      </c>
      <c r="I29" t="s">
        <v>129</v>
      </c>
      <c r="J29" t="s">
        <v>129</v>
      </c>
    </row>
    <row r="30" spans="1:14">
      <c r="A30">
        <v>8533</v>
      </c>
      <c r="B30" t="s">
        <v>9</v>
      </c>
      <c r="C30" t="s">
        <v>9</v>
      </c>
      <c r="D30" t="s">
        <v>6</v>
      </c>
      <c r="E30" s="1">
        <v>43161.679837962962</v>
      </c>
      <c r="F30" s="465">
        <v>43161.679837962962</v>
      </c>
      <c r="G30" s="464">
        <v>0.6791666666666667</v>
      </c>
      <c r="H30">
        <v>1.9166666666666652</v>
      </c>
      <c r="I30">
        <v>0.41666666666666519</v>
      </c>
      <c r="J30">
        <v>7.5833333333333348</v>
      </c>
    </row>
    <row r="31" spans="1:14">
      <c r="A31">
        <v>8534</v>
      </c>
      <c r="B31" t="s">
        <v>9</v>
      </c>
      <c r="C31" t="s">
        <v>9</v>
      </c>
      <c r="D31" t="s">
        <v>5</v>
      </c>
      <c r="E31" s="1">
        <v>43161.759039351855</v>
      </c>
      <c r="F31" s="465">
        <v>43161.759039351855</v>
      </c>
      <c r="G31" s="464">
        <v>0.75902777777777775</v>
      </c>
      <c r="H31" t="s">
        <v>129</v>
      </c>
      <c r="I31" t="s">
        <v>129</v>
      </c>
      <c r="J31" t="s">
        <v>129</v>
      </c>
    </row>
    <row r="32" spans="1:14">
      <c r="A32">
        <v>8565</v>
      </c>
      <c r="B32" t="s">
        <v>93</v>
      </c>
      <c r="C32" t="s">
        <v>9</v>
      </c>
      <c r="D32" t="s">
        <v>6</v>
      </c>
      <c r="E32" s="1">
        <v>43164.373113425929</v>
      </c>
      <c r="F32" s="465">
        <v>43164.373113425929</v>
      </c>
      <c r="G32" s="464">
        <v>0.37291666666666662</v>
      </c>
      <c r="H32">
        <v>8.1999999999999993</v>
      </c>
      <c r="I32">
        <v>6.6999999999999993</v>
      </c>
      <c r="J32">
        <v>1.3000000000000007</v>
      </c>
    </row>
    <row r="33" spans="1:14">
      <c r="A33">
        <v>8570</v>
      </c>
      <c r="B33" t="s">
        <v>9</v>
      </c>
      <c r="C33" t="s">
        <v>9</v>
      </c>
      <c r="D33" t="s">
        <v>5</v>
      </c>
      <c r="E33" s="1">
        <v>43164.71471064815</v>
      </c>
      <c r="F33" s="465">
        <v>43164.71471064815</v>
      </c>
      <c r="G33" s="464">
        <v>0.71458333333333324</v>
      </c>
      <c r="H33" t="s">
        <v>129</v>
      </c>
      <c r="I33" t="s">
        <v>129</v>
      </c>
      <c r="J33" t="s">
        <v>129</v>
      </c>
    </row>
    <row r="34" spans="1:14">
      <c r="A34">
        <v>8600</v>
      </c>
      <c r="B34" t="s">
        <v>9</v>
      </c>
      <c r="C34" t="s">
        <v>9</v>
      </c>
      <c r="D34" t="s">
        <v>6</v>
      </c>
      <c r="E34" s="1">
        <v>43165.369710648149</v>
      </c>
      <c r="F34" s="465">
        <v>43165.369710648149</v>
      </c>
      <c r="G34" s="464">
        <v>0.36944444444444446</v>
      </c>
      <c r="H34">
        <v>9.1333333333333329</v>
      </c>
      <c r="I34">
        <v>7.6333333333333329</v>
      </c>
      <c r="J34">
        <v>0.36666666666666714</v>
      </c>
    </row>
    <row r="35" spans="1:14">
      <c r="A35">
        <v>8604</v>
      </c>
      <c r="B35" t="s">
        <v>9</v>
      </c>
      <c r="C35" t="s">
        <v>9</v>
      </c>
      <c r="D35" t="s">
        <v>5</v>
      </c>
      <c r="E35" s="1">
        <v>43165.750092592592</v>
      </c>
      <c r="F35" s="465">
        <v>43165.750092592592</v>
      </c>
      <c r="G35" s="464">
        <v>0.75</v>
      </c>
      <c r="H35" t="s">
        <v>129</v>
      </c>
      <c r="I35" t="s">
        <v>129</v>
      </c>
      <c r="J35" t="s">
        <v>129</v>
      </c>
    </row>
    <row r="36" spans="1:14">
      <c r="A36">
        <v>8632</v>
      </c>
      <c r="B36" t="s">
        <v>9</v>
      </c>
      <c r="C36" t="s">
        <v>9</v>
      </c>
      <c r="D36" t="s">
        <v>6</v>
      </c>
      <c r="E36" s="1">
        <v>43166.369409722225</v>
      </c>
      <c r="F36" s="465">
        <v>43166.369409722225</v>
      </c>
      <c r="G36" s="464">
        <v>0.36874999999999997</v>
      </c>
      <c r="H36">
        <v>8.3999999999999986</v>
      </c>
      <c r="I36">
        <v>6.8999999999999986</v>
      </c>
      <c r="J36">
        <v>1.1000000000000014</v>
      </c>
    </row>
    <row r="37" spans="1:14">
      <c r="A37">
        <v>8639</v>
      </c>
      <c r="B37" t="s">
        <v>9</v>
      </c>
      <c r="C37" t="s">
        <v>9</v>
      </c>
      <c r="D37" t="s">
        <v>5</v>
      </c>
      <c r="E37" s="1">
        <v>43166.719189814816</v>
      </c>
      <c r="F37" s="465">
        <v>43166.719189814816</v>
      </c>
      <c r="G37" s="464">
        <v>0.71875</v>
      </c>
      <c r="H37" t="s">
        <v>129</v>
      </c>
      <c r="I37" t="s">
        <v>129</v>
      </c>
      <c r="J37" t="s">
        <v>129</v>
      </c>
    </row>
    <row r="38" spans="1:14">
      <c r="A38">
        <v>8666</v>
      </c>
      <c r="B38" t="s">
        <v>9</v>
      </c>
      <c r="C38" t="s">
        <v>9</v>
      </c>
      <c r="D38" t="s">
        <v>6</v>
      </c>
      <c r="E38" s="1">
        <v>43167.368275462963</v>
      </c>
      <c r="F38" s="465">
        <v>43167.368275462963</v>
      </c>
      <c r="G38" s="464">
        <v>0.36805555555555558</v>
      </c>
      <c r="H38">
        <v>9.5333333333333314</v>
      </c>
      <c r="I38">
        <v>8</v>
      </c>
      <c r="J38" t="s">
        <v>129</v>
      </c>
    </row>
    <row r="39" spans="1:14">
      <c r="A39">
        <v>8673</v>
      </c>
      <c r="B39" t="s">
        <v>9</v>
      </c>
      <c r="C39" t="s">
        <v>9</v>
      </c>
      <c r="D39" t="s">
        <v>5</v>
      </c>
      <c r="E39" s="1">
        <v>43167.765798611108</v>
      </c>
      <c r="F39" s="465">
        <v>43167.765798611108</v>
      </c>
      <c r="G39" s="464">
        <v>0.76527777777777783</v>
      </c>
      <c r="H39" t="s">
        <v>129</v>
      </c>
      <c r="I39" t="s">
        <v>129</v>
      </c>
      <c r="J39" t="s">
        <v>129</v>
      </c>
    </row>
    <row r="40" spans="1:14">
      <c r="A40">
        <v>8694</v>
      </c>
      <c r="B40" t="s">
        <v>93</v>
      </c>
      <c r="C40" t="s">
        <v>9</v>
      </c>
      <c r="D40" t="s">
        <v>6</v>
      </c>
      <c r="E40" s="1">
        <v>43168.363437499997</v>
      </c>
      <c r="F40" s="465">
        <v>43168.363437499997</v>
      </c>
      <c r="G40" s="464">
        <v>0.36319444444444443</v>
      </c>
      <c r="H40">
        <v>9.7000000000000011</v>
      </c>
      <c r="I40">
        <v>8</v>
      </c>
      <c r="J40" t="s">
        <v>129</v>
      </c>
    </row>
    <row r="41" spans="1:14">
      <c r="A41">
        <v>8706</v>
      </c>
      <c r="B41" t="s">
        <v>9</v>
      </c>
      <c r="C41" t="s">
        <v>9</v>
      </c>
      <c r="D41" t="s">
        <v>5</v>
      </c>
      <c r="E41" s="1">
        <v>43168.767951388887</v>
      </c>
      <c r="F41" s="465">
        <v>43168.767951388887</v>
      </c>
      <c r="G41" s="464">
        <v>0.76736111111111116</v>
      </c>
      <c r="H41" t="s">
        <v>129</v>
      </c>
      <c r="I41" t="s">
        <v>129</v>
      </c>
      <c r="J41" t="s">
        <v>129</v>
      </c>
    </row>
    <row r="42" spans="1:14">
      <c r="A42">
        <v>8728</v>
      </c>
      <c r="B42" t="s">
        <v>9</v>
      </c>
      <c r="C42" t="s">
        <v>9</v>
      </c>
      <c r="D42" t="s">
        <v>7</v>
      </c>
      <c r="E42" s="1">
        <v>43170.37572916667</v>
      </c>
      <c r="F42" s="465">
        <v>43170.37572916667</v>
      </c>
      <c r="G42" s="464">
        <v>0.3756944444444445</v>
      </c>
      <c r="H42" t="s">
        <v>129</v>
      </c>
      <c r="I42" t="s">
        <v>129</v>
      </c>
      <c r="J42" t="s">
        <v>129</v>
      </c>
      <c r="K42">
        <v>4.0833333333333321</v>
      </c>
      <c r="M42">
        <v>2</v>
      </c>
      <c r="N42">
        <v>2.0833333333333321</v>
      </c>
    </row>
    <row r="43" spans="1:14">
      <c r="A43">
        <v>8734</v>
      </c>
      <c r="B43" t="s">
        <v>9</v>
      </c>
      <c r="C43" t="s">
        <v>9</v>
      </c>
      <c r="D43" t="s">
        <v>8</v>
      </c>
      <c r="E43" s="1">
        <v>43170.546168981484</v>
      </c>
      <c r="F43" s="465">
        <v>43170.546168981484</v>
      </c>
      <c r="G43" s="464">
        <v>0.54583333333333328</v>
      </c>
      <c r="H43" t="s">
        <v>129</v>
      </c>
      <c r="I43" t="s">
        <v>129</v>
      </c>
      <c r="J43" t="s">
        <v>129</v>
      </c>
    </row>
    <row r="44" spans="1:14">
      <c r="A44">
        <v>8767</v>
      </c>
      <c r="B44" t="s">
        <v>9</v>
      </c>
      <c r="C44" t="s">
        <v>9</v>
      </c>
      <c r="D44" t="s">
        <v>6</v>
      </c>
      <c r="E44" s="1">
        <v>43171.370196759257</v>
      </c>
      <c r="F44" s="465">
        <v>43171.370196759257</v>
      </c>
      <c r="G44" s="464">
        <v>0.37013888888888885</v>
      </c>
      <c r="H44">
        <v>8.3833333333333329</v>
      </c>
      <c r="I44">
        <v>6.8833333333333329</v>
      </c>
      <c r="J44">
        <v>1.1166666666666671</v>
      </c>
    </row>
    <row r="45" spans="1:14">
      <c r="A45">
        <v>8773</v>
      </c>
      <c r="B45" t="s">
        <v>9</v>
      </c>
      <c r="C45" t="s">
        <v>9</v>
      </c>
      <c r="D45" t="s">
        <v>5</v>
      </c>
      <c r="E45" s="1">
        <v>43171.719606481478</v>
      </c>
      <c r="F45" s="465">
        <v>43171.719606481478</v>
      </c>
      <c r="G45" s="464">
        <v>0.71944444444444444</v>
      </c>
      <c r="H45" t="s">
        <v>129</v>
      </c>
      <c r="I45" t="s">
        <v>129</v>
      </c>
      <c r="J45" t="s">
        <v>129</v>
      </c>
    </row>
    <row r="46" spans="1:14">
      <c r="A46">
        <v>8801</v>
      </c>
      <c r="B46" t="s">
        <v>9</v>
      </c>
      <c r="C46" t="s">
        <v>9</v>
      </c>
      <c r="D46" t="s">
        <v>6</v>
      </c>
      <c r="E46" s="1">
        <v>43172.361921296295</v>
      </c>
      <c r="F46" s="465">
        <v>43172.361921296295</v>
      </c>
      <c r="G46" s="464">
        <v>0.36180555555555555</v>
      </c>
      <c r="H46">
        <v>8.4500000000000011</v>
      </c>
      <c r="I46">
        <v>6.9500000000000011</v>
      </c>
      <c r="J46">
        <v>1.0499999999999989</v>
      </c>
    </row>
    <row r="47" spans="1:14">
      <c r="A47">
        <v>8811</v>
      </c>
      <c r="B47" t="s">
        <v>9</v>
      </c>
      <c r="C47" t="s">
        <v>9</v>
      </c>
      <c r="D47" t="s">
        <v>5</v>
      </c>
      <c r="E47" s="1">
        <v>43172.714143518519</v>
      </c>
      <c r="F47" s="465">
        <v>43172.714143518519</v>
      </c>
      <c r="G47" s="464">
        <v>0.71388888888888891</v>
      </c>
      <c r="H47" t="s">
        <v>129</v>
      </c>
      <c r="I47" t="s">
        <v>129</v>
      </c>
      <c r="J47" t="s">
        <v>129</v>
      </c>
    </row>
    <row r="48" spans="1:14">
      <c r="A48">
        <v>8839</v>
      </c>
      <c r="B48" t="s">
        <v>9</v>
      </c>
      <c r="C48" t="s">
        <v>9</v>
      </c>
      <c r="D48" t="s">
        <v>6</v>
      </c>
      <c r="E48" s="1">
        <v>43173.36383101852</v>
      </c>
      <c r="F48" s="465">
        <v>43173.36383101852</v>
      </c>
      <c r="G48" s="464">
        <v>0.36319444444444443</v>
      </c>
      <c r="H48">
        <v>8.4166666666666679</v>
      </c>
      <c r="I48">
        <v>6.9166666666666679</v>
      </c>
      <c r="J48">
        <v>1.0833333333333321</v>
      </c>
    </row>
    <row r="49" spans="1:14">
      <c r="A49">
        <v>8847</v>
      </c>
      <c r="B49" t="s">
        <v>9</v>
      </c>
      <c r="C49" t="s">
        <v>9</v>
      </c>
      <c r="D49" t="s">
        <v>5</v>
      </c>
      <c r="E49" s="1">
        <v>43173.714131944442</v>
      </c>
      <c r="F49" s="465">
        <v>43173.714131944442</v>
      </c>
      <c r="G49" s="464">
        <v>0.71388888888888891</v>
      </c>
      <c r="H49" t="s">
        <v>129</v>
      </c>
      <c r="I49" t="s">
        <v>129</v>
      </c>
      <c r="J49" t="s">
        <v>129</v>
      </c>
    </row>
    <row r="50" spans="1:14">
      <c r="A50">
        <v>8874</v>
      </c>
      <c r="B50" t="s">
        <v>93</v>
      </c>
      <c r="C50" t="s">
        <v>9</v>
      </c>
      <c r="D50" t="s">
        <v>6</v>
      </c>
      <c r="E50" s="1">
        <v>43174.363240740742</v>
      </c>
      <c r="F50" s="465">
        <v>43174.363240740742</v>
      </c>
      <c r="G50" s="464">
        <v>0.36319444444444443</v>
      </c>
      <c r="H50">
        <v>9.7166666666666686</v>
      </c>
      <c r="I50">
        <v>8</v>
      </c>
      <c r="J50" t="s">
        <v>129</v>
      </c>
    </row>
    <row r="51" spans="1:14">
      <c r="A51">
        <v>8886</v>
      </c>
      <c r="B51" t="s">
        <v>9</v>
      </c>
      <c r="C51" t="s">
        <v>9</v>
      </c>
      <c r="D51" t="s">
        <v>5</v>
      </c>
      <c r="E51" s="1">
        <v>43174.768576388888</v>
      </c>
      <c r="F51" s="465">
        <v>43174.768576388888</v>
      </c>
      <c r="G51" s="464">
        <v>0.7680555555555556</v>
      </c>
      <c r="H51" t="s">
        <v>129</v>
      </c>
      <c r="I51" t="s">
        <v>129</v>
      </c>
      <c r="J51" t="s">
        <v>129</v>
      </c>
    </row>
    <row r="52" spans="1:14">
      <c r="A52">
        <v>8912</v>
      </c>
      <c r="B52" t="s">
        <v>9</v>
      </c>
      <c r="C52" t="s">
        <v>9</v>
      </c>
      <c r="D52" t="s">
        <v>6</v>
      </c>
      <c r="E52" s="1">
        <v>43175.365243055552</v>
      </c>
      <c r="F52" s="465">
        <v>43175.365243055552</v>
      </c>
      <c r="G52" s="464">
        <v>0.36458333333333331</v>
      </c>
      <c r="H52">
        <v>9.6</v>
      </c>
      <c r="I52">
        <v>8</v>
      </c>
      <c r="J52" t="s">
        <v>129</v>
      </c>
    </row>
    <row r="53" spans="1:14">
      <c r="A53">
        <v>8919</v>
      </c>
      <c r="B53" t="s">
        <v>9</v>
      </c>
      <c r="C53" t="s">
        <v>9</v>
      </c>
      <c r="D53" t="s">
        <v>5</v>
      </c>
      <c r="E53" s="1">
        <v>43175.76494212963</v>
      </c>
      <c r="F53" s="465">
        <v>43175.76494212963</v>
      </c>
      <c r="G53" s="464">
        <v>0.76458333333333339</v>
      </c>
      <c r="H53" t="s">
        <v>129</v>
      </c>
      <c r="I53" t="s">
        <v>129</v>
      </c>
      <c r="J53" t="s">
        <v>129</v>
      </c>
    </row>
    <row r="54" spans="1:14">
      <c r="A54">
        <v>8924</v>
      </c>
      <c r="B54" t="s">
        <v>9</v>
      </c>
      <c r="C54" t="s">
        <v>9</v>
      </c>
      <c r="D54" t="s">
        <v>7</v>
      </c>
      <c r="E54" s="1">
        <v>43175.771273148152</v>
      </c>
      <c r="F54" s="465">
        <v>43175.771273148152</v>
      </c>
      <c r="G54" s="464">
        <v>0.77083333333333337</v>
      </c>
      <c r="H54" t="s">
        <v>129</v>
      </c>
      <c r="I54" t="s">
        <v>129</v>
      </c>
      <c r="J54" t="s">
        <v>129</v>
      </c>
      <c r="K54">
        <v>1.0333333333333323</v>
      </c>
      <c r="M54">
        <v>1.0333333333333323</v>
      </c>
      <c r="N54">
        <v>0</v>
      </c>
    </row>
    <row r="55" spans="1:14">
      <c r="A55">
        <v>8935</v>
      </c>
      <c r="B55" t="s">
        <v>9</v>
      </c>
      <c r="C55" t="s">
        <v>9</v>
      </c>
      <c r="D55" t="s">
        <v>8</v>
      </c>
      <c r="E55" s="1">
        <v>43175.814016203702</v>
      </c>
      <c r="F55" s="465">
        <v>43175.814016203702</v>
      </c>
      <c r="G55" s="464">
        <v>0.81388888888888899</v>
      </c>
      <c r="H55" t="s">
        <v>129</v>
      </c>
      <c r="I55" t="s">
        <v>129</v>
      </c>
      <c r="J55" t="s">
        <v>129</v>
      </c>
    </row>
    <row r="56" spans="1:14">
      <c r="A56">
        <v>9010</v>
      </c>
      <c r="B56" t="s">
        <v>9</v>
      </c>
      <c r="C56" t="s">
        <v>9</v>
      </c>
      <c r="D56" t="s">
        <v>6</v>
      </c>
      <c r="E56" s="1">
        <v>43178.354710648149</v>
      </c>
      <c r="F56" s="465">
        <v>43178.354710648149</v>
      </c>
      <c r="G56" s="464">
        <v>0.35416666666666669</v>
      </c>
      <c r="H56">
        <v>9.5</v>
      </c>
      <c r="I56">
        <v>8</v>
      </c>
      <c r="J56" t="s">
        <v>129</v>
      </c>
    </row>
    <row r="57" spans="1:14">
      <c r="A57">
        <v>9019</v>
      </c>
      <c r="B57" t="s">
        <v>9</v>
      </c>
      <c r="C57" t="s">
        <v>9</v>
      </c>
      <c r="D57" t="s">
        <v>5</v>
      </c>
      <c r="E57" s="1">
        <v>43178.750208333331</v>
      </c>
      <c r="F57" s="465">
        <v>43178.750208333331</v>
      </c>
      <c r="G57" s="464">
        <v>0.75</v>
      </c>
      <c r="H57" t="s">
        <v>129</v>
      </c>
      <c r="I57" t="s">
        <v>129</v>
      </c>
      <c r="J57" t="s">
        <v>129</v>
      </c>
    </row>
    <row r="58" spans="1:14">
      <c r="A58">
        <v>9010</v>
      </c>
      <c r="B58" t="s">
        <v>9</v>
      </c>
      <c r="C58" t="s">
        <v>9</v>
      </c>
      <c r="D58" t="s">
        <v>6</v>
      </c>
      <c r="E58" s="1">
        <v>43179.362349537034</v>
      </c>
      <c r="F58" s="465">
        <v>43179.362349537034</v>
      </c>
      <c r="G58" s="464">
        <v>0.36180555555555555</v>
      </c>
      <c r="H58">
        <v>8.5666666666666664</v>
      </c>
      <c r="I58">
        <v>7.0666666666666664</v>
      </c>
      <c r="J58">
        <v>0.93333333333333357</v>
      </c>
    </row>
    <row r="59" spans="1:14">
      <c r="A59">
        <v>9019</v>
      </c>
      <c r="B59" t="s">
        <v>9</v>
      </c>
      <c r="C59" t="s">
        <v>9</v>
      </c>
      <c r="D59" t="s">
        <v>5</v>
      </c>
      <c r="E59" s="1">
        <v>43179.718958333331</v>
      </c>
      <c r="F59" s="465">
        <v>43179.718958333331</v>
      </c>
      <c r="G59" s="464">
        <v>0.71875</v>
      </c>
      <c r="H59" t="s">
        <v>129</v>
      </c>
      <c r="I59" t="s">
        <v>129</v>
      </c>
      <c r="J59" t="s">
        <v>129</v>
      </c>
    </row>
    <row r="60" spans="1:14">
      <c r="A60">
        <v>9049</v>
      </c>
      <c r="B60" t="s">
        <v>9</v>
      </c>
      <c r="C60" t="s">
        <v>9</v>
      </c>
      <c r="D60" t="s">
        <v>6</v>
      </c>
      <c r="E60" s="1">
        <v>43180.367094907408</v>
      </c>
      <c r="F60" s="465">
        <v>43180.367094907408</v>
      </c>
      <c r="G60" s="464">
        <v>0.3666666666666667</v>
      </c>
      <c r="H60">
        <v>8.3500000000000014</v>
      </c>
      <c r="I60">
        <v>6.8500000000000014</v>
      </c>
      <c r="J60">
        <v>1.1499999999999986</v>
      </c>
    </row>
    <row r="61" spans="1:14">
      <c r="A61">
        <v>9057</v>
      </c>
      <c r="B61" t="s">
        <v>9</v>
      </c>
      <c r="C61" t="s">
        <v>9</v>
      </c>
      <c r="D61" t="s">
        <v>5</v>
      </c>
      <c r="E61" s="1">
        <v>43180.714965277781</v>
      </c>
      <c r="F61" s="465">
        <v>43180.714965277781</v>
      </c>
      <c r="G61" s="464">
        <v>0.71458333333333324</v>
      </c>
      <c r="H61" t="s">
        <v>129</v>
      </c>
      <c r="I61" t="s">
        <v>129</v>
      </c>
      <c r="J61" t="s">
        <v>129</v>
      </c>
    </row>
    <row r="62" spans="1:14">
      <c r="A62">
        <v>9089</v>
      </c>
      <c r="B62" t="s">
        <v>9</v>
      </c>
      <c r="C62" t="s">
        <v>9</v>
      </c>
      <c r="D62" t="s">
        <v>6</v>
      </c>
      <c r="E62" s="1">
        <v>43181.372604166667</v>
      </c>
      <c r="F62" s="465">
        <v>43181.372604166667</v>
      </c>
      <c r="G62" s="464">
        <v>0.37222222222222223</v>
      </c>
      <c r="H62">
        <v>5.0833333333333339</v>
      </c>
      <c r="I62">
        <v>3.5833333333333339</v>
      </c>
      <c r="J62">
        <v>4.4166666666666661</v>
      </c>
    </row>
    <row r="63" spans="1:14">
      <c r="A63">
        <v>9091</v>
      </c>
      <c r="B63" t="s">
        <v>93</v>
      </c>
      <c r="C63" t="s">
        <v>9</v>
      </c>
      <c r="D63" t="s">
        <v>5</v>
      </c>
      <c r="E63" s="1">
        <v>43181.584687499999</v>
      </c>
      <c r="F63" s="465">
        <v>43181.584687499999</v>
      </c>
      <c r="G63" s="464">
        <v>0.58402777777777781</v>
      </c>
      <c r="H63" t="s">
        <v>129</v>
      </c>
      <c r="I63" t="s">
        <v>129</v>
      </c>
      <c r="J63" t="s">
        <v>129</v>
      </c>
    </row>
    <row r="64" spans="1:14">
      <c r="A64">
        <v>9120</v>
      </c>
      <c r="B64" t="s">
        <v>9</v>
      </c>
      <c r="C64" t="s">
        <v>9</v>
      </c>
      <c r="D64" t="s">
        <v>6</v>
      </c>
      <c r="E64" s="1">
        <v>43182.364606481482</v>
      </c>
      <c r="F64" s="465">
        <v>43182.364606481482</v>
      </c>
      <c r="G64" s="464">
        <v>0.36458333333333331</v>
      </c>
      <c r="H64">
        <v>9.8166666666666682</v>
      </c>
      <c r="I64">
        <v>8</v>
      </c>
      <c r="J64" t="s">
        <v>129</v>
      </c>
    </row>
    <row r="65" spans="1:14">
      <c r="A65">
        <v>9133</v>
      </c>
      <c r="B65" t="s">
        <v>93</v>
      </c>
      <c r="C65" t="s">
        <v>9</v>
      </c>
      <c r="D65" t="s">
        <v>5</v>
      </c>
      <c r="E65" s="1">
        <v>43182.773877314816</v>
      </c>
      <c r="F65" s="465">
        <v>43182.773877314816</v>
      </c>
      <c r="G65" s="464">
        <v>0.77361111111111114</v>
      </c>
      <c r="H65" t="s">
        <v>129</v>
      </c>
      <c r="I65" t="s">
        <v>129</v>
      </c>
      <c r="J65" t="s">
        <v>129</v>
      </c>
    </row>
    <row r="66" spans="1:14">
      <c r="A66">
        <v>9138</v>
      </c>
      <c r="B66" t="s">
        <v>9</v>
      </c>
      <c r="C66" t="s">
        <v>9</v>
      </c>
      <c r="D66" t="s">
        <v>6</v>
      </c>
      <c r="E66" s="1">
        <v>43185.360289351855</v>
      </c>
      <c r="F66" s="465">
        <v>43185.360289351855</v>
      </c>
      <c r="G66" s="464">
        <v>0.35972222222222222</v>
      </c>
      <c r="H66">
        <v>8.7166666666666668</v>
      </c>
      <c r="I66">
        <v>7.2166666666666668</v>
      </c>
      <c r="J66">
        <v>0.78333333333333321</v>
      </c>
    </row>
    <row r="67" spans="1:14">
      <c r="A67">
        <v>9146</v>
      </c>
      <c r="B67" t="s">
        <v>9</v>
      </c>
      <c r="C67" t="s">
        <v>9</v>
      </c>
      <c r="D67" t="s">
        <v>5</v>
      </c>
      <c r="E67" s="1">
        <v>43185.723333333335</v>
      </c>
      <c r="F67" s="465">
        <v>43185.723333333335</v>
      </c>
      <c r="G67" s="464">
        <v>0.72291666666666676</v>
      </c>
      <c r="H67" t="s">
        <v>129</v>
      </c>
      <c r="I67" t="s">
        <v>129</v>
      </c>
      <c r="J67" t="s">
        <v>129</v>
      </c>
    </row>
    <row r="68" spans="1:14">
      <c r="A68">
        <v>9010</v>
      </c>
      <c r="B68" t="s">
        <v>9</v>
      </c>
      <c r="C68" t="s">
        <v>9</v>
      </c>
      <c r="D68" t="s">
        <v>6</v>
      </c>
      <c r="E68" s="1">
        <v>43186.354710648149</v>
      </c>
      <c r="F68" s="465">
        <v>43186.354710648149</v>
      </c>
      <c r="G68" s="464">
        <v>0.35416666666666669</v>
      </c>
      <c r="H68">
        <v>9.5</v>
      </c>
      <c r="I68">
        <v>8</v>
      </c>
      <c r="J68" t="s">
        <v>129</v>
      </c>
    </row>
    <row r="69" spans="1:14">
      <c r="A69">
        <v>9019</v>
      </c>
      <c r="B69" t="s">
        <v>9</v>
      </c>
      <c r="C69" t="s">
        <v>9</v>
      </c>
      <c r="D69" t="s">
        <v>5</v>
      </c>
      <c r="E69" s="1">
        <v>43186.750208333331</v>
      </c>
      <c r="F69" s="465">
        <v>43186.750208333331</v>
      </c>
      <c r="G69" s="464">
        <v>0.75</v>
      </c>
      <c r="H69" t="s">
        <v>129</v>
      </c>
      <c r="I69" t="s">
        <v>129</v>
      </c>
      <c r="J69" t="s">
        <v>129</v>
      </c>
    </row>
    <row r="70" spans="1:14">
      <c r="A70">
        <v>9193</v>
      </c>
      <c r="B70" t="s">
        <v>9</v>
      </c>
      <c r="C70" t="s">
        <v>9</v>
      </c>
      <c r="D70" t="s">
        <v>6</v>
      </c>
      <c r="E70" s="1">
        <v>43187.363703703704</v>
      </c>
      <c r="F70" s="465">
        <v>43187.363703703704</v>
      </c>
      <c r="G70" s="464">
        <v>0.36319444444444443</v>
      </c>
      <c r="H70">
        <v>8.5</v>
      </c>
      <c r="I70">
        <v>7</v>
      </c>
      <c r="J70">
        <v>1</v>
      </c>
    </row>
    <row r="71" spans="1:14">
      <c r="A71">
        <v>9201</v>
      </c>
      <c r="B71" t="s">
        <v>9</v>
      </c>
      <c r="C71" t="s">
        <v>9</v>
      </c>
      <c r="D71" t="s">
        <v>5</v>
      </c>
      <c r="E71" s="1">
        <v>43187.717395833337</v>
      </c>
      <c r="F71" s="465">
        <v>43187.717395833337</v>
      </c>
      <c r="G71" s="464">
        <v>0.71736111111111101</v>
      </c>
      <c r="H71" t="s">
        <v>129</v>
      </c>
      <c r="I71" t="s">
        <v>129</v>
      </c>
      <c r="J71" t="s">
        <v>129</v>
      </c>
    </row>
    <row r="72" spans="1:14">
      <c r="A72">
        <v>9234</v>
      </c>
      <c r="B72" t="s">
        <v>9</v>
      </c>
      <c r="C72" t="s">
        <v>9</v>
      </c>
      <c r="D72" t="s">
        <v>6</v>
      </c>
      <c r="E72" s="1">
        <v>43188.372164351851</v>
      </c>
      <c r="F72" s="465">
        <v>43188.372164351851</v>
      </c>
      <c r="G72" s="464">
        <v>0.37152777777777773</v>
      </c>
      <c r="H72">
        <v>9.5833333333333339</v>
      </c>
      <c r="I72">
        <v>8</v>
      </c>
      <c r="J72" t="s">
        <v>129</v>
      </c>
    </row>
    <row r="73" spans="1:14">
      <c r="A73">
        <v>9240</v>
      </c>
      <c r="B73" t="s">
        <v>9</v>
      </c>
      <c r="C73" t="s">
        <v>9</v>
      </c>
      <c r="D73" t="s">
        <v>5</v>
      </c>
      <c r="E73" s="1">
        <v>43188.771134259259</v>
      </c>
      <c r="F73" s="465">
        <v>43188.771134259259</v>
      </c>
      <c r="G73" s="464">
        <v>0.77083333333333337</v>
      </c>
      <c r="H73" t="s">
        <v>129</v>
      </c>
      <c r="I73" t="s">
        <v>129</v>
      </c>
      <c r="J73" t="s">
        <v>129</v>
      </c>
    </row>
    <row r="74" spans="1:14">
      <c r="A74">
        <v>9263</v>
      </c>
      <c r="B74" t="s">
        <v>9</v>
      </c>
      <c r="C74" t="s">
        <v>9</v>
      </c>
      <c r="D74" t="s">
        <v>6</v>
      </c>
      <c r="E74" s="1">
        <v>43189.364768518521</v>
      </c>
      <c r="F74" s="465">
        <v>43189.364768518521</v>
      </c>
      <c r="G74" s="464">
        <v>0.36458333333333331</v>
      </c>
      <c r="H74">
        <v>9.7500000000000018</v>
      </c>
      <c r="I74">
        <v>8</v>
      </c>
      <c r="J74" t="s">
        <v>129</v>
      </c>
    </row>
    <row r="75" spans="1:14">
      <c r="A75">
        <v>9271</v>
      </c>
      <c r="B75" t="s">
        <v>9</v>
      </c>
      <c r="C75" t="s">
        <v>9</v>
      </c>
      <c r="D75" t="s">
        <v>5</v>
      </c>
      <c r="E75" s="1">
        <v>43189.771423611113</v>
      </c>
      <c r="F75" s="465">
        <v>43189.771423611113</v>
      </c>
      <c r="G75" s="464">
        <v>0.77083333333333337</v>
      </c>
      <c r="H75" t="s">
        <v>129</v>
      </c>
      <c r="I75" t="s">
        <v>129</v>
      </c>
      <c r="J75" t="s">
        <v>129</v>
      </c>
    </row>
    <row r="76" spans="1:14">
      <c r="A76">
        <v>9272</v>
      </c>
      <c r="B76" t="s">
        <v>9</v>
      </c>
      <c r="C76" t="s">
        <v>9</v>
      </c>
      <c r="D76" t="s">
        <v>7</v>
      </c>
      <c r="E76" s="1">
        <v>43189.771458333336</v>
      </c>
      <c r="F76" s="465">
        <v>43189.771458333336</v>
      </c>
      <c r="G76" s="464">
        <v>0.77083333333333337</v>
      </c>
      <c r="H76" t="s">
        <v>129</v>
      </c>
      <c r="I76" t="s">
        <v>129</v>
      </c>
      <c r="J76" t="s">
        <v>129</v>
      </c>
      <c r="K76">
        <v>0.28333333333333233</v>
      </c>
      <c r="M76">
        <v>0.28333333333333233</v>
      </c>
      <c r="N76">
        <v>0</v>
      </c>
    </row>
    <row r="77" spans="1:14">
      <c r="A77">
        <v>9279</v>
      </c>
      <c r="B77" t="s">
        <v>9</v>
      </c>
      <c r="C77" t="s">
        <v>9</v>
      </c>
      <c r="D77" t="s">
        <v>8</v>
      </c>
      <c r="E77" s="1">
        <v>43189.783275462964</v>
      </c>
      <c r="F77" s="465">
        <v>43189.783275462964</v>
      </c>
      <c r="G77" s="464">
        <v>0.78263888888888899</v>
      </c>
      <c r="H77" t="s">
        <v>129</v>
      </c>
      <c r="I77" t="s">
        <v>129</v>
      </c>
      <c r="J77" t="s">
        <v>129</v>
      </c>
    </row>
    <row r="78" spans="1:14">
      <c r="A78">
        <v>9290</v>
      </c>
      <c r="B78" t="s">
        <v>9</v>
      </c>
      <c r="C78" t="s">
        <v>9</v>
      </c>
      <c r="D78" t="s">
        <v>6</v>
      </c>
      <c r="E78" s="1">
        <v>43190.370393518519</v>
      </c>
      <c r="F78" s="465">
        <v>43190.370393518519</v>
      </c>
      <c r="G78" s="464">
        <v>0.37013888888888885</v>
      </c>
      <c r="H78">
        <v>9.533333333333335</v>
      </c>
      <c r="I78">
        <v>8</v>
      </c>
      <c r="J78" t="s">
        <v>129</v>
      </c>
    </row>
    <row r="79" spans="1:14">
      <c r="A79">
        <v>9295</v>
      </c>
      <c r="B79" t="s">
        <v>9</v>
      </c>
      <c r="C79" t="s">
        <v>9</v>
      </c>
      <c r="D79" t="s">
        <v>5</v>
      </c>
      <c r="E79" s="1">
        <v>43190.767708333333</v>
      </c>
      <c r="F79" s="465">
        <v>43190.767708333333</v>
      </c>
      <c r="G79" s="464">
        <v>0.76736111111111116</v>
      </c>
      <c r="H79" t="s">
        <v>129</v>
      </c>
      <c r="I79" t="s">
        <v>129</v>
      </c>
      <c r="J79" t="s">
        <v>129</v>
      </c>
    </row>
    <row r="80" spans="1:14">
      <c r="A80">
        <v>9300</v>
      </c>
      <c r="B80" t="s">
        <v>9</v>
      </c>
      <c r="C80" t="s">
        <v>9</v>
      </c>
      <c r="D80" t="s">
        <v>7</v>
      </c>
      <c r="E80" s="1">
        <v>43190.771620370368</v>
      </c>
      <c r="F80" s="465">
        <v>43190.771620370368</v>
      </c>
      <c r="G80" s="464">
        <v>0.7715277777777777</v>
      </c>
      <c r="H80" t="s">
        <v>129</v>
      </c>
      <c r="I80" t="s">
        <v>129</v>
      </c>
      <c r="J80" t="s">
        <v>129</v>
      </c>
      <c r="K80">
        <v>4.1833333333333318</v>
      </c>
      <c r="M80">
        <v>2</v>
      </c>
      <c r="N80">
        <v>2.1833333333333318</v>
      </c>
    </row>
    <row r="81" spans="1:14">
      <c r="A81">
        <v>9310</v>
      </c>
      <c r="B81" t="s">
        <v>9</v>
      </c>
      <c r="C81" t="s">
        <v>9</v>
      </c>
      <c r="D81" t="s">
        <v>8</v>
      </c>
      <c r="E81" s="1">
        <v>43190.946331018517</v>
      </c>
      <c r="F81" s="465">
        <v>43190.946331018517</v>
      </c>
      <c r="G81" s="464">
        <v>0.9458333333333333</v>
      </c>
      <c r="H81" t="s">
        <v>129</v>
      </c>
      <c r="I81" t="s">
        <v>129</v>
      </c>
      <c r="J81" t="s">
        <v>129</v>
      </c>
    </row>
    <row r="82" spans="1:14">
      <c r="A82">
        <v>9223</v>
      </c>
      <c r="B82" t="s">
        <v>128</v>
      </c>
      <c r="C82" t="s">
        <v>128</v>
      </c>
      <c r="D82" t="s">
        <v>6</v>
      </c>
      <c r="E82" s="1">
        <v>43174.583807870367</v>
      </c>
      <c r="F82" s="465">
        <v>43174.583807870367</v>
      </c>
      <c r="G82" s="464">
        <v>0.58333333333333337</v>
      </c>
      <c r="H82">
        <v>3.4999999999999982</v>
      </c>
      <c r="I82">
        <v>1.9999999999999982</v>
      </c>
      <c r="J82">
        <v>6.0000000000000018</v>
      </c>
    </row>
    <row r="83" spans="1:14">
      <c r="A83">
        <v>9223</v>
      </c>
      <c r="B83" t="s">
        <v>128</v>
      </c>
      <c r="C83" t="s">
        <v>128</v>
      </c>
      <c r="D83" t="s">
        <v>5</v>
      </c>
      <c r="E83" s="1">
        <v>43174.729548611111</v>
      </c>
      <c r="F83" s="465">
        <v>43174.729548611111</v>
      </c>
      <c r="G83" s="464">
        <v>0.72916666666666663</v>
      </c>
      <c r="H83" t="s">
        <v>129</v>
      </c>
      <c r="I83" t="s">
        <v>129</v>
      </c>
      <c r="J83" t="s">
        <v>129</v>
      </c>
    </row>
    <row r="84" spans="1:14">
      <c r="A84">
        <v>9223</v>
      </c>
      <c r="B84" t="s">
        <v>128</v>
      </c>
      <c r="C84" t="s">
        <v>128</v>
      </c>
      <c r="D84" t="s">
        <v>6</v>
      </c>
      <c r="E84" s="1">
        <v>43187.417141203703</v>
      </c>
      <c r="F84" s="465">
        <v>43187.417141203703</v>
      </c>
      <c r="G84" s="464">
        <v>0.41666666666666669</v>
      </c>
      <c r="H84">
        <v>2.5000000000000004</v>
      </c>
      <c r="I84">
        <v>1.0000000000000004</v>
      </c>
      <c r="J84">
        <v>7</v>
      </c>
    </row>
    <row r="85" spans="1:14">
      <c r="A85">
        <v>9223</v>
      </c>
      <c r="B85" t="s">
        <v>128</v>
      </c>
      <c r="C85" t="s">
        <v>128</v>
      </c>
      <c r="D85" t="s">
        <v>5</v>
      </c>
      <c r="E85" s="1">
        <v>43187.521215277775</v>
      </c>
      <c r="F85" s="465">
        <v>43187.521215277775</v>
      </c>
      <c r="G85" s="464">
        <v>0.52083333333333337</v>
      </c>
      <c r="H85" t="s">
        <v>129</v>
      </c>
      <c r="I85" t="s">
        <v>129</v>
      </c>
      <c r="J85" t="s">
        <v>129</v>
      </c>
    </row>
    <row r="86" spans="1:14">
      <c r="A86">
        <v>8495</v>
      </c>
      <c r="B86" t="s">
        <v>73</v>
      </c>
      <c r="C86" t="s">
        <v>73</v>
      </c>
      <c r="D86" t="s">
        <v>6</v>
      </c>
      <c r="E86" s="1">
        <v>43160.370567129627</v>
      </c>
      <c r="F86" s="465">
        <v>43160.370567129627</v>
      </c>
      <c r="G86" s="464">
        <v>0.37013888888888885</v>
      </c>
      <c r="H86">
        <v>9.6166666666666671</v>
      </c>
      <c r="I86">
        <v>8</v>
      </c>
      <c r="J86" t="s">
        <v>129</v>
      </c>
    </row>
    <row r="87" spans="1:14">
      <c r="A87">
        <v>8501</v>
      </c>
      <c r="B87" t="s">
        <v>73</v>
      </c>
      <c r="C87" t="s">
        <v>73</v>
      </c>
      <c r="D87" t="s">
        <v>5</v>
      </c>
      <c r="E87" s="1">
        <v>43160.770902777775</v>
      </c>
      <c r="F87" s="465">
        <v>43160.770902777775</v>
      </c>
      <c r="G87" s="464">
        <v>0.77083333333333337</v>
      </c>
      <c r="H87" t="s">
        <v>129</v>
      </c>
      <c r="I87" t="s">
        <v>129</v>
      </c>
      <c r="J87" t="s">
        <v>129</v>
      </c>
    </row>
    <row r="88" spans="1:14">
      <c r="A88">
        <v>8503</v>
      </c>
      <c r="B88" t="s">
        <v>73</v>
      </c>
      <c r="C88" t="s">
        <v>73</v>
      </c>
      <c r="D88" t="s">
        <v>7</v>
      </c>
      <c r="E88" s="1">
        <v>43160.770983796298</v>
      </c>
      <c r="F88" s="465">
        <v>43160.770983796298</v>
      </c>
      <c r="G88" s="464">
        <v>0.77083333333333337</v>
      </c>
      <c r="H88" t="s">
        <v>129</v>
      </c>
      <c r="I88" t="s">
        <v>129</v>
      </c>
      <c r="J88" t="s">
        <v>129</v>
      </c>
      <c r="K88">
        <v>1.0333333333333323</v>
      </c>
      <c r="M88">
        <v>1.0333333333333323</v>
      </c>
      <c r="N88">
        <v>0</v>
      </c>
    </row>
    <row r="89" spans="1:14">
      <c r="A89">
        <v>8515</v>
      </c>
      <c r="B89" t="s">
        <v>73</v>
      </c>
      <c r="C89" t="s">
        <v>73</v>
      </c>
      <c r="D89" t="s">
        <v>8</v>
      </c>
      <c r="E89" s="1">
        <v>43160.814201388886</v>
      </c>
      <c r="F89" s="465">
        <v>43160.814201388886</v>
      </c>
      <c r="G89" s="464">
        <v>0.81388888888888899</v>
      </c>
      <c r="H89" t="s">
        <v>129</v>
      </c>
      <c r="I89" t="s">
        <v>129</v>
      </c>
      <c r="J89" t="s">
        <v>129</v>
      </c>
    </row>
    <row r="90" spans="1:14">
      <c r="A90">
        <v>8528</v>
      </c>
      <c r="B90" t="s">
        <v>73</v>
      </c>
      <c r="C90" t="s">
        <v>73</v>
      </c>
      <c r="D90" t="s">
        <v>6</v>
      </c>
      <c r="E90" s="1">
        <v>43161.370648148149</v>
      </c>
      <c r="F90" s="465">
        <v>43161.370648148149</v>
      </c>
      <c r="G90" s="464">
        <v>0.37013888888888885</v>
      </c>
      <c r="H90">
        <v>9.6166666666666671</v>
      </c>
      <c r="I90">
        <v>8</v>
      </c>
      <c r="J90" t="s">
        <v>129</v>
      </c>
    </row>
    <row r="91" spans="1:14">
      <c r="A91">
        <v>8501</v>
      </c>
      <c r="B91" t="s">
        <v>73</v>
      </c>
      <c r="C91" t="s">
        <v>73</v>
      </c>
      <c r="D91" t="s">
        <v>5</v>
      </c>
      <c r="E91" s="1">
        <v>43161.770902777775</v>
      </c>
      <c r="F91" s="465">
        <v>43161.770902777775</v>
      </c>
      <c r="G91" s="464">
        <v>0.77083333333333337</v>
      </c>
      <c r="H91" t="s">
        <v>129</v>
      </c>
      <c r="I91" t="s">
        <v>129</v>
      </c>
      <c r="J91" t="s">
        <v>129</v>
      </c>
    </row>
    <row r="92" spans="1:14">
      <c r="A92">
        <v>8503</v>
      </c>
      <c r="B92" t="s">
        <v>73</v>
      </c>
      <c r="C92" t="s">
        <v>73</v>
      </c>
      <c r="D92" t="s">
        <v>7</v>
      </c>
      <c r="E92" s="1">
        <v>43161.770983796298</v>
      </c>
      <c r="F92" s="465">
        <v>43161.770983796298</v>
      </c>
      <c r="G92" s="464">
        <v>0.77083333333333337</v>
      </c>
      <c r="H92" t="s">
        <v>129</v>
      </c>
      <c r="I92" t="s">
        <v>129</v>
      </c>
      <c r="J92" t="s">
        <v>129</v>
      </c>
      <c r="K92">
        <v>0.73333333333333339</v>
      </c>
      <c r="M92">
        <v>0.73333333333333339</v>
      </c>
      <c r="N92">
        <v>0</v>
      </c>
    </row>
    <row r="93" spans="1:14">
      <c r="A93">
        <v>8543</v>
      </c>
      <c r="B93" t="s">
        <v>73</v>
      </c>
      <c r="C93" t="s">
        <v>73</v>
      </c>
      <c r="D93" t="s">
        <v>8</v>
      </c>
      <c r="E93" s="1">
        <v>43161.801782407405</v>
      </c>
      <c r="F93" s="465">
        <v>43161.801782407405</v>
      </c>
      <c r="G93" s="464">
        <v>0.80138888888888893</v>
      </c>
      <c r="H93" t="s">
        <v>129</v>
      </c>
      <c r="I93" t="s">
        <v>129</v>
      </c>
      <c r="J93" t="s">
        <v>129</v>
      </c>
    </row>
    <row r="94" spans="1:14">
      <c r="A94">
        <v>8564</v>
      </c>
      <c r="B94" t="s">
        <v>73</v>
      </c>
      <c r="C94" t="s">
        <v>73</v>
      </c>
      <c r="D94" t="s">
        <v>6</v>
      </c>
      <c r="E94" s="1">
        <v>43164.36991898148</v>
      </c>
      <c r="F94" s="465">
        <v>43164.36991898148</v>
      </c>
      <c r="G94" s="464">
        <v>0.36944444444444446</v>
      </c>
      <c r="H94">
        <v>9.6666666666666679</v>
      </c>
      <c r="I94">
        <v>8</v>
      </c>
      <c r="J94" t="s">
        <v>129</v>
      </c>
    </row>
    <row r="95" spans="1:14">
      <c r="A95">
        <v>8579</v>
      </c>
      <c r="B95" t="s">
        <v>73</v>
      </c>
      <c r="C95" t="s">
        <v>73</v>
      </c>
      <c r="D95" t="s">
        <v>5</v>
      </c>
      <c r="E95" s="1">
        <v>43164.772824074076</v>
      </c>
      <c r="F95" s="465">
        <v>43164.772824074076</v>
      </c>
      <c r="G95" s="464">
        <v>0.77222222222222225</v>
      </c>
      <c r="H95" t="s">
        <v>129</v>
      </c>
      <c r="I95" t="s">
        <v>129</v>
      </c>
      <c r="J95" t="s">
        <v>129</v>
      </c>
    </row>
    <row r="96" spans="1:14">
      <c r="A96">
        <v>8580</v>
      </c>
      <c r="B96" t="s">
        <v>73</v>
      </c>
      <c r="C96" t="s">
        <v>73</v>
      </c>
      <c r="D96" t="s">
        <v>7</v>
      </c>
      <c r="E96" s="1">
        <v>43164.772986111115</v>
      </c>
      <c r="F96" s="465">
        <v>43164.772986111115</v>
      </c>
      <c r="G96" s="464">
        <v>0.7729166666666667</v>
      </c>
      <c r="H96" t="s">
        <v>129</v>
      </c>
      <c r="I96" t="s">
        <v>129</v>
      </c>
      <c r="J96" t="s">
        <v>129</v>
      </c>
      <c r="K96">
        <v>1.4833333333333334</v>
      </c>
      <c r="M96">
        <v>1.4833333333333334</v>
      </c>
      <c r="N96">
        <v>0</v>
      </c>
    </row>
    <row r="97" spans="1:14">
      <c r="A97">
        <v>8585</v>
      </c>
      <c r="B97" t="s">
        <v>73</v>
      </c>
      <c r="C97" t="s">
        <v>73</v>
      </c>
      <c r="D97" t="s">
        <v>8</v>
      </c>
      <c r="E97" s="1">
        <v>43164.834791666668</v>
      </c>
      <c r="F97" s="465">
        <v>43164.834791666668</v>
      </c>
      <c r="G97" s="464">
        <v>0.83472222222222225</v>
      </c>
      <c r="H97" t="s">
        <v>129</v>
      </c>
      <c r="I97" t="s">
        <v>129</v>
      </c>
      <c r="J97" t="s">
        <v>129</v>
      </c>
    </row>
    <row r="98" spans="1:14">
      <c r="A98">
        <v>8598</v>
      </c>
      <c r="B98" t="s">
        <v>73</v>
      </c>
      <c r="C98" t="s">
        <v>73</v>
      </c>
      <c r="D98" t="s">
        <v>6</v>
      </c>
      <c r="E98" s="1">
        <v>43165.369328703702</v>
      </c>
      <c r="F98" s="465">
        <v>43165.369328703702</v>
      </c>
      <c r="G98" s="464">
        <v>0.36874999999999997</v>
      </c>
      <c r="H98">
        <v>9.5500000000000007</v>
      </c>
      <c r="I98">
        <v>8</v>
      </c>
      <c r="J98" t="s">
        <v>129</v>
      </c>
    </row>
    <row r="99" spans="1:14">
      <c r="A99">
        <v>8608</v>
      </c>
      <c r="B99" t="s">
        <v>73</v>
      </c>
      <c r="C99" t="s">
        <v>73</v>
      </c>
      <c r="D99" t="s">
        <v>5</v>
      </c>
      <c r="E99" s="1">
        <v>43165.766770833332</v>
      </c>
      <c r="F99" s="465">
        <v>43165.766770833332</v>
      </c>
      <c r="G99" s="464">
        <v>0.76666666666666661</v>
      </c>
      <c r="H99" t="s">
        <v>129</v>
      </c>
      <c r="I99" t="s">
        <v>129</v>
      </c>
      <c r="J99" t="s">
        <v>129</v>
      </c>
    </row>
    <row r="100" spans="1:14">
      <c r="A100">
        <v>8618</v>
      </c>
      <c r="B100" t="s">
        <v>73</v>
      </c>
      <c r="C100" t="s">
        <v>73</v>
      </c>
      <c r="D100" t="s">
        <v>7</v>
      </c>
      <c r="E100" s="1">
        <v>43165.78702546296</v>
      </c>
      <c r="F100" s="465">
        <v>43165.78702546296</v>
      </c>
      <c r="G100" s="464">
        <v>0.78680555555555554</v>
      </c>
      <c r="H100" t="s">
        <v>129</v>
      </c>
      <c r="I100" t="s">
        <v>129</v>
      </c>
      <c r="J100" t="s">
        <v>129</v>
      </c>
      <c r="K100">
        <v>2.1333333333333337</v>
      </c>
      <c r="M100">
        <v>2</v>
      </c>
      <c r="N100">
        <v>0.13333333333333375</v>
      </c>
    </row>
    <row r="101" spans="1:14">
      <c r="A101">
        <v>8620</v>
      </c>
      <c r="B101" t="s">
        <v>73</v>
      </c>
      <c r="C101" t="s">
        <v>73</v>
      </c>
      <c r="D101" t="s">
        <v>8</v>
      </c>
      <c r="E101" s="1">
        <v>43165.876226851855</v>
      </c>
      <c r="F101" s="465">
        <v>43165.876226851855</v>
      </c>
      <c r="G101" s="464">
        <v>0.87569444444444444</v>
      </c>
      <c r="H101" t="s">
        <v>129</v>
      </c>
      <c r="I101" t="s">
        <v>129</v>
      </c>
      <c r="J101" t="s">
        <v>129</v>
      </c>
    </row>
    <row r="102" spans="1:14">
      <c r="A102">
        <v>8633</v>
      </c>
      <c r="B102" t="s">
        <v>73</v>
      </c>
      <c r="C102" t="s">
        <v>73</v>
      </c>
      <c r="D102" t="s">
        <v>6</v>
      </c>
      <c r="E102" s="1">
        <v>43166.370625000003</v>
      </c>
      <c r="F102" s="465">
        <v>43166.370625000003</v>
      </c>
      <c r="G102" s="464">
        <v>0.37013888888888885</v>
      </c>
      <c r="H102">
        <v>9.6000000000000014</v>
      </c>
      <c r="I102">
        <v>8</v>
      </c>
      <c r="J102" t="s">
        <v>129</v>
      </c>
    </row>
    <row r="103" spans="1:14">
      <c r="A103">
        <v>8642</v>
      </c>
      <c r="B103" t="s">
        <v>73</v>
      </c>
      <c r="C103" t="s">
        <v>73</v>
      </c>
      <c r="D103" t="s">
        <v>5</v>
      </c>
      <c r="E103" s="1">
        <v>43166.770324074074</v>
      </c>
      <c r="F103" s="465">
        <v>43166.770324074074</v>
      </c>
      <c r="G103" s="464">
        <v>0.77013888888888893</v>
      </c>
      <c r="H103" t="s">
        <v>129</v>
      </c>
      <c r="I103" t="s">
        <v>129</v>
      </c>
      <c r="J103" t="s">
        <v>129</v>
      </c>
    </row>
    <row r="104" spans="1:14">
      <c r="A104">
        <v>8643</v>
      </c>
      <c r="B104" t="s">
        <v>73</v>
      </c>
      <c r="C104" t="s">
        <v>73</v>
      </c>
      <c r="D104" t="s">
        <v>7</v>
      </c>
      <c r="E104" s="1">
        <v>43166.770335648151</v>
      </c>
      <c r="F104" s="465">
        <v>43166.770335648151</v>
      </c>
      <c r="G104" s="464">
        <v>0.77013888888888893</v>
      </c>
      <c r="H104" t="s">
        <v>129</v>
      </c>
      <c r="I104" t="s">
        <v>129</v>
      </c>
      <c r="J104" t="s">
        <v>129</v>
      </c>
      <c r="K104">
        <v>2.049999999999998</v>
      </c>
      <c r="M104">
        <v>2</v>
      </c>
      <c r="N104">
        <v>4.9999999999998046E-2</v>
      </c>
    </row>
    <row r="105" spans="1:14">
      <c r="A105">
        <v>8657</v>
      </c>
      <c r="B105" t="s">
        <v>73</v>
      </c>
      <c r="C105" t="s">
        <v>73</v>
      </c>
      <c r="D105" t="s">
        <v>8</v>
      </c>
      <c r="E105" s="1">
        <v>43166.855914351851</v>
      </c>
      <c r="F105" s="465">
        <v>43166.855914351851</v>
      </c>
      <c r="G105" s="464">
        <v>0.85555555555555562</v>
      </c>
      <c r="H105" t="s">
        <v>129</v>
      </c>
      <c r="I105" t="s">
        <v>129</v>
      </c>
      <c r="J105" t="s">
        <v>129</v>
      </c>
    </row>
    <row r="106" spans="1:14">
      <c r="A106">
        <v>8671</v>
      </c>
      <c r="B106" t="s">
        <v>73</v>
      </c>
      <c r="C106" t="s">
        <v>73</v>
      </c>
      <c r="D106" t="s">
        <v>6</v>
      </c>
      <c r="E106" s="1">
        <v>43167.371261574073</v>
      </c>
      <c r="F106" s="465">
        <v>43167.371261574073</v>
      </c>
      <c r="G106" s="464">
        <v>0.37083333333333335</v>
      </c>
      <c r="H106">
        <v>9.6000000000000014</v>
      </c>
      <c r="I106">
        <v>8</v>
      </c>
      <c r="J106" t="s">
        <v>129</v>
      </c>
    </row>
    <row r="107" spans="1:14">
      <c r="A107">
        <v>8677</v>
      </c>
      <c r="B107" t="s">
        <v>73</v>
      </c>
      <c r="C107" t="s">
        <v>73</v>
      </c>
      <c r="D107" t="s">
        <v>5</v>
      </c>
      <c r="E107" s="1">
        <v>43167.770868055559</v>
      </c>
      <c r="F107" s="465">
        <v>43167.770868055559</v>
      </c>
      <c r="G107" s="464">
        <v>0.77083333333333337</v>
      </c>
      <c r="H107" t="s">
        <v>129</v>
      </c>
      <c r="I107" t="s">
        <v>129</v>
      </c>
      <c r="J107" t="s">
        <v>129</v>
      </c>
    </row>
    <row r="108" spans="1:14">
      <c r="A108">
        <v>8685</v>
      </c>
      <c r="B108" t="s">
        <v>73</v>
      </c>
      <c r="C108" t="s">
        <v>73</v>
      </c>
      <c r="D108" t="s">
        <v>7</v>
      </c>
      <c r="E108" s="1">
        <v>43167.781597222223</v>
      </c>
      <c r="F108" s="465">
        <v>43167.781597222223</v>
      </c>
      <c r="G108" s="464">
        <v>0.78125</v>
      </c>
      <c r="H108" t="s">
        <v>129</v>
      </c>
      <c r="I108" t="s">
        <v>129</v>
      </c>
      <c r="J108" t="s">
        <v>129</v>
      </c>
      <c r="K108">
        <v>0.34999999999999876</v>
      </c>
      <c r="M108">
        <v>0.34999999999999876</v>
      </c>
      <c r="N108">
        <v>0</v>
      </c>
    </row>
    <row r="109" spans="1:14">
      <c r="A109">
        <v>8686</v>
      </c>
      <c r="B109" t="s">
        <v>73</v>
      </c>
      <c r="C109" t="s">
        <v>73</v>
      </c>
      <c r="D109" t="s">
        <v>8</v>
      </c>
      <c r="E109" s="1">
        <v>43167.795949074076</v>
      </c>
      <c r="F109" s="465">
        <v>43167.795949074076</v>
      </c>
      <c r="G109" s="464">
        <v>0.79583333333333339</v>
      </c>
      <c r="H109" t="s">
        <v>129</v>
      </c>
      <c r="I109" t="s">
        <v>129</v>
      </c>
      <c r="J109" t="s">
        <v>129</v>
      </c>
    </row>
    <row r="110" spans="1:14">
      <c r="A110">
        <v>8700</v>
      </c>
      <c r="B110" t="s">
        <v>73</v>
      </c>
      <c r="C110" t="s">
        <v>73</v>
      </c>
      <c r="D110" t="s">
        <v>6</v>
      </c>
      <c r="E110" s="1">
        <v>43168.37295138889</v>
      </c>
      <c r="F110" s="465">
        <v>43168.37295138889</v>
      </c>
      <c r="G110" s="464">
        <v>0.37291666666666662</v>
      </c>
      <c r="H110">
        <v>9.5500000000000007</v>
      </c>
      <c r="I110">
        <v>8</v>
      </c>
      <c r="J110" t="s">
        <v>129</v>
      </c>
    </row>
    <row r="111" spans="1:14">
      <c r="A111">
        <v>8709</v>
      </c>
      <c r="B111" t="s">
        <v>73</v>
      </c>
      <c r="C111" t="s">
        <v>73</v>
      </c>
      <c r="D111" t="s">
        <v>5</v>
      </c>
      <c r="E111" s="1">
        <v>43168.771168981482</v>
      </c>
      <c r="F111" s="465">
        <v>43168.771168981482</v>
      </c>
      <c r="G111" s="464">
        <v>0.77083333333333337</v>
      </c>
      <c r="H111" t="s">
        <v>129</v>
      </c>
      <c r="I111" t="s">
        <v>129</v>
      </c>
      <c r="J111" t="s">
        <v>129</v>
      </c>
    </row>
    <row r="112" spans="1:14">
      <c r="A112">
        <v>8769</v>
      </c>
      <c r="B112" t="s">
        <v>73</v>
      </c>
      <c r="C112" t="s">
        <v>73</v>
      </c>
      <c r="D112" t="s">
        <v>6</v>
      </c>
      <c r="E112" s="1">
        <v>43171.371828703705</v>
      </c>
      <c r="F112" s="465">
        <v>43171.371828703705</v>
      </c>
      <c r="G112" s="464">
        <v>0.37152777777777773</v>
      </c>
      <c r="H112">
        <v>9.5666666666666664</v>
      </c>
      <c r="I112">
        <v>8</v>
      </c>
      <c r="J112" t="s">
        <v>129</v>
      </c>
    </row>
    <row r="113" spans="1:14">
      <c r="A113">
        <v>8780</v>
      </c>
      <c r="B113" t="s">
        <v>87</v>
      </c>
      <c r="C113" t="s">
        <v>73</v>
      </c>
      <c r="D113" t="s">
        <v>5</v>
      </c>
      <c r="E113" s="1">
        <v>43171.77070601852</v>
      </c>
      <c r="F113" s="465">
        <v>43171.77070601852</v>
      </c>
      <c r="G113" s="464">
        <v>0.77013888888888893</v>
      </c>
      <c r="H113" t="s">
        <v>129</v>
      </c>
      <c r="I113" t="s">
        <v>129</v>
      </c>
      <c r="J113" t="s">
        <v>129</v>
      </c>
    </row>
    <row r="114" spans="1:14">
      <c r="A114">
        <v>8789</v>
      </c>
      <c r="B114" t="s">
        <v>87</v>
      </c>
      <c r="C114" t="s">
        <v>73</v>
      </c>
      <c r="D114" t="s">
        <v>7</v>
      </c>
      <c r="E114" s="1">
        <v>43171.798321759263</v>
      </c>
      <c r="F114" s="465">
        <v>43171.798321759263</v>
      </c>
      <c r="G114" s="464">
        <v>0.79791666666666661</v>
      </c>
      <c r="H114" t="s">
        <v>129</v>
      </c>
      <c r="I114" t="s">
        <v>129</v>
      </c>
      <c r="J114" t="s">
        <v>129</v>
      </c>
      <c r="K114">
        <v>2.5999999999999988</v>
      </c>
      <c r="M114">
        <v>2</v>
      </c>
      <c r="N114">
        <v>0.59999999999999876</v>
      </c>
    </row>
    <row r="115" spans="1:14">
      <c r="A115">
        <v>8794</v>
      </c>
      <c r="B115" t="s">
        <v>73</v>
      </c>
      <c r="C115" t="s">
        <v>73</v>
      </c>
      <c r="D115" t="s">
        <v>8</v>
      </c>
      <c r="E115" s="1">
        <v>43171.9062962963</v>
      </c>
      <c r="F115" s="465">
        <v>43171.9062962963</v>
      </c>
      <c r="G115" s="464">
        <v>0.90625</v>
      </c>
      <c r="H115" t="s">
        <v>129</v>
      </c>
      <c r="I115" t="s">
        <v>129</v>
      </c>
      <c r="J115" t="s">
        <v>129</v>
      </c>
    </row>
    <row r="116" spans="1:14">
      <c r="A116">
        <v>8808</v>
      </c>
      <c r="B116" t="s">
        <v>73</v>
      </c>
      <c r="C116" t="s">
        <v>73</v>
      </c>
      <c r="D116" t="s">
        <v>6</v>
      </c>
      <c r="E116" s="1">
        <v>43172.369884259257</v>
      </c>
      <c r="F116" s="465">
        <v>43172.369884259257</v>
      </c>
      <c r="G116" s="464">
        <v>0.36944444444444446</v>
      </c>
      <c r="H116">
        <v>9.65</v>
      </c>
      <c r="I116">
        <v>8</v>
      </c>
      <c r="J116" t="s">
        <v>129</v>
      </c>
    </row>
    <row r="117" spans="1:14">
      <c r="A117">
        <v>8816</v>
      </c>
      <c r="B117" t="s">
        <v>73</v>
      </c>
      <c r="C117" t="s">
        <v>73</v>
      </c>
      <c r="D117" t="s">
        <v>5</v>
      </c>
      <c r="E117" s="1">
        <v>43172.772013888891</v>
      </c>
      <c r="F117" s="465">
        <v>43172.772013888891</v>
      </c>
      <c r="G117" s="464">
        <v>0.7715277777777777</v>
      </c>
      <c r="H117" t="s">
        <v>129</v>
      </c>
      <c r="I117" t="s">
        <v>129</v>
      </c>
      <c r="J117" t="s">
        <v>129</v>
      </c>
    </row>
    <row r="118" spans="1:14">
      <c r="A118">
        <v>8824</v>
      </c>
      <c r="B118" t="s">
        <v>73</v>
      </c>
      <c r="C118" t="s">
        <v>73</v>
      </c>
      <c r="D118" t="s">
        <v>7</v>
      </c>
      <c r="E118" s="1">
        <v>43172.775231481479</v>
      </c>
      <c r="F118" s="465">
        <v>43172.775231481479</v>
      </c>
      <c r="G118" s="464">
        <v>0.77500000000000002</v>
      </c>
      <c r="H118" t="s">
        <v>129</v>
      </c>
      <c r="I118" t="s">
        <v>129</v>
      </c>
      <c r="J118" t="s">
        <v>129</v>
      </c>
      <c r="K118">
        <v>3.2166666666666659</v>
      </c>
      <c r="M118">
        <v>2</v>
      </c>
      <c r="N118">
        <v>1.2166666666666659</v>
      </c>
    </row>
    <row r="119" spans="1:14">
      <c r="A119">
        <v>8835</v>
      </c>
      <c r="B119" t="s">
        <v>73</v>
      </c>
      <c r="C119" t="s">
        <v>73</v>
      </c>
      <c r="D119" t="s">
        <v>8</v>
      </c>
      <c r="E119" s="1">
        <v>43172.909479166665</v>
      </c>
      <c r="F119" s="465">
        <v>43172.909479166665</v>
      </c>
      <c r="G119" s="464">
        <v>0.90902777777777777</v>
      </c>
      <c r="H119" t="s">
        <v>129</v>
      </c>
      <c r="I119" t="s">
        <v>129</v>
      </c>
      <c r="J119" t="s">
        <v>129</v>
      </c>
    </row>
    <row r="120" spans="1:14">
      <c r="A120">
        <v>8844</v>
      </c>
      <c r="B120" t="s">
        <v>73</v>
      </c>
      <c r="C120" t="s">
        <v>73</v>
      </c>
      <c r="D120" t="s">
        <v>6</v>
      </c>
      <c r="E120" s="1">
        <v>43173.371423611112</v>
      </c>
      <c r="F120" s="465">
        <v>43173.371423611112</v>
      </c>
      <c r="G120" s="464">
        <v>0.37083333333333335</v>
      </c>
      <c r="H120">
        <v>9.6166666666666671</v>
      </c>
      <c r="I120">
        <v>8</v>
      </c>
      <c r="J120" t="s">
        <v>129</v>
      </c>
    </row>
    <row r="121" spans="1:14">
      <c r="A121">
        <v>8853</v>
      </c>
      <c r="B121" t="s">
        <v>87</v>
      </c>
      <c r="C121" t="s">
        <v>73</v>
      </c>
      <c r="D121" t="s">
        <v>5</v>
      </c>
      <c r="E121" s="1">
        <v>43173.771828703706</v>
      </c>
      <c r="F121" s="465">
        <v>43173.771828703706</v>
      </c>
      <c r="G121" s="464">
        <v>0.7715277777777777</v>
      </c>
      <c r="H121" t="s">
        <v>129</v>
      </c>
      <c r="I121" t="s">
        <v>129</v>
      </c>
      <c r="J121" t="s">
        <v>129</v>
      </c>
    </row>
    <row r="122" spans="1:14">
      <c r="A122">
        <v>8854</v>
      </c>
      <c r="B122" t="s">
        <v>87</v>
      </c>
      <c r="C122" t="s">
        <v>73</v>
      </c>
      <c r="D122" t="s">
        <v>7</v>
      </c>
      <c r="E122" s="1">
        <v>43173.771863425929</v>
      </c>
      <c r="F122" s="465">
        <v>43173.771863425929</v>
      </c>
      <c r="G122" s="464">
        <v>0.7715277777777777</v>
      </c>
      <c r="H122" t="s">
        <v>129</v>
      </c>
      <c r="I122" t="s">
        <v>129</v>
      </c>
      <c r="J122" t="s">
        <v>129</v>
      </c>
      <c r="K122">
        <v>1.966666666666665</v>
      </c>
      <c r="M122">
        <v>1.966666666666665</v>
      </c>
      <c r="N122">
        <v>0</v>
      </c>
    </row>
    <row r="123" spans="1:14">
      <c r="A123">
        <v>8863</v>
      </c>
      <c r="B123" t="s">
        <v>73</v>
      </c>
      <c r="C123" t="s">
        <v>73</v>
      </c>
      <c r="D123" t="s">
        <v>8</v>
      </c>
      <c r="E123" s="1">
        <v>43173.854097222225</v>
      </c>
      <c r="F123" s="465">
        <v>43173.854097222225</v>
      </c>
      <c r="G123" s="464">
        <v>0.8534722222222223</v>
      </c>
      <c r="H123" t="s">
        <v>129</v>
      </c>
      <c r="I123" t="s">
        <v>129</v>
      </c>
      <c r="J123" t="s">
        <v>129</v>
      </c>
    </row>
    <row r="124" spans="1:14">
      <c r="A124">
        <v>8878</v>
      </c>
      <c r="B124" t="s">
        <v>73</v>
      </c>
      <c r="C124" t="s">
        <v>73</v>
      </c>
      <c r="D124" t="s">
        <v>6</v>
      </c>
      <c r="E124" s="1">
        <v>43174.369722222225</v>
      </c>
      <c r="F124" s="465">
        <v>43174.369722222225</v>
      </c>
      <c r="G124" s="464">
        <v>0.36944444444444446</v>
      </c>
      <c r="H124">
        <v>9.6666666666666679</v>
      </c>
      <c r="I124">
        <v>8</v>
      </c>
      <c r="J124" t="s">
        <v>129</v>
      </c>
    </row>
    <row r="125" spans="1:14">
      <c r="A125">
        <v>8894</v>
      </c>
      <c r="B125" t="s">
        <v>87</v>
      </c>
      <c r="C125" t="s">
        <v>73</v>
      </c>
      <c r="D125" t="s">
        <v>5</v>
      </c>
      <c r="E125" s="1">
        <v>43174.772534722222</v>
      </c>
      <c r="F125" s="465">
        <v>43174.772534722222</v>
      </c>
      <c r="G125" s="464">
        <v>0.77222222222222225</v>
      </c>
      <c r="H125" t="s">
        <v>129</v>
      </c>
      <c r="I125" t="s">
        <v>129</v>
      </c>
      <c r="J125" t="s">
        <v>129</v>
      </c>
    </row>
    <row r="126" spans="1:14">
      <c r="A126">
        <v>8896</v>
      </c>
      <c r="B126" t="s">
        <v>87</v>
      </c>
      <c r="C126" t="s">
        <v>73</v>
      </c>
      <c r="D126" t="s">
        <v>7</v>
      </c>
      <c r="E126" s="1">
        <v>43174.775324074071</v>
      </c>
      <c r="F126" s="465">
        <v>43174.775324074071</v>
      </c>
      <c r="G126" s="464">
        <v>0.77500000000000002</v>
      </c>
      <c r="H126" t="s">
        <v>129</v>
      </c>
      <c r="I126" t="s">
        <v>129</v>
      </c>
      <c r="J126" t="s">
        <v>129</v>
      </c>
      <c r="K126">
        <v>1.7833333333333323</v>
      </c>
      <c r="M126">
        <v>1.7833333333333323</v>
      </c>
      <c r="N126">
        <v>0</v>
      </c>
    </row>
    <row r="127" spans="1:14">
      <c r="A127">
        <v>8900</v>
      </c>
      <c r="B127" t="s">
        <v>73</v>
      </c>
      <c r="C127" t="s">
        <v>73</v>
      </c>
      <c r="D127" t="s">
        <v>8</v>
      </c>
      <c r="E127" s="1">
        <v>43174.849930555552</v>
      </c>
      <c r="F127" s="465">
        <v>43174.849930555552</v>
      </c>
      <c r="G127" s="464">
        <v>0.84930555555555554</v>
      </c>
      <c r="H127" t="s">
        <v>129</v>
      </c>
      <c r="I127" t="s">
        <v>129</v>
      </c>
      <c r="J127" t="s">
        <v>129</v>
      </c>
    </row>
    <row r="128" spans="1:14">
      <c r="A128">
        <v>8914</v>
      </c>
      <c r="B128" t="s">
        <v>73</v>
      </c>
      <c r="C128" t="s">
        <v>73</v>
      </c>
      <c r="D128" t="s">
        <v>6</v>
      </c>
      <c r="E128" s="1">
        <v>43175.370972222219</v>
      </c>
      <c r="F128" s="465">
        <v>43175.370972222219</v>
      </c>
      <c r="G128" s="464">
        <v>0.37083333333333335</v>
      </c>
      <c r="H128">
        <v>9.6833333333333336</v>
      </c>
      <c r="I128">
        <v>8</v>
      </c>
      <c r="J128" t="s">
        <v>129</v>
      </c>
    </row>
    <row r="129" spans="1:14">
      <c r="A129">
        <v>8929</v>
      </c>
      <c r="B129" t="s">
        <v>73</v>
      </c>
      <c r="C129" t="s">
        <v>73</v>
      </c>
      <c r="D129" t="s">
        <v>5</v>
      </c>
      <c r="E129" s="1">
        <v>43175.774571759262</v>
      </c>
      <c r="F129" s="465">
        <v>43175.774571759262</v>
      </c>
      <c r="G129" s="464">
        <v>0.77430555555555547</v>
      </c>
      <c r="H129" t="s">
        <v>129</v>
      </c>
      <c r="I129" t="s">
        <v>129</v>
      </c>
      <c r="J129" t="s">
        <v>129</v>
      </c>
    </row>
    <row r="130" spans="1:14">
      <c r="A130">
        <v>8930</v>
      </c>
      <c r="B130" t="s">
        <v>73</v>
      </c>
      <c r="C130" t="s">
        <v>73</v>
      </c>
      <c r="D130" t="s">
        <v>7</v>
      </c>
      <c r="E130" s="1">
        <v>43175.774606481478</v>
      </c>
      <c r="F130" s="465">
        <v>43175.774606481478</v>
      </c>
      <c r="G130" s="464">
        <v>0.77430555555555547</v>
      </c>
      <c r="H130" t="s">
        <v>129</v>
      </c>
      <c r="I130" t="s">
        <v>129</v>
      </c>
      <c r="J130" t="s">
        <v>129</v>
      </c>
      <c r="K130">
        <v>0.75</v>
      </c>
      <c r="M130">
        <v>0.75</v>
      </c>
      <c r="N130">
        <v>0</v>
      </c>
    </row>
    <row r="131" spans="1:14">
      <c r="A131">
        <v>8934</v>
      </c>
      <c r="B131" t="s">
        <v>73</v>
      </c>
      <c r="C131" t="s">
        <v>73</v>
      </c>
      <c r="D131" t="s">
        <v>8</v>
      </c>
      <c r="E131" s="1">
        <v>43175.806134259263</v>
      </c>
      <c r="F131" s="465">
        <v>43175.806134259263</v>
      </c>
      <c r="G131" s="464">
        <v>0.80555555555555547</v>
      </c>
      <c r="H131" t="s">
        <v>129</v>
      </c>
      <c r="I131" t="s">
        <v>129</v>
      </c>
      <c r="J131" t="s">
        <v>129</v>
      </c>
    </row>
    <row r="132" spans="1:14">
      <c r="A132">
        <v>8944</v>
      </c>
      <c r="B132" t="s">
        <v>73</v>
      </c>
      <c r="C132" t="s">
        <v>73</v>
      </c>
      <c r="D132" t="s">
        <v>7</v>
      </c>
      <c r="E132" s="1">
        <v>43176.426030092596</v>
      </c>
      <c r="F132" s="465">
        <v>43176.426030092596</v>
      </c>
      <c r="G132" s="464">
        <v>0.42569444444444443</v>
      </c>
      <c r="H132" t="s">
        <v>129</v>
      </c>
      <c r="I132" t="s">
        <v>129</v>
      </c>
      <c r="J132" t="s">
        <v>129</v>
      </c>
      <c r="K132">
        <v>1.8666666666666667</v>
      </c>
      <c r="M132">
        <v>2</v>
      </c>
      <c r="N132">
        <v>2.6666666666666679</v>
      </c>
    </row>
    <row r="133" spans="1:14">
      <c r="A133">
        <v>8952</v>
      </c>
      <c r="B133" t="s">
        <v>73</v>
      </c>
      <c r="C133" t="s">
        <v>73</v>
      </c>
      <c r="D133" t="s">
        <v>8</v>
      </c>
      <c r="E133" s="1">
        <v>43176.503946759258</v>
      </c>
      <c r="F133" s="465">
        <v>43176.503946759258</v>
      </c>
      <c r="G133" s="464">
        <v>0.50347222222222221</v>
      </c>
      <c r="H133" t="s">
        <v>129</v>
      </c>
      <c r="I133" t="s">
        <v>129</v>
      </c>
      <c r="J133" t="s">
        <v>129</v>
      </c>
    </row>
    <row r="134" spans="1:14">
      <c r="A134">
        <v>8957</v>
      </c>
      <c r="B134" t="s">
        <v>73</v>
      </c>
      <c r="C134" t="s">
        <v>73</v>
      </c>
      <c r="D134" t="s">
        <v>7</v>
      </c>
      <c r="E134" s="1">
        <v>43176.567928240744</v>
      </c>
      <c r="F134" s="465">
        <v>43176.567928240744</v>
      </c>
      <c r="G134" s="464">
        <v>0.56736111111111109</v>
      </c>
      <c r="H134" t="s">
        <v>129</v>
      </c>
      <c r="I134" t="s">
        <v>129</v>
      </c>
      <c r="J134" t="s">
        <v>129</v>
      </c>
      <c r="K134">
        <v>2.8000000000000007</v>
      </c>
    </row>
    <row r="135" spans="1:14">
      <c r="A135">
        <v>8964</v>
      </c>
      <c r="B135" t="s">
        <v>87</v>
      </c>
      <c r="C135" t="s">
        <v>73</v>
      </c>
      <c r="D135" t="s">
        <v>8</v>
      </c>
      <c r="E135" s="1">
        <v>43176.684062499997</v>
      </c>
      <c r="F135" s="465">
        <v>43176.684062499997</v>
      </c>
      <c r="G135" s="464">
        <v>0.68402777777777779</v>
      </c>
      <c r="H135" t="s">
        <v>129</v>
      </c>
      <c r="I135" t="s">
        <v>129</v>
      </c>
      <c r="J135" t="s">
        <v>129</v>
      </c>
    </row>
    <row r="136" spans="1:14">
      <c r="A136">
        <v>8979</v>
      </c>
      <c r="B136" t="s">
        <v>73</v>
      </c>
      <c r="C136" t="s">
        <v>73</v>
      </c>
      <c r="D136" t="s">
        <v>6</v>
      </c>
      <c r="E136" s="1">
        <v>43178.370821759258</v>
      </c>
      <c r="F136" s="465">
        <v>43178.370821759258</v>
      </c>
      <c r="G136" s="464">
        <v>0.37013888888888885</v>
      </c>
      <c r="H136">
        <v>9.5666666666666664</v>
      </c>
      <c r="I136">
        <v>8</v>
      </c>
      <c r="J136" t="s">
        <v>129</v>
      </c>
    </row>
    <row r="137" spans="1:14">
      <c r="A137">
        <v>8991</v>
      </c>
      <c r="B137" t="s">
        <v>87</v>
      </c>
      <c r="C137" t="s">
        <v>73</v>
      </c>
      <c r="D137" t="s">
        <v>5</v>
      </c>
      <c r="E137" s="1">
        <v>43178.769166666665</v>
      </c>
      <c r="F137" s="465">
        <v>43178.769166666665</v>
      </c>
      <c r="G137" s="464">
        <v>0.76874999999999993</v>
      </c>
      <c r="H137" t="s">
        <v>129</v>
      </c>
      <c r="I137" t="s">
        <v>129</v>
      </c>
      <c r="J137" t="s">
        <v>129</v>
      </c>
    </row>
    <row r="138" spans="1:14">
      <c r="A138">
        <v>8997</v>
      </c>
      <c r="B138" t="s">
        <v>87</v>
      </c>
      <c r="C138" t="s">
        <v>73</v>
      </c>
      <c r="D138" t="s">
        <v>7</v>
      </c>
      <c r="E138" s="1">
        <v>43178.793032407404</v>
      </c>
      <c r="F138" s="465">
        <v>43178.793032407404</v>
      </c>
      <c r="G138" s="464">
        <v>0.79236111111111107</v>
      </c>
      <c r="H138" t="s">
        <v>129</v>
      </c>
      <c r="I138" t="s">
        <v>129</v>
      </c>
      <c r="J138" t="s">
        <v>129</v>
      </c>
      <c r="K138">
        <v>1.5499999999999998</v>
      </c>
      <c r="M138">
        <v>1.5499999999999998</v>
      </c>
      <c r="N138">
        <v>0</v>
      </c>
    </row>
    <row r="139" spans="1:14">
      <c r="A139">
        <v>9001</v>
      </c>
      <c r="B139" t="s">
        <v>73</v>
      </c>
      <c r="C139" t="s">
        <v>73</v>
      </c>
      <c r="D139" t="s">
        <v>8</v>
      </c>
      <c r="E139" s="1">
        <v>43178.857222222221</v>
      </c>
      <c r="F139" s="465">
        <v>43178.857222222221</v>
      </c>
      <c r="G139" s="464">
        <v>0.8569444444444444</v>
      </c>
      <c r="H139" t="s">
        <v>129</v>
      </c>
      <c r="I139" t="s">
        <v>129</v>
      </c>
      <c r="J139" t="s">
        <v>129</v>
      </c>
    </row>
    <row r="140" spans="1:14">
      <c r="A140">
        <v>9015</v>
      </c>
      <c r="B140" t="s">
        <v>73</v>
      </c>
      <c r="C140" t="s">
        <v>73</v>
      </c>
      <c r="D140" t="s">
        <v>6</v>
      </c>
      <c r="E140" s="1">
        <v>43179.370300925926</v>
      </c>
      <c r="F140" s="465">
        <v>43179.370300925926</v>
      </c>
      <c r="G140" s="464">
        <v>0.37013888888888885</v>
      </c>
      <c r="H140">
        <v>9.5166666666666675</v>
      </c>
      <c r="I140">
        <v>8</v>
      </c>
      <c r="J140" t="s">
        <v>129</v>
      </c>
    </row>
    <row r="141" spans="1:14">
      <c r="A141">
        <v>9022</v>
      </c>
      <c r="B141" t="s">
        <v>87</v>
      </c>
      <c r="C141" t="s">
        <v>73</v>
      </c>
      <c r="D141" t="s">
        <v>5</v>
      </c>
      <c r="E141" s="1">
        <v>43179.766759259262</v>
      </c>
      <c r="F141" s="465">
        <v>43179.766759259262</v>
      </c>
      <c r="G141" s="464">
        <v>0.76666666666666661</v>
      </c>
      <c r="H141" t="s">
        <v>129</v>
      </c>
      <c r="I141" t="s">
        <v>129</v>
      </c>
      <c r="J141" t="s">
        <v>129</v>
      </c>
    </row>
    <row r="142" spans="1:14">
      <c r="A142">
        <v>9038</v>
      </c>
      <c r="B142" t="s">
        <v>87</v>
      </c>
      <c r="C142" t="s">
        <v>73</v>
      </c>
      <c r="D142" t="s">
        <v>7</v>
      </c>
      <c r="E142" s="1">
        <v>43179.795983796299</v>
      </c>
      <c r="F142" s="465">
        <v>43179.795983796299</v>
      </c>
      <c r="G142" s="464">
        <v>0.79583333333333339</v>
      </c>
      <c r="H142" t="s">
        <v>129</v>
      </c>
      <c r="I142" t="s">
        <v>129</v>
      </c>
      <c r="J142" t="s">
        <v>129</v>
      </c>
      <c r="K142">
        <v>2.0666666666666673</v>
      </c>
      <c r="M142">
        <v>2</v>
      </c>
      <c r="N142">
        <v>6.6666666666667318E-2</v>
      </c>
    </row>
    <row r="143" spans="1:14">
      <c r="A143">
        <v>9042</v>
      </c>
      <c r="B143" t="s">
        <v>73</v>
      </c>
      <c r="C143" t="s">
        <v>73</v>
      </c>
      <c r="D143" t="s">
        <v>8</v>
      </c>
      <c r="E143" s="1">
        <v>43179.882395833331</v>
      </c>
      <c r="F143" s="465">
        <v>43179.882395833331</v>
      </c>
      <c r="G143" s="464">
        <v>0.88194444444444453</v>
      </c>
      <c r="H143" t="s">
        <v>129</v>
      </c>
      <c r="I143" t="s">
        <v>129</v>
      </c>
      <c r="J143" t="s">
        <v>129</v>
      </c>
    </row>
    <row r="144" spans="1:14">
      <c r="A144">
        <v>9052</v>
      </c>
      <c r="B144" t="s">
        <v>73</v>
      </c>
      <c r="C144" t="s">
        <v>73</v>
      </c>
      <c r="D144" t="s">
        <v>6</v>
      </c>
      <c r="E144" s="1">
        <v>43180.370254629626</v>
      </c>
      <c r="F144" s="465">
        <v>43180.370254629626</v>
      </c>
      <c r="G144" s="464">
        <v>0.37013888888888885</v>
      </c>
      <c r="H144">
        <v>9.6166666666666671</v>
      </c>
      <c r="I144">
        <v>8</v>
      </c>
      <c r="J144" t="s">
        <v>129</v>
      </c>
    </row>
    <row r="145" spans="1:14">
      <c r="A145">
        <v>9067</v>
      </c>
      <c r="B145" t="s">
        <v>73</v>
      </c>
      <c r="C145" t="s">
        <v>73</v>
      </c>
      <c r="D145" t="s">
        <v>5</v>
      </c>
      <c r="E145" s="1">
        <v>43180.771261574075</v>
      </c>
      <c r="F145" s="465">
        <v>43180.771261574075</v>
      </c>
      <c r="G145" s="464">
        <v>0.77083333333333337</v>
      </c>
      <c r="H145" t="s">
        <v>129</v>
      </c>
      <c r="I145" t="s">
        <v>129</v>
      </c>
      <c r="J145" t="s">
        <v>129</v>
      </c>
    </row>
    <row r="146" spans="1:14">
      <c r="A146">
        <v>9068</v>
      </c>
      <c r="B146" t="s">
        <v>73</v>
      </c>
      <c r="C146" t="s">
        <v>73</v>
      </c>
      <c r="D146" t="s">
        <v>7</v>
      </c>
      <c r="E146" s="1">
        <v>43180.77134259259</v>
      </c>
      <c r="F146" s="465">
        <v>43180.77134259259</v>
      </c>
      <c r="G146" s="464">
        <v>0.77083333333333337</v>
      </c>
      <c r="H146" t="s">
        <v>129</v>
      </c>
      <c r="I146" t="s">
        <v>129</v>
      </c>
      <c r="J146" t="s">
        <v>129</v>
      </c>
      <c r="K146">
        <v>0.75</v>
      </c>
      <c r="M146">
        <v>0.75</v>
      </c>
      <c r="N146">
        <v>0</v>
      </c>
    </row>
    <row r="147" spans="1:14">
      <c r="A147">
        <v>9073</v>
      </c>
      <c r="B147" t="s">
        <v>73</v>
      </c>
      <c r="C147" t="s">
        <v>73</v>
      </c>
      <c r="D147" t="s">
        <v>8</v>
      </c>
      <c r="E147" s="1">
        <v>43180.802083333336</v>
      </c>
      <c r="F147" s="465">
        <v>43180.802083333336</v>
      </c>
      <c r="G147" s="464">
        <v>0.80208333333333337</v>
      </c>
      <c r="H147" t="s">
        <v>129</v>
      </c>
      <c r="I147" t="s">
        <v>129</v>
      </c>
      <c r="J147" t="s">
        <v>129</v>
      </c>
    </row>
    <row r="148" spans="1:14">
      <c r="A148">
        <v>9087</v>
      </c>
      <c r="B148" t="s">
        <v>73</v>
      </c>
      <c r="C148" t="s">
        <v>73</v>
      </c>
      <c r="D148" t="s">
        <v>6</v>
      </c>
      <c r="E148" s="1">
        <v>43181.370266203703</v>
      </c>
      <c r="F148" s="465">
        <v>43181.370266203703</v>
      </c>
      <c r="G148" s="464">
        <v>0.37013888888888885</v>
      </c>
      <c r="H148">
        <v>9.5</v>
      </c>
      <c r="I148">
        <v>8</v>
      </c>
      <c r="J148" t="s">
        <v>129</v>
      </c>
    </row>
    <row r="149" spans="1:14">
      <c r="A149">
        <v>9098</v>
      </c>
      <c r="B149" t="s">
        <v>73</v>
      </c>
      <c r="C149" t="s">
        <v>73</v>
      </c>
      <c r="D149" t="s">
        <v>5</v>
      </c>
      <c r="E149" s="1">
        <v>43181.766435185185</v>
      </c>
      <c r="F149" s="465">
        <v>43181.766435185185</v>
      </c>
      <c r="G149" s="464">
        <v>0.76597222222222217</v>
      </c>
      <c r="H149" t="s">
        <v>129</v>
      </c>
      <c r="I149" t="s">
        <v>129</v>
      </c>
      <c r="J149" t="s">
        <v>129</v>
      </c>
    </row>
    <row r="150" spans="1:14">
      <c r="A150">
        <v>9108</v>
      </c>
      <c r="B150" t="s">
        <v>73</v>
      </c>
      <c r="C150" t="s">
        <v>73</v>
      </c>
      <c r="D150" t="s">
        <v>7</v>
      </c>
      <c r="E150" s="1">
        <v>43181.810185185182</v>
      </c>
      <c r="F150" s="465">
        <v>43181.810185185182</v>
      </c>
      <c r="G150" s="464">
        <v>0.80972222222222223</v>
      </c>
      <c r="H150" t="s">
        <v>129</v>
      </c>
      <c r="I150" t="s">
        <v>129</v>
      </c>
      <c r="J150" t="s">
        <v>129</v>
      </c>
      <c r="K150">
        <v>2.9000000000000004</v>
      </c>
      <c r="M150">
        <v>2</v>
      </c>
      <c r="N150">
        <v>0.90000000000000036</v>
      </c>
    </row>
    <row r="151" spans="1:14">
      <c r="A151">
        <v>9112</v>
      </c>
      <c r="B151" t="s">
        <v>73</v>
      </c>
      <c r="C151" t="s">
        <v>73</v>
      </c>
      <c r="D151" t="s">
        <v>8</v>
      </c>
      <c r="E151" s="1">
        <v>43181.93105324074</v>
      </c>
      <c r="F151" s="465">
        <v>43181.93105324074</v>
      </c>
      <c r="G151" s="464">
        <v>0.93055555555555547</v>
      </c>
      <c r="H151" t="s">
        <v>129</v>
      </c>
      <c r="I151" t="s">
        <v>129</v>
      </c>
      <c r="J151" t="s">
        <v>129</v>
      </c>
    </row>
    <row r="152" spans="1:14">
      <c r="A152">
        <v>9122</v>
      </c>
      <c r="B152" t="s">
        <v>87</v>
      </c>
      <c r="C152" t="s">
        <v>73</v>
      </c>
      <c r="D152" t="s">
        <v>6</v>
      </c>
      <c r="E152" s="1">
        <v>43182.372523148151</v>
      </c>
      <c r="F152" s="465">
        <v>43182.372523148151</v>
      </c>
      <c r="G152" s="464">
        <v>0.37222222222222223</v>
      </c>
      <c r="H152">
        <v>9.5166666666666675</v>
      </c>
      <c r="I152">
        <v>8</v>
      </c>
      <c r="J152" t="s">
        <v>129</v>
      </c>
    </row>
    <row r="153" spans="1:14">
      <c r="A153">
        <v>9131</v>
      </c>
      <c r="B153" t="s">
        <v>73</v>
      </c>
      <c r="C153" t="s">
        <v>73</v>
      </c>
      <c r="D153" t="s">
        <v>5</v>
      </c>
      <c r="E153" s="1">
        <v>43182.769016203703</v>
      </c>
      <c r="F153" s="465">
        <v>43182.769016203703</v>
      </c>
      <c r="G153" s="464">
        <v>0.76874999999999993</v>
      </c>
      <c r="H153" t="s">
        <v>129</v>
      </c>
      <c r="I153" t="s">
        <v>129</v>
      </c>
      <c r="J153" t="s">
        <v>129</v>
      </c>
    </row>
    <row r="154" spans="1:14">
      <c r="A154">
        <v>9142</v>
      </c>
      <c r="B154" t="s">
        <v>73</v>
      </c>
      <c r="C154" t="s">
        <v>73</v>
      </c>
      <c r="D154" t="s">
        <v>6</v>
      </c>
      <c r="E154" s="1">
        <v>43185.369583333333</v>
      </c>
      <c r="F154" s="465">
        <v>43185.369583333333</v>
      </c>
      <c r="G154" s="464">
        <v>0.36944444444444446</v>
      </c>
      <c r="H154">
        <v>9.8999999999999986</v>
      </c>
      <c r="I154">
        <v>8</v>
      </c>
      <c r="J154" t="s">
        <v>129</v>
      </c>
    </row>
    <row r="155" spans="1:14">
      <c r="A155">
        <v>9155</v>
      </c>
      <c r="B155" t="s">
        <v>87</v>
      </c>
      <c r="C155" t="s">
        <v>73</v>
      </c>
      <c r="D155" t="s">
        <v>5</v>
      </c>
      <c r="E155" s="1">
        <v>43185.78229166667</v>
      </c>
      <c r="F155" s="465">
        <v>43185.78229166667</v>
      </c>
      <c r="G155" s="464">
        <v>0.78194444444444444</v>
      </c>
      <c r="H155" t="s">
        <v>129</v>
      </c>
      <c r="I155" t="s">
        <v>129</v>
      </c>
      <c r="J155" t="s">
        <v>129</v>
      </c>
    </row>
    <row r="156" spans="1:14">
      <c r="A156">
        <v>9156</v>
      </c>
      <c r="B156" t="s">
        <v>87</v>
      </c>
      <c r="C156" t="s">
        <v>73</v>
      </c>
      <c r="D156" t="s">
        <v>7</v>
      </c>
      <c r="E156" s="1">
        <v>43185.782337962963</v>
      </c>
      <c r="F156" s="465">
        <v>43185.782337962963</v>
      </c>
      <c r="G156" s="464">
        <v>0.78194444444444444</v>
      </c>
      <c r="H156" t="s">
        <v>129</v>
      </c>
      <c r="I156" t="s">
        <v>129</v>
      </c>
      <c r="J156" t="s">
        <v>129</v>
      </c>
      <c r="K156">
        <v>1.6999999999999993</v>
      </c>
      <c r="M156">
        <v>1.6999999999999993</v>
      </c>
      <c r="N156">
        <v>0</v>
      </c>
    </row>
    <row r="157" spans="1:14">
      <c r="A157">
        <v>9161</v>
      </c>
      <c r="B157" t="s">
        <v>73</v>
      </c>
      <c r="C157" t="s">
        <v>73</v>
      </c>
      <c r="D157" t="s">
        <v>8</v>
      </c>
      <c r="E157" s="1">
        <v>43185.853217592594</v>
      </c>
      <c r="F157" s="465">
        <v>43185.853217592594</v>
      </c>
      <c r="G157" s="464">
        <v>0.85277777777777775</v>
      </c>
      <c r="H157" t="s">
        <v>129</v>
      </c>
      <c r="I157" t="s">
        <v>129</v>
      </c>
      <c r="J157" t="s">
        <v>129</v>
      </c>
    </row>
    <row r="158" spans="1:14">
      <c r="A158">
        <v>9169</v>
      </c>
      <c r="B158" t="s">
        <v>73</v>
      </c>
      <c r="C158" t="s">
        <v>73</v>
      </c>
      <c r="D158" t="s">
        <v>6</v>
      </c>
      <c r="E158" s="1">
        <v>43186.372106481482</v>
      </c>
      <c r="F158" s="465">
        <v>43186.372106481482</v>
      </c>
      <c r="G158" s="464">
        <v>0.37152777777777773</v>
      </c>
      <c r="H158">
        <v>9.6833333333333336</v>
      </c>
      <c r="I158">
        <v>8</v>
      </c>
      <c r="J158" t="s">
        <v>129</v>
      </c>
    </row>
    <row r="159" spans="1:14">
      <c r="A159">
        <v>9179</v>
      </c>
      <c r="B159" t="s">
        <v>73</v>
      </c>
      <c r="C159" t="s">
        <v>73</v>
      </c>
      <c r="D159" t="s">
        <v>5</v>
      </c>
      <c r="E159" s="1">
        <v>43186.77511574074</v>
      </c>
      <c r="F159" s="465">
        <v>43186.77511574074</v>
      </c>
      <c r="G159" s="464">
        <v>0.77500000000000002</v>
      </c>
      <c r="H159" t="s">
        <v>129</v>
      </c>
      <c r="I159" t="s">
        <v>129</v>
      </c>
      <c r="J159" t="s">
        <v>129</v>
      </c>
    </row>
    <row r="160" spans="1:14">
      <c r="A160">
        <v>9180</v>
      </c>
      <c r="B160" t="s">
        <v>73</v>
      </c>
      <c r="C160" t="s">
        <v>73</v>
      </c>
      <c r="D160" t="s">
        <v>7</v>
      </c>
      <c r="E160" s="1">
        <v>43186.780092592591</v>
      </c>
      <c r="F160" s="465">
        <v>43186.780092592591</v>
      </c>
      <c r="G160" s="464">
        <v>0.77986111111111101</v>
      </c>
      <c r="H160" t="s">
        <v>129</v>
      </c>
      <c r="I160" t="s">
        <v>129</v>
      </c>
      <c r="J160" t="s">
        <v>129</v>
      </c>
      <c r="K160">
        <v>0.2333333333333325</v>
      </c>
      <c r="M160">
        <v>0.2333333333333325</v>
      </c>
      <c r="N160">
        <v>0</v>
      </c>
    </row>
    <row r="161" spans="1:14">
      <c r="A161">
        <v>9183</v>
      </c>
      <c r="B161" t="s">
        <v>73</v>
      </c>
      <c r="C161" t="s">
        <v>73</v>
      </c>
      <c r="D161" t="s">
        <v>8</v>
      </c>
      <c r="E161" s="1">
        <v>43186.790196759262</v>
      </c>
      <c r="F161" s="465">
        <v>43186.790196759262</v>
      </c>
      <c r="G161" s="464">
        <v>0.7895833333333333</v>
      </c>
      <c r="H161" t="s">
        <v>129</v>
      </c>
      <c r="I161" t="s">
        <v>129</v>
      </c>
      <c r="J161" t="s">
        <v>129</v>
      </c>
    </row>
    <row r="162" spans="1:14">
      <c r="A162">
        <v>9198</v>
      </c>
      <c r="B162" t="s">
        <v>73</v>
      </c>
      <c r="C162" t="s">
        <v>73</v>
      </c>
      <c r="D162" t="s">
        <v>6</v>
      </c>
      <c r="E162" s="1">
        <v>43187.372523148151</v>
      </c>
      <c r="F162" s="465">
        <v>43187.372523148151</v>
      </c>
      <c r="G162" s="464">
        <v>0.37222222222222223</v>
      </c>
      <c r="H162">
        <v>9.6333333333333329</v>
      </c>
      <c r="I162">
        <v>8</v>
      </c>
      <c r="J162" t="s">
        <v>129</v>
      </c>
    </row>
    <row r="163" spans="1:14">
      <c r="A163">
        <v>9215</v>
      </c>
      <c r="B163" t="s">
        <v>87</v>
      </c>
      <c r="C163" t="s">
        <v>73</v>
      </c>
      <c r="D163" t="s">
        <v>5</v>
      </c>
      <c r="E163" s="1">
        <v>43187.773645833331</v>
      </c>
      <c r="F163" s="465">
        <v>43187.773645833331</v>
      </c>
      <c r="G163" s="464">
        <v>0.77361111111111114</v>
      </c>
      <c r="H163" t="s">
        <v>129</v>
      </c>
      <c r="I163" t="s">
        <v>129</v>
      </c>
      <c r="J163" t="s">
        <v>129</v>
      </c>
    </row>
    <row r="164" spans="1:14">
      <c r="A164">
        <v>9216</v>
      </c>
      <c r="B164" t="s">
        <v>87</v>
      </c>
      <c r="C164" t="s">
        <v>73</v>
      </c>
      <c r="D164" t="s">
        <v>7</v>
      </c>
      <c r="E164" s="1">
        <v>43187.773692129631</v>
      </c>
      <c r="F164" s="465">
        <v>43187.773692129631</v>
      </c>
      <c r="G164" s="464">
        <v>0.77361111111111114</v>
      </c>
      <c r="H164" t="s">
        <v>129</v>
      </c>
      <c r="I164" t="s">
        <v>129</v>
      </c>
      <c r="J164" t="s">
        <v>129</v>
      </c>
      <c r="K164">
        <v>3.7166666666666668</v>
      </c>
      <c r="M164">
        <v>2</v>
      </c>
      <c r="N164">
        <v>1.7166666666666668</v>
      </c>
    </row>
    <row r="165" spans="1:14">
      <c r="A165">
        <v>9224</v>
      </c>
      <c r="B165" t="s">
        <v>73</v>
      </c>
      <c r="C165" t="s">
        <v>73</v>
      </c>
      <c r="D165" t="s">
        <v>8</v>
      </c>
      <c r="E165" s="1">
        <v>43187.928969907407</v>
      </c>
      <c r="F165" s="465">
        <v>43187.928969907407</v>
      </c>
      <c r="G165" s="464">
        <v>0.92847222222222225</v>
      </c>
      <c r="H165" t="s">
        <v>129</v>
      </c>
      <c r="I165" t="s">
        <v>129</v>
      </c>
      <c r="J165" t="s">
        <v>129</v>
      </c>
    </row>
    <row r="166" spans="1:14">
      <c r="A166">
        <v>9233</v>
      </c>
      <c r="B166" t="s">
        <v>73</v>
      </c>
      <c r="C166" t="s">
        <v>73</v>
      </c>
      <c r="D166" t="s">
        <v>6</v>
      </c>
      <c r="E166" s="1">
        <v>43188.371481481481</v>
      </c>
      <c r="F166" s="465">
        <v>43188.371481481481</v>
      </c>
      <c r="G166" s="464">
        <v>0.37083333333333335</v>
      </c>
      <c r="H166">
        <v>9.6000000000000014</v>
      </c>
      <c r="I166">
        <v>8</v>
      </c>
      <c r="J166" t="s">
        <v>129</v>
      </c>
    </row>
    <row r="167" spans="1:14">
      <c r="A167">
        <v>9239</v>
      </c>
      <c r="B167" t="s">
        <v>73</v>
      </c>
      <c r="C167" t="s">
        <v>73</v>
      </c>
      <c r="D167" t="s">
        <v>5</v>
      </c>
      <c r="E167" s="1">
        <v>43188.771087962959</v>
      </c>
      <c r="F167" s="465">
        <v>43188.771087962959</v>
      </c>
      <c r="G167" s="464">
        <v>0.77083333333333337</v>
      </c>
      <c r="H167" t="s">
        <v>129</v>
      </c>
      <c r="I167" t="s">
        <v>129</v>
      </c>
      <c r="J167" t="s">
        <v>129</v>
      </c>
    </row>
    <row r="168" spans="1:14">
      <c r="A168">
        <v>9242</v>
      </c>
      <c r="B168" t="s">
        <v>73</v>
      </c>
      <c r="C168" t="s">
        <v>73</v>
      </c>
      <c r="D168" t="s">
        <v>7</v>
      </c>
      <c r="E168" s="1">
        <v>43188.771192129629</v>
      </c>
      <c r="F168" s="465">
        <v>43188.771192129629</v>
      </c>
      <c r="G168" s="464">
        <v>0.77083333333333337</v>
      </c>
      <c r="H168" t="s">
        <v>129</v>
      </c>
      <c r="I168" t="s">
        <v>129</v>
      </c>
      <c r="J168" t="s">
        <v>129</v>
      </c>
      <c r="K168">
        <v>0.9666666666666659</v>
      </c>
      <c r="M168">
        <v>0.9666666666666659</v>
      </c>
      <c r="N168">
        <v>0</v>
      </c>
    </row>
    <row r="169" spans="1:14">
      <c r="A169">
        <v>9253</v>
      </c>
      <c r="B169" t="s">
        <v>73</v>
      </c>
      <c r="C169" t="s">
        <v>73</v>
      </c>
      <c r="D169" t="s">
        <v>8</v>
      </c>
      <c r="E169" s="1">
        <v>43188.811759259261</v>
      </c>
      <c r="F169" s="465">
        <v>43188.811759259261</v>
      </c>
      <c r="G169" s="464">
        <v>0.81111111111111101</v>
      </c>
      <c r="H169" t="s">
        <v>129</v>
      </c>
      <c r="I169" t="s">
        <v>129</v>
      </c>
      <c r="J169" t="s">
        <v>129</v>
      </c>
    </row>
    <row r="170" spans="1:14">
      <c r="A170">
        <v>9267</v>
      </c>
      <c r="B170" t="s">
        <v>73</v>
      </c>
      <c r="C170" t="s">
        <v>73</v>
      </c>
      <c r="D170" t="s">
        <v>6</v>
      </c>
      <c r="E170" s="1">
        <v>43189.375243055554</v>
      </c>
      <c r="F170" s="465">
        <v>43189.375243055554</v>
      </c>
      <c r="G170" s="464">
        <v>0.375</v>
      </c>
      <c r="H170">
        <v>9.5166666666666675</v>
      </c>
      <c r="I170">
        <v>8</v>
      </c>
      <c r="J170" t="s">
        <v>129</v>
      </c>
    </row>
    <row r="171" spans="1:14">
      <c r="A171">
        <v>9273</v>
      </c>
      <c r="B171" t="s">
        <v>73</v>
      </c>
      <c r="C171" t="s">
        <v>73</v>
      </c>
      <c r="D171" t="s">
        <v>5</v>
      </c>
      <c r="E171" s="1">
        <v>43189.772175925929</v>
      </c>
      <c r="F171" s="465">
        <v>43189.772175925929</v>
      </c>
      <c r="G171" s="464">
        <v>0.7715277777777777</v>
      </c>
      <c r="H171" t="s">
        <v>129</v>
      </c>
      <c r="I171" t="s">
        <v>129</v>
      </c>
      <c r="J171" t="s">
        <v>129</v>
      </c>
    </row>
    <row r="172" spans="1:14">
      <c r="A172">
        <v>9291</v>
      </c>
      <c r="B172" t="s">
        <v>73</v>
      </c>
      <c r="C172" t="s">
        <v>73</v>
      </c>
      <c r="D172" t="s">
        <v>6</v>
      </c>
      <c r="E172" s="1">
        <v>43190.37226851852</v>
      </c>
      <c r="F172" s="465">
        <v>43190.37226851852</v>
      </c>
      <c r="G172" s="464">
        <v>0.37222222222222223</v>
      </c>
      <c r="H172">
        <v>9.5500000000000007</v>
      </c>
      <c r="I172">
        <v>8</v>
      </c>
      <c r="J172" t="s">
        <v>129</v>
      </c>
    </row>
    <row r="173" spans="1:14">
      <c r="A173">
        <v>9297</v>
      </c>
      <c r="B173" t="s">
        <v>87</v>
      </c>
      <c r="C173" t="s">
        <v>73</v>
      </c>
      <c r="D173" t="s">
        <v>5</v>
      </c>
      <c r="E173" s="1">
        <v>43190.770416666666</v>
      </c>
      <c r="F173" s="465">
        <v>43190.770416666666</v>
      </c>
      <c r="G173" s="464">
        <v>0.77013888888888893</v>
      </c>
      <c r="H173" t="s">
        <v>129</v>
      </c>
      <c r="I173" t="s">
        <v>129</v>
      </c>
      <c r="J173" t="s">
        <v>129</v>
      </c>
    </row>
    <row r="174" spans="1:14">
      <c r="A174">
        <v>9298</v>
      </c>
      <c r="B174" t="s">
        <v>87</v>
      </c>
      <c r="C174" t="s">
        <v>73</v>
      </c>
      <c r="D174" t="s">
        <v>7</v>
      </c>
      <c r="E174" s="1">
        <v>43190.770474537036</v>
      </c>
      <c r="F174" s="465">
        <v>43190.770474537036</v>
      </c>
      <c r="G174" s="464">
        <v>0.77013888888888893</v>
      </c>
      <c r="H174" t="s">
        <v>129</v>
      </c>
      <c r="I174" t="s">
        <v>129</v>
      </c>
      <c r="J174" t="s">
        <v>129</v>
      </c>
      <c r="K174">
        <v>2.916666666666667</v>
      </c>
      <c r="M174">
        <v>2</v>
      </c>
      <c r="N174">
        <v>0.91666666666666696</v>
      </c>
    </row>
    <row r="175" spans="1:14">
      <c r="A175">
        <v>9308</v>
      </c>
      <c r="B175" t="s">
        <v>73</v>
      </c>
      <c r="C175" t="s">
        <v>73</v>
      </c>
      <c r="D175" t="s">
        <v>8</v>
      </c>
      <c r="E175" s="1">
        <v>43190.891689814816</v>
      </c>
      <c r="F175" s="465">
        <v>43190.891689814816</v>
      </c>
      <c r="G175" s="464">
        <v>0.89166666666666661</v>
      </c>
      <c r="H175" t="s">
        <v>129</v>
      </c>
      <c r="I175" t="s">
        <v>129</v>
      </c>
      <c r="J175" t="s">
        <v>129</v>
      </c>
    </row>
    <row r="176" spans="1:14">
      <c r="A176">
        <v>8490</v>
      </c>
      <c r="B176" t="s">
        <v>11</v>
      </c>
      <c r="C176" t="s">
        <v>11</v>
      </c>
      <c r="D176" t="s">
        <v>6</v>
      </c>
      <c r="E176" s="1">
        <v>43160.362199074072</v>
      </c>
      <c r="F176" s="465">
        <v>43160.362199074072</v>
      </c>
      <c r="G176" s="464">
        <v>0.36180555555555555</v>
      </c>
      <c r="H176">
        <v>11.533333333333333</v>
      </c>
      <c r="I176">
        <v>8</v>
      </c>
      <c r="J176" t="s">
        <v>129</v>
      </c>
    </row>
    <row r="177" spans="1:14">
      <c r="A177">
        <v>8518</v>
      </c>
      <c r="B177" t="s">
        <v>11</v>
      </c>
      <c r="C177" t="s">
        <v>11</v>
      </c>
      <c r="D177" t="s">
        <v>5</v>
      </c>
      <c r="E177" s="1">
        <v>43160.842546296299</v>
      </c>
      <c r="F177" s="465">
        <v>43160.842546296299</v>
      </c>
      <c r="G177" s="464">
        <v>0.84236111111111101</v>
      </c>
      <c r="H177" t="s">
        <v>129</v>
      </c>
      <c r="I177" t="s">
        <v>129</v>
      </c>
      <c r="J177" t="s">
        <v>129</v>
      </c>
    </row>
    <row r="178" spans="1:14">
      <c r="A178">
        <v>8523</v>
      </c>
      <c r="B178" t="s">
        <v>11</v>
      </c>
      <c r="C178" t="s">
        <v>11</v>
      </c>
      <c r="D178" t="s">
        <v>6</v>
      </c>
      <c r="E178" s="1">
        <v>43161.364131944443</v>
      </c>
      <c r="F178" s="465">
        <v>43161.364131944443</v>
      </c>
      <c r="G178" s="464">
        <v>0.36388888888888887</v>
      </c>
      <c r="H178">
        <v>11.566666666666666</v>
      </c>
      <c r="I178">
        <v>8</v>
      </c>
      <c r="J178" t="s">
        <v>129</v>
      </c>
    </row>
    <row r="179" spans="1:14">
      <c r="A179">
        <v>8545</v>
      </c>
      <c r="B179" t="s">
        <v>11</v>
      </c>
      <c r="C179" t="s">
        <v>11</v>
      </c>
      <c r="D179" t="s">
        <v>5</v>
      </c>
      <c r="E179" s="1">
        <v>43161.845891203702</v>
      </c>
      <c r="F179" s="465">
        <v>43161.845891203702</v>
      </c>
      <c r="G179" s="464">
        <v>0.84583333333333333</v>
      </c>
      <c r="H179" t="s">
        <v>129</v>
      </c>
      <c r="I179" t="s">
        <v>129</v>
      </c>
      <c r="J179" t="s">
        <v>129</v>
      </c>
    </row>
    <row r="180" spans="1:14">
      <c r="A180">
        <v>8559</v>
      </c>
      <c r="B180" t="s">
        <v>11</v>
      </c>
      <c r="C180" t="s">
        <v>11</v>
      </c>
      <c r="D180" t="s">
        <v>6</v>
      </c>
      <c r="E180" s="1">
        <v>43164.362916666665</v>
      </c>
      <c r="F180" s="465">
        <v>43164.362916666665</v>
      </c>
      <c r="G180" s="464">
        <v>0.36249999999999999</v>
      </c>
      <c r="H180">
        <v>12.566666666666666</v>
      </c>
      <c r="I180">
        <v>8</v>
      </c>
      <c r="J180" t="s">
        <v>129</v>
      </c>
    </row>
    <row r="181" spans="1:14">
      <c r="A181">
        <v>8589</v>
      </c>
      <c r="B181" t="s">
        <v>11</v>
      </c>
      <c r="C181" t="s">
        <v>11</v>
      </c>
      <c r="D181" t="s">
        <v>5</v>
      </c>
      <c r="E181" s="1">
        <v>43164.886423611111</v>
      </c>
      <c r="F181" s="465">
        <v>43164.886423611111</v>
      </c>
      <c r="G181" s="464">
        <v>0.88611111111111107</v>
      </c>
      <c r="H181" t="s">
        <v>129</v>
      </c>
      <c r="I181" t="s">
        <v>129</v>
      </c>
      <c r="J181" t="s">
        <v>129</v>
      </c>
    </row>
    <row r="182" spans="1:14">
      <c r="A182">
        <v>8595</v>
      </c>
      <c r="B182" t="s">
        <v>11</v>
      </c>
      <c r="C182" t="s">
        <v>11</v>
      </c>
      <c r="D182" t="s">
        <v>6</v>
      </c>
      <c r="E182" s="1">
        <v>43165.362002314818</v>
      </c>
      <c r="F182" s="465">
        <v>43165.362002314818</v>
      </c>
      <c r="G182" s="464">
        <v>0.36180555555555555</v>
      </c>
      <c r="H182">
        <v>13.066666666666666</v>
      </c>
      <c r="I182">
        <v>8</v>
      </c>
      <c r="J182" t="s">
        <v>129</v>
      </c>
    </row>
    <row r="183" spans="1:14">
      <c r="A183">
        <v>8624</v>
      </c>
      <c r="B183" t="s">
        <v>11</v>
      </c>
      <c r="C183" t="s">
        <v>11</v>
      </c>
      <c r="D183" t="s">
        <v>5</v>
      </c>
      <c r="E183" s="1">
        <v>43165.906597222223</v>
      </c>
      <c r="F183" s="465">
        <v>43165.906597222223</v>
      </c>
      <c r="G183" s="464">
        <v>0.90625</v>
      </c>
      <c r="H183" t="s">
        <v>129</v>
      </c>
      <c r="I183" t="s">
        <v>129</v>
      </c>
      <c r="J183" t="s">
        <v>129</v>
      </c>
    </row>
    <row r="184" spans="1:14">
      <c r="A184">
        <v>8629</v>
      </c>
      <c r="B184" t="s">
        <v>11</v>
      </c>
      <c r="C184" t="s">
        <v>11</v>
      </c>
      <c r="D184" t="s">
        <v>6</v>
      </c>
      <c r="E184" s="1">
        <v>43166.364965277775</v>
      </c>
      <c r="F184" s="465">
        <v>43166.364965277775</v>
      </c>
      <c r="G184" s="464">
        <v>0.36458333333333331</v>
      </c>
      <c r="H184">
        <v>11.7</v>
      </c>
      <c r="I184">
        <v>8</v>
      </c>
      <c r="J184" t="s">
        <v>129</v>
      </c>
    </row>
    <row r="185" spans="1:14">
      <c r="A185">
        <v>8656</v>
      </c>
      <c r="B185" t="s">
        <v>11</v>
      </c>
      <c r="C185" t="s">
        <v>11</v>
      </c>
      <c r="D185" t="s">
        <v>5</v>
      </c>
      <c r="E185" s="1">
        <v>43166.85255787037</v>
      </c>
      <c r="F185" s="465">
        <v>43166.85255787037</v>
      </c>
      <c r="G185" s="464">
        <v>0.8520833333333333</v>
      </c>
      <c r="H185" t="s">
        <v>129</v>
      </c>
      <c r="I185" t="s">
        <v>129</v>
      </c>
      <c r="J185" t="s">
        <v>129</v>
      </c>
    </row>
    <row r="186" spans="1:14">
      <c r="A186">
        <v>8664</v>
      </c>
      <c r="B186" t="s">
        <v>11</v>
      </c>
      <c r="C186" t="s">
        <v>11</v>
      </c>
      <c r="D186" t="s">
        <v>6</v>
      </c>
      <c r="E186" s="1">
        <v>43167.360162037039</v>
      </c>
      <c r="F186" s="465">
        <v>43167.360162037039</v>
      </c>
      <c r="G186" s="464">
        <v>0.35972222222222222</v>
      </c>
      <c r="H186">
        <v>11.4</v>
      </c>
      <c r="I186">
        <v>8</v>
      </c>
      <c r="J186" t="s">
        <v>129</v>
      </c>
    </row>
    <row r="187" spans="1:14">
      <c r="A187">
        <v>8688</v>
      </c>
      <c r="B187" t="s">
        <v>11</v>
      </c>
      <c r="C187" t="s">
        <v>11</v>
      </c>
      <c r="D187" t="s">
        <v>5</v>
      </c>
      <c r="E187" s="1">
        <v>43167.834745370368</v>
      </c>
      <c r="F187" s="465">
        <v>43167.834745370368</v>
      </c>
      <c r="G187" s="464">
        <v>0.83472222222222225</v>
      </c>
      <c r="H187" t="s">
        <v>129</v>
      </c>
      <c r="I187" t="s">
        <v>129</v>
      </c>
      <c r="J187" t="s">
        <v>129</v>
      </c>
    </row>
    <row r="188" spans="1:14">
      <c r="A188">
        <v>8693</v>
      </c>
      <c r="B188" t="s">
        <v>78</v>
      </c>
      <c r="C188" t="s">
        <v>11</v>
      </c>
      <c r="D188" t="s">
        <v>6</v>
      </c>
      <c r="E188" s="1">
        <v>43168.362719907411</v>
      </c>
      <c r="F188" s="465">
        <v>43168.362719907411</v>
      </c>
      <c r="G188" s="464">
        <v>0.36249999999999999</v>
      </c>
      <c r="H188">
        <v>10.183333333333334</v>
      </c>
      <c r="I188">
        <v>8</v>
      </c>
      <c r="J188" t="s">
        <v>129</v>
      </c>
    </row>
    <row r="189" spans="1:14">
      <c r="A189">
        <v>8715</v>
      </c>
      <c r="B189" t="s">
        <v>11</v>
      </c>
      <c r="C189" t="s">
        <v>11</v>
      </c>
      <c r="D189" t="s">
        <v>5</v>
      </c>
      <c r="E189" s="1">
        <v>43168.786909722221</v>
      </c>
      <c r="F189" s="465">
        <v>43168.786909722221</v>
      </c>
      <c r="G189" s="464">
        <v>0.78680555555555554</v>
      </c>
      <c r="H189" t="s">
        <v>129</v>
      </c>
      <c r="I189" t="s">
        <v>129</v>
      </c>
      <c r="J189" t="s">
        <v>129</v>
      </c>
    </row>
    <row r="190" spans="1:14">
      <c r="A190">
        <v>8718</v>
      </c>
      <c r="B190" t="s">
        <v>11</v>
      </c>
      <c r="C190" t="s">
        <v>11</v>
      </c>
      <c r="D190" t="s">
        <v>7</v>
      </c>
      <c r="E190" s="1">
        <v>43169.418043981481</v>
      </c>
      <c r="F190" s="465">
        <v>43169.418043981481</v>
      </c>
      <c r="G190" s="464">
        <v>0.41736111111111113</v>
      </c>
      <c r="H190" t="s">
        <v>129</v>
      </c>
      <c r="I190" t="s">
        <v>129</v>
      </c>
      <c r="J190" t="s">
        <v>129</v>
      </c>
      <c r="K190">
        <v>9.9999999999999645E-2</v>
      </c>
      <c r="M190">
        <v>2</v>
      </c>
      <c r="N190">
        <v>0.98333333333333339</v>
      </c>
    </row>
    <row r="191" spans="1:14">
      <c r="A191">
        <v>8720</v>
      </c>
      <c r="B191" t="s">
        <v>11</v>
      </c>
      <c r="C191" t="s">
        <v>11</v>
      </c>
      <c r="D191" t="s">
        <v>8</v>
      </c>
      <c r="E191" s="1">
        <v>43169.421759259261</v>
      </c>
      <c r="F191" s="465">
        <v>43169.421759259261</v>
      </c>
      <c r="G191" s="464">
        <v>0.42152777777777778</v>
      </c>
      <c r="H191" t="s">
        <v>129</v>
      </c>
      <c r="I191" t="s">
        <v>129</v>
      </c>
      <c r="J191" t="s">
        <v>129</v>
      </c>
    </row>
    <row r="192" spans="1:14">
      <c r="A192">
        <v>8721</v>
      </c>
      <c r="B192" t="s">
        <v>11</v>
      </c>
      <c r="C192" t="s">
        <v>11</v>
      </c>
      <c r="D192" t="s">
        <v>7</v>
      </c>
      <c r="E192" s="1">
        <v>43169.430486111109</v>
      </c>
      <c r="F192" s="465">
        <v>43169.430486111109</v>
      </c>
      <c r="G192" s="464">
        <v>0.42986111111111108</v>
      </c>
      <c r="H192" t="s">
        <v>129</v>
      </c>
      <c r="I192" t="s">
        <v>129</v>
      </c>
      <c r="J192" t="s">
        <v>129</v>
      </c>
      <c r="K192">
        <v>2.8833333333333337</v>
      </c>
    </row>
    <row r="193" spans="1:14">
      <c r="A193">
        <v>8724</v>
      </c>
      <c r="B193" t="s">
        <v>11</v>
      </c>
      <c r="C193" t="s">
        <v>11</v>
      </c>
      <c r="D193" t="s">
        <v>8</v>
      </c>
      <c r="E193" s="1">
        <v>43169.550254629627</v>
      </c>
      <c r="F193" s="465">
        <v>43169.550254629627</v>
      </c>
      <c r="G193" s="464">
        <v>0.54999999999999993</v>
      </c>
      <c r="H193" t="s">
        <v>129</v>
      </c>
      <c r="I193" t="s">
        <v>129</v>
      </c>
      <c r="J193" t="s">
        <v>129</v>
      </c>
    </row>
    <row r="194" spans="1:14">
      <c r="A194">
        <v>8762</v>
      </c>
      <c r="B194" t="s">
        <v>11</v>
      </c>
      <c r="C194" t="s">
        <v>11</v>
      </c>
      <c r="D194" t="s">
        <v>6</v>
      </c>
      <c r="E194" s="1">
        <v>43171.362523148149</v>
      </c>
      <c r="F194" s="465">
        <v>43171.362523148149</v>
      </c>
      <c r="G194" s="464">
        <v>0.36249999999999999</v>
      </c>
      <c r="H194">
        <v>13.116666666666667</v>
      </c>
      <c r="I194">
        <v>8</v>
      </c>
      <c r="J194" t="s">
        <v>129</v>
      </c>
    </row>
    <row r="195" spans="1:14">
      <c r="A195">
        <v>8797</v>
      </c>
      <c r="B195" t="s">
        <v>11</v>
      </c>
      <c r="C195" t="s">
        <v>11</v>
      </c>
      <c r="D195" t="s">
        <v>5</v>
      </c>
      <c r="E195" s="1">
        <v>43171.909074074072</v>
      </c>
      <c r="F195" s="465">
        <v>43171.909074074072</v>
      </c>
      <c r="G195" s="464">
        <v>0.90902777777777777</v>
      </c>
      <c r="H195" t="s">
        <v>129</v>
      </c>
      <c r="I195" t="s">
        <v>129</v>
      </c>
      <c r="J195" t="s">
        <v>129</v>
      </c>
    </row>
    <row r="196" spans="1:14">
      <c r="A196">
        <v>8800</v>
      </c>
      <c r="B196" t="s">
        <v>11</v>
      </c>
      <c r="C196" t="s">
        <v>11</v>
      </c>
      <c r="D196" t="s">
        <v>6</v>
      </c>
      <c r="E196" s="1">
        <v>43172.361863425926</v>
      </c>
      <c r="F196" s="465">
        <v>43172.361863425926</v>
      </c>
      <c r="G196" s="464">
        <v>0.36180555555555555</v>
      </c>
      <c r="H196">
        <v>12.083333333333334</v>
      </c>
      <c r="I196">
        <v>8</v>
      </c>
      <c r="J196" t="s">
        <v>129</v>
      </c>
    </row>
    <row r="197" spans="1:14">
      <c r="A197">
        <v>8831</v>
      </c>
      <c r="B197" t="s">
        <v>11</v>
      </c>
      <c r="C197" t="s">
        <v>11</v>
      </c>
      <c r="D197" t="s">
        <v>5</v>
      </c>
      <c r="E197" s="1">
        <v>43172.86550925926</v>
      </c>
      <c r="F197" s="465">
        <v>43172.86550925926</v>
      </c>
      <c r="G197" s="464">
        <v>0.8652777777777777</v>
      </c>
      <c r="H197" t="s">
        <v>129</v>
      </c>
      <c r="I197" t="s">
        <v>129</v>
      </c>
      <c r="J197" t="s">
        <v>129</v>
      </c>
    </row>
    <row r="198" spans="1:14">
      <c r="A198">
        <v>8837</v>
      </c>
      <c r="B198" t="s">
        <v>11</v>
      </c>
      <c r="C198" t="s">
        <v>11</v>
      </c>
      <c r="D198" t="s">
        <v>6</v>
      </c>
      <c r="E198" s="1">
        <v>43173.361215277779</v>
      </c>
      <c r="F198" s="465">
        <v>43173.361215277779</v>
      </c>
      <c r="G198" s="464">
        <v>0.3611111111111111</v>
      </c>
      <c r="H198">
        <v>11.899999999999999</v>
      </c>
      <c r="I198">
        <v>8</v>
      </c>
      <c r="J198" t="s">
        <v>129</v>
      </c>
    </row>
    <row r="199" spans="1:14">
      <c r="A199">
        <v>8864</v>
      </c>
      <c r="B199" t="s">
        <v>11</v>
      </c>
      <c r="C199" t="s">
        <v>11</v>
      </c>
      <c r="D199" t="s">
        <v>5</v>
      </c>
      <c r="E199" s="1">
        <v>43173.857407407406</v>
      </c>
      <c r="F199" s="465">
        <v>43173.857407407406</v>
      </c>
      <c r="G199" s="464">
        <v>0.8569444444444444</v>
      </c>
      <c r="H199" t="s">
        <v>129</v>
      </c>
      <c r="I199" t="s">
        <v>129</v>
      </c>
      <c r="J199" t="s">
        <v>129</v>
      </c>
    </row>
    <row r="200" spans="1:14">
      <c r="A200">
        <v>8873</v>
      </c>
      <c r="B200" t="s">
        <v>78</v>
      </c>
      <c r="C200" t="s">
        <v>11</v>
      </c>
      <c r="D200" t="s">
        <v>6</v>
      </c>
      <c r="E200" s="1">
        <v>43174.363182870373</v>
      </c>
      <c r="F200" s="465">
        <v>43174.363182870373</v>
      </c>
      <c r="G200" s="464">
        <v>0.36249999999999999</v>
      </c>
      <c r="H200">
        <v>12.383333333333333</v>
      </c>
      <c r="I200">
        <v>8</v>
      </c>
      <c r="J200" t="s">
        <v>129</v>
      </c>
    </row>
    <row r="201" spans="1:14">
      <c r="A201">
        <v>8904</v>
      </c>
      <c r="B201" t="s">
        <v>11</v>
      </c>
      <c r="C201" t="s">
        <v>11</v>
      </c>
      <c r="D201" t="s">
        <v>5</v>
      </c>
      <c r="E201" s="1">
        <v>43174.878645833334</v>
      </c>
      <c r="F201" s="465">
        <v>43174.878645833334</v>
      </c>
      <c r="G201" s="464">
        <v>0.87847222222222221</v>
      </c>
      <c r="H201" t="s">
        <v>129</v>
      </c>
      <c r="I201" t="s">
        <v>129</v>
      </c>
      <c r="J201" t="s">
        <v>129</v>
      </c>
    </row>
    <row r="202" spans="1:14">
      <c r="A202">
        <v>8909</v>
      </c>
      <c r="B202" t="s">
        <v>11</v>
      </c>
      <c r="C202" t="s">
        <v>11</v>
      </c>
      <c r="D202" t="s">
        <v>6</v>
      </c>
      <c r="E202" s="1">
        <v>43175.36273148148</v>
      </c>
      <c r="F202" s="465">
        <v>43175.36273148148</v>
      </c>
      <c r="G202" s="464">
        <v>0.36249999999999999</v>
      </c>
      <c r="H202">
        <v>10.883333333333333</v>
      </c>
      <c r="I202">
        <v>8</v>
      </c>
      <c r="J202" t="s">
        <v>129</v>
      </c>
    </row>
    <row r="203" spans="1:14">
      <c r="A203">
        <v>8936</v>
      </c>
      <c r="B203" t="s">
        <v>11</v>
      </c>
      <c r="C203" t="s">
        <v>11</v>
      </c>
      <c r="D203" t="s">
        <v>5</v>
      </c>
      <c r="E203" s="1">
        <v>43175.815983796296</v>
      </c>
      <c r="F203" s="465">
        <v>43175.815983796296</v>
      </c>
      <c r="G203" s="464">
        <v>0.81597222222222221</v>
      </c>
      <c r="H203" t="s">
        <v>129</v>
      </c>
      <c r="I203" t="s">
        <v>129</v>
      </c>
      <c r="J203" t="s">
        <v>129</v>
      </c>
    </row>
    <row r="204" spans="1:14">
      <c r="A204">
        <v>8943</v>
      </c>
      <c r="B204" t="s">
        <v>11</v>
      </c>
      <c r="C204" t="s">
        <v>11</v>
      </c>
      <c r="D204" t="s">
        <v>7</v>
      </c>
      <c r="E204" s="1">
        <v>43176.42428240741</v>
      </c>
      <c r="F204" s="465">
        <v>43176.42428240741</v>
      </c>
      <c r="G204" s="464">
        <v>0.4236111111111111</v>
      </c>
      <c r="H204" t="s">
        <v>129</v>
      </c>
      <c r="I204" t="s">
        <v>129</v>
      </c>
      <c r="J204" t="s">
        <v>129</v>
      </c>
      <c r="K204">
        <v>3.933333333333334</v>
      </c>
      <c r="M204">
        <v>2</v>
      </c>
      <c r="N204">
        <v>1.933333333333334</v>
      </c>
    </row>
    <row r="205" spans="1:14">
      <c r="A205">
        <v>8961</v>
      </c>
      <c r="B205" t="s">
        <v>11</v>
      </c>
      <c r="C205" t="s">
        <v>11</v>
      </c>
      <c r="D205" t="s">
        <v>8</v>
      </c>
      <c r="E205" s="1">
        <v>43176.587546296294</v>
      </c>
      <c r="F205" s="465">
        <v>43176.587546296294</v>
      </c>
      <c r="G205" s="464">
        <v>0.58750000000000002</v>
      </c>
      <c r="H205" t="s">
        <v>129</v>
      </c>
      <c r="I205" t="s">
        <v>129</v>
      </c>
      <c r="J205" t="s">
        <v>129</v>
      </c>
    </row>
    <row r="206" spans="1:14">
      <c r="A206">
        <v>9009</v>
      </c>
      <c r="B206" t="s">
        <v>11</v>
      </c>
      <c r="C206" t="s">
        <v>11</v>
      </c>
      <c r="D206" t="s">
        <v>6</v>
      </c>
      <c r="E206" s="1">
        <v>43178.354664351849</v>
      </c>
      <c r="F206" s="465">
        <v>43178.354664351849</v>
      </c>
      <c r="G206" s="464">
        <v>0.35416666666666669</v>
      </c>
      <c r="H206">
        <v>9.5</v>
      </c>
      <c r="I206">
        <v>8</v>
      </c>
      <c r="J206" t="s">
        <v>129</v>
      </c>
    </row>
    <row r="207" spans="1:14">
      <c r="A207">
        <v>9040</v>
      </c>
      <c r="B207" t="s">
        <v>11</v>
      </c>
      <c r="C207" t="s">
        <v>11</v>
      </c>
      <c r="D207" t="s">
        <v>5</v>
      </c>
      <c r="E207" s="1">
        <v>43178.750104166669</v>
      </c>
      <c r="F207" s="465">
        <v>43178.750104166669</v>
      </c>
      <c r="G207" s="464">
        <v>0.75</v>
      </c>
      <c r="H207" t="s">
        <v>129</v>
      </c>
      <c r="I207" t="s">
        <v>129</v>
      </c>
      <c r="J207" t="s">
        <v>129</v>
      </c>
    </row>
    <row r="208" spans="1:14">
      <c r="A208">
        <v>9009</v>
      </c>
      <c r="B208" t="s">
        <v>11</v>
      </c>
      <c r="C208" t="s">
        <v>11</v>
      </c>
      <c r="D208" t="s">
        <v>6</v>
      </c>
      <c r="E208" s="1">
        <v>43179.362303240741</v>
      </c>
      <c r="F208" s="465">
        <v>43179.362303240741</v>
      </c>
      <c r="G208" s="464">
        <v>0.36180555555555555</v>
      </c>
      <c r="H208">
        <v>10.933333333333334</v>
      </c>
      <c r="I208">
        <v>8</v>
      </c>
      <c r="J208" t="s">
        <v>129</v>
      </c>
    </row>
    <row r="209" spans="1:10">
      <c r="A209">
        <v>9040</v>
      </c>
      <c r="B209" t="s">
        <v>11</v>
      </c>
      <c r="C209" t="s">
        <v>11</v>
      </c>
      <c r="D209" t="s">
        <v>5</v>
      </c>
      <c r="E209" s="1">
        <v>43179.817465277774</v>
      </c>
      <c r="F209" s="465">
        <v>43179.817465277774</v>
      </c>
      <c r="G209" s="464">
        <v>0.81736111111111109</v>
      </c>
      <c r="H209" t="s">
        <v>129</v>
      </c>
      <c r="I209" t="s">
        <v>129</v>
      </c>
      <c r="J209" t="s">
        <v>129</v>
      </c>
    </row>
    <row r="210" spans="1:10">
      <c r="A210">
        <v>9056</v>
      </c>
      <c r="B210" t="s">
        <v>78</v>
      </c>
      <c r="C210" t="s">
        <v>11</v>
      </c>
      <c r="D210" t="s">
        <v>6</v>
      </c>
      <c r="E210" s="1">
        <v>43180.597361111111</v>
      </c>
      <c r="F210" s="465">
        <v>43180.597361111111</v>
      </c>
      <c r="G210" s="464">
        <v>0.59722222222222221</v>
      </c>
      <c r="H210">
        <v>6.05</v>
      </c>
      <c r="I210">
        <v>4.55</v>
      </c>
      <c r="J210">
        <v>3.45</v>
      </c>
    </row>
    <row r="211" spans="1:10">
      <c r="A211">
        <v>9077</v>
      </c>
      <c r="B211" t="s">
        <v>11</v>
      </c>
      <c r="C211" t="s">
        <v>11</v>
      </c>
      <c r="D211" t="s">
        <v>5</v>
      </c>
      <c r="E211" s="1">
        <v>43180.849444444444</v>
      </c>
      <c r="F211" s="465">
        <v>43180.849444444444</v>
      </c>
      <c r="G211" s="464">
        <v>0.84930555555555554</v>
      </c>
      <c r="H211" t="s">
        <v>129</v>
      </c>
      <c r="I211" t="s">
        <v>129</v>
      </c>
      <c r="J211" t="s">
        <v>129</v>
      </c>
    </row>
    <row r="212" spans="1:10">
      <c r="A212">
        <v>9082</v>
      </c>
      <c r="B212" t="s">
        <v>11</v>
      </c>
      <c r="C212" t="s">
        <v>11</v>
      </c>
      <c r="D212" t="s">
        <v>6</v>
      </c>
      <c r="E212" s="1">
        <v>43181.364050925928</v>
      </c>
      <c r="F212" s="465">
        <v>43181.364050925928</v>
      </c>
      <c r="G212" s="464">
        <v>0.36388888888888887</v>
      </c>
      <c r="H212">
        <v>11.183333333333335</v>
      </c>
      <c r="I212">
        <v>8</v>
      </c>
      <c r="J212" t="s">
        <v>129</v>
      </c>
    </row>
    <row r="213" spans="1:10">
      <c r="A213">
        <v>9109</v>
      </c>
      <c r="B213" t="s">
        <v>11</v>
      </c>
      <c r="C213" t="s">
        <v>11</v>
      </c>
      <c r="D213" t="s">
        <v>5</v>
      </c>
      <c r="E213" s="1">
        <v>43181.830023148148</v>
      </c>
      <c r="F213" s="465">
        <v>43181.830023148148</v>
      </c>
      <c r="G213" s="464">
        <v>0.82986111111111116</v>
      </c>
      <c r="H213" t="s">
        <v>129</v>
      </c>
      <c r="I213" t="s">
        <v>129</v>
      </c>
      <c r="J213" t="s">
        <v>129</v>
      </c>
    </row>
    <row r="214" spans="1:10">
      <c r="A214">
        <v>9118</v>
      </c>
      <c r="B214" t="s">
        <v>11</v>
      </c>
      <c r="C214" t="s">
        <v>11</v>
      </c>
      <c r="D214" t="s">
        <v>6</v>
      </c>
      <c r="E214" s="1">
        <v>43182.36246527778</v>
      </c>
      <c r="F214" s="465">
        <v>43182.36246527778</v>
      </c>
      <c r="G214" s="464">
        <v>0.36180555555555555</v>
      </c>
      <c r="H214">
        <v>9.8833333333333346</v>
      </c>
      <c r="I214">
        <v>8</v>
      </c>
      <c r="J214" t="s">
        <v>129</v>
      </c>
    </row>
    <row r="215" spans="1:10">
      <c r="A215">
        <v>9134</v>
      </c>
      <c r="B215" t="s">
        <v>11</v>
      </c>
      <c r="C215" t="s">
        <v>11</v>
      </c>
      <c r="D215" t="s">
        <v>5</v>
      </c>
      <c r="E215" s="1">
        <v>43182.774131944447</v>
      </c>
      <c r="F215" s="465">
        <v>43182.774131944447</v>
      </c>
      <c r="G215" s="464">
        <v>0.77361111111111114</v>
      </c>
      <c r="H215" t="s">
        <v>129</v>
      </c>
      <c r="I215" t="s">
        <v>129</v>
      </c>
      <c r="J215" t="s">
        <v>129</v>
      </c>
    </row>
    <row r="216" spans="1:10">
      <c r="A216">
        <v>9137</v>
      </c>
      <c r="B216" t="s">
        <v>11</v>
      </c>
      <c r="C216" t="s">
        <v>11</v>
      </c>
      <c r="D216" t="s">
        <v>6</v>
      </c>
      <c r="E216" s="1">
        <v>43185.359409722223</v>
      </c>
      <c r="F216" s="465">
        <v>43185.359409722223</v>
      </c>
      <c r="G216" s="464">
        <v>0.35902777777777778</v>
      </c>
      <c r="H216">
        <v>11.516666666666667</v>
      </c>
      <c r="I216">
        <v>8</v>
      </c>
      <c r="J216" t="s">
        <v>129</v>
      </c>
    </row>
    <row r="217" spans="1:10">
      <c r="A217">
        <v>9160</v>
      </c>
      <c r="B217" t="s">
        <v>11</v>
      </c>
      <c r="C217" t="s">
        <v>11</v>
      </c>
      <c r="D217" t="s">
        <v>5</v>
      </c>
      <c r="E217" s="1">
        <v>43185.839166666665</v>
      </c>
      <c r="F217" s="465">
        <v>43185.839166666665</v>
      </c>
      <c r="G217" s="464">
        <v>0.83888888888888891</v>
      </c>
      <c r="H217" t="s">
        <v>129</v>
      </c>
      <c r="I217" t="s">
        <v>129</v>
      </c>
      <c r="J217" t="s">
        <v>129</v>
      </c>
    </row>
    <row r="218" spans="1:10">
      <c r="A218">
        <v>9164</v>
      </c>
      <c r="B218" t="s">
        <v>78</v>
      </c>
      <c r="C218" t="s">
        <v>11</v>
      </c>
      <c r="D218" t="s">
        <v>6</v>
      </c>
      <c r="E218" s="1">
        <v>43186.360960648148</v>
      </c>
      <c r="F218" s="465">
        <v>43186.360960648148</v>
      </c>
      <c r="G218" s="464">
        <v>0.36041666666666666</v>
      </c>
      <c r="H218">
        <v>10.85</v>
      </c>
      <c r="I218">
        <v>8</v>
      </c>
      <c r="J218" t="s">
        <v>129</v>
      </c>
    </row>
    <row r="219" spans="1:10">
      <c r="A219">
        <v>9184</v>
      </c>
      <c r="B219" t="s">
        <v>11</v>
      </c>
      <c r="C219" t="s">
        <v>11</v>
      </c>
      <c r="D219" t="s">
        <v>5</v>
      </c>
      <c r="E219" s="1">
        <v>43186.812974537039</v>
      </c>
      <c r="F219" s="465">
        <v>43186.812974537039</v>
      </c>
      <c r="G219" s="464">
        <v>0.8125</v>
      </c>
      <c r="H219" t="s">
        <v>129</v>
      </c>
      <c r="I219" t="s">
        <v>129</v>
      </c>
      <c r="J219" t="s">
        <v>129</v>
      </c>
    </row>
    <row r="220" spans="1:10">
      <c r="A220">
        <v>9190</v>
      </c>
      <c r="B220" t="s">
        <v>11</v>
      </c>
      <c r="C220" t="s">
        <v>11</v>
      </c>
      <c r="D220" t="s">
        <v>6</v>
      </c>
      <c r="E220" s="1">
        <v>43187.35533564815</v>
      </c>
      <c r="F220" s="465">
        <v>43187.35533564815</v>
      </c>
      <c r="G220" s="464">
        <v>0.35486111111111113</v>
      </c>
      <c r="H220">
        <v>14.283333333333331</v>
      </c>
      <c r="I220">
        <v>8</v>
      </c>
      <c r="J220" t="s">
        <v>129</v>
      </c>
    </row>
    <row r="221" spans="1:10">
      <c r="A221">
        <v>9225</v>
      </c>
      <c r="B221" t="s">
        <v>11</v>
      </c>
      <c r="C221" t="s">
        <v>11</v>
      </c>
      <c r="D221" t="s">
        <v>5</v>
      </c>
      <c r="E221" s="1">
        <v>43187.950115740743</v>
      </c>
      <c r="F221" s="465">
        <v>43187.950115740743</v>
      </c>
      <c r="G221" s="464">
        <v>0.95000000000000007</v>
      </c>
      <c r="H221" t="s">
        <v>129</v>
      </c>
      <c r="I221" t="s">
        <v>129</v>
      </c>
      <c r="J221" t="s">
        <v>129</v>
      </c>
    </row>
    <row r="222" spans="1:10">
      <c r="A222">
        <v>9228</v>
      </c>
      <c r="B222" t="s">
        <v>11</v>
      </c>
      <c r="C222" t="s">
        <v>11</v>
      </c>
      <c r="D222" t="s">
        <v>6</v>
      </c>
      <c r="E222" s="1">
        <v>43188.364201388889</v>
      </c>
      <c r="F222" s="465">
        <v>43188.364201388889</v>
      </c>
      <c r="G222" s="464">
        <v>0.36388888888888887</v>
      </c>
      <c r="H222">
        <v>10.533333333333335</v>
      </c>
      <c r="I222">
        <v>8</v>
      </c>
      <c r="J222" t="s">
        <v>129</v>
      </c>
    </row>
    <row r="223" spans="1:10">
      <c r="A223">
        <v>9251</v>
      </c>
      <c r="B223" t="s">
        <v>11</v>
      </c>
      <c r="C223" t="s">
        <v>11</v>
      </c>
      <c r="D223" t="s">
        <v>5</v>
      </c>
      <c r="E223" s="1">
        <v>43188.802905092591</v>
      </c>
      <c r="F223" s="465">
        <v>43188.802905092591</v>
      </c>
      <c r="G223" s="464">
        <v>0.8027777777777777</v>
      </c>
      <c r="H223" t="s">
        <v>129</v>
      </c>
      <c r="I223" t="s">
        <v>129</v>
      </c>
      <c r="J223" t="s">
        <v>129</v>
      </c>
    </row>
    <row r="224" spans="1:10">
      <c r="A224">
        <v>9259</v>
      </c>
      <c r="B224" t="s">
        <v>11</v>
      </c>
      <c r="C224" t="s">
        <v>11</v>
      </c>
      <c r="D224" t="s">
        <v>6</v>
      </c>
      <c r="E224" s="1">
        <v>43189.359861111108</v>
      </c>
      <c r="F224" s="465">
        <v>43189.359861111108</v>
      </c>
      <c r="G224" s="464">
        <v>0.35972222222222222</v>
      </c>
      <c r="H224">
        <v>10.866666666666667</v>
      </c>
      <c r="I224">
        <v>8</v>
      </c>
      <c r="J224" t="s">
        <v>129</v>
      </c>
    </row>
    <row r="225" spans="1:14">
      <c r="A225">
        <v>9280</v>
      </c>
      <c r="B225" t="s">
        <v>11</v>
      </c>
      <c r="C225" t="s">
        <v>11</v>
      </c>
      <c r="D225" t="s">
        <v>5</v>
      </c>
      <c r="E225" s="1">
        <v>43189.8125462963</v>
      </c>
      <c r="F225" s="465">
        <v>43189.8125462963</v>
      </c>
      <c r="G225" s="464">
        <v>0.8125</v>
      </c>
      <c r="H225" t="s">
        <v>129</v>
      </c>
      <c r="I225" t="s">
        <v>129</v>
      </c>
      <c r="J225" t="s">
        <v>129</v>
      </c>
    </row>
    <row r="226" spans="1:14">
      <c r="A226">
        <v>9285</v>
      </c>
      <c r="B226" t="s">
        <v>78</v>
      </c>
      <c r="C226" t="s">
        <v>11</v>
      </c>
      <c r="D226" t="s">
        <v>6</v>
      </c>
      <c r="E226" s="1">
        <v>43190.361770833333</v>
      </c>
      <c r="F226" s="465">
        <v>43190.361770833333</v>
      </c>
      <c r="G226" s="464">
        <v>0.3611111111111111</v>
      </c>
      <c r="H226">
        <v>10.966666666666667</v>
      </c>
      <c r="I226">
        <v>8</v>
      </c>
      <c r="J226" t="s">
        <v>129</v>
      </c>
    </row>
    <row r="227" spans="1:14">
      <c r="A227">
        <v>9307</v>
      </c>
      <c r="B227" t="s">
        <v>11</v>
      </c>
      <c r="C227" t="s">
        <v>11</v>
      </c>
      <c r="D227" t="s">
        <v>5</v>
      </c>
      <c r="E227" s="1">
        <v>43190.818657407406</v>
      </c>
      <c r="F227" s="465">
        <v>43190.818657407406</v>
      </c>
      <c r="G227" s="464">
        <v>0.81805555555555554</v>
      </c>
      <c r="H227" t="s">
        <v>129</v>
      </c>
      <c r="I227" t="s">
        <v>129</v>
      </c>
      <c r="J227" t="s">
        <v>129</v>
      </c>
    </row>
    <row r="228" spans="1:14">
      <c r="A228">
        <v>8498</v>
      </c>
      <c r="B228" t="s">
        <v>99</v>
      </c>
      <c r="C228" t="s">
        <v>99</v>
      </c>
      <c r="D228" t="s">
        <v>6</v>
      </c>
      <c r="E228" s="1">
        <v>43160.379236111112</v>
      </c>
      <c r="F228" s="465">
        <v>43160.379236111112</v>
      </c>
      <c r="G228" s="464">
        <v>0.37916666666666665</v>
      </c>
      <c r="H228">
        <v>9.9333333333333336</v>
      </c>
      <c r="I228">
        <v>8</v>
      </c>
      <c r="J228" t="s">
        <v>129</v>
      </c>
    </row>
    <row r="229" spans="1:14">
      <c r="A229">
        <v>8513</v>
      </c>
      <c r="B229" t="s">
        <v>99</v>
      </c>
      <c r="C229" t="s">
        <v>99</v>
      </c>
      <c r="D229" t="s">
        <v>5</v>
      </c>
      <c r="E229" s="1">
        <v>43160.793622685182</v>
      </c>
      <c r="F229" s="465">
        <v>43160.793622685182</v>
      </c>
      <c r="G229" s="464">
        <v>0.79305555555555562</v>
      </c>
      <c r="H229" t="s">
        <v>129</v>
      </c>
      <c r="I229" t="s">
        <v>129</v>
      </c>
      <c r="J229" t="s">
        <v>129</v>
      </c>
    </row>
    <row r="230" spans="1:14">
      <c r="A230">
        <v>8520</v>
      </c>
      <c r="B230" t="s">
        <v>99</v>
      </c>
      <c r="C230" t="s">
        <v>99</v>
      </c>
      <c r="D230" t="s">
        <v>6</v>
      </c>
      <c r="E230" s="1">
        <v>43161.358206018522</v>
      </c>
      <c r="F230" s="465">
        <v>43161.358206018522</v>
      </c>
      <c r="G230" s="464">
        <v>0.3576388888888889</v>
      </c>
      <c r="H230">
        <v>9.8666666666666671</v>
      </c>
      <c r="I230">
        <v>8</v>
      </c>
      <c r="J230" t="s">
        <v>129</v>
      </c>
    </row>
    <row r="231" spans="1:14">
      <c r="A231">
        <v>8537</v>
      </c>
      <c r="B231" t="s">
        <v>99</v>
      </c>
      <c r="C231" t="s">
        <v>99</v>
      </c>
      <c r="D231" t="s">
        <v>5</v>
      </c>
      <c r="E231" s="1">
        <v>43161.769212962965</v>
      </c>
      <c r="F231" s="465">
        <v>43161.769212962965</v>
      </c>
      <c r="G231" s="464">
        <v>0.76874999999999993</v>
      </c>
      <c r="H231" t="s">
        <v>129</v>
      </c>
      <c r="I231" t="s">
        <v>129</v>
      </c>
      <c r="J231" t="s">
        <v>129</v>
      </c>
    </row>
    <row r="232" spans="1:14">
      <c r="A232">
        <v>8551</v>
      </c>
      <c r="B232" t="s">
        <v>99</v>
      </c>
      <c r="C232" t="s">
        <v>99</v>
      </c>
      <c r="D232" t="s">
        <v>7</v>
      </c>
      <c r="E232" s="1">
        <v>43161.771157407406</v>
      </c>
      <c r="F232" s="465">
        <v>43161.771157407406</v>
      </c>
      <c r="G232" s="464">
        <v>0.77083333333333337</v>
      </c>
      <c r="H232" t="s">
        <v>129</v>
      </c>
      <c r="I232" t="s">
        <v>129</v>
      </c>
      <c r="J232" t="s">
        <v>129</v>
      </c>
      <c r="K232">
        <v>2.8666666666666645</v>
      </c>
      <c r="M232">
        <v>2</v>
      </c>
      <c r="N232">
        <v>0.86666666666666448</v>
      </c>
    </row>
    <row r="233" spans="1:14">
      <c r="A233">
        <v>8547</v>
      </c>
      <c r="B233" t="s">
        <v>99</v>
      </c>
      <c r="C233" t="s">
        <v>99</v>
      </c>
      <c r="D233" t="s">
        <v>8</v>
      </c>
      <c r="E233" s="1">
        <v>43161.890439814815</v>
      </c>
      <c r="F233" s="465">
        <v>43161.890439814815</v>
      </c>
      <c r="G233" s="464">
        <v>0.89027777777777783</v>
      </c>
      <c r="H233" t="s">
        <v>129</v>
      </c>
      <c r="I233" t="s">
        <v>129</v>
      </c>
      <c r="J233" t="s">
        <v>129</v>
      </c>
    </row>
    <row r="234" spans="1:14">
      <c r="A234">
        <v>8548</v>
      </c>
      <c r="B234" t="s">
        <v>99</v>
      </c>
      <c r="C234" t="s">
        <v>99</v>
      </c>
      <c r="D234" t="s">
        <v>7</v>
      </c>
      <c r="E234" s="1">
        <v>43162.420185185183</v>
      </c>
      <c r="F234" s="465">
        <v>43162.420185185183</v>
      </c>
      <c r="G234" s="464">
        <v>0.4201388888888889</v>
      </c>
      <c r="H234" t="s">
        <v>129</v>
      </c>
      <c r="I234" t="s">
        <v>129</v>
      </c>
      <c r="J234" t="s">
        <v>129</v>
      </c>
      <c r="K234">
        <v>3.2500000000000004</v>
      </c>
      <c r="M234">
        <v>2</v>
      </c>
      <c r="N234">
        <v>4.6500000000000021</v>
      </c>
    </row>
    <row r="235" spans="1:14">
      <c r="A235">
        <v>8550</v>
      </c>
      <c r="B235" t="s">
        <v>99</v>
      </c>
      <c r="C235" t="s">
        <v>99</v>
      </c>
      <c r="D235" t="s">
        <v>8</v>
      </c>
      <c r="E235" s="1">
        <v>43162.555868055555</v>
      </c>
      <c r="F235" s="465">
        <v>43162.555868055555</v>
      </c>
      <c r="G235" s="464">
        <v>0.55555555555555558</v>
      </c>
      <c r="H235" t="s">
        <v>129</v>
      </c>
      <c r="I235" t="s">
        <v>129</v>
      </c>
      <c r="J235" t="s">
        <v>129</v>
      </c>
    </row>
    <row r="236" spans="1:14">
      <c r="A236">
        <v>8551</v>
      </c>
      <c r="B236" t="s">
        <v>99</v>
      </c>
      <c r="C236" t="s">
        <v>99</v>
      </c>
      <c r="D236" t="s">
        <v>7</v>
      </c>
      <c r="E236" s="1">
        <v>43162.577407407407</v>
      </c>
      <c r="F236" s="465">
        <v>43162.577407407407</v>
      </c>
      <c r="G236" s="464">
        <v>0.57708333333333328</v>
      </c>
      <c r="H236" t="s">
        <v>129</v>
      </c>
      <c r="I236" t="s">
        <v>129</v>
      </c>
      <c r="J236" t="s">
        <v>129</v>
      </c>
      <c r="K236">
        <v>3.4000000000000012</v>
      </c>
    </row>
    <row r="237" spans="1:14">
      <c r="A237">
        <v>8554</v>
      </c>
      <c r="B237" t="s">
        <v>99</v>
      </c>
      <c r="C237" t="s">
        <v>99</v>
      </c>
      <c r="D237" t="s">
        <v>8</v>
      </c>
      <c r="E237" s="1">
        <v>43162.718888888892</v>
      </c>
      <c r="F237" s="465">
        <v>43162.718888888892</v>
      </c>
      <c r="G237" s="464">
        <v>0.71875</v>
      </c>
      <c r="H237" t="s">
        <v>129</v>
      </c>
      <c r="I237" t="s">
        <v>129</v>
      </c>
      <c r="J237" t="s">
        <v>129</v>
      </c>
    </row>
    <row r="238" spans="1:14">
      <c r="A238">
        <v>8556</v>
      </c>
      <c r="B238" t="s">
        <v>99</v>
      </c>
      <c r="C238" t="s">
        <v>99</v>
      </c>
      <c r="D238" t="s">
        <v>6</v>
      </c>
      <c r="E238" s="1">
        <v>43164.357928240737</v>
      </c>
      <c r="F238" s="465">
        <v>43164.357928240737</v>
      </c>
      <c r="G238" s="464">
        <v>0.3576388888888889</v>
      </c>
      <c r="H238">
        <v>9.6833333333333318</v>
      </c>
      <c r="I238">
        <v>8</v>
      </c>
      <c r="J238" t="s">
        <v>129</v>
      </c>
    </row>
    <row r="239" spans="1:14">
      <c r="A239">
        <v>8572</v>
      </c>
      <c r="B239" t="s">
        <v>99</v>
      </c>
      <c r="C239" t="s">
        <v>99</v>
      </c>
      <c r="D239" t="s">
        <v>5</v>
      </c>
      <c r="E239" s="1">
        <v>43164.76153935185</v>
      </c>
      <c r="F239" s="465">
        <v>43164.76153935185</v>
      </c>
      <c r="G239" s="464">
        <v>0.76111111111111107</v>
      </c>
      <c r="H239" t="s">
        <v>129</v>
      </c>
      <c r="I239" t="s">
        <v>129</v>
      </c>
      <c r="J239" t="s">
        <v>129</v>
      </c>
    </row>
    <row r="240" spans="1:14">
      <c r="A240">
        <v>8573</v>
      </c>
      <c r="B240" t="s">
        <v>99</v>
      </c>
      <c r="C240" t="s">
        <v>99</v>
      </c>
      <c r="D240" t="s">
        <v>7</v>
      </c>
      <c r="E240" s="1">
        <v>43164.761574074073</v>
      </c>
      <c r="F240" s="465">
        <v>43164.761574074073</v>
      </c>
      <c r="G240" s="464">
        <v>0.76111111111111107</v>
      </c>
      <c r="H240" t="s">
        <v>129</v>
      </c>
      <c r="I240" t="s">
        <v>129</v>
      </c>
      <c r="J240" t="s">
        <v>129</v>
      </c>
      <c r="K240">
        <v>4.2666666666666675</v>
      </c>
      <c r="M240">
        <v>2</v>
      </c>
      <c r="N240">
        <v>2.2666666666666675</v>
      </c>
    </row>
    <row r="241" spans="1:14">
      <c r="A241">
        <v>8592</v>
      </c>
      <c r="B241" t="s">
        <v>99</v>
      </c>
      <c r="C241" t="s">
        <v>99</v>
      </c>
      <c r="D241" t="s">
        <v>8</v>
      </c>
      <c r="E241" s="1">
        <v>43164.939097222225</v>
      </c>
      <c r="F241" s="465">
        <v>43164.939097222225</v>
      </c>
      <c r="G241" s="464">
        <v>0.93888888888888899</v>
      </c>
      <c r="H241" t="s">
        <v>129</v>
      </c>
      <c r="I241" t="s">
        <v>129</v>
      </c>
      <c r="J241" t="s">
        <v>129</v>
      </c>
    </row>
    <row r="242" spans="1:14">
      <c r="A242">
        <v>8597</v>
      </c>
      <c r="B242" t="s">
        <v>99</v>
      </c>
      <c r="C242" t="s">
        <v>99</v>
      </c>
      <c r="D242" t="s">
        <v>6</v>
      </c>
      <c r="E242" s="1">
        <v>43165.363275462965</v>
      </c>
      <c r="F242" s="465">
        <v>43165.363275462965</v>
      </c>
      <c r="G242" s="464">
        <v>0.36319444444444443</v>
      </c>
      <c r="H242">
        <v>9.7166666666666686</v>
      </c>
      <c r="I242">
        <v>8</v>
      </c>
      <c r="J242" t="s">
        <v>129</v>
      </c>
    </row>
    <row r="243" spans="1:14">
      <c r="A243">
        <v>8609</v>
      </c>
      <c r="B243" t="s">
        <v>99</v>
      </c>
      <c r="C243" t="s">
        <v>99</v>
      </c>
      <c r="D243" t="s">
        <v>5</v>
      </c>
      <c r="E243" s="1">
        <v>43165.768449074072</v>
      </c>
      <c r="F243" s="465">
        <v>43165.768449074072</v>
      </c>
      <c r="G243" s="464">
        <v>0.7680555555555556</v>
      </c>
      <c r="H243" t="s">
        <v>129</v>
      </c>
      <c r="I243" t="s">
        <v>129</v>
      </c>
      <c r="J243" t="s">
        <v>129</v>
      </c>
    </row>
    <row r="244" spans="1:14">
      <c r="A244">
        <v>8626</v>
      </c>
      <c r="B244" t="s">
        <v>99</v>
      </c>
      <c r="C244" t="s">
        <v>99</v>
      </c>
      <c r="D244" t="s">
        <v>6</v>
      </c>
      <c r="E244" s="1">
        <v>43166.359155092592</v>
      </c>
      <c r="F244" s="465">
        <v>43166.359155092592</v>
      </c>
      <c r="G244" s="464">
        <v>0.35902777777777778</v>
      </c>
      <c r="H244">
        <v>1.9</v>
      </c>
      <c r="I244">
        <v>0.39999999999999991</v>
      </c>
      <c r="J244">
        <v>7.6</v>
      </c>
    </row>
    <row r="245" spans="1:14">
      <c r="A245">
        <v>8636</v>
      </c>
      <c r="B245" t="s">
        <v>99</v>
      </c>
      <c r="C245" t="s">
        <v>99</v>
      </c>
      <c r="D245" t="s">
        <v>5</v>
      </c>
      <c r="E245" s="1">
        <v>43166.438518518517</v>
      </c>
      <c r="F245" s="465">
        <v>43166.438518518517</v>
      </c>
      <c r="G245" s="464">
        <v>0.4381944444444445</v>
      </c>
      <c r="H245" t="s">
        <v>129</v>
      </c>
      <c r="I245" t="s">
        <v>129</v>
      </c>
      <c r="J245" t="s">
        <v>129</v>
      </c>
    </row>
    <row r="246" spans="1:14">
      <c r="A246">
        <v>8637</v>
      </c>
      <c r="B246" t="s">
        <v>99</v>
      </c>
      <c r="C246" t="s">
        <v>99</v>
      </c>
      <c r="D246" t="s">
        <v>6</v>
      </c>
      <c r="E246" s="1">
        <v>43166.584039351852</v>
      </c>
      <c r="F246" s="465">
        <v>43166.584039351852</v>
      </c>
      <c r="G246" s="464">
        <v>0.58402777777777781</v>
      </c>
      <c r="H246">
        <v>4.6166666666666663</v>
      </c>
      <c r="I246">
        <v>3.1166666666666663</v>
      </c>
      <c r="J246">
        <v>4.8833333333333337</v>
      </c>
    </row>
    <row r="247" spans="1:14">
      <c r="A247">
        <v>8649</v>
      </c>
      <c r="B247" t="s">
        <v>99</v>
      </c>
      <c r="C247" t="s">
        <v>99</v>
      </c>
      <c r="D247" t="s">
        <v>5</v>
      </c>
      <c r="E247" s="1">
        <v>43166.77652777778</v>
      </c>
      <c r="F247" s="465">
        <v>43166.77652777778</v>
      </c>
      <c r="G247" s="464">
        <v>0.77638888888888891</v>
      </c>
      <c r="H247" t="s">
        <v>129</v>
      </c>
      <c r="I247" t="s">
        <v>129</v>
      </c>
      <c r="J247" t="s">
        <v>129</v>
      </c>
    </row>
    <row r="248" spans="1:14">
      <c r="A248">
        <v>8650</v>
      </c>
      <c r="B248" t="s">
        <v>99</v>
      </c>
      <c r="C248" t="s">
        <v>99</v>
      </c>
      <c r="D248" t="s">
        <v>7</v>
      </c>
      <c r="E248" s="1">
        <v>43166.776562500003</v>
      </c>
      <c r="F248" s="465">
        <v>43166.776562500003</v>
      </c>
      <c r="G248" s="464">
        <v>0.77638888888888891</v>
      </c>
      <c r="H248" t="s">
        <v>129</v>
      </c>
      <c r="I248" t="s">
        <v>129</v>
      </c>
      <c r="J248" t="s">
        <v>129</v>
      </c>
      <c r="K248">
        <v>1.7333333333333325</v>
      </c>
      <c r="M248">
        <v>1.7333333333333325</v>
      </c>
      <c r="N248">
        <v>0</v>
      </c>
    </row>
    <row r="249" spans="1:14">
      <c r="A249">
        <v>8654</v>
      </c>
      <c r="B249" t="s">
        <v>99</v>
      </c>
      <c r="C249" t="s">
        <v>99</v>
      </c>
      <c r="D249" t="s">
        <v>8</v>
      </c>
      <c r="E249" s="1">
        <v>43166.84888888889</v>
      </c>
      <c r="F249" s="465">
        <v>43166.84888888889</v>
      </c>
      <c r="G249" s="464">
        <v>0.84861111111111109</v>
      </c>
      <c r="H249" t="s">
        <v>129</v>
      </c>
      <c r="I249" t="s">
        <v>129</v>
      </c>
      <c r="J249" t="s">
        <v>129</v>
      </c>
    </row>
    <row r="250" spans="1:14">
      <c r="A250">
        <v>8663</v>
      </c>
      <c r="B250" t="s">
        <v>99</v>
      </c>
      <c r="C250" t="s">
        <v>99</v>
      </c>
      <c r="D250" t="s">
        <v>6</v>
      </c>
      <c r="E250" s="1">
        <v>43167.359780092593</v>
      </c>
      <c r="F250" s="465">
        <v>43167.359780092593</v>
      </c>
      <c r="G250" s="464">
        <v>0.35972222222222222</v>
      </c>
      <c r="H250">
        <v>9.9333333333333336</v>
      </c>
      <c r="I250">
        <v>8</v>
      </c>
      <c r="J250" t="s">
        <v>129</v>
      </c>
    </row>
    <row r="251" spans="1:14">
      <c r="A251">
        <v>8683</v>
      </c>
      <c r="B251" t="s">
        <v>99</v>
      </c>
      <c r="C251" t="s">
        <v>99</v>
      </c>
      <c r="D251" t="s">
        <v>5</v>
      </c>
      <c r="E251" s="1">
        <v>43167.773865740739</v>
      </c>
      <c r="F251" s="465">
        <v>43167.773865740739</v>
      </c>
      <c r="G251" s="464">
        <v>0.77361111111111114</v>
      </c>
      <c r="H251" t="s">
        <v>129</v>
      </c>
      <c r="I251" t="s">
        <v>129</v>
      </c>
      <c r="J251" t="s">
        <v>129</v>
      </c>
    </row>
    <row r="252" spans="1:14">
      <c r="A252">
        <v>8684</v>
      </c>
      <c r="B252" t="s">
        <v>99</v>
      </c>
      <c r="C252" t="s">
        <v>99</v>
      </c>
      <c r="D252" t="s">
        <v>7</v>
      </c>
      <c r="E252" s="1">
        <v>43167.773912037039</v>
      </c>
      <c r="F252" s="465">
        <v>43167.773912037039</v>
      </c>
      <c r="G252" s="464">
        <v>0.77361111111111114</v>
      </c>
      <c r="H252" t="s">
        <v>129</v>
      </c>
      <c r="I252" t="s">
        <v>129</v>
      </c>
      <c r="J252" t="s">
        <v>129</v>
      </c>
      <c r="K252">
        <v>1.583333333333333</v>
      </c>
      <c r="M252">
        <v>1.583333333333333</v>
      </c>
      <c r="N252">
        <v>0</v>
      </c>
    </row>
    <row r="253" spans="1:14">
      <c r="A253">
        <v>8689</v>
      </c>
      <c r="B253" t="s">
        <v>99</v>
      </c>
      <c r="C253" t="s">
        <v>99</v>
      </c>
      <c r="D253" t="s">
        <v>8</v>
      </c>
      <c r="E253" s="1">
        <v>43167.839606481481</v>
      </c>
      <c r="F253" s="465">
        <v>43167.839606481481</v>
      </c>
      <c r="G253" s="464">
        <v>0.83958333333333324</v>
      </c>
      <c r="H253" t="s">
        <v>129</v>
      </c>
      <c r="I253" t="s">
        <v>129</v>
      </c>
      <c r="J253" t="s">
        <v>129</v>
      </c>
    </row>
    <row r="254" spans="1:14">
      <c r="A254">
        <v>8695</v>
      </c>
      <c r="B254" t="s">
        <v>99</v>
      </c>
      <c r="C254" t="s">
        <v>99</v>
      </c>
      <c r="D254" t="s">
        <v>6</v>
      </c>
      <c r="E254" s="1">
        <v>43168.365740740737</v>
      </c>
      <c r="F254" s="465">
        <v>43168.365740740737</v>
      </c>
      <c r="G254" s="464">
        <v>0.36527777777777781</v>
      </c>
      <c r="H254">
        <v>9.6333333333333346</v>
      </c>
      <c r="I254">
        <v>8</v>
      </c>
      <c r="J254" t="s">
        <v>129</v>
      </c>
    </row>
    <row r="255" spans="1:14">
      <c r="A255">
        <v>8704</v>
      </c>
      <c r="B255" t="s">
        <v>99</v>
      </c>
      <c r="C255" t="s">
        <v>99</v>
      </c>
      <c r="D255" t="s">
        <v>5</v>
      </c>
      <c r="E255" s="1">
        <v>43168.767094907409</v>
      </c>
      <c r="F255" s="465">
        <v>43168.767094907409</v>
      </c>
      <c r="G255" s="464">
        <v>0.76666666666666661</v>
      </c>
      <c r="H255" t="s">
        <v>129</v>
      </c>
      <c r="I255" t="s">
        <v>129</v>
      </c>
      <c r="J255" t="s">
        <v>129</v>
      </c>
    </row>
    <row r="256" spans="1:14">
      <c r="A256">
        <v>8730</v>
      </c>
      <c r="B256" t="s">
        <v>99</v>
      </c>
      <c r="C256" t="s">
        <v>99</v>
      </c>
      <c r="D256" t="s">
        <v>7</v>
      </c>
      <c r="E256" s="1">
        <v>43170.422500000001</v>
      </c>
      <c r="F256" s="465">
        <v>43170.422500000001</v>
      </c>
      <c r="G256" s="464">
        <v>0.42222222222222222</v>
      </c>
      <c r="H256" t="s">
        <v>129</v>
      </c>
      <c r="I256" t="s">
        <v>129</v>
      </c>
      <c r="J256" t="s">
        <v>129</v>
      </c>
      <c r="K256">
        <v>3.0833333333333344</v>
      </c>
      <c r="M256">
        <v>2</v>
      </c>
      <c r="N256">
        <v>6.1666666666666679</v>
      </c>
    </row>
    <row r="257" spans="1:14">
      <c r="A257">
        <v>8738</v>
      </c>
      <c r="B257" t="s">
        <v>99</v>
      </c>
      <c r="C257" t="s">
        <v>99</v>
      </c>
      <c r="D257" t="s">
        <v>8</v>
      </c>
      <c r="E257" s="1">
        <v>43170.550740740742</v>
      </c>
      <c r="F257" s="465">
        <v>43170.550740740742</v>
      </c>
      <c r="G257" s="464">
        <v>0.55069444444444449</v>
      </c>
      <c r="H257" t="s">
        <v>129</v>
      </c>
      <c r="I257" t="s">
        <v>129</v>
      </c>
      <c r="J257" t="s">
        <v>129</v>
      </c>
    </row>
    <row r="258" spans="1:14">
      <c r="A258">
        <v>8740</v>
      </c>
      <c r="B258" t="s">
        <v>99</v>
      </c>
      <c r="C258" t="s">
        <v>99</v>
      </c>
      <c r="D258" t="s">
        <v>7</v>
      </c>
      <c r="E258" s="1">
        <v>43170.572627314818</v>
      </c>
      <c r="F258" s="465">
        <v>43170.572627314818</v>
      </c>
      <c r="G258" s="464">
        <v>0.57222222222222219</v>
      </c>
      <c r="H258" t="s">
        <v>129</v>
      </c>
      <c r="I258" t="s">
        <v>129</v>
      </c>
      <c r="J258" t="s">
        <v>129</v>
      </c>
      <c r="K258">
        <v>4.2833333333333341</v>
      </c>
    </row>
    <row r="259" spans="1:14">
      <c r="A259">
        <v>8752</v>
      </c>
      <c r="B259" t="s">
        <v>99</v>
      </c>
      <c r="C259" t="s">
        <v>99</v>
      </c>
      <c r="D259" t="s">
        <v>8</v>
      </c>
      <c r="E259" s="1">
        <v>43170.751284722224</v>
      </c>
      <c r="F259" s="465">
        <v>43170.751284722224</v>
      </c>
      <c r="G259" s="464">
        <v>0.75069444444444444</v>
      </c>
      <c r="H259" t="s">
        <v>129</v>
      </c>
      <c r="I259" t="s">
        <v>129</v>
      </c>
      <c r="J259" t="s">
        <v>129</v>
      </c>
    </row>
    <row r="260" spans="1:14">
      <c r="A260">
        <v>8754</v>
      </c>
      <c r="B260" t="s">
        <v>99</v>
      </c>
      <c r="C260" t="s">
        <v>99</v>
      </c>
      <c r="D260" t="s">
        <v>7</v>
      </c>
      <c r="E260" s="1">
        <v>43170.751423611109</v>
      </c>
      <c r="F260" s="465">
        <v>43170.751423611109</v>
      </c>
      <c r="G260" s="464">
        <v>0.75138888888888899</v>
      </c>
      <c r="H260" t="s">
        <v>129</v>
      </c>
      <c r="I260" t="s">
        <v>129</v>
      </c>
      <c r="J260" t="s">
        <v>129</v>
      </c>
      <c r="K260">
        <v>0.79999999999999982</v>
      </c>
    </row>
    <row r="261" spans="1:14">
      <c r="A261">
        <v>8756</v>
      </c>
      <c r="B261" t="s">
        <v>99</v>
      </c>
      <c r="C261" t="s">
        <v>99</v>
      </c>
      <c r="D261" t="s">
        <v>8</v>
      </c>
      <c r="E261" s="1">
        <v>43170.785173611112</v>
      </c>
      <c r="F261" s="465">
        <v>43170.785173611112</v>
      </c>
      <c r="G261" s="464">
        <v>0.78472222222222221</v>
      </c>
      <c r="H261" t="s">
        <v>129</v>
      </c>
      <c r="I261" t="s">
        <v>129</v>
      </c>
      <c r="J261" t="s">
        <v>129</v>
      </c>
    </row>
    <row r="262" spans="1:14">
      <c r="A262">
        <v>8763</v>
      </c>
      <c r="B262" t="s">
        <v>100</v>
      </c>
      <c r="C262" t="s">
        <v>99</v>
      </c>
      <c r="D262" t="s">
        <v>6</v>
      </c>
      <c r="E262" s="1">
        <v>43171.366400462961</v>
      </c>
      <c r="F262" s="465">
        <v>43171.366400462961</v>
      </c>
      <c r="G262" s="464">
        <v>0.3659722222222222</v>
      </c>
      <c r="H262">
        <v>9.6666666666666679</v>
      </c>
      <c r="I262">
        <v>8</v>
      </c>
      <c r="J262" t="s">
        <v>129</v>
      </c>
    </row>
    <row r="263" spans="1:14">
      <c r="A263">
        <v>8775</v>
      </c>
      <c r="B263" t="s">
        <v>99</v>
      </c>
      <c r="C263" t="s">
        <v>99</v>
      </c>
      <c r="D263" t="s">
        <v>5</v>
      </c>
      <c r="E263" s="1">
        <v>43171.768958333334</v>
      </c>
      <c r="F263" s="465">
        <v>43171.768958333334</v>
      </c>
      <c r="G263" s="464">
        <v>0.76874999999999993</v>
      </c>
      <c r="H263" t="s">
        <v>129</v>
      </c>
      <c r="I263" t="s">
        <v>129</v>
      </c>
      <c r="J263" t="s">
        <v>129</v>
      </c>
    </row>
    <row r="264" spans="1:14">
      <c r="A264">
        <v>8776</v>
      </c>
      <c r="B264" t="s">
        <v>99</v>
      </c>
      <c r="C264" t="s">
        <v>99</v>
      </c>
      <c r="D264" t="s">
        <v>7</v>
      </c>
      <c r="E264" s="1">
        <v>43171.769004629627</v>
      </c>
      <c r="F264" s="465">
        <v>43171.769004629627</v>
      </c>
      <c r="G264" s="464">
        <v>0.76874999999999993</v>
      </c>
      <c r="H264" t="s">
        <v>129</v>
      </c>
      <c r="I264" t="s">
        <v>129</v>
      </c>
      <c r="J264" t="s">
        <v>129</v>
      </c>
      <c r="K264">
        <v>3.3499999999999988</v>
      </c>
      <c r="M264">
        <v>2</v>
      </c>
      <c r="N264">
        <v>1.3499999999999988</v>
      </c>
    </row>
    <row r="265" spans="1:14">
      <c r="A265">
        <v>8795</v>
      </c>
      <c r="B265" t="s">
        <v>99</v>
      </c>
      <c r="C265" t="s">
        <v>99</v>
      </c>
      <c r="D265" t="s">
        <v>8</v>
      </c>
      <c r="E265" s="1">
        <v>43171.908946759257</v>
      </c>
      <c r="F265" s="465">
        <v>43171.908946759257</v>
      </c>
      <c r="G265" s="464">
        <v>0.90833333333333333</v>
      </c>
      <c r="H265" t="s">
        <v>129</v>
      </c>
      <c r="I265" t="s">
        <v>129</v>
      </c>
      <c r="J265" t="s">
        <v>129</v>
      </c>
    </row>
    <row r="266" spans="1:14">
      <c r="A266">
        <v>8805</v>
      </c>
      <c r="B266" t="s">
        <v>100</v>
      </c>
      <c r="C266" t="s">
        <v>99</v>
      </c>
      <c r="D266" t="s">
        <v>6</v>
      </c>
      <c r="E266" s="1">
        <v>43172.368263888886</v>
      </c>
      <c r="F266" s="465">
        <v>43172.368263888886</v>
      </c>
      <c r="G266" s="464">
        <v>0.36805555555555558</v>
      </c>
      <c r="H266">
        <v>9.7166666666666668</v>
      </c>
      <c r="I266">
        <v>8</v>
      </c>
      <c r="J266" t="s">
        <v>129</v>
      </c>
    </row>
    <row r="267" spans="1:14">
      <c r="A267">
        <v>8817</v>
      </c>
      <c r="B267" t="s">
        <v>99</v>
      </c>
      <c r="C267" t="s">
        <v>99</v>
      </c>
      <c r="D267" t="s">
        <v>5</v>
      </c>
      <c r="E267" s="1">
        <v>43172.773148148146</v>
      </c>
      <c r="F267" s="465">
        <v>43172.773148148146</v>
      </c>
      <c r="G267" s="464">
        <v>0.7729166666666667</v>
      </c>
      <c r="H267" t="s">
        <v>129</v>
      </c>
      <c r="I267" t="s">
        <v>129</v>
      </c>
      <c r="J267" t="s">
        <v>129</v>
      </c>
    </row>
    <row r="268" spans="1:14">
      <c r="A268">
        <v>8820</v>
      </c>
      <c r="B268" t="s">
        <v>99</v>
      </c>
      <c r="C268" t="s">
        <v>99</v>
      </c>
      <c r="D268" t="s">
        <v>7</v>
      </c>
      <c r="E268" s="1">
        <v>43172.773229166669</v>
      </c>
      <c r="F268" s="465">
        <v>43172.773229166669</v>
      </c>
      <c r="G268" s="464">
        <v>0.7729166666666667</v>
      </c>
      <c r="H268" t="s">
        <v>129</v>
      </c>
      <c r="I268" t="s">
        <v>129</v>
      </c>
      <c r="J268" t="s">
        <v>129</v>
      </c>
      <c r="K268">
        <v>2.3666666666666663</v>
      </c>
      <c r="M268">
        <v>2</v>
      </c>
      <c r="N268">
        <v>0.36666666666666625</v>
      </c>
    </row>
    <row r="269" spans="1:14">
      <c r="A269">
        <v>8833</v>
      </c>
      <c r="B269" t="s">
        <v>99</v>
      </c>
      <c r="C269" t="s">
        <v>99</v>
      </c>
      <c r="D269" t="s">
        <v>8</v>
      </c>
      <c r="E269" s="1">
        <v>43172.872106481482</v>
      </c>
      <c r="F269" s="465">
        <v>43172.872106481482</v>
      </c>
      <c r="G269" s="464">
        <v>0.87152777777777779</v>
      </c>
      <c r="H269" t="s">
        <v>129</v>
      </c>
      <c r="I269" t="s">
        <v>129</v>
      </c>
      <c r="J269" t="s">
        <v>129</v>
      </c>
    </row>
    <row r="270" spans="1:14">
      <c r="A270">
        <v>8836</v>
      </c>
      <c r="B270" t="s">
        <v>99</v>
      </c>
      <c r="C270" t="s">
        <v>99</v>
      </c>
      <c r="D270" t="s">
        <v>6</v>
      </c>
      <c r="E270" s="1">
        <v>43173.356898148151</v>
      </c>
      <c r="F270" s="465">
        <v>43173.356898148151</v>
      </c>
      <c r="G270" s="464">
        <v>0.35625000000000001</v>
      </c>
      <c r="H270">
        <v>9.8833333333333346</v>
      </c>
      <c r="I270">
        <v>8</v>
      </c>
      <c r="J270" t="s">
        <v>129</v>
      </c>
    </row>
    <row r="271" spans="1:14">
      <c r="A271">
        <v>8850</v>
      </c>
      <c r="B271" t="s">
        <v>99</v>
      </c>
      <c r="C271" t="s">
        <v>99</v>
      </c>
      <c r="D271" t="s">
        <v>5</v>
      </c>
      <c r="E271" s="1">
        <v>43173.768090277779</v>
      </c>
      <c r="F271" s="465">
        <v>43173.768090277779</v>
      </c>
      <c r="G271" s="464">
        <v>0.7680555555555556</v>
      </c>
      <c r="H271" t="s">
        <v>129</v>
      </c>
      <c r="I271" t="s">
        <v>129</v>
      </c>
      <c r="J271" t="s">
        <v>129</v>
      </c>
    </row>
    <row r="272" spans="1:14">
      <c r="A272">
        <v>8868</v>
      </c>
      <c r="B272" t="s">
        <v>100</v>
      </c>
      <c r="C272" t="s">
        <v>99</v>
      </c>
      <c r="D272" t="s">
        <v>5</v>
      </c>
      <c r="E272" s="1">
        <v>43173.864004629628</v>
      </c>
      <c r="F272" s="465">
        <v>43173.864004629628</v>
      </c>
      <c r="G272" s="464">
        <v>0.86388888888888893</v>
      </c>
      <c r="H272" t="s">
        <v>129</v>
      </c>
      <c r="I272" t="s">
        <v>129</v>
      </c>
      <c r="J272" t="s">
        <v>129</v>
      </c>
    </row>
    <row r="273" spans="1:14">
      <c r="A273">
        <v>8876</v>
      </c>
      <c r="B273" t="s">
        <v>100</v>
      </c>
      <c r="C273" t="s">
        <v>99</v>
      </c>
      <c r="D273" t="s">
        <v>6</v>
      </c>
      <c r="E273" s="1">
        <v>43174.36341435185</v>
      </c>
      <c r="F273" s="465">
        <v>43174.36341435185</v>
      </c>
      <c r="G273" s="464">
        <v>0.36319444444444443</v>
      </c>
      <c r="H273">
        <v>9.7000000000000011</v>
      </c>
      <c r="I273">
        <v>8</v>
      </c>
      <c r="J273" t="s">
        <v>129</v>
      </c>
    </row>
    <row r="274" spans="1:14">
      <c r="A274">
        <v>8884</v>
      </c>
      <c r="B274" t="s">
        <v>99</v>
      </c>
      <c r="C274" t="s">
        <v>99</v>
      </c>
      <c r="D274" t="s">
        <v>5</v>
      </c>
      <c r="E274" s="1">
        <v>43174.767604166664</v>
      </c>
      <c r="F274" s="465">
        <v>43174.767604166664</v>
      </c>
      <c r="G274" s="464">
        <v>0.76736111111111116</v>
      </c>
      <c r="H274" t="s">
        <v>129</v>
      </c>
      <c r="I274" t="s">
        <v>129</v>
      </c>
      <c r="J274" t="s">
        <v>129</v>
      </c>
    </row>
    <row r="275" spans="1:14">
      <c r="A275">
        <v>8885</v>
      </c>
      <c r="B275" t="s">
        <v>99</v>
      </c>
      <c r="C275" t="s">
        <v>99</v>
      </c>
      <c r="D275" t="s">
        <v>7</v>
      </c>
      <c r="E275" s="1">
        <v>43174.767650462964</v>
      </c>
      <c r="F275" s="465">
        <v>43174.767650462964</v>
      </c>
      <c r="G275" s="464">
        <v>0.76736111111111116</v>
      </c>
      <c r="H275" t="s">
        <v>129</v>
      </c>
      <c r="I275" t="s">
        <v>129</v>
      </c>
      <c r="J275" t="s">
        <v>129</v>
      </c>
      <c r="K275">
        <v>1.9333333333333318</v>
      </c>
      <c r="M275">
        <v>1.9333333333333318</v>
      </c>
      <c r="N275">
        <v>0</v>
      </c>
    </row>
    <row r="276" spans="1:14">
      <c r="A276">
        <v>8899</v>
      </c>
      <c r="B276" t="s">
        <v>99</v>
      </c>
      <c r="C276" t="s">
        <v>99</v>
      </c>
      <c r="D276" t="s">
        <v>8</v>
      </c>
      <c r="E276" s="1">
        <v>43174.848460648151</v>
      </c>
      <c r="F276" s="465">
        <v>43174.848460648151</v>
      </c>
      <c r="G276" s="464">
        <v>0.84791666666666676</v>
      </c>
      <c r="H276" t="s">
        <v>129</v>
      </c>
      <c r="I276" t="s">
        <v>129</v>
      </c>
      <c r="J276" t="s">
        <v>129</v>
      </c>
    </row>
    <row r="277" spans="1:14">
      <c r="A277">
        <v>8908</v>
      </c>
      <c r="B277" t="s">
        <v>99</v>
      </c>
      <c r="C277" t="s">
        <v>99</v>
      </c>
      <c r="D277" t="s">
        <v>6</v>
      </c>
      <c r="E277" s="1">
        <v>43175.362615740742</v>
      </c>
      <c r="F277" s="465">
        <v>43175.362615740742</v>
      </c>
      <c r="G277" s="464">
        <v>0.36249999999999999</v>
      </c>
      <c r="H277">
        <v>9.7333333333333343</v>
      </c>
      <c r="I277">
        <v>8</v>
      </c>
      <c r="J277" t="s">
        <v>129</v>
      </c>
    </row>
    <row r="278" spans="1:14">
      <c r="A278">
        <v>8922</v>
      </c>
      <c r="B278" t="s">
        <v>99</v>
      </c>
      <c r="C278" t="s">
        <v>99</v>
      </c>
      <c r="D278" t="s">
        <v>5</v>
      </c>
      <c r="E278" s="1">
        <v>43175.768692129626</v>
      </c>
      <c r="F278" s="465">
        <v>43175.768692129626</v>
      </c>
      <c r="G278" s="464">
        <v>0.7680555555555556</v>
      </c>
      <c r="H278" t="s">
        <v>129</v>
      </c>
      <c r="I278" t="s">
        <v>129</v>
      </c>
      <c r="J278" t="s">
        <v>129</v>
      </c>
    </row>
    <row r="279" spans="1:14">
      <c r="A279">
        <v>8923</v>
      </c>
      <c r="B279" t="s">
        <v>99</v>
      </c>
      <c r="C279" t="s">
        <v>99</v>
      </c>
      <c r="D279" t="s">
        <v>7</v>
      </c>
      <c r="E279" s="1">
        <v>43175.76871527778</v>
      </c>
      <c r="F279" s="465">
        <v>43175.76871527778</v>
      </c>
      <c r="G279" s="464">
        <v>0.7680555555555556</v>
      </c>
      <c r="H279" t="s">
        <v>129</v>
      </c>
      <c r="I279" t="s">
        <v>129</v>
      </c>
      <c r="J279" t="s">
        <v>129</v>
      </c>
      <c r="K279">
        <v>3.2999999999999989</v>
      </c>
      <c r="M279">
        <v>2</v>
      </c>
      <c r="N279">
        <v>1.2999999999999989</v>
      </c>
    </row>
    <row r="280" spans="1:14">
      <c r="A280">
        <v>8939</v>
      </c>
      <c r="B280" t="s">
        <v>100</v>
      </c>
      <c r="C280" t="s">
        <v>99</v>
      </c>
      <c r="D280" t="s">
        <v>8</v>
      </c>
      <c r="E280" s="1">
        <v>43175.905902777777</v>
      </c>
      <c r="F280" s="465">
        <v>43175.905902777777</v>
      </c>
      <c r="G280" s="464">
        <v>0.90555555555555556</v>
      </c>
      <c r="H280" t="s">
        <v>129</v>
      </c>
      <c r="I280" t="s">
        <v>129</v>
      </c>
      <c r="J280" t="s">
        <v>129</v>
      </c>
    </row>
    <row r="281" spans="1:14">
      <c r="A281">
        <v>8947</v>
      </c>
      <c r="B281" t="s">
        <v>99</v>
      </c>
      <c r="C281" t="s">
        <v>99</v>
      </c>
      <c r="D281" t="s">
        <v>6</v>
      </c>
      <c r="E281" s="1">
        <v>43176.453449074077</v>
      </c>
      <c r="F281" s="465">
        <v>43176.453449074077</v>
      </c>
      <c r="G281" s="464">
        <v>0.45277777777777778</v>
      </c>
      <c r="H281">
        <v>1.6666666666666607E-2</v>
      </c>
      <c r="I281">
        <v>-1.4833333333333334</v>
      </c>
      <c r="J281">
        <v>9.4833333333333343</v>
      </c>
    </row>
    <row r="282" spans="1:14">
      <c r="A282">
        <v>8948</v>
      </c>
      <c r="B282" t="s">
        <v>99</v>
      </c>
      <c r="C282" t="s">
        <v>99</v>
      </c>
      <c r="D282" t="s">
        <v>5</v>
      </c>
      <c r="E282" s="1">
        <v>43176.453576388885</v>
      </c>
      <c r="F282" s="465">
        <v>43176.453576388885</v>
      </c>
      <c r="G282" s="464">
        <v>0.45347222222222222</v>
      </c>
      <c r="H282" t="s">
        <v>129</v>
      </c>
      <c r="I282" t="s">
        <v>129</v>
      </c>
      <c r="J282" t="s">
        <v>129</v>
      </c>
    </row>
    <row r="283" spans="1:14">
      <c r="A283">
        <v>8949</v>
      </c>
      <c r="B283" t="s">
        <v>99</v>
      </c>
      <c r="C283" t="s">
        <v>99</v>
      </c>
      <c r="D283" t="s">
        <v>7</v>
      </c>
      <c r="E283" s="1">
        <v>43176.453634259262</v>
      </c>
      <c r="F283" s="465">
        <v>43176.453634259262</v>
      </c>
      <c r="G283" s="464">
        <v>0.45347222222222222</v>
      </c>
      <c r="H283" t="s">
        <v>129</v>
      </c>
      <c r="I283" t="s">
        <v>129</v>
      </c>
      <c r="J283" t="s">
        <v>129</v>
      </c>
      <c r="K283">
        <v>4.2999999999999989</v>
      </c>
      <c r="M283">
        <v>2</v>
      </c>
      <c r="N283">
        <v>2.2999999999999989</v>
      </c>
    </row>
    <row r="284" spans="1:14">
      <c r="A284">
        <v>8962</v>
      </c>
      <c r="B284" t="s">
        <v>99</v>
      </c>
      <c r="C284" t="s">
        <v>99</v>
      </c>
      <c r="D284" t="s">
        <v>8</v>
      </c>
      <c r="E284" s="1">
        <v>43176.633009259262</v>
      </c>
      <c r="F284" s="465">
        <v>43176.633009259262</v>
      </c>
      <c r="G284" s="464">
        <v>0.63263888888888886</v>
      </c>
      <c r="H284" t="s">
        <v>129</v>
      </c>
      <c r="I284" t="s">
        <v>129</v>
      </c>
      <c r="J284" t="s">
        <v>129</v>
      </c>
    </row>
    <row r="285" spans="1:14">
      <c r="A285">
        <v>8974</v>
      </c>
      <c r="B285" t="s">
        <v>99</v>
      </c>
      <c r="C285" t="s">
        <v>99</v>
      </c>
      <c r="D285" t="s">
        <v>6</v>
      </c>
      <c r="E285" s="1">
        <v>43178.364537037036</v>
      </c>
      <c r="F285" s="465">
        <v>43178.364537037036</v>
      </c>
      <c r="G285" s="464">
        <v>0.36388888888888887</v>
      </c>
      <c r="H285">
        <v>9.6833333333333353</v>
      </c>
      <c r="I285">
        <v>8</v>
      </c>
      <c r="J285" t="s">
        <v>129</v>
      </c>
    </row>
    <row r="286" spans="1:14">
      <c r="A286">
        <v>8986</v>
      </c>
      <c r="B286" t="s">
        <v>99</v>
      </c>
      <c r="C286" t="s">
        <v>99</v>
      </c>
      <c r="D286" t="s">
        <v>5</v>
      </c>
      <c r="E286" s="1">
        <v>43178.767708333333</v>
      </c>
      <c r="F286" s="465">
        <v>43178.767708333333</v>
      </c>
      <c r="G286" s="464">
        <v>0.76736111111111116</v>
      </c>
      <c r="H286" t="s">
        <v>129</v>
      </c>
      <c r="I286" t="s">
        <v>129</v>
      </c>
      <c r="J286" t="s">
        <v>129</v>
      </c>
    </row>
    <row r="287" spans="1:14">
      <c r="A287">
        <v>8988</v>
      </c>
      <c r="B287" t="s">
        <v>99</v>
      </c>
      <c r="C287" t="s">
        <v>99</v>
      </c>
      <c r="D287" t="s">
        <v>7</v>
      </c>
      <c r="E287" s="1">
        <v>43178.768101851849</v>
      </c>
      <c r="F287" s="465">
        <v>43178.768101851849</v>
      </c>
      <c r="G287" s="464">
        <v>0.7680555555555556</v>
      </c>
      <c r="H287" t="s">
        <v>129</v>
      </c>
      <c r="I287" t="s">
        <v>129</v>
      </c>
      <c r="J287" t="s">
        <v>129</v>
      </c>
      <c r="K287">
        <v>3.4999999999999982</v>
      </c>
      <c r="M287">
        <v>2</v>
      </c>
      <c r="N287">
        <v>1.4999999999999982</v>
      </c>
    </row>
    <row r="288" spans="1:14">
      <c r="A288">
        <v>9007</v>
      </c>
      <c r="B288" t="s">
        <v>99</v>
      </c>
      <c r="C288" t="s">
        <v>99</v>
      </c>
      <c r="D288" t="s">
        <v>8</v>
      </c>
      <c r="E288" s="1">
        <v>43178.914525462962</v>
      </c>
      <c r="F288" s="465">
        <v>43178.914525462962</v>
      </c>
      <c r="G288" s="464">
        <v>0.91388888888888886</v>
      </c>
      <c r="H288" t="s">
        <v>129</v>
      </c>
      <c r="I288" t="s">
        <v>129</v>
      </c>
      <c r="J288" t="s">
        <v>129</v>
      </c>
    </row>
    <row r="289" spans="1:14">
      <c r="A289">
        <v>9008</v>
      </c>
      <c r="B289" t="s">
        <v>99</v>
      </c>
      <c r="C289" t="s">
        <v>99</v>
      </c>
      <c r="D289" t="s">
        <v>6</v>
      </c>
      <c r="E289" s="1">
        <v>43179.361250000002</v>
      </c>
      <c r="F289" s="465">
        <v>43179.361250000002</v>
      </c>
      <c r="G289" s="464">
        <v>0.3611111111111111</v>
      </c>
      <c r="H289">
        <v>9.8000000000000007</v>
      </c>
      <c r="I289">
        <v>8</v>
      </c>
      <c r="J289" t="s">
        <v>129</v>
      </c>
    </row>
    <row r="290" spans="1:14">
      <c r="A290">
        <v>9027</v>
      </c>
      <c r="B290" t="s">
        <v>99</v>
      </c>
      <c r="C290" t="s">
        <v>99</v>
      </c>
      <c r="D290" t="s">
        <v>5</v>
      </c>
      <c r="E290" s="1">
        <v>43179.769803240742</v>
      </c>
      <c r="F290" s="465">
        <v>43179.769803240742</v>
      </c>
      <c r="G290" s="464">
        <v>0.76944444444444438</v>
      </c>
      <c r="H290" t="s">
        <v>129</v>
      </c>
      <c r="I290" t="s">
        <v>129</v>
      </c>
      <c r="J290" t="s">
        <v>129</v>
      </c>
    </row>
    <row r="291" spans="1:14">
      <c r="A291">
        <v>9028</v>
      </c>
      <c r="B291" t="s">
        <v>99</v>
      </c>
      <c r="C291" t="s">
        <v>99</v>
      </c>
      <c r="D291" t="s">
        <v>7</v>
      </c>
      <c r="E291" s="1">
        <v>43179.769837962966</v>
      </c>
      <c r="F291" s="465">
        <v>43179.769837962966</v>
      </c>
      <c r="G291" s="464">
        <v>0.76944444444444438</v>
      </c>
      <c r="H291" t="s">
        <v>129</v>
      </c>
      <c r="I291" t="s">
        <v>129</v>
      </c>
      <c r="J291" t="s">
        <v>129</v>
      </c>
      <c r="K291">
        <v>0.2166666666666659</v>
      </c>
      <c r="M291">
        <v>2</v>
      </c>
      <c r="N291">
        <v>0.24999999999999734</v>
      </c>
    </row>
    <row r="292" spans="1:14">
      <c r="A292">
        <v>9034</v>
      </c>
      <c r="B292" t="s">
        <v>99</v>
      </c>
      <c r="C292" t="s">
        <v>99</v>
      </c>
      <c r="D292" t="s">
        <v>8</v>
      </c>
      <c r="E292" s="1">
        <v>43179.778877314813</v>
      </c>
      <c r="F292" s="465">
        <v>43179.778877314813</v>
      </c>
      <c r="G292" s="464">
        <v>0.77847222222222223</v>
      </c>
      <c r="H292" t="s">
        <v>129</v>
      </c>
      <c r="I292" t="s">
        <v>129</v>
      </c>
      <c r="J292" t="s">
        <v>129</v>
      </c>
    </row>
    <row r="293" spans="1:14">
      <c r="A293">
        <v>9039</v>
      </c>
      <c r="B293" t="s">
        <v>99</v>
      </c>
      <c r="C293" t="s">
        <v>99</v>
      </c>
      <c r="D293" t="s">
        <v>7</v>
      </c>
      <c r="E293" s="1">
        <v>43179.799328703702</v>
      </c>
      <c r="F293" s="465">
        <v>43179.799328703702</v>
      </c>
      <c r="G293" s="464">
        <v>0.7993055555555556</v>
      </c>
      <c r="H293" t="s">
        <v>129</v>
      </c>
      <c r="I293" t="s">
        <v>129</v>
      </c>
      <c r="J293" t="s">
        <v>129</v>
      </c>
      <c r="K293">
        <v>2.0333333333333314</v>
      </c>
    </row>
    <row r="294" spans="1:14">
      <c r="A294">
        <v>9044</v>
      </c>
      <c r="B294" t="s">
        <v>99</v>
      </c>
      <c r="C294" t="s">
        <v>99</v>
      </c>
      <c r="D294" t="s">
        <v>8</v>
      </c>
      <c r="E294" s="1">
        <v>43179.884421296294</v>
      </c>
      <c r="F294" s="465">
        <v>43179.884421296294</v>
      </c>
      <c r="G294" s="464">
        <v>0.88402777777777775</v>
      </c>
      <c r="H294" t="s">
        <v>129</v>
      </c>
      <c r="I294" t="s">
        <v>129</v>
      </c>
      <c r="J294" t="s">
        <v>129</v>
      </c>
    </row>
    <row r="295" spans="1:14">
      <c r="A295">
        <v>9046</v>
      </c>
      <c r="B295" t="s">
        <v>99</v>
      </c>
      <c r="C295" t="s">
        <v>99</v>
      </c>
      <c r="D295" t="s">
        <v>6</v>
      </c>
      <c r="E295" s="1">
        <v>43180.363136574073</v>
      </c>
      <c r="F295" s="465">
        <v>43180.363136574073</v>
      </c>
      <c r="G295" s="464">
        <v>0.36249999999999999</v>
      </c>
      <c r="H295">
        <v>9.8000000000000007</v>
      </c>
      <c r="I295">
        <v>8</v>
      </c>
      <c r="J295" t="s">
        <v>129</v>
      </c>
    </row>
    <row r="296" spans="1:14">
      <c r="A296">
        <v>9066</v>
      </c>
      <c r="B296" t="s">
        <v>99</v>
      </c>
      <c r="C296" t="s">
        <v>99</v>
      </c>
      <c r="D296" t="s">
        <v>5</v>
      </c>
      <c r="E296" s="1">
        <v>43180.771122685182</v>
      </c>
      <c r="F296" s="465">
        <v>43180.771122685182</v>
      </c>
      <c r="G296" s="464">
        <v>0.77083333333333337</v>
      </c>
      <c r="H296" t="s">
        <v>129</v>
      </c>
      <c r="I296" t="s">
        <v>129</v>
      </c>
      <c r="J296" t="s">
        <v>129</v>
      </c>
    </row>
    <row r="297" spans="1:14">
      <c r="A297">
        <v>9085</v>
      </c>
      <c r="B297" t="s">
        <v>99</v>
      </c>
      <c r="C297" t="s">
        <v>99</v>
      </c>
      <c r="D297" t="s">
        <v>6</v>
      </c>
      <c r="E297" s="1">
        <v>43181.364212962966</v>
      </c>
      <c r="F297" s="465">
        <v>43181.364212962966</v>
      </c>
      <c r="G297" s="464">
        <v>0.36388888888888887</v>
      </c>
      <c r="H297">
        <v>9.5833333333333321</v>
      </c>
      <c r="I297">
        <v>8</v>
      </c>
      <c r="J297" t="s">
        <v>129</v>
      </c>
    </row>
    <row r="298" spans="1:14">
      <c r="A298">
        <v>9094</v>
      </c>
      <c r="B298" t="s">
        <v>99</v>
      </c>
      <c r="C298" t="s">
        <v>99</v>
      </c>
      <c r="D298" t="s">
        <v>5</v>
      </c>
      <c r="E298" s="1">
        <v>43181.763807870368</v>
      </c>
      <c r="F298" s="465">
        <v>43181.763807870368</v>
      </c>
      <c r="G298" s="464">
        <v>0.7631944444444444</v>
      </c>
      <c r="H298" t="s">
        <v>129</v>
      </c>
      <c r="I298" t="s">
        <v>129</v>
      </c>
      <c r="J298" t="s">
        <v>129</v>
      </c>
    </row>
    <row r="299" spans="1:14">
      <c r="A299">
        <v>9095</v>
      </c>
      <c r="B299" t="s">
        <v>99</v>
      </c>
      <c r="C299" t="s">
        <v>99</v>
      </c>
      <c r="D299" t="s">
        <v>7</v>
      </c>
      <c r="E299" s="1">
        <v>43181.764016203706</v>
      </c>
      <c r="F299" s="465">
        <v>43181.764016203706</v>
      </c>
      <c r="G299" s="464">
        <v>0.76388888888888884</v>
      </c>
      <c r="H299" t="s">
        <v>129</v>
      </c>
      <c r="I299" t="s">
        <v>129</v>
      </c>
      <c r="J299" t="s">
        <v>129</v>
      </c>
      <c r="K299">
        <v>0.50000000000000089</v>
      </c>
      <c r="M299">
        <v>2</v>
      </c>
      <c r="N299">
        <v>1.8500000000000023</v>
      </c>
    </row>
    <row r="300" spans="1:14">
      <c r="A300">
        <v>9101</v>
      </c>
      <c r="B300" t="s">
        <v>99</v>
      </c>
      <c r="C300" t="s">
        <v>99</v>
      </c>
      <c r="D300" t="s">
        <v>8</v>
      </c>
      <c r="E300" s="1">
        <v>43181.784907407404</v>
      </c>
      <c r="F300" s="465">
        <v>43181.784907407404</v>
      </c>
      <c r="G300" s="464">
        <v>0.78472222222222221</v>
      </c>
      <c r="H300" t="s">
        <v>129</v>
      </c>
      <c r="I300" t="s">
        <v>129</v>
      </c>
      <c r="J300" t="s">
        <v>129</v>
      </c>
    </row>
    <row r="301" spans="1:14">
      <c r="A301">
        <v>9103</v>
      </c>
      <c r="B301" t="s">
        <v>99</v>
      </c>
      <c r="C301" t="s">
        <v>99</v>
      </c>
      <c r="D301" t="s">
        <v>7</v>
      </c>
      <c r="E301" s="1">
        <v>43181.796006944445</v>
      </c>
      <c r="F301" s="465">
        <v>43181.796006944445</v>
      </c>
      <c r="G301" s="464">
        <v>0.79583333333333339</v>
      </c>
      <c r="H301" t="s">
        <v>129</v>
      </c>
      <c r="I301" t="s">
        <v>129</v>
      </c>
      <c r="J301" t="s">
        <v>129</v>
      </c>
      <c r="K301">
        <v>3.3500000000000014</v>
      </c>
    </row>
    <row r="302" spans="1:14">
      <c r="A302">
        <v>9114</v>
      </c>
      <c r="B302" t="s">
        <v>99</v>
      </c>
      <c r="C302" t="s">
        <v>99</v>
      </c>
      <c r="D302" t="s">
        <v>8</v>
      </c>
      <c r="E302" s="1">
        <v>43181.935682870368</v>
      </c>
      <c r="F302" s="465">
        <v>43181.935682870368</v>
      </c>
      <c r="G302" s="464">
        <v>0.93541666666666667</v>
      </c>
      <c r="H302" t="s">
        <v>129</v>
      </c>
      <c r="I302" t="s">
        <v>129</v>
      </c>
      <c r="J302" t="s">
        <v>129</v>
      </c>
    </row>
    <row r="303" spans="1:14">
      <c r="A303">
        <v>9117</v>
      </c>
      <c r="B303" t="s">
        <v>99</v>
      </c>
      <c r="C303" t="s">
        <v>99</v>
      </c>
      <c r="D303" t="s">
        <v>6</v>
      </c>
      <c r="E303" s="1">
        <v>43182.362407407411</v>
      </c>
      <c r="F303" s="465">
        <v>43182.362407407411</v>
      </c>
      <c r="G303" s="464">
        <v>0.36180555555555555</v>
      </c>
      <c r="H303">
        <v>9.7500000000000018</v>
      </c>
      <c r="I303">
        <v>8</v>
      </c>
      <c r="J303" t="s">
        <v>129</v>
      </c>
    </row>
    <row r="304" spans="1:14">
      <c r="A304">
        <v>9129</v>
      </c>
      <c r="B304" t="s">
        <v>99</v>
      </c>
      <c r="C304" t="s">
        <v>99</v>
      </c>
      <c r="D304" t="s">
        <v>5</v>
      </c>
      <c r="E304" s="1">
        <v>43182.768067129633</v>
      </c>
      <c r="F304" s="465">
        <v>43182.768067129633</v>
      </c>
      <c r="G304" s="464">
        <v>0.7680555555555556</v>
      </c>
      <c r="H304" t="s">
        <v>129</v>
      </c>
      <c r="I304" t="s">
        <v>129</v>
      </c>
      <c r="J304" t="s">
        <v>129</v>
      </c>
    </row>
    <row r="305" spans="1:14">
      <c r="A305">
        <v>9139</v>
      </c>
      <c r="B305" t="s">
        <v>99</v>
      </c>
      <c r="C305" t="s">
        <v>99</v>
      </c>
      <c r="D305" t="s">
        <v>6</v>
      </c>
      <c r="E305" s="1">
        <v>43185.363240740742</v>
      </c>
      <c r="F305" s="465">
        <v>43185.363240740742</v>
      </c>
      <c r="G305" s="464">
        <v>0.36319444444444443</v>
      </c>
      <c r="H305">
        <v>9.7000000000000011</v>
      </c>
      <c r="I305">
        <v>8</v>
      </c>
      <c r="J305" t="s">
        <v>129</v>
      </c>
    </row>
    <row r="306" spans="1:14">
      <c r="A306">
        <v>9149</v>
      </c>
      <c r="B306" t="s">
        <v>99</v>
      </c>
      <c r="C306" t="s">
        <v>99</v>
      </c>
      <c r="D306" t="s">
        <v>5</v>
      </c>
      <c r="E306" s="1">
        <v>43185.767858796295</v>
      </c>
      <c r="F306" s="465">
        <v>43185.767858796295</v>
      </c>
      <c r="G306" s="464">
        <v>0.76736111111111116</v>
      </c>
      <c r="H306" t="s">
        <v>129</v>
      </c>
      <c r="I306" t="s">
        <v>129</v>
      </c>
      <c r="J306" t="s">
        <v>129</v>
      </c>
    </row>
    <row r="307" spans="1:14">
      <c r="A307">
        <v>9150</v>
      </c>
      <c r="B307" t="s">
        <v>99</v>
      </c>
      <c r="C307" t="s">
        <v>99</v>
      </c>
      <c r="D307" t="s">
        <v>7</v>
      </c>
      <c r="E307" s="1">
        <v>43185.767893518518</v>
      </c>
      <c r="F307" s="465">
        <v>43185.767893518518</v>
      </c>
      <c r="G307" s="464">
        <v>0.76736111111111116</v>
      </c>
      <c r="H307" t="s">
        <v>129</v>
      </c>
      <c r="I307" t="s">
        <v>129</v>
      </c>
      <c r="J307" t="s">
        <v>129</v>
      </c>
      <c r="K307">
        <v>1.5333333333333332</v>
      </c>
      <c r="M307">
        <v>1.5333333333333332</v>
      </c>
      <c r="N307">
        <v>0</v>
      </c>
    </row>
    <row r="308" spans="1:14">
      <c r="A308">
        <v>9159</v>
      </c>
      <c r="B308" t="s">
        <v>99</v>
      </c>
      <c r="C308" t="s">
        <v>99</v>
      </c>
      <c r="D308" t="s">
        <v>8</v>
      </c>
      <c r="E308" s="1">
        <v>43185.831516203703</v>
      </c>
      <c r="F308" s="465">
        <v>43185.831516203703</v>
      </c>
      <c r="G308" s="464">
        <v>0.83124999999999993</v>
      </c>
      <c r="H308" t="s">
        <v>129</v>
      </c>
      <c r="I308" t="s">
        <v>129</v>
      </c>
      <c r="J308" t="s">
        <v>129</v>
      </c>
    </row>
    <row r="309" spans="1:14">
      <c r="A309">
        <v>9165</v>
      </c>
      <c r="B309" t="s">
        <v>100</v>
      </c>
      <c r="C309" t="s">
        <v>99</v>
      </c>
      <c r="D309" t="s">
        <v>6</v>
      </c>
      <c r="E309" s="1">
        <v>43186.360995370371</v>
      </c>
      <c r="F309" s="465">
        <v>43186.360995370371</v>
      </c>
      <c r="G309" s="464">
        <v>0.36041666666666666</v>
      </c>
      <c r="H309">
        <v>9.9</v>
      </c>
      <c r="I309">
        <v>8</v>
      </c>
      <c r="J309" t="s">
        <v>129</v>
      </c>
    </row>
    <row r="310" spans="1:14">
      <c r="A310">
        <v>9174</v>
      </c>
      <c r="B310" t="s">
        <v>100</v>
      </c>
      <c r="C310" t="s">
        <v>99</v>
      </c>
      <c r="D310" t="s">
        <v>5</v>
      </c>
      <c r="E310" s="1">
        <v>43186.773194444446</v>
      </c>
      <c r="F310" s="465">
        <v>43186.773194444446</v>
      </c>
      <c r="G310" s="464">
        <v>0.7729166666666667</v>
      </c>
      <c r="H310" t="s">
        <v>129</v>
      </c>
      <c r="I310" t="s">
        <v>129</v>
      </c>
      <c r="J310" t="s">
        <v>129</v>
      </c>
    </row>
    <row r="311" spans="1:14">
      <c r="A311">
        <v>9175</v>
      </c>
      <c r="B311" t="s">
        <v>100</v>
      </c>
      <c r="C311" t="s">
        <v>99</v>
      </c>
      <c r="D311" t="s">
        <v>7</v>
      </c>
      <c r="E311" s="1">
        <v>43186.773252314815</v>
      </c>
      <c r="F311" s="465">
        <v>43186.773252314815</v>
      </c>
      <c r="G311" s="464">
        <v>0.7729166666666667</v>
      </c>
      <c r="H311" t="s">
        <v>129</v>
      </c>
      <c r="I311" t="s">
        <v>129</v>
      </c>
      <c r="J311" t="s">
        <v>129</v>
      </c>
      <c r="K311">
        <v>1.5</v>
      </c>
      <c r="M311">
        <v>1.5</v>
      </c>
      <c r="N311">
        <v>0</v>
      </c>
    </row>
    <row r="312" spans="1:14">
      <c r="A312">
        <v>9187</v>
      </c>
      <c r="B312" t="s">
        <v>99</v>
      </c>
      <c r="C312" t="s">
        <v>99</v>
      </c>
      <c r="D312" t="s">
        <v>8</v>
      </c>
      <c r="E312" s="1">
        <v>43186.835428240738</v>
      </c>
      <c r="F312" s="465">
        <v>43186.835428240738</v>
      </c>
      <c r="G312" s="464">
        <v>0.8354166666666667</v>
      </c>
      <c r="H312" t="s">
        <v>129</v>
      </c>
      <c r="I312" t="s">
        <v>129</v>
      </c>
      <c r="J312" t="s">
        <v>129</v>
      </c>
    </row>
    <row r="313" spans="1:14">
      <c r="A313">
        <v>9191</v>
      </c>
      <c r="B313" t="s">
        <v>99</v>
      </c>
      <c r="C313" t="s">
        <v>99</v>
      </c>
      <c r="D313" t="s">
        <v>6</v>
      </c>
      <c r="E313" s="1">
        <v>43187.357928240737</v>
      </c>
      <c r="F313" s="465">
        <v>43187.357928240737</v>
      </c>
      <c r="G313" s="464">
        <v>0.3576388888888889</v>
      </c>
      <c r="H313">
        <v>9.9166666666666679</v>
      </c>
      <c r="I313">
        <v>8</v>
      </c>
      <c r="J313" t="s">
        <v>129</v>
      </c>
    </row>
    <row r="314" spans="1:14">
      <c r="A314">
        <v>9209</v>
      </c>
      <c r="B314" t="s">
        <v>99</v>
      </c>
      <c r="C314" t="s">
        <v>99</v>
      </c>
      <c r="D314" t="s">
        <v>5</v>
      </c>
      <c r="E314" s="1">
        <v>43187.771469907406</v>
      </c>
      <c r="F314" s="465">
        <v>43187.771469907406</v>
      </c>
      <c r="G314" s="464">
        <v>0.77083333333333337</v>
      </c>
      <c r="H314" t="s">
        <v>129</v>
      </c>
      <c r="I314" t="s">
        <v>129</v>
      </c>
      <c r="J314" t="s">
        <v>129</v>
      </c>
    </row>
    <row r="315" spans="1:14">
      <c r="A315">
        <v>9210</v>
      </c>
      <c r="B315" t="s">
        <v>99</v>
      </c>
      <c r="C315" t="s">
        <v>99</v>
      </c>
      <c r="D315" t="s">
        <v>7</v>
      </c>
      <c r="E315" s="1">
        <v>43187.771516203706</v>
      </c>
      <c r="F315" s="465">
        <v>43187.771516203706</v>
      </c>
      <c r="G315" s="464">
        <v>0.77083333333333337</v>
      </c>
      <c r="H315" t="s">
        <v>129</v>
      </c>
      <c r="I315" t="s">
        <v>129</v>
      </c>
      <c r="J315" t="s">
        <v>129</v>
      </c>
      <c r="K315">
        <v>0.59999999999999787</v>
      </c>
      <c r="M315">
        <v>0.59999999999999787</v>
      </c>
      <c r="N315">
        <v>0</v>
      </c>
    </row>
    <row r="316" spans="1:14">
      <c r="A316">
        <v>9219</v>
      </c>
      <c r="B316" t="s">
        <v>99</v>
      </c>
      <c r="C316" t="s">
        <v>99</v>
      </c>
      <c r="D316" t="s">
        <v>8</v>
      </c>
      <c r="E316" s="1">
        <v>43187.796111111114</v>
      </c>
      <c r="F316" s="465">
        <v>43187.796111111114</v>
      </c>
      <c r="G316" s="464">
        <v>0.79583333333333339</v>
      </c>
      <c r="H316" t="s">
        <v>129</v>
      </c>
      <c r="I316" t="s">
        <v>129</v>
      </c>
      <c r="J316" t="s">
        <v>129</v>
      </c>
    </row>
    <row r="317" spans="1:14">
      <c r="A317">
        <v>9230</v>
      </c>
      <c r="B317" t="s">
        <v>99</v>
      </c>
      <c r="C317" t="s">
        <v>99</v>
      </c>
      <c r="D317" t="s">
        <v>6</v>
      </c>
      <c r="E317" s="1">
        <v>43188.366759259261</v>
      </c>
      <c r="F317" s="465">
        <v>43188.366759259261</v>
      </c>
      <c r="G317" s="464">
        <v>0.3666666666666667</v>
      </c>
      <c r="H317">
        <v>9.7333333333333343</v>
      </c>
      <c r="I317">
        <v>8</v>
      </c>
      <c r="J317" t="s">
        <v>129</v>
      </c>
    </row>
    <row r="318" spans="1:14">
      <c r="A318">
        <v>9245</v>
      </c>
      <c r="B318" t="s">
        <v>100</v>
      </c>
      <c r="C318" t="s">
        <v>99</v>
      </c>
      <c r="D318" t="s">
        <v>5</v>
      </c>
      <c r="E318" s="1">
        <v>43188.772743055553</v>
      </c>
      <c r="F318" s="465">
        <v>43188.772743055553</v>
      </c>
      <c r="G318" s="464">
        <v>0.77222222222222225</v>
      </c>
      <c r="H318" t="s">
        <v>129</v>
      </c>
      <c r="I318" t="s">
        <v>129</v>
      </c>
      <c r="J318" t="s">
        <v>129</v>
      </c>
    </row>
    <row r="319" spans="1:14">
      <c r="A319">
        <v>9246</v>
      </c>
      <c r="B319" t="s">
        <v>100</v>
      </c>
      <c r="C319" t="s">
        <v>99</v>
      </c>
      <c r="D319" t="s">
        <v>7</v>
      </c>
      <c r="E319" s="1">
        <v>43188.772777777776</v>
      </c>
      <c r="F319" s="465">
        <v>43188.772777777776</v>
      </c>
      <c r="G319" s="464">
        <v>0.77222222222222225</v>
      </c>
      <c r="H319" t="s">
        <v>129</v>
      </c>
      <c r="I319" t="s">
        <v>129</v>
      </c>
      <c r="J319" t="s">
        <v>129</v>
      </c>
      <c r="K319">
        <v>1.8666666666666654</v>
      </c>
      <c r="M319">
        <v>1.8666666666666654</v>
      </c>
      <c r="N319">
        <v>0</v>
      </c>
    </row>
    <row r="320" spans="1:14">
      <c r="A320">
        <v>9258</v>
      </c>
      <c r="B320" t="s">
        <v>99</v>
      </c>
      <c r="C320" t="s">
        <v>99</v>
      </c>
      <c r="D320" t="s">
        <v>8</v>
      </c>
      <c r="E320" s="1">
        <v>43188.850104166668</v>
      </c>
      <c r="F320" s="465">
        <v>43188.850104166668</v>
      </c>
      <c r="G320" s="464">
        <v>0.85</v>
      </c>
      <c r="H320" t="s">
        <v>129</v>
      </c>
      <c r="I320" t="s">
        <v>129</v>
      </c>
      <c r="J320" t="s">
        <v>129</v>
      </c>
    </row>
    <row r="321" spans="1:14">
      <c r="A321">
        <v>9262</v>
      </c>
      <c r="B321" t="s">
        <v>100</v>
      </c>
      <c r="C321" t="s">
        <v>99</v>
      </c>
      <c r="D321" t="s">
        <v>6</v>
      </c>
      <c r="E321" s="1">
        <v>43189.364699074074</v>
      </c>
      <c r="F321" s="465">
        <v>43189.364699074074</v>
      </c>
      <c r="G321" s="464">
        <v>0.36458333333333331</v>
      </c>
      <c r="H321">
        <v>9.6166666666666654</v>
      </c>
      <c r="I321">
        <v>8</v>
      </c>
      <c r="J321" t="s">
        <v>129</v>
      </c>
    </row>
    <row r="322" spans="1:14">
      <c r="A322">
        <v>9269</v>
      </c>
      <c r="B322" t="s">
        <v>99</v>
      </c>
      <c r="C322" t="s">
        <v>99</v>
      </c>
      <c r="D322" t="s">
        <v>5</v>
      </c>
      <c r="E322" s="1">
        <v>43189.765613425923</v>
      </c>
      <c r="F322" s="465">
        <v>43189.765613425923</v>
      </c>
      <c r="G322" s="464">
        <v>0.76527777777777783</v>
      </c>
      <c r="H322" t="s">
        <v>129</v>
      </c>
      <c r="I322" t="s">
        <v>129</v>
      </c>
      <c r="J322" t="s">
        <v>129</v>
      </c>
    </row>
    <row r="323" spans="1:14">
      <c r="A323">
        <v>9270</v>
      </c>
      <c r="B323" t="s">
        <v>99</v>
      </c>
      <c r="C323" t="s">
        <v>99</v>
      </c>
      <c r="D323" t="s">
        <v>7</v>
      </c>
      <c r="E323" s="1">
        <v>43189.771203703705</v>
      </c>
      <c r="F323" s="465">
        <v>43189.771203703705</v>
      </c>
      <c r="G323" s="464">
        <v>0.77083333333333337</v>
      </c>
      <c r="H323" t="s">
        <v>129</v>
      </c>
      <c r="I323" t="s">
        <v>129</v>
      </c>
      <c r="J323" t="s">
        <v>129</v>
      </c>
      <c r="K323">
        <v>1.8166666666666655</v>
      </c>
      <c r="M323">
        <v>1.8166666666666655</v>
      </c>
      <c r="N323">
        <v>0</v>
      </c>
    </row>
    <row r="324" spans="1:14">
      <c r="A324">
        <v>9281</v>
      </c>
      <c r="B324" t="s">
        <v>99</v>
      </c>
      <c r="C324" t="s">
        <v>99</v>
      </c>
      <c r="D324" t="s">
        <v>8</v>
      </c>
      <c r="E324" s="1">
        <v>43189.846805555557</v>
      </c>
      <c r="F324" s="465">
        <v>43189.846805555557</v>
      </c>
      <c r="G324" s="464">
        <v>0.84652777777777777</v>
      </c>
      <c r="H324" t="s">
        <v>129</v>
      </c>
      <c r="I324" t="s">
        <v>129</v>
      </c>
      <c r="J324" t="s">
        <v>129</v>
      </c>
    </row>
    <row r="325" spans="1:14">
      <c r="A325">
        <v>9284</v>
      </c>
      <c r="B325" t="s">
        <v>100</v>
      </c>
      <c r="C325" t="s">
        <v>99</v>
      </c>
      <c r="D325" t="s">
        <v>6</v>
      </c>
      <c r="E325" s="1">
        <v>43190.361724537041</v>
      </c>
      <c r="F325" s="465">
        <v>43190.361724537041</v>
      </c>
      <c r="G325" s="464">
        <v>0.3611111111111111</v>
      </c>
      <c r="H325">
        <v>10.35</v>
      </c>
      <c r="I325">
        <v>8</v>
      </c>
      <c r="J325" t="s">
        <v>129</v>
      </c>
    </row>
    <row r="326" spans="1:14">
      <c r="A326">
        <v>9304</v>
      </c>
      <c r="B326" t="s">
        <v>99</v>
      </c>
      <c r="C326" t="s">
        <v>99</v>
      </c>
      <c r="D326" t="s">
        <v>5</v>
      </c>
      <c r="E326" s="1">
        <v>43190.792604166665</v>
      </c>
      <c r="F326" s="465">
        <v>43190.792604166665</v>
      </c>
      <c r="G326" s="464">
        <v>0.79236111111111107</v>
      </c>
      <c r="H326" t="s">
        <v>129</v>
      </c>
      <c r="I326" t="s">
        <v>129</v>
      </c>
      <c r="J326" t="s">
        <v>129</v>
      </c>
    </row>
    <row r="327" spans="1:14">
      <c r="A327">
        <v>8493</v>
      </c>
      <c r="B327" t="s">
        <v>39</v>
      </c>
      <c r="C327" t="s">
        <v>39</v>
      </c>
      <c r="D327" t="s">
        <v>6</v>
      </c>
      <c r="E327" s="1">
        <v>43160.367395833331</v>
      </c>
      <c r="F327" s="465">
        <v>43160.367395833331</v>
      </c>
      <c r="G327" s="464">
        <v>0.36736111111111108</v>
      </c>
      <c r="H327">
        <v>9.6833333333333336</v>
      </c>
      <c r="I327">
        <v>8</v>
      </c>
      <c r="J327" t="s">
        <v>129</v>
      </c>
    </row>
    <row r="328" spans="1:14">
      <c r="A328">
        <v>8502</v>
      </c>
      <c r="B328" t="s">
        <v>39</v>
      </c>
      <c r="C328" t="s">
        <v>39</v>
      </c>
      <c r="D328" t="s">
        <v>5</v>
      </c>
      <c r="E328" s="1">
        <v>43160.770937499998</v>
      </c>
      <c r="F328" s="465">
        <v>43160.770937499998</v>
      </c>
      <c r="G328" s="464">
        <v>0.77083333333333337</v>
      </c>
      <c r="H328" t="s">
        <v>129</v>
      </c>
      <c r="I328" t="s">
        <v>129</v>
      </c>
      <c r="J328" t="s">
        <v>129</v>
      </c>
    </row>
    <row r="329" spans="1:14">
      <c r="A329">
        <v>8504</v>
      </c>
      <c r="B329" t="s">
        <v>39</v>
      </c>
      <c r="C329" t="s">
        <v>39</v>
      </c>
      <c r="D329" t="s">
        <v>7</v>
      </c>
      <c r="E329" s="1">
        <v>43160.770995370367</v>
      </c>
      <c r="F329" s="465">
        <v>43160.770995370367</v>
      </c>
      <c r="G329" s="464">
        <v>0.77083333333333337</v>
      </c>
      <c r="H329" t="s">
        <v>129</v>
      </c>
      <c r="I329" t="s">
        <v>129</v>
      </c>
      <c r="J329" t="s">
        <v>129</v>
      </c>
      <c r="K329">
        <v>0.79999999999999982</v>
      </c>
      <c r="M329">
        <v>0.79999999999999982</v>
      </c>
      <c r="N329">
        <v>0</v>
      </c>
    </row>
    <row r="330" spans="1:14">
      <c r="A330">
        <v>8514</v>
      </c>
      <c r="B330" t="s">
        <v>39</v>
      </c>
      <c r="C330" t="s">
        <v>39</v>
      </c>
      <c r="D330" t="s">
        <v>8</v>
      </c>
      <c r="E330" s="1">
        <v>43160.804236111115</v>
      </c>
      <c r="F330" s="465">
        <v>43160.804236111115</v>
      </c>
      <c r="G330" s="464">
        <v>0.8041666666666667</v>
      </c>
      <c r="H330" t="s">
        <v>129</v>
      </c>
      <c r="I330" t="s">
        <v>129</v>
      </c>
      <c r="J330" t="s">
        <v>129</v>
      </c>
    </row>
    <row r="331" spans="1:14">
      <c r="A331">
        <v>8521</v>
      </c>
      <c r="B331" t="s">
        <v>39</v>
      </c>
      <c r="C331" t="s">
        <v>39</v>
      </c>
      <c r="D331" t="s">
        <v>6</v>
      </c>
      <c r="E331" s="1">
        <v>43161.363912037035</v>
      </c>
      <c r="F331" s="465">
        <v>43161.363912037035</v>
      </c>
      <c r="G331" s="464">
        <v>0.36388888888888887</v>
      </c>
      <c r="H331">
        <v>9.6833333333333353</v>
      </c>
      <c r="I331">
        <v>8</v>
      </c>
      <c r="J331" t="s">
        <v>129</v>
      </c>
    </row>
    <row r="332" spans="1:14">
      <c r="A332">
        <v>8536</v>
      </c>
      <c r="B332" t="s">
        <v>39</v>
      </c>
      <c r="C332" t="s">
        <v>39</v>
      </c>
      <c r="D332" t="s">
        <v>5</v>
      </c>
      <c r="E332" s="1">
        <v>43161.767812500002</v>
      </c>
      <c r="F332" s="465">
        <v>43161.767812500002</v>
      </c>
      <c r="G332" s="464">
        <v>0.76736111111111116</v>
      </c>
      <c r="H332" t="s">
        <v>129</v>
      </c>
      <c r="I332" t="s">
        <v>129</v>
      </c>
      <c r="J332" t="s">
        <v>129</v>
      </c>
    </row>
    <row r="333" spans="1:14">
      <c r="A333">
        <v>8557</v>
      </c>
      <c r="B333" t="s">
        <v>39</v>
      </c>
      <c r="C333" t="s">
        <v>39</v>
      </c>
      <c r="D333" t="s">
        <v>6</v>
      </c>
      <c r="E333" s="1">
        <v>43164.361770833333</v>
      </c>
      <c r="F333" s="465">
        <v>43164.361770833333</v>
      </c>
      <c r="G333" s="464">
        <v>0.3611111111111111</v>
      </c>
      <c r="H333">
        <v>9.6999999999999993</v>
      </c>
      <c r="I333">
        <v>8</v>
      </c>
      <c r="J333" t="s">
        <v>129</v>
      </c>
    </row>
    <row r="334" spans="1:14">
      <c r="A334">
        <v>8576</v>
      </c>
      <c r="B334" t="s">
        <v>39</v>
      </c>
      <c r="C334" t="s">
        <v>39</v>
      </c>
      <c r="D334" t="s">
        <v>5</v>
      </c>
      <c r="E334" s="1">
        <v>43164.765347222223</v>
      </c>
      <c r="F334" s="465">
        <v>43164.765347222223</v>
      </c>
      <c r="G334" s="464">
        <v>0.76527777777777783</v>
      </c>
      <c r="H334" t="s">
        <v>129</v>
      </c>
      <c r="I334" t="s">
        <v>129</v>
      </c>
      <c r="J334" t="s">
        <v>129</v>
      </c>
    </row>
    <row r="335" spans="1:14">
      <c r="A335">
        <v>8581</v>
      </c>
      <c r="B335" t="s">
        <v>39</v>
      </c>
      <c r="C335" t="s">
        <v>39</v>
      </c>
      <c r="D335" t="s">
        <v>7</v>
      </c>
      <c r="E335" s="1">
        <v>43164.774062500001</v>
      </c>
      <c r="F335" s="465">
        <v>43164.774062500001</v>
      </c>
      <c r="G335" s="464">
        <v>0.77361111111111114</v>
      </c>
      <c r="H335" t="s">
        <v>129</v>
      </c>
      <c r="I335" t="s">
        <v>129</v>
      </c>
      <c r="J335" t="s">
        <v>129</v>
      </c>
      <c r="K335">
        <v>1.5166666666666666</v>
      </c>
      <c r="M335">
        <v>1.5166666666666666</v>
      </c>
      <c r="N335">
        <v>0</v>
      </c>
    </row>
    <row r="336" spans="1:14">
      <c r="A336">
        <v>8586</v>
      </c>
      <c r="B336" t="s">
        <v>39</v>
      </c>
      <c r="C336" t="s">
        <v>39</v>
      </c>
      <c r="D336" t="s">
        <v>8</v>
      </c>
      <c r="E336" s="1">
        <v>43164.836886574078</v>
      </c>
      <c r="F336" s="465">
        <v>43164.836886574078</v>
      </c>
      <c r="G336" s="464">
        <v>0.83680555555555547</v>
      </c>
      <c r="H336" t="s">
        <v>129</v>
      </c>
      <c r="I336" t="s">
        <v>129</v>
      </c>
      <c r="J336" t="s">
        <v>129</v>
      </c>
    </row>
    <row r="337" spans="1:14">
      <c r="A337">
        <v>8594</v>
      </c>
      <c r="B337" t="s">
        <v>39</v>
      </c>
      <c r="C337" t="s">
        <v>39</v>
      </c>
      <c r="D337" t="s">
        <v>6</v>
      </c>
      <c r="E337" s="1">
        <v>43165.361122685186</v>
      </c>
      <c r="F337" s="465">
        <v>43165.361122685186</v>
      </c>
      <c r="G337" s="464">
        <v>0.3611111111111111</v>
      </c>
      <c r="H337">
        <v>9.6666666666666661</v>
      </c>
      <c r="I337">
        <v>8</v>
      </c>
      <c r="J337" t="s">
        <v>129</v>
      </c>
    </row>
    <row r="338" spans="1:14">
      <c r="A338">
        <v>8607</v>
      </c>
      <c r="B338" t="s">
        <v>39</v>
      </c>
      <c r="C338" t="s">
        <v>39</v>
      </c>
      <c r="D338" t="s">
        <v>5</v>
      </c>
      <c r="E338" s="1">
        <v>43165.764143518521</v>
      </c>
      <c r="F338" s="465">
        <v>43165.764143518521</v>
      </c>
      <c r="G338" s="464">
        <v>0.76388888888888884</v>
      </c>
      <c r="H338" t="s">
        <v>129</v>
      </c>
      <c r="I338" t="s">
        <v>129</v>
      </c>
      <c r="J338" t="s">
        <v>129</v>
      </c>
    </row>
    <row r="339" spans="1:14">
      <c r="A339">
        <v>8617</v>
      </c>
      <c r="B339" t="s">
        <v>39</v>
      </c>
      <c r="C339" t="s">
        <v>39</v>
      </c>
      <c r="D339" t="s">
        <v>7</v>
      </c>
      <c r="E339" s="1">
        <v>43165.786886574075</v>
      </c>
      <c r="F339" s="465">
        <v>43165.786886574075</v>
      </c>
      <c r="G339" s="464">
        <v>0.78680555555555554</v>
      </c>
      <c r="H339" t="s">
        <v>129</v>
      </c>
      <c r="I339" t="s">
        <v>129</v>
      </c>
      <c r="J339" t="s">
        <v>129</v>
      </c>
      <c r="K339">
        <v>2.333333333333333</v>
      </c>
      <c r="M339">
        <v>2</v>
      </c>
      <c r="N339">
        <v>0.33333333333333304</v>
      </c>
    </row>
    <row r="340" spans="1:14">
      <c r="A340">
        <v>8621</v>
      </c>
      <c r="B340" t="s">
        <v>39</v>
      </c>
      <c r="C340" t="s">
        <v>39</v>
      </c>
      <c r="D340" t="s">
        <v>8</v>
      </c>
      <c r="E340" s="1">
        <v>43165.884479166663</v>
      </c>
      <c r="F340" s="465">
        <v>43165.884479166663</v>
      </c>
      <c r="G340" s="464">
        <v>0.88402777777777775</v>
      </c>
      <c r="H340" t="s">
        <v>129</v>
      </c>
      <c r="I340" t="s">
        <v>129</v>
      </c>
      <c r="J340" t="s">
        <v>129</v>
      </c>
    </row>
    <row r="341" spans="1:14">
      <c r="A341">
        <v>8627</v>
      </c>
      <c r="B341" t="s">
        <v>39</v>
      </c>
      <c r="C341" t="s">
        <v>39</v>
      </c>
      <c r="D341" t="s">
        <v>6</v>
      </c>
      <c r="E341" s="1">
        <v>43166.363900462966</v>
      </c>
      <c r="F341" s="465">
        <v>43166.363900462966</v>
      </c>
      <c r="G341" s="464">
        <v>0.36388888888888887</v>
      </c>
      <c r="H341">
        <v>9.5499999999999989</v>
      </c>
      <c r="I341">
        <v>8</v>
      </c>
      <c r="J341" t="s">
        <v>129</v>
      </c>
    </row>
    <row r="342" spans="1:14">
      <c r="A342">
        <v>8640</v>
      </c>
      <c r="B342" t="s">
        <v>39</v>
      </c>
      <c r="C342" t="s">
        <v>39</v>
      </c>
      <c r="D342" t="s">
        <v>5</v>
      </c>
      <c r="E342" s="1">
        <v>43166.762476851851</v>
      </c>
      <c r="F342" s="465">
        <v>43166.762476851851</v>
      </c>
      <c r="G342" s="464">
        <v>0.76180555555555562</v>
      </c>
      <c r="H342" t="s">
        <v>129</v>
      </c>
      <c r="I342" t="s">
        <v>129</v>
      </c>
      <c r="J342" t="s">
        <v>129</v>
      </c>
    </row>
    <row r="343" spans="1:14">
      <c r="A343">
        <v>8646</v>
      </c>
      <c r="B343" t="s">
        <v>39</v>
      </c>
      <c r="C343" t="s">
        <v>39</v>
      </c>
      <c r="D343" t="s">
        <v>7</v>
      </c>
      <c r="E343" s="1">
        <v>43166.771087962959</v>
      </c>
      <c r="F343" s="465">
        <v>43166.771087962959</v>
      </c>
      <c r="G343" s="464">
        <v>0.77083333333333337</v>
      </c>
      <c r="H343" t="s">
        <v>129</v>
      </c>
      <c r="I343" t="s">
        <v>129</v>
      </c>
      <c r="J343" t="s">
        <v>129</v>
      </c>
      <c r="K343">
        <v>2.25</v>
      </c>
      <c r="M343">
        <v>2</v>
      </c>
      <c r="N343">
        <v>0.25</v>
      </c>
    </row>
    <row r="344" spans="1:14">
      <c r="A344">
        <v>8659</v>
      </c>
      <c r="B344" t="s">
        <v>39</v>
      </c>
      <c r="C344" t="s">
        <v>39</v>
      </c>
      <c r="D344" t="s">
        <v>8</v>
      </c>
      <c r="E344" s="1">
        <v>43166.865011574075</v>
      </c>
      <c r="F344" s="465">
        <v>43166.865011574075</v>
      </c>
      <c r="G344" s="464">
        <v>0.86458333333333337</v>
      </c>
      <c r="H344" t="s">
        <v>129</v>
      </c>
      <c r="I344" t="s">
        <v>129</v>
      </c>
      <c r="J344" t="s">
        <v>129</v>
      </c>
    </row>
    <row r="345" spans="1:14">
      <c r="A345">
        <v>8668</v>
      </c>
      <c r="B345" t="s">
        <v>39</v>
      </c>
      <c r="C345" t="s">
        <v>39</v>
      </c>
      <c r="D345" t="s">
        <v>6</v>
      </c>
      <c r="E345" s="1">
        <v>43167.368495370371</v>
      </c>
      <c r="F345" s="465">
        <v>43167.368495370371</v>
      </c>
      <c r="G345" s="464">
        <v>0.36805555555555558</v>
      </c>
      <c r="H345">
        <v>9.5500000000000007</v>
      </c>
      <c r="I345">
        <v>8</v>
      </c>
      <c r="J345" t="s">
        <v>129</v>
      </c>
    </row>
    <row r="346" spans="1:14">
      <c r="A346">
        <v>8640</v>
      </c>
      <c r="B346" t="s">
        <v>39</v>
      </c>
      <c r="C346" t="s">
        <v>39</v>
      </c>
      <c r="D346" t="s">
        <v>5</v>
      </c>
      <c r="E346" s="1">
        <v>43167.766643518517</v>
      </c>
      <c r="F346" s="465">
        <v>43167.766643518517</v>
      </c>
      <c r="G346" s="464">
        <v>0.76597222222222217</v>
      </c>
      <c r="H346" t="s">
        <v>129</v>
      </c>
      <c r="I346" t="s">
        <v>129</v>
      </c>
      <c r="J346" t="s">
        <v>129</v>
      </c>
    </row>
    <row r="347" spans="1:14">
      <c r="A347">
        <v>8678</v>
      </c>
      <c r="B347" t="s">
        <v>39</v>
      </c>
      <c r="C347" t="s">
        <v>39</v>
      </c>
      <c r="D347" t="s">
        <v>7</v>
      </c>
      <c r="E347" s="1">
        <v>43167.770914351851</v>
      </c>
      <c r="F347" s="465">
        <v>43167.770914351851</v>
      </c>
      <c r="G347" s="464">
        <v>0.77083333333333337</v>
      </c>
      <c r="H347" t="s">
        <v>129</v>
      </c>
      <c r="I347" t="s">
        <v>129</v>
      </c>
      <c r="J347" t="s">
        <v>129</v>
      </c>
      <c r="K347">
        <v>0.88333333333333286</v>
      </c>
      <c r="M347">
        <v>0.88333333333333286</v>
      </c>
      <c r="N347">
        <v>0</v>
      </c>
    </row>
    <row r="348" spans="1:14">
      <c r="A348">
        <v>8687</v>
      </c>
      <c r="B348" t="s">
        <v>39</v>
      </c>
      <c r="C348" t="s">
        <v>39</v>
      </c>
      <c r="D348" t="s">
        <v>8</v>
      </c>
      <c r="E348" s="1">
        <v>43167.808240740742</v>
      </c>
      <c r="F348" s="465">
        <v>43167.808240740742</v>
      </c>
      <c r="G348" s="464">
        <v>0.80763888888888891</v>
      </c>
      <c r="H348" t="s">
        <v>129</v>
      </c>
      <c r="I348" t="s">
        <v>129</v>
      </c>
      <c r="J348" t="s">
        <v>129</v>
      </c>
    </row>
    <row r="349" spans="1:14">
      <c r="A349">
        <v>8699</v>
      </c>
      <c r="B349" t="s">
        <v>39</v>
      </c>
      <c r="C349" t="s">
        <v>39</v>
      </c>
      <c r="D349" t="s">
        <v>6</v>
      </c>
      <c r="E349" s="1">
        <v>43168.354502314818</v>
      </c>
      <c r="F349" s="465">
        <v>43168.354502314818</v>
      </c>
      <c r="G349" s="464">
        <v>0.35416666666666669</v>
      </c>
      <c r="H349">
        <v>10</v>
      </c>
      <c r="I349">
        <v>8</v>
      </c>
      <c r="J349" t="s">
        <v>129</v>
      </c>
    </row>
    <row r="350" spans="1:14">
      <c r="A350">
        <v>8710</v>
      </c>
      <c r="B350" t="s">
        <v>39</v>
      </c>
      <c r="C350" t="s">
        <v>39</v>
      </c>
      <c r="D350" t="s">
        <v>5</v>
      </c>
      <c r="E350" s="1">
        <v>43168.77144675926</v>
      </c>
      <c r="F350" s="465">
        <v>43168.77144675926</v>
      </c>
      <c r="G350" s="464">
        <v>0.77083333333333337</v>
      </c>
      <c r="H350" t="s">
        <v>129</v>
      </c>
      <c r="I350" t="s">
        <v>129</v>
      </c>
      <c r="J350" t="s">
        <v>129</v>
      </c>
    </row>
    <row r="351" spans="1:14">
      <c r="A351">
        <v>8761</v>
      </c>
      <c r="B351" t="s">
        <v>39</v>
      </c>
      <c r="C351" t="s">
        <v>39</v>
      </c>
      <c r="D351" t="s">
        <v>6</v>
      </c>
      <c r="E351" s="1">
        <v>43171.362060185187</v>
      </c>
      <c r="F351" s="465">
        <v>43171.362060185187</v>
      </c>
      <c r="G351" s="464">
        <v>0.36180555555555555</v>
      </c>
      <c r="H351">
        <v>9.6499999999999986</v>
      </c>
      <c r="I351">
        <v>8</v>
      </c>
      <c r="J351" t="s">
        <v>129</v>
      </c>
    </row>
    <row r="352" spans="1:14">
      <c r="A352">
        <v>8774</v>
      </c>
      <c r="B352" t="s">
        <v>39</v>
      </c>
      <c r="C352" t="s">
        <v>39</v>
      </c>
      <c r="D352" t="s">
        <v>5</v>
      </c>
      <c r="E352" s="1">
        <v>43171.764328703706</v>
      </c>
      <c r="F352" s="465">
        <v>43171.764328703706</v>
      </c>
      <c r="G352" s="464">
        <v>0.76388888888888884</v>
      </c>
      <c r="H352" t="s">
        <v>129</v>
      </c>
      <c r="I352" t="s">
        <v>129</v>
      </c>
      <c r="J352" t="s">
        <v>129</v>
      </c>
    </row>
    <row r="353" spans="1:14">
      <c r="A353">
        <v>8783</v>
      </c>
      <c r="B353" t="s">
        <v>39</v>
      </c>
      <c r="C353" t="s">
        <v>39</v>
      </c>
      <c r="D353" t="s">
        <v>7</v>
      </c>
      <c r="E353" s="1">
        <v>43171.771365740744</v>
      </c>
      <c r="F353" s="465">
        <v>43171.771365740744</v>
      </c>
      <c r="G353" s="464">
        <v>0.77083333333333337</v>
      </c>
      <c r="H353" t="s">
        <v>129</v>
      </c>
      <c r="I353" t="s">
        <v>129</v>
      </c>
      <c r="J353" t="s">
        <v>129</v>
      </c>
      <c r="K353">
        <v>0.31666666666666554</v>
      </c>
      <c r="M353">
        <v>2</v>
      </c>
      <c r="N353">
        <v>0.83333333333333126</v>
      </c>
    </row>
    <row r="354" spans="1:14">
      <c r="A354">
        <v>8786</v>
      </c>
      <c r="B354" t="s">
        <v>39</v>
      </c>
      <c r="C354" t="s">
        <v>39</v>
      </c>
      <c r="D354" t="s">
        <v>8</v>
      </c>
      <c r="E354" s="1">
        <v>43171.784398148149</v>
      </c>
      <c r="F354" s="465">
        <v>43171.784398148149</v>
      </c>
      <c r="G354" s="464">
        <v>0.78402777777777777</v>
      </c>
      <c r="H354" t="s">
        <v>129</v>
      </c>
      <c r="I354" t="s">
        <v>129</v>
      </c>
      <c r="J354" t="s">
        <v>129</v>
      </c>
    </row>
    <row r="355" spans="1:14">
      <c r="A355">
        <v>8790</v>
      </c>
      <c r="B355" t="s">
        <v>39</v>
      </c>
      <c r="C355" t="s">
        <v>39</v>
      </c>
      <c r="D355" t="s">
        <v>7</v>
      </c>
      <c r="E355" s="1">
        <v>43171.798576388886</v>
      </c>
      <c r="F355" s="465">
        <v>43171.798576388886</v>
      </c>
      <c r="G355" s="464">
        <v>0.79791666666666661</v>
      </c>
      <c r="H355" t="s">
        <v>129</v>
      </c>
      <c r="I355" t="s">
        <v>129</v>
      </c>
      <c r="J355" t="s">
        <v>129</v>
      </c>
      <c r="K355">
        <v>2.5166666666666657</v>
      </c>
    </row>
    <row r="356" spans="1:14">
      <c r="A356">
        <v>8793</v>
      </c>
      <c r="B356" t="s">
        <v>39</v>
      </c>
      <c r="C356" t="s">
        <v>39</v>
      </c>
      <c r="D356" t="s">
        <v>8</v>
      </c>
      <c r="E356" s="1">
        <v>43171.902939814812</v>
      </c>
      <c r="F356" s="465">
        <v>43171.902939814812</v>
      </c>
      <c r="G356" s="464">
        <v>0.90277777777777779</v>
      </c>
      <c r="H356" t="s">
        <v>129</v>
      </c>
      <c r="I356" t="s">
        <v>129</v>
      </c>
      <c r="J356" t="s">
        <v>129</v>
      </c>
    </row>
    <row r="357" spans="1:14">
      <c r="A357">
        <v>8802</v>
      </c>
      <c r="B357" t="s">
        <v>39</v>
      </c>
      <c r="C357" t="s">
        <v>39</v>
      </c>
      <c r="D357" t="s">
        <v>6</v>
      </c>
      <c r="E357" s="1">
        <v>43172.362141203703</v>
      </c>
      <c r="F357" s="465">
        <v>43172.362141203703</v>
      </c>
      <c r="G357" s="464">
        <v>0.36180555555555555</v>
      </c>
      <c r="H357">
        <v>9.8666666666666671</v>
      </c>
      <c r="I357">
        <v>8</v>
      </c>
      <c r="J357" t="s">
        <v>129</v>
      </c>
    </row>
    <row r="358" spans="1:14">
      <c r="A358">
        <v>8818</v>
      </c>
      <c r="B358" t="s">
        <v>39</v>
      </c>
      <c r="C358" t="s">
        <v>39</v>
      </c>
      <c r="D358" t="s">
        <v>5</v>
      </c>
      <c r="E358" s="1">
        <v>43172.7731712963</v>
      </c>
      <c r="F358" s="465">
        <v>43172.7731712963</v>
      </c>
      <c r="G358" s="464">
        <v>0.7729166666666667</v>
      </c>
      <c r="H358" t="s">
        <v>129</v>
      </c>
      <c r="I358" t="s">
        <v>129</v>
      </c>
      <c r="J358" t="s">
        <v>129</v>
      </c>
    </row>
    <row r="359" spans="1:14">
      <c r="A359">
        <v>8819</v>
      </c>
      <c r="B359" t="s">
        <v>39</v>
      </c>
      <c r="C359" t="s">
        <v>39</v>
      </c>
      <c r="D359" t="s">
        <v>7</v>
      </c>
      <c r="E359" s="1">
        <v>43172.773217592592</v>
      </c>
      <c r="F359" s="465">
        <v>43172.773217592592</v>
      </c>
      <c r="G359" s="464">
        <v>0.7729166666666667</v>
      </c>
      <c r="H359" t="s">
        <v>129</v>
      </c>
      <c r="I359" t="s">
        <v>129</v>
      </c>
      <c r="J359" t="s">
        <v>129</v>
      </c>
      <c r="K359">
        <v>1.9166666666666652</v>
      </c>
      <c r="M359">
        <v>1.9166666666666652</v>
      </c>
      <c r="N359">
        <v>0</v>
      </c>
    </row>
    <row r="360" spans="1:14">
      <c r="A360">
        <v>8829</v>
      </c>
      <c r="B360" t="s">
        <v>39</v>
      </c>
      <c r="C360" t="s">
        <v>39</v>
      </c>
      <c r="D360" t="s">
        <v>8</v>
      </c>
      <c r="E360" s="1">
        <v>43172.852893518517</v>
      </c>
      <c r="F360" s="465">
        <v>43172.852893518517</v>
      </c>
      <c r="G360" s="464">
        <v>0.85277777777777775</v>
      </c>
      <c r="H360" t="s">
        <v>129</v>
      </c>
      <c r="I360" t="s">
        <v>129</v>
      </c>
      <c r="J360" t="s">
        <v>129</v>
      </c>
    </row>
    <row r="361" spans="1:14">
      <c r="A361">
        <v>8841</v>
      </c>
      <c r="B361" t="s">
        <v>39</v>
      </c>
      <c r="C361" t="s">
        <v>39</v>
      </c>
      <c r="D361" t="s">
        <v>6</v>
      </c>
      <c r="E361" s="1">
        <v>43173.36787037037</v>
      </c>
      <c r="F361" s="465">
        <v>43173.36787037037</v>
      </c>
      <c r="G361" s="464">
        <v>0.36736111111111108</v>
      </c>
      <c r="H361">
        <v>9.65</v>
      </c>
      <c r="I361">
        <v>8</v>
      </c>
      <c r="J361" t="s">
        <v>129</v>
      </c>
    </row>
    <row r="362" spans="1:14">
      <c r="A362">
        <v>8851</v>
      </c>
      <c r="B362" t="s">
        <v>39</v>
      </c>
      <c r="C362" t="s">
        <v>39</v>
      </c>
      <c r="D362" t="s">
        <v>5</v>
      </c>
      <c r="E362" s="1">
        <v>43173.770127314812</v>
      </c>
      <c r="F362" s="465">
        <v>43173.770127314812</v>
      </c>
      <c r="G362" s="464">
        <v>0.76944444444444438</v>
      </c>
      <c r="H362" t="s">
        <v>129</v>
      </c>
      <c r="I362" t="s">
        <v>129</v>
      </c>
      <c r="J362" t="s">
        <v>129</v>
      </c>
    </row>
    <row r="363" spans="1:14">
      <c r="A363">
        <v>8857</v>
      </c>
      <c r="B363" t="s">
        <v>39</v>
      </c>
      <c r="C363" t="s">
        <v>39</v>
      </c>
      <c r="D363" t="s">
        <v>7</v>
      </c>
      <c r="E363" s="1">
        <v>43173.772361111114</v>
      </c>
      <c r="F363" s="465">
        <v>43173.772361111114</v>
      </c>
      <c r="G363" s="464">
        <v>0.77222222222222225</v>
      </c>
      <c r="H363" t="s">
        <v>129</v>
      </c>
      <c r="I363" t="s">
        <v>129</v>
      </c>
      <c r="J363" t="s">
        <v>129</v>
      </c>
      <c r="K363">
        <v>1.8333333333333321</v>
      </c>
      <c r="M363">
        <v>1.8333333333333321</v>
      </c>
      <c r="N363">
        <v>0</v>
      </c>
    </row>
    <row r="364" spans="1:14">
      <c r="A364">
        <v>8862</v>
      </c>
      <c r="B364" t="s">
        <v>39</v>
      </c>
      <c r="C364" t="s">
        <v>39</v>
      </c>
      <c r="D364" t="s">
        <v>8</v>
      </c>
      <c r="E364" s="1">
        <v>43173.849074074074</v>
      </c>
      <c r="F364" s="465">
        <v>43173.849074074074</v>
      </c>
      <c r="G364" s="464">
        <v>0.84861111111111109</v>
      </c>
      <c r="H364" t="s">
        <v>129</v>
      </c>
      <c r="I364" t="s">
        <v>129</v>
      </c>
      <c r="J364" t="s">
        <v>129</v>
      </c>
    </row>
    <row r="365" spans="1:14">
      <c r="A365">
        <v>8875</v>
      </c>
      <c r="B365" t="s">
        <v>94</v>
      </c>
      <c r="C365" t="s">
        <v>39</v>
      </c>
      <c r="D365" t="s">
        <v>6</v>
      </c>
      <c r="E365" s="1">
        <v>43174.363333333335</v>
      </c>
      <c r="F365" s="465">
        <v>43174.363333333335</v>
      </c>
      <c r="G365" s="464">
        <v>0.36319444444444443</v>
      </c>
      <c r="H365">
        <v>9.6333333333333329</v>
      </c>
      <c r="I365">
        <v>8</v>
      </c>
      <c r="J365" t="s">
        <v>129</v>
      </c>
    </row>
    <row r="366" spans="1:14">
      <c r="A366">
        <v>8883</v>
      </c>
      <c r="B366" t="s">
        <v>39</v>
      </c>
      <c r="C366" t="s">
        <v>39</v>
      </c>
      <c r="D366" t="s">
        <v>5</v>
      </c>
      <c r="E366" s="1">
        <v>43174.76489583333</v>
      </c>
      <c r="F366" s="465">
        <v>43174.76489583333</v>
      </c>
      <c r="G366" s="464">
        <v>0.76458333333333339</v>
      </c>
      <c r="H366" t="s">
        <v>129</v>
      </c>
      <c r="I366" t="s">
        <v>129</v>
      </c>
      <c r="J366" t="s">
        <v>129</v>
      </c>
    </row>
    <row r="367" spans="1:14">
      <c r="A367">
        <v>8893</v>
      </c>
      <c r="B367" t="s">
        <v>39</v>
      </c>
      <c r="C367" t="s">
        <v>39</v>
      </c>
      <c r="D367" t="s">
        <v>7</v>
      </c>
      <c r="E367" s="1">
        <v>43174.77238425926</v>
      </c>
      <c r="F367" s="465">
        <v>43174.77238425926</v>
      </c>
      <c r="G367" s="464">
        <v>0.77222222222222225</v>
      </c>
      <c r="H367" t="s">
        <v>129</v>
      </c>
      <c r="I367" t="s">
        <v>129</v>
      </c>
      <c r="J367" t="s">
        <v>129</v>
      </c>
      <c r="K367">
        <v>2.1500000000000004</v>
      </c>
      <c r="M367">
        <v>2</v>
      </c>
      <c r="N367">
        <v>0.15000000000000036</v>
      </c>
    </row>
    <row r="368" spans="1:14">
      <c r="A368">
        <v>8901</v>
      </c>
      <c r="B368" t="s">
        <v>39</v>
      </c>
      <c r="C368" t="s">
        <v>39</v>
      </c>
      <c r="D368" t="s">
        <v>8</v>
      </c>
      <c r="E368" s="1">
        <v>43174.86209490741</v>
      </c>
      <c r="F368" s="465">
        <v>43174.86209490741</v>
      </c>
      <c r="G368" s="464">
        <v>0.8618055555555556</v>
      </c>
      <c r="H368" t="s">
        <v>129</v>
      </c>
      <c r="I368" t="s">
        <v>129</v>
      </c>
      <c r="J368" t="s">
        <v>129</v>
      </c>
    </row>
    <row r="369" spans="1:14">
      <c r="A369">
        <v>8907</v>
      </c>
      <c r="B369" t="s">
        <v>39</v>
      </c>
      <c r="C369" t="s">
        <v>39</v>
      </c>
      <c r="D369" t="s">
        <v>6</v>
      </c>
      <c r="E369" s="1">
        <v>43175.361458333333</v>
      </c>
      <c r="F369" s="465">
        <v>43175.361458333333</v>
      </c>
      <c r="G369" s="464">
        <v>0.3611111111111111</v>
      </c>
      <c r="H369">
        <v>9.9166666666666679</v>
      </c>
      <c r="I369">
        <v>8</v>
      </c>
      <c r="J369" t="s">
        <v>129</v>
      </c>
    </row>
    <row r="370" spans="1:14">
      <c r="A370">
        <v>8927</v>
      </c>
      <c r="B370" t="s">
        <v>39</v>
      </c>
      <c r="C370" t="s">
        <v>39</v>
      </c>
      <c r="D370" t="s">
        <v>5</v>
      </c>
      <c r="E370" s="1">
        <v>43175.774444444447</v>
      </c>
      <c r="F370" s="465">
        <v>43175.774444444447</v>
      </c>
      <c r="G370" s="464">
        <v>0.77430555555555547</v>
      </c>
      <c r="H370" t="s">
        <v>129</v>
      </c>
      <c r="I370" t="s">
        <v>129</v>
      </c>
      <c r="J370" t="s">
        <v>129</v>
      </c>
    </row>
    <row r="371" spans="1:14">
      <c r="A371">
        <v>8928</v>
      </c>
      <c r="B371" t="s">
        <v>39</v>
      </c>
      <c r="C371" t="s">
        <v>39</v>
      </c>
      <c r="D371" t="s">
        <v>7</v>
      </c>
      <c r="E371" s="1">
        <v>43175.77447916667</v>
      </c>
      <c r="F371" s="465">
        <v>43175.77447916667</v>
      </c>
      <c r="G371" s="464">
        <v>0.77430555555555547</v>
      </c>
      <c r="H371" t="s">
        <v>129</v>
      </c>
      <c r="I371" t="s">
        <v>129</v>
      </c>
      <c r="J371" t="s">
        <v>129</v>
      </c>
      <c r="K371">
        <v>0.56666666666666732</v>
      </c>
      <c r="M371">
        <v>0.56666666666666732</v>
      </c>
      <c r="N371">
        <v>0</v>
      </c>
    </row>
    <row r="372" spans="1:14">
      <c r="A372">
        <v>8933</v>
      </c>
      <c r="B372" t="s">
        <v>39</v>
      </c>
      <c r="C372" t="s">
        <v>39</v>
      </c>
      <c r="D372" t="s">
        <v>8</v>
      </c>
      <c r="E372" s="1">
        <v>43175.798368055555</v>
      </c>
      <c r="F372" s="465">
        <v>43175.798368055555</v>
      </c>
      <c r="G372" s="464">
        <v>0.79791666666666661</v>
      </c>
      <c r="H372" t="s">
        <v>129</v>
      </c>
      <c r="I372" t="s">
        <v>129</v>
      </c>
      <c r="J372" t="s">
        <v>129</v>
      </c>
    </row>
    <row r="373" spans="1:14">
      <c r="A373">
        <v>8946</v>
      </c>
      <c r="B373" t="s">
        <v>101</v>
      </c>
      <c r="C373" t="s">
        <v>39</v>
      </c>
      <c r="D373" t="s">
        <v>7</v>
      </c>
      <c r="E373" s="1">
        <v>43176.441747685189</v>
      </c>
      <c r="F373" s="465">
        <v>43176.441747685189</v>
      </c>
      <c r="G373" s="464">
        <v>0.44166666666666665</v>
      </c>
      <c r="H373" t="s">
        <v>129</v>
      </c>
      <c r="I373" t="s">
        <v>129</v>
      </c>
      <c r="J373" t="s">
        <v>129</v>
      </c>
      <c r="K373">
        <v>1.5499999999999998</v>
      </c>
      <c r="M373">
        <v>2</v>
      </c>
      <c r="N373">
        <v>2.8333333333333321</v>
      </c>
    </row>
    <row r="374" spans="1:14">
      <c r="A374">
        <v>8953</v>
      </c>
      <c r="B374" t="s">
        <v>39</v>
      </c>
      <c r="C374" t="s">
        <v>39</v>
      </c>
      <c r="D374" t="s">
        <v>8</v>
      </c>
      <c r="E374" s="1">
        <v>43176.506793981483</v>
      </c>
      <c r="F374" s="465">
        <v>43176.506793981483</v>
      </c>
      <c r="G374" s="464">
        <v>0.50624999999999998</v>
      </c>
      <c r="H374" t="s">
        <v>129</v>
      </c>
      <c r="I374" t="s">
        <v>129</v>
      </c>
      <c r="J374" t="s">
        <v>129</v>
      </c>
    </row>
    <row r="375" spans="1:14">
      <c r="A375">
        <v>8954</v>
      </c>
      <c r="B375" t="s">
        <v>39</v>
      </c>
      <c r="C375" t="s">
        <v>39</v>
      </c>
      <c r="D375" t="s">
        <v>7</v>
      </c>
      <c r="E375" s="1">
        <v>43176.562071759261</v>
      </c>
      <c r="F375" s="465">
        <v>43176.562071759261</v>
      </c>
      <c r="G375" s="464">
        <v>0.56180555555555556</v>
      </c>
      <c r="H375" t="s">
        <v>129</v>
      </c>
      <c r="I375" t="s">
        <v>129</v>
      </c>
      <c r="J375" t="s">
        <v>129</v>
      </c>
      <c r="K375">
        <v>3.2833333333333323</v>
      </c>
    </row>
    <row r="376" spans="1:14">
      <c r="A376">
        <v>8966</v>
      </c>
      <c r="B376" t="s">
        <v>39</v>
      </c>
      <c r="C376" t="s">
        <v>39</v>
      </c>
      <c r="D376" t="s">
        <v>8</v>
      </c>
      <c r="E376" s="1">
        <v>43176.699236111112</v>
      </c>
      <c r="F376" s="465">
        <v>43176.699236111112</v>
      </c>
      <c r="G376" s="464">
        <v>0.69861111111111107</v>
      </c>
      <c r="H376" t="s">
        <v>129</v>
      </c>
      <c r="I376" t="s">
        <v>129</v>
      </c>
      <c r="J376" t="s">
        <v>129</v>
      </c>
    </row>
    <row r="377" spans="1:14">
      <c r="A377">
        <v>8976</v>
      </c>
      <c r="B377" t="s">
        <v>39</v>
      </c>
      <c r="C377" t="s">
        <v>39</v>
      </c>
      <c r="D377" t="s">
        <v>6</v>
      </c>
      <c r="E377" s="1">
        <v>43178.366608796299</v>
      </c>
      <c r="F377" s="465">
        <v>43178.366608796299</v>
      </c>
      <c r="G377" s="464">
        <v>0.3659722222222222</v>
      </c>
      <c r="H377">
        <v>9.5833333333333321</v>
      </c>
      <c r="I377">
        <v>8</v>
      </c>
      <c r="J377" t="s">
        <v>129</v>
      </c>
    </row>
    <row r="378" spans="1:14">
      <c r="A378">
        <v>8984</v>
      </c>
      <c r="B378" t="s">
        <v>39</v>
      </c>
      <c r="C378" t="s">
        <v>39</v>
      </c>
      <c r="D378" t="s">
        <v>5</v>
      </c>
      <c r="E378" s="1">
        <v>43178.765694444446</v>
      </c>
      <c r="F378" s="465">
        <v>43178.765694444446</v>
      </c>
      <c r="G378" s="464">
        <v>0.76527777777777783</v>
      </c>
      <c r="H378" t="s">
        <v>129</v>
      </c>
      <c r="I378" t="s">
        <v>129</v>
      </c>
      <c r="J378" t="s">
        <v>129</v>
      </c>
    </row>
    <row r="379" spans="1:14">
      <c r="A379">
        <v>8996</v>
      </c>
      <c r="B379" t="s">
        <v>39</v>
      </c>
      <c r="C379" t="s">
        <v>39</v>
      </c>
      <c r="D379" t="s">
        <v>7</v>
      </c>
      <c r="E379" s="1">
        <v>43178.792685185188</v>
      </c>
      <c r="F379" s="465">
        <v>43178.792685185188</v>
      </c>
      <c r="G379" s="464">
        <v>0.79236111111111107</v>
      </c>
      <c r="H379" t="s">
        <v>129</v>
      </c>
      <c r="I379" t="s">
        <v>129</v>
      </c>
      <c r="J379" t="s">
        <v>129</v>
      </c>
      <c r="K379">
        <v>1.5333333333333332</v>
      </c>
      <c r="M379">
        <v>1.5333333333333332</v>
      </c>
      <c r="N379">
        <v>0</v>
      </c>
    </row>
    <row r="380" spans="1:14">
      <c r="A380">
        <v>9000</v>
      </c>
      <c r="B380" t="s">
        <v>39</v>
      </c>
      <c r="C380" t="s">
        <v>39</v>
      </c>
      <c r="D380" t="s">
        <v>8</v>
      </c>
      <c r="E380" s="1">
        <v>43178.856608796297</v>
      </c>
      <c r="F380" s="465">
        <v>43178.856608796297</v>
      </c>
      <c r="G380" s="464">
        <v>0.85625000000000007</v>
      </c>
      <c r="H380" t="s">
        <v>129</v>
      </c>
      <c r="I380" t="s">
        <v>129</v>
      </c>
      <c r="J380" t="s">
        <v>129</v>
      </c>
    </row>
    <row r="381" spans="1:14">
      <c r="A381">
        <v>9011</v>
      </c>
      <c r="B381" t="s">
        <v>39</v>
      </c>
      <c r="C381" t="s">
        <v>39</v>
      </c>
      <c r="D381" t="s">
        <v>6</v>
      </c>
      <c r="E381" s="1">
        <v>43179.364502314813</v>
      </c>
      <c r="F381" s="465">
        <v>43179.364502314813</v>
      </c>
      <c r="G381" s="464">
        <v>0.36388888888888887</v>
      </c>
      <c r="H381">
        <v>9.7000000000000011</v>
      </c>
      <c r="I381">
        <v>8</v>
      </c>
      <c r="J381" t="s">
        <v>129</v>
      </c>
    </row>
    <row r="382" spans="1:14">
      <c r="A382">
        <v>9024</v>
      </c>
      <c r="B382" t="s">
        <v>39</v>
      </c>
      <c r="C382" t="s">
        <v>39</v>
      </c>
      <c r="D382" t="s">
        <v>5</v>
      </c>
      <c r="E382" s="1">
        <v>43179.768495370372</v>
      </c>
      <c r="F382" s="465">
        <v>43179.768495370372</v>
      </c>
      <c r="G382" s="464">
        <v>0.7680555555555556</v>
      </c>
      <c r="H382" t="s">
        <v>129</v>
      </c>
      <c r="I382" t="s">
        <v>129</v>
      </c>
      <c r="J382" t="s">
        <v>129</v>
      </c>
    </row>
    <row r="383" spans="1:14">
      <c r="A383">
        <v>9050</v>
      </c>
      <c r="B383" t="s">
        <v>39</v>
      </c>
      <c r="C383" t="s">
        <v>39</v>
      </c>
      <c r="D383" t="s">
        <v>6</v>
      </c>
      <c r="E383" s="1">
        <v>43180.368634259263</v>
      </c>
      <c r="F383" s="465">
        <v>43180.368634259263</v>
      </c>
      <c r="G383" s="464">
        <v>0.36805555555555558</v>
      </c>
      <c r="H383">
        <v>9.6333333333333329</v>
      </c>
      <c r="I383">
        <v>8</v>
      </c>
      <c r="J383" t="s">
        <v>129</v>
      </c>
    </row>
    <row r="384" spans="1:14">
      <c r="A384">
        <v>9058</v>
      </c>
      <c r="B384" t="s">
        <v>39</v>
      </c>
      <c r="C384" t="s">
        <v>39</v>
      </c>
      <c r="D384" t="s">
        <v>5</v>
      </c>
      <c r="E384" s="1">
        <v>43180.769606481481</v>
      </c>
      <c r="F384" s="465">
        <v>43180.769606481481</v>
      </c>
      <c r="G384" s="464">
        <v>0.76944444444444438</v>
      </c>
      <c r="H384" t="s">
        <v>129</v>
      </c>
      <c r="I384" t="s">
        <v>129</v>
      </c>
      <c r="J384" t="s">
        <v>129</v>
      </c>
    </row>
    <row r="385" spans="1:14">
      <c r="A385">
        <v>9060</v>
      </c>
      <c r="B385" t="s">
        <v>39</v>
      </c>
      <c r="C385" t="s">
        <v>39</v>
      </c>
      <c r="D385" t="s">
        <v>7</v>
      </c>
      <c r="E385" s="1">
        <v>43180.770833333336</v>
      </c>
      <c r="F385" s="465">
        <v>43180.770833333336</v>
      </c>
      <c r="G385" s="464">
        <v>0.77083333333333337</v>
      </c>
      <c r="H385" t="s">
        <v>129</v>
      </c>
      <c r="I385" t="s">
        <v>129</v>
      </c>
      <c r="J385" t="s">
        <v>129</v>
      </c>
      <c r="K385">
        <v>0.26666666666666572</v>
      </c>
      <c r="M385">
        <v>0.26666666666666572</v>
      </c>
      <c r="N385">
        <v>0</v>
      </c>
    </row>
    <row r="386" spans="1:14">
      <c r="A386">
        <v>9070</v>
      </c>
      <c r="B386" t="s">
        <v>39</v>
      </c>
      <c r="C386" t="s">
        <v>39</v>
      </c>
      <c r="D386" t="s">
        <v>8</v>
      </c>
      <c r="E386" s="1">
        <v>43180.782523148147</v>
      </c>
      <c r="F386" s="465">
        <v>43180.782523148147</v>
      </c>
      <c r="G386" s="464">
        <v>0.78194444444444444</v>
      </c>
      <c r="H386" t="s">
        <v>129</v>
      </c>
      <c r="I386" t="s">
        <v>129</v>
      </c>
      <c r="J386" t="s">
        <v>129</v>
      </c>
    </row>
    <row r="387" spans="1:14">
      <c r="A387">
        <v>9086</v>
      </c>
      <c r="B387" t="s">
        <v>39</v>
      </c>
      <c r="C387" t="s">
        <v>39</v>
      </c>
      <c r="D387" t="s">
        <v>6</v>
      </c>
      <c r="E387" s="1">
        <v>43181.36613425926</v>
      </c>
      <c r="F387" s="465">
        <v>43181.36613425926</v>
      </c>
      <c r="G387" s="464">
        <v>0.3659722222222222</v>
      </c>
      <c r="H387">
        <v>9.5166666666666657</v>
      </c>
      <c r="I387">
        <v>8</v>
      </c>
      <c r="J387" t="s">
        <v>129</v>
      </c>
    </row>
    <row r="388" spans="1:14">
      <c r="A388">
        <v>9093</v>
      </c>
      <c r="B388" t="s">
        <v>39</v>
      </c>
      <c r="C388" t="s">
        <v>39</v>
      </c>
      <c r="D388" t="s">
        <v>5</v>
      </c>
      <c r="E388" s="1">
        <v>43181.762696759259</v>
      </c>
      <c r="F388" s="465">
        <v>43181.762696759259</v>
      </c>
      <c r="G388" s="464">
        <v>0.76250000000000007</v>
      </c>
      <c r="H388" t="s">
        <v>129</v>
      </c>
      <c r="I388" t="s">
        <v>129</v>
      </c>
      <c r="J388" t="s">
        <v>129</v>
      </c>
    </row>
    <row r="389" spans="1:14">
      <c r="A389">
        <v>9106</v>
      </c>
      <c r="B389" t="s">
        <v>39</v>
      </c>
      <c r="C389" t="s">
        <v>39</v>
      </c>
      <c r="D389" t="s">
        <v>7</v>
      </c>
      <c r="E389" s="1">
        <v>43181.798495370371</v>
      </c>
      <c r="F389" s="465">
        <v>43181.798495370371</v>
      </c>
      <c r="G389" s="464">
        <v>0.79791666666666661</v>
      </c>
      <c r="H389" t="s">
        <v>129</v>
      </c>
      <c r="I389" t="s">
        <v>129</v>
      </c>
      <c r="J389" t="s">
        <v>129</v>
      </c>
      <c r="K389">
        <v>3.1166666666666663</v>
      </c>
      <c r="M389">
        <v>2</v>
      </c>
      <c r="N389">
        <v>1.1166666666666663</v>
      </c>
    </row>
    <row r="390" spans="1:14">
      <c r="A390">
        <v>9110</v>
      </c>
      <c r="B390" t="s">
        <v>39</v>
      </c>
      <c r="C390" t="s">
        <v>39</v>
      </c>
      <c r="D390" t="s">
        <v>8</v>
      </c>
      <c r="E390" s="1">
        <v>43181.927824074075</v>
      </c>
      <c r="F390" s="465">
        <v>43181.927824074075</v>
      </c>
      <c r="G390" s="464">
        <v>0.9277777777777777</v>
      </c>
      <c r="H390" t="s">
        <v>129</v>
      </c>
      <c r="I390" t="s">
        <v>129</v>
      </c>
      <c r="J390" t="s">
        <v>129</v>
      </c>
    </row>
    <row r="391" spans="1:14">
      <c r="A391">
        <v>9124</v>
      </c>
      <c r="B391" t="s">
        <v>39</v>
      </c>
      <c r="C391" t="s">
        <v>39</v>
      </c>
      <c r="D391" t="s">
        <v>6</v>
      </c>
      <c r="E391" s="1">
        <v>43182.354826388888</v>
      </c>
      <c r="F391" s="465">
        <v>43182.354826388888</v>
      </c>
      <c r="G391" s="464">
        <v>0.35416666666666669</v>
      </c>
      <c r="H391">
        <v>9.7999999999999989</v>
      </c>
      <c r="I391">
        <v>8</v>
      </c>
      <c r="J391" t="s">
        <v>129</v>
      </c>
    </row>
    <row r="392" spans="1:14">
      <c r="A392">
        <v>9128</v>
      </c>
      <c r="B392" t="s">
        <v>39</v>
      </c>
      <c r="C392" t="s">
        <v>39</v>
      </c>
      <c r="D392" t="s">
        <v>5</v>
      </c>
      <c r="E392" s="1">
        <v>43182.763171296298</v>
      </c>
      <c r="F392" s="465">
        <v>43182.763171296298</v>
      </c>
      <c r="G392" s="464">
        <v>0.76250000000000007</v>
      </c>
      <c r="H392" t="s">
        <v>129</v>
      </c>
      <c r="I392" t="s">
        <v>129</v>
      </c>
      <c r="J392" t="s">
        <v>129</v>
      </c>
    </row>
    <row r="393" spans="1:14">
      <c r="A393">
        <v>9192</v>
      </c>
      <c r="B393" t="s">
        <v>39</v>
      </c>
      <c r="C393" t="s">
        <v>39</v>
      </c>
      <c r="D393" t="s">
        <v>6</v>
      </c>
      <c r="E393" s="1">
        <v>43185.354756944442</v>
      </c>
      <c r="F393" s="465">
        <v>43185.354756944442</v>
      </c>
      <c r="G393" s="464">
        <v>0.35416666666666669</v>
      </c>
      <c r="H393">
        <v>9.5</v>
      </c>
      <c r="I393">
        <v>8</v>
      </c>
      <c r="J393" t="s">
        <v>129</v>
      </c>
    </row>
    <row r="394" spans="1:14">
      <c r="A394">
        <v>9211</v>
      </c>
      <c r="B394" t="s">
        <v>39</v>
      </c>
      <c r="C394" t="s">
        <v>39</v>
      </c>
      <c r="D394" t="s">
        <v>5</v>
      </c>
      <c r="E394" s="1">
        <v>43185.75</v>
      </c>
      <c r="F394" s="465">
        <v>43185.75</v>
      </c>
      <c r="G394" s="464">
        <v>0.75</v>
      </c>
      <c r="H394" t="s">
        <v>129</v>
      </c>
      <c r="I394" t="s">
        <v>129</v>
      </c>
      <c r="J394" t="s">
        <v>129</v>
      </c>
    </row>
    <row r="395" spans="1:14">
      <c r="A395">
        <v>9192</v>
      </c>
      <c r="B395" t="s">
        <v>39</v>
      </c>
      <c r="C395" t="s">
        <v>39</v>
      </c>
      <c r="D395" t="s">
        <v>6</v>
      </c>
      <c r="E395" s="1">
        <v>43186.354756944442</v>
      </c>
      <c r="F395" s="465">
        <v>43186.354756944442</v>
      </c>
      <c r="G395" s="464">
        <v>0.35416666666666669</v>
      </c>
      <c r="H395">
        <v>9.5</v>
      </c>
      <c r="I395">
        <v>8</v>
      </c>
      <c r="J395" t="s">
        <v>129</v>
      </c>
    </row>
    <row r="396" spans="1:14">
      <c r="A396">
        <v>9211</v>
      </c>
      <c r="B396" t="s">
        <v>39</v>
      </c>
      <c r="C396" t="s">
        <v>39</v>
      </c>
      <c r="D396" t="s">
        <v>5</v>
      </c>
      <c r="E396" s="1">
        <v>43186.75</v>
      </c>
      <c r="F396" s="465">
        <v>43186.75</v>
      </c>
      <c r="G396" s="464">
        <v>0.75</v>
      </c>
      <c r="H396" t="s">
        <v>129</v>
      </c>
      <c r="I396" t="s">
        <v>129</v>
      </c>
      <c r="J396" t="s">
        <v>129</v>
      </c>
    </row>
    <row r="397" spans="1:14">
      <c r="A397">
        <v>9192</v>
      </c>
      <c r="B397" t="s">
        <v>39</v>
      </c>
      <c r="C397" t="s">
        <v>39</v>
      </c>
      <c r="D397" t="s">
        <v>6</v>
      </c>
      <c r="E397" s="1">
        <v>43187.359618055554</v>
      </c>
      <c r="F397" s="465">
        <v>43187.359618055554</v>
      </c>
      <c r="G397" s="464">
        <v>0.35902777777777778</v>
      </c>
      <c r="H397">
        <v>9.9</v>
      </c>
      <c r="I397">
        <v>8</v>
      </c>
      <c r="J397" t="s">
        <v>129</v>
      </c>
    </row>
    <row r="398" spans="1:14">
      <c r="A398">
        <v>9211</v>
      </c>
      <c r="B398" t="s">
        <v>39</v>
      </c>
      <c r="C398" t="s">
        <v>39</v>
      </c>
      <c r="D398" t="s">
        <v>5</v>
      </c>
      <c r="E398" s="1">
        <v>43187.771527777775</v>
      </c>
      <c r="F398" s="465">
        <v>43187.771527777775</v>
      </c>
      <c r="G398" s="464">
        <v>0.7715277777777777</v>
      </c>
      <c r="H398" t="s">
        <v>129</v>
      </c>
      <c r="I398" t="s">
        <v>129</v>
      </c>
      <c r="J398" t="s">
        <v>129</v>
      </c>
    </row>
    <row r="399" spans="1:14">
      <c r="A399">
        <v>9212</v>
      </c>
      <c r="B399" t="s">
        <v>39</v>
      </c>
      <c r="C399" t="s">
        <v>39</v>
      </c>
      <c r="D399" t="s">
        <v>7</v>
      </c>
      <c r="E399" s="1">
        <v>43187.771574074075</v>
      </c>
      <c r="F399" s="465">
        <v>43187.771574074075</v>
      </c>
      <c r="G399" s="464">
        <v>0.7715277777777777</v>
      </c>
      <c r="H399" t="s">
        <v>129</v>
      </c>
      <c r="I399" t="s">
        <v>129</v>
      </c>
      <c r="J399" t="s">
        <v>129</v>
      </c>
      <c r="K399">
        <v>3</v>
      </c>
      <c r="M399">
        <v>2</v>
      </c>
      <c r="N399">
        <v>1</v>
      </c>
    </row>
    <row r="400" spans="1:14">
      <c r="A400">
        <v>9223</v>
      </c>
      <c r="B400" t="s">
        <v>39</v>
      </c>
      <c r="C400" t="s">
        <v>39</v>
      </c>
      <c r="D400" t="s">
        <v>8</v>
      </c>
      <c r="E400" s="1">
        <v>43187.896979166668</v>
      </c>
      <c r="F400" s="465">
        <v>43187.896979166668</v>
      </c>
      <c r="G400" s="464">
        <v>0.8965277777777777</v>
      </c>
      <c r="H400" t="s">
        <v>129</v>
      </c>
      <c r="I400" t="s">
        <v>129</v>
      </c>
      <c r="J400" t="s">
        <v>129</v>
      </c>
    </row>
    <row r="401" spans="1:38">
      <c r="A401">
        <v>9227</v>
      </c>
      <c r="B401" t="s">
        <v>39</v>
      </c>
      <c r="C401" t="s">
        <v>39</v>
      </c>
      <c r="D401" t="s">
        <v>6</v>
      </c>
      <c r="E401" s="1">
        <v>43188.357118055559</v>
      </c>
      <c r="F401" s="465">
        <v>43188.357118055559</v>
      </c>
      <c r="G401" s="464">
        <v>0.35694444444444445</v>
      </c>
      <c r="H401">
        <v>9.7499999999999982</v>
      </c>
      <c r="I401">
        <v>8</v>
      </c>
      <c r="J401" t="s">
        <v>129</v>
      </c>
    </row>
    <row r="402" spans="1:38">
      <c r="A402">
        <v>9237</v>
      </c>
      <c r="B402" t="s">
        <v>39</v>
      </c>
      <c r="C402" t="s">
        <v>39</v>
      </c>
      <c r="D402" t="s">
        <v>5</v>
      </c>
      <c r="E402" s="1">
        <v>43188.763692129629</v>
      </c>
      <c r="F402" s="465">
        <v>43188.763692129629</v>
      </c>
      <c r="G402" s="464">
        <v>0.7631944444444444</v>
      </c>
      <c r="H402" t="s">
        <v>129</v>
      </c>
      <c r="I402" t="s">
        <v>129</v>
      </c>
      <c r="J402" t="s">
        <v>129</v>
      </c>
    </row>
    <row r="403" spans="1:38">
      <c r="A403">
        <v>9241</v>
      </c>
      <c r="B403" t="s">
        <v>39</v>
      </c>
      <c r="C403" t="s">
        <v>39</v>
      </c>
      <c r="D403" t="s">
        <v>7</v>
      </c>
      <c r="E403" s="1">
        <v>43188.771134259259</v>
      </c>
      <c r="F403" s="465">
        <v>43188.771134259259</v>
      </c>
      <c r="G403" s="464">
        <v>0.77083333333333337</v>
      </c>
      <c r="H403" t="s">
        <v>129</v>
      </c>
      <c r="I403" t="s">
        <v>129</v>
      </c>
      <c r="J403" t="s">
        <v>129</v>
      </c>
      <c r="K403">
        <v>0.9666666666666659</v>
      </c>
      <c r="M403">
        <v>0.9666666666666659</v>
      </c>
      <c r="N403">
        <v>0</v>
      </c>
    </row>
    <row r="404" spans="1:38">
      <c r="A404">
        <v>9252</v>
      </c>
      <c r="B404" t="s">
        <v>39</v>
      </c>
      <c r="C404" t="s">
        <v>39</v>
      </c>
      <c r="D404" t="s">
        <v>8</v>
      </c>
      <c r="E404" s="1">
        <v>43188.811423611114</v>
      </c>
      <c r="F404" s="465">
        <v>43188.811423611114</v>
      </c>
      <c r="G404" s="464">
        <v>0.81111111111111101</v>
      </c>
      <c r="H404" t="s">
        <v>129</v>
      </c>
      <c r="I404" t="s">
        <v>129</v>
      </c>
      <c r="J404" t="s">
        <v>129</v>
      </c>
    </row>
    <row r="405" spans="1:38">
      <c r="A405">
        <v>9260</v>
      </c>
      <c r="B405" t="s">
        <v>39</v>
      </c>
      <c r="C405" t="s">
        <v>39</v>
      </c>
      <c r="D405" t="s">
        <v>6</v>
      </c>
      <c r="E405" s="1">
        <v>43189.360821759263</v>
      </c>
      <c r="F405" s="465">
        <v>43189.360821759263</v>
      </c>
      <c r="G405" s="464">
        <v>0.36041666666666666</v>
      </c>
      <c r="H405">
        <v>9.9166666666666679</v>
      </c>
      <c r="I405">
        <v>8</v>
      </c>
      <c r="J405" t="s">
        <v>129</v>
      </c>
    </row>
    <row r="406" spans="1:38">
      <c r="A406">
        <v>9274</v>
      </c>
      <c r="B406" t="s">
        <v>39</v>
      </c>
      <c r="C406" t="s">
        <v>39</v>
      </c>
      <c r="D406" t="s">
        <v>5</v>
      </c>
      <c r="E406" s="1">
        <v>43189.773657407408</v>
      </c>
      <c r="F406" s="465">
        <v>43189.773657407408</v>
      </c>
      <c r="G406" s="464">
        <v>0.77361111111111114</v>
      </c>
      <c r="H406" t="s">
        <v>129</v>
      </c>
      <c r="I406" t="s">
        <v>129</v>
      </c>
      <c r="J406" t="s">
        <v>129</v>
      </c>
    </row>
    <row r="407" spans="1:38">
      <c r="A407">
        <v>9286</v>
      </c>
      <c r="B407" t="s">
        <v>94</v>
      </c>
      <c r="C407" t="s">
        <v>39</v>
      </c>
      <c r="D407" t="s">
        <v>6</v>
      </c>
      <c r="E407" s="1">
        <v>43190.361967592595</v>
      </c>
      <c r="F407" s="465">
        <v>43190.361967592595</v>
      </c>
      <c r="G407" s="464">
        <v>0.36180555555555555</v>
      </c>
      <c r="H407">
        <v>9.6499999999999986</v>
      </c>
      <c r="I407">
        <v>8</v>
      </c>
      <c r="J407" t="s">
        <v>129</v>
      </c>
    </row>
    <row r="408" spans="1:38">
      <c r="A408">
        <v>9293</v>
      </c>
      <c r="B408" t="s">
        <v>39</v>
      </c>
      <c r="C408" t="s">
        <v>39</v>
      </c>
      <c r="D408" t="s">
        <v>5</v>
      </c>
      <c r="E408" s="1">
        <v>43190.764513888891</v>
      </c>
      <c r="F408" s="465">
        <v>43190.764513888891</v>
      </c>
      <c r="G408" s="464">
        <v>0.76388888888888884</v>
      </c>
      <c r="H408" t="s">
        <v>129</v>
      </c>
      <c r="I408" t="s">
        <v>129</v>
      </c>
      <c r="J408" t="s">
        <v>129</v>
      </c>
    </row>
    <row r="409" spans="1:38">
      <c r="A409">
        <v>8496</v>
      </c>
      <c r="B409" t="s">
        <v>63</v>
      </c>
      <c r="C409" t="s">
        <v>63</v>
      </c>
      <c r="D409" t="s">
        <v>6</v>
      </c>
      <c r="E409" s="1">
        <v>43160.373043981483</v>
      </c>
      <c r="F409" s="465">
        <v>43160.373043981483</v>
      </c>
      <c r="G409" s="464">
        <v>0.37291666666666662</v>
      </c>
      <c r="H409">
        <v>9.8833333333333329</v>
      </c>
      <c r="I409">
        <v>8</v>
      </c>
      <c r="J409" t="s">
        <v>129</v>
      </c>
      <c r="P409" s="140">
        <v>8496</v>
      </c>
      <c r="Q409" s="140" t="s">
        <v>63</v>
      </c>
      <c r="R409" s="140" t="s">
        <v>63</v>
      </c>
      <c r="S409" s="143" t="s">
        <v>6</v>
      </c>
      <c r="T409" s="144">
        <v>43160.373043981483</v>
      </c>
      <c r="U409" s="89">
        <f t="shared" ref="U409:U472" si="0">T409</f>
        <v>43160.373043981483</v>
      </c>
      <c r="V409" s="90" t="str">
        <f>HOUR(T409)&amp;":"&amp;MINUTE(T409)</f>
        <v>8:57</v>
      </c>
      <c r="W409" s="91">
        <f>IF(S409="上班",(V410-V409)*24,"-")</f>
        <v>9.8833333333333346</v>
      </c>
      <c r="X409" s="92">
        <f>IF(S409="上班",IF(W409-1.5&gt;8,8,W409-1.5),"-")</f>
        <v>8</v>
      </c>
      <c r="Y409" s="92" t="str">
        <f>IF(X409&lt;8,8-X409,"-")</f>
        <v>-</v>
      </c>
      <c r="Z409" s="93">
        <f>IF(S409="加班",(V410-V409)*24,0)</f>
        <v>0</v>
      </c>
      <c r="AA409" s="93"/>
      <c r="AB409" s="94">
        <f>IF(Z409&gt;2,2,Z409)</f>
        <v>0</v>
      </c>
      <c r="AC409" s="94">
        <f t="shared" ref="AC409:AC472" si="1">IF(Z409&gt;2,Z409-2,0)</f>
        <v>0</v>
      </c>
      <c r="AF409">
        <f t="shared" ref="AF409:AL409" si="2">IF(W409=H409,1,0)</f>
        <v>1</v>
      </c>
      <c r="AG409">
        <f t="shared" si="2"/>
        <v>1</v>
      </c>
      <c r="AH409">
        <f t="shared" si="2"/>
        <v>1</v>
      </c>
      <c r="AI409">
        <f t="shared" si="2"/>
        <v>1</v>
      </c>
      <c r="AJ409">
        <f t="shared" si="2"/>
        <v>1</v>
      </c>
      <c r="AK409">
        <f t="shared" si="2"/>
        <v>1</v>
      </c>
      <c r="AL409">
        <f t="shared" si="2"/>
        <v>1</v>
      </c>
    </row>
    <row r="410" spans="1:38">
      <c r="A410">
        <v>8508</v>
      </c>
      <c r="B410" t="s">
        <v>63</v>
      </c>
      <c r="C410" t="s">
        <v>63</v>
      </c>
      <c r="D410" t="s">
        <v>5</v>
      </c>
      <c r="E410" s="1">
        <v>43160.785138888888</v>
      </c>
      <c r="F410" s="465">
        <v>43160.785138888888</v>
      </c>
      <c r="G410" s="464">
        <v>0.78472222222222221</v>
      </c>
      <c r="H410" t="s">
        <v>129</v>
      </c>
      <c r="I410" t="s">
        <v>129</v>
      </c>
      <c r="J410" t="s">
        <v>129</v>
      </c>
      <c r="P410" s="140">
        <v>8508</v>
      </c>
      <c r="Q410" s="140" t="s">
        <v>63</v>
      </c>
      <c r="R410" s="140" t="s">
        <v>63</v>
      </c>
      <c r="S410" s="143" t="s">
        <v>5</v>
      </c>
      <c r="T410" s="144">
        <v>43160.785138888888</v>
      </c>
      <c r="U410" s="89">
        <f t="shared" si="0"/>
        <v>43160.785138888888</v>
      </c>
      <c r="V410" s="90" t="str">
        <f t="shared" ref="V410:V473" si="3">HOUR(T410)&amp;":"&amp;MINUTE(T410)</f>
        <v>18:50</v>
      </c>
      <c r="W410" s="91" t="str">
        <f t="shared" ref="W410:W473" si="4">IF(S410="上班",(V411-V410)*24,"-")</f>
        <v>-</v>
      </c>
      <c r="X410" s="92" t="str">
        <f t="shared" ref="X410:X473" si="5">IF(S410="上班",IF(W410-1.5&gt;8,8,W410-1.5),"-")</f>
        <v>-</v>
      </c>
      <c r="Y410" s="92" t="str">
        <f>IF(X410&lt;8,8-X410,"-")</f>
        <v>-</v>
      </c>
      <c r="Z410" s="93">
        <f t="shared" ref="Z410:Z473" si="6">IF(S410="加班",(V411-V410)*24,0)</f>
        <v>0</v>
      </c>
      <c r="AA410" s="93"/>
      <c r="AB410" s="94">
        <f t="shared" ref="AB410:AB473" si="7">IF(Z410&gt;2,2,Z410)</f>
        <v>0</v>
      </c>
      <c r="AC410" s="94">
        <f t="shared" si="1"/>
        <v>0</v>
      </c>
      <c r="AF410">
        <f t="shared" ref="AF410:AF473" si="8">IF(W410=H410,1,0)</f>
        <v>1</v>
      </c>
      <c r="AG410">
        <f t="shared" ref="AG410:AG473" si="9">IF(X410=I410,1,0)</f>
        <v>1</v>
      </c>
      <c r="AH410">
        <f t="shared" ref="AH410:AH473" si="10">IF(Y410=J410,1,0)</f>
        <v>1</v>
      </c>
      <c r="AI410">
        <f t="shared" ref="AI410:AI473" si="11">IF(Z410=K410,1,0)</f>
        <v>1</v>
      </c>
      <c r="AJ410">
        <f t="shared" ref="AJ410:AJ473" si="12">IF(AA410=L410,1,0)</f>
        <v>1</v>
      </c>
      <c r="AK410">
        <f t="shared" ref="AK410:AK473" si="13">IF(AB410=M410,1,0)</f>
        <v>1</v>
      </c>
      <c r="AL410">
        <f t="shared" ref="AL410:AL473" si="14">IF(AC410=N410,1,0)</f>
        <v>1</v>
      </c>
    </row>
    <row r="411" spans="1:38">
      <c r="A411">
        <v>8510</v>
      </c>
      <c r="B411" t="s">
        <v>63</v>
      </c>
      <c r="C411" t="s">
        <v>63</v>
      </c>
      <c r="D411" t="s">
        <v>7</v>
      </c>
      <c r="E411" s="1">
        <v>43160.785150462965</v>
      </c>
      <c r="F411" s="465">
        <v>43160.785150462965</v>
      </c>
      <c r="G411" s="464">
        <v>0.78472222222222221</v>
      </c>
      <c r="H411" t="s">
        <v>129</v>
      </c>
      <c r="I411" t="s">
        <v>129</v>
      </c>
      <c r="J411" t="s">
        <v>129</v>
      </c>
      <c r="K411">
        <v>2.5666666666666682</v>
      </c>
      <c r="M411">
        <v>2</v>
      </c>
      <c r="N411">
        <v>0.56666666666666821</v>
      </c>
      <c r="P411" s="140">
        <v>8510</v>
      </c>
      <c r="Q411" s="140" t="s">
        <v>63</v>
      </c>
      <c r="R411" s="140" t="s">
        <v>63</v>
      </c>
      <c r="S411" s="143" t="s">
        <v>7</v>
      </c>
      <c r="T411" s="144">
        <v>43160.785150462965</v>
      </c>
      <c r="U411" s="89">
        <f t="shared" si="0"/>
        <v>43160.785150462965</v>
      </c>
      <c r="V411" s="90" t="str">
        <f t="shared" si="3"/>
        <v>18:50</v>
      </c>
      <c r="W411" s="91" t="str">
        <f t="shared" si="4"/>
        <v>-</v>
      </c>
      <c r="X411" s="92" t="str">
        <f t="shared" si="5"/>
        <v>-</v>
      </c>
      <c r="Y411" s="92" t="str">
        <f t="shared" ref="Y411:Y474" si="15">IF(X411&lt;8,8-X411,"-")</f>
        <v>-</v>
      </c>
      <c r="Z411" s="93">
        <f t="shared" si="6"/>
        <v>2.5666666666666655</v>
      </c>
      <c r="AA411" s="93"/>
      <c r="AB411" s="94">
        <f t="shared" si="7"/>
        <v>2</v>
      </c>
      <c r="AC411" s="94">
        <f t="shared" si="1"/>
        <v>0.56666666666666554</v>
      </c>
      <c r="AF411">
        <f t="shared" si="8"/>
        <v>1</v>
      </c>
      <c r="AG411">
        <f t="shared" si="9"/>
        <v>1</v>
      </c>
      <c r="AH411">
        <f t="shared" si="10"/>
        <v>1</v>
      </c>
      <c r="AI411">
        <f t="shared" si="11"/>
        <v>1</v>
      </c>
      <c r="AJ411">
        <f t="shared" si="12"/>
        <v>1</v>
      </c>
      <c r="AK411">
        <f t="shared" si="13"/>
        <v>1</v>
      </c>
      <c r="AL411">
        <f t="shared" si="14"/>
        <v>0</v>
      </c>
    </row>
    <row r="412" spans="1:38">
      <c r="A412">
        <v>8519</v>
      </c>
      <c r="B412" t="s">
        <v>63</v>
      </c>
      <c r="C412" t="s">
        <v>63</v>
      </c>
      <c r="D412" t="s">
        <v>8</v>
      </c>
      <c r="E412" s="1">
        <v>43160.891759259262</v>
      </c>
      <c r="F412" s="465">
        <v>43160.891759259262</v>
      </c>
      <c r="G412" s="464">
        <v>0.89166666666666661</v>
      </c>
      <c r="H412" t="s">
        <v>129</v>
      </c>
      <c r="I412" t="s">
        <v>129</v>
      </c>
      <c r="J412" t="s">
        <v>129</v>
      </c>
      <c r="P412" s="140">
        <v>8519</v>
      </c>
      <c r="Q412" s="140" t="s">
        <v>63</v>
      </c>
      <c r="R412" s="140" t="s">
        <v>63</v>
      </c>
      <c r="S412" s="143" t="s">
        <v>8</v>
      </c>
      <c r="T412" s="144">
        <v>43160.891759259262</v>
      </c>
      <c r="U412" s="89">
        <f t="shared" si="0"/>
        <v>43160.891759259262</v>
      </c>
      <c r="V412" s="90" t="str">
        <f t="shared" si="3"/>
        <v>21:24</v>
      </c>
      <c r="W412" s="91" t="str">
        <f t="shared" si="4"/>
        <v>-</v>
      </c>
      <c r="X412" s="92" t="str">
        <f t="shared" si="5"/>
        <v>-</v>
      </c>
      <c r="Y412" s="92" t="str">
        <f t="shared" si="15"/>
        <v>-</v>
      </c>
      <c r="Z412" s="93">
        <f t="shared" si="6"/>
        <v>0</v>
      </c>
      <c r="AA412" s="93"/>
      <c r="AB412" s="94">
        <f t="shared" si="7"/>
        <v>0</v>
      </c>
      <c r="AC412" s="94">
        <f t="shared" si="1"/>
        <v>0</v>
      </c>
      <c r="AF412">
        <f t="shared" si="8"/>
        <v>1</v>
      </c>
      <c r="AG412">
        <f t="shared" si="9"/>
        <v>1</v>
      </c>
      <c r="AH412">
        <f t="shared" si="10"/>
        <v>1</v>
      </c>
      <c r="AI412">
        <f t="shared" si="11"/>
        <v>1</v>
      </c>
      <c r="AJ412">
        <f t="shared" si="12"/>
        <v>1</v>
      </c>
      <c r="AK412">
        <f t="shared" si="13"/>
        <v>1</v>
      </c>
      <c r="AL412">
        <f t="shared" si="14"/>
        <v>1</v>
      </c>
    </row>
    <row r="413" spans="1:38">
      <c r="A413">
        <v>8526</v>
      </c>
      <c r="B413" t="s">
        <v>63</v>
      </c>
      <c r="C413" t="s">
        <v>63</v>
      </c>
      <c r="D413" t="s">
        <v>6</v>
      </c>
      <c r="E413" s="1">
        <v>43161.368634259263</v>
      </c>
      <c r="F413" s="465">
        <v>43161.368634259263</v>
      </c>
      <c r="G413" s="464">
        <v>0.36805555555555558</v>
      </c>
      <c r="H413">
        <v>10.333333333333334</v>
      </c>
      <c r="I413">
        <v>8</v>
      </c>
      <c r="J413" t="s">
        <v>129</v>
      </c>
      <c r="P413" s="140">
        <v>8526</v>
      </c>
      <c r="Q413" s="140" t="s">
        <v>63</v>
      </c>
      <c r="R413" s="140" t="s">
        <v>63</v>
      </c>
      <c r="S413" s="143" t="s">
        <v>6</v>
      </c>
      <c r="T413" s="144">
        <v>43161.368634259263</v>
      </c>
      <c r="U413" s="89">
        <f t="shared" si="0"/>
        <v>43161.368634259263</v>
      </c>
      <c r="V413" s="90" t="str">
        <f t="shared" si="3"/>
        <v>8:50</v>
      </c>
      <c r="W413" s="91">
        <f t="shared" si="4"/>
        <v>10.333333333333334</v>
      </c>
      <c r="X413" s="92">
        <f t="shared" si="5"/>
        <v>8</v>
      </c>
      <c r="Y413" s="92" t="str">
        <f t="shared" si="15"/>
        <v>-</v>
      </c>
      <c r="Z413" s="93">
        <f t="shared" si="6"/>
        <v>0</v>
      </c>
      <c r="AA413" s="93"/>
      <c r="AB413" s="94">
        <f t="shared" si="7"/>
        <v>0</v>
      </c>
      <c r="AC413" s="94">
        <f t="shared" si="1"/>
        <v>0</v>
      </c>
      <c r="AF413">
        <f t="shared" si="8"/>
        <v>1</v>
      </c>
      <c r="AG413">
        <f t="shared" si="9"/>
        <v>1</v>
      </c>
      <c r="AH413">
        <f t="shared" si="10"/>
        <v>1</v>
      </c>
      <c r="AI413">
        <f t="shared" si="11"/>
        <v>1</v>
      </c>
      <c r="AJ413">
        <f t="shared" si="12"/>
        <v>1</v>
      </c>
      <c r="AK413">
        <f t="shared" si="13"/>
        <v>1</v>
      </c>
      <c r="AL413">
        <f t="shared" si="14"/>
        <v>1</v>
      </c>
    </row>
    <row r="414" spans="1:38">
      <c r="A414">
        <v>8541</v>
      </c>
      <c r="B414" t="s">
        <v>79</v>
      </c>
      <c r="C414" t="s">
        <v>63</v>
      </c>
      <c r="D414" t="s">
        <v>5</v>
      </c>
      <c r="E414" s="1">
        <v>43161.799074074072</v>
      </c>
      <c r="F414" s="465">
        <v>43161.799074074072</v>
      </c>
      <c r="G414" s="464">
        <v>0.79861111111111116</v>
      </c>
      <c r="H414" t="s">
        <v>129</v>
      </c>
      <c r="I414" t="s">
        <v>129</v>
      </c>
      <c r="J414" t="s">
        <v>129</v>
      </c>
      <c r="P414" s="140">
        <v>8541</v>
      </c>
      <c r="Q414" s="140" t="s">
        <v>79</v>
      </c>
      <c r="R414" s="140" t="s">
        <v>63</v>
      </c>
      <c r="S414" s="143" t="s">
        <v>5</v>
      </c>
      <c r="T414" s="144">
        <v>43161.799074074072</v>
      </c>
      <c r="U414" s="89">
        <f t="shared" si="0"/>
        <v>43161.799074074072</v>
      </c>
      <c r="V414" s="90" t="str">
        <f t="shared" si="3"/>
        <v>19:10</v>
      </c>
      <c r="W414" s="91" t="str">
        <f t="shared" si="4"/>
        <v>-</v>
      </c>
      <c r="X414" s="92" t="str">
        <f t="shared" si="5"/>
        <v>-</v>
      </c>
      <c r="Y414" s="92" t="str">
        <f t="shared" si="15"/>
        <v>-</v>
      </c>
      <c r="Z414" s="93">
        <f t="shared" si="6"/>
        <v>0</v>
      </c>
      <c r="AA414" s="93"/>
      <c r="AB414" s="94">
        <f t="shared" si="7"/>
        <v>0</v>
      </c>
      <c r="AC414" s="94">
        <f t="shared" si="1"/>
        <v>0</v>
      </c>
      <c r="AF414">
        <f t="shared" si="8"/>
        <v>1</v>
      </c>
      <c r="AG414">
        <f t="shared" si="9"/>
        <v>1</v>
      </c>
      <c r="AH414">
        <f t="shared" si="10"/>
        <v>1</v>
      </c>
      <c r="AI414">
        <f t="shared" si="11"/>
        <v>1</v>
      </c>
      <c r="AJ414">
        <f t="shared" si="12"/>
        <v>1</v>
      </c>
      <c r="AK414">
        <f t="shared" si="13"/>
        <v>1</v>
      </c>
      <c r="AL414">
        <f t="shared" si="14"/>
        <v>1</v>
      </c>
    </row>
    <row r="415" spans="1:38">
      <c r="A415">
        <v>8542</v>
      </c>
      <c r="B415" t="s">
        <v>79</v>
      </c>
      <c r="C415" t="s">
        <v>63</v>
      </c>
      <c r="D415" t="s">
        <v>7</v>
      </c>
      <c r="E415" s="1">
        <v>43161.799120370371</v>
      </c>
      <c r="F415" s="465">
        <v>43161.799120370371</v>
      </c>
      <c r="G415" s="464">
        <v>0.79861111111111116</v>
      </c>
      <c r="H415" t="s">
        <v>129</v>
      </c>
      <c r="I415" t="s">
        <v>129</v>
      </c>
      <c r="J415" t="s">
        <v>129</v>
      </c>
      <c r="K415">
        <v>2.0833333333333313</v>
      </c>
      <c r="M415">
        <v>2</v>
      </c>
      <c r="N415">
        <v>8.3333333333331261E-2</v>
      </c>
      <c r="P415" s="140">
        <v>8542</v>
      </c>
      <c r="Q415" s="140" t="s">
        <v>79</v>
      </c>
      <c r="R415" s="140" t="s">
        <v>63</v>
      </c>
      <c r="S415" s="143" t="s">
        <v>13</v>
      </c>
      <c r="T415" s="144">
        <v>43161.799120370371</v>
      </c>
      <c r="U415" s="89">
        <f t="shared" si="0"/>
        <v>43161.799120370371</v>
      </c>
      <c r="V415" s="90" t="str">
        <f t="shared" si="3"/>
        <v>19:10</v>
      </c>
      <c r="W415" s="91" t="str">
        <f t="shared" si="4"/>
        <v>-</v>
      </c>
      <c r="X415" s="92" t="str">
        <f t="shared" si="5"/>
        <v>-</v>
      </c>
      <c r="Y415" s="92" t="str">
        <f t="shared" si="15"/>
        <v>-</v>
      </c>
      <c r="Z415" s="93">
        <f t="shared" si="6"/>
        <v>2.0833333333333313</v>
      </c>
      <c r="AA415" s="93"/>
      <c r="AB415" s="94">
        <f t="shared" si="7"/>
        <v>2</v>
      </c>
      <c r="AC415" s="94">
        <f t="shared" si="1"/>
        <v>8.3333333333331261E-2</v>
      </c>
      <c r="AF415">
        <f t="shared" si="8"/>
        <v>1</v>
      </c>
      <c r="AG415">
        <f t="shared" si="9"/>
        <v>1</v>
      </c>
      <c r="AH415">
        <f t="shared" si="10"/>
        <v>1</v>
      </c>
      <c r="AI415">
        <f t="shared" si="11"/>
        <v>1</v>
      </c>
      <c r="AJ415">
        <f t="shared" si="12"/>
        <v>1</v>
      </c>
      <c r="AK415">
        <f t="shared" si="13"/>
        <v>1</v>
      </c>
      <c r="AL415">
        <f t="shared" si="14"/>
        <v>1</v>
      </c>
    </row>
    <row r="416" spans="1:38">
      <c r="A416">
        <v>8546</v>
      </c>
      <c r="B416" t="s">
        <v>63</v>
      </c>
      <c r="C416" t="s">
        <v>63</v>
      </c>
      <c r="D416" t="s">
        <v>8</v>
      </c>
      <c r="E416" s="1">
        <v>43161.885972222219</v>
      </c>
      <c r="F416" s="465">
        <v>43161.885972222219</v>
      </c>
      <c r="G416" s="464">
        <v>0.88541666666666663</v>
      </c>
      <c r="H416" t="s">
        <v>129</v>
      </c>
      <c r="I416" t="s">
        <v>129</v>
      </c>
      <c r="J416" t="s">
        <v>129</v>
      </c>
      <c r="P416" s="140">
        <v>8546</v>
      </c>
      <c r="Q416" s="140" t="s">
        <v>63</v>
      </c>
      <c r="R416" s="140" t="s">
        <v>63</v>
      </c>
      <c r="S416" s="143" t="s">
        <v>8</v>
      </c>
      <c r="T416" s="144">
        <v>43161.885972222219</v>
      </c>
      <c r="U416" s="89">
        <f t="shared" si="0"/>
        <v>43161.885972222219</v>
      </c>
      <c r="V416" s="90" t="str">
        <f t="shared" si="3"/>
        <v>21:15</v>
      </c>
      <c r="W416" s="91" t="str">
        <f t="shared" si="4"/>
        <v>-</v>
      </c>
      <c r="X416" s="92" t="str">
        <f t="shared" si="5"/>
        <v>-</v>
      </c>
      <c r="Y416" s="92" t="str">
        <f t="shared" si="15"/>
        <v>-</v>
      </c>
      <c r="Z416" s="93">
        <f t="shared" si="6"/>
        <v>0</v>
      </c>
      <c r="AA416" s="93"/>
      <c r="AB416" s="94">
        <f t="shared" si="7"/>
        <v>0</v>
      </c>
      <c r="AC416" s="94">
        <f t="shared" si="1"/>
        <v>0</v>
      </c>
      <c r="AF416">
        <f t="shared" si="8"/>
        <v>1</v>
      </c>
      <c r="AG416">
        <f t="shared" si="9"/>
        <v>1</v>
      </c>
      <c r="AH416">
        <f t="shared" si="10"/>
        <v>1</v>
      </c>
      <c r="AI416">
        <f t="shared" si="11"/>
        <v>1</v>
      </c>
      <c r="AJ416">
        <f t="shared" si="12"/>
        <v>1</v>
      </c>
      <c r="AK416">
        <f t="shared" si="13"/>
        <v>1</v>
      </c>
      <c r="AL416">
        <f t="shared" si="14"/>
        <v>1</v>
      </c>
    </row>
    <row r="417" spans="1:38">
      <c r="A417">
        <v>8562</v>
      </c>
      <c r="B417" t="s">
        <v>63</v>
      </c>
      <c r="C417" t="s">
        <v>63</v>
      </c>
      <c r="D417" t="s">
        <v>6</v>
      </c>
      <c r="E417" s="1">
        <v>43164.3671875</v>
      </c>
      <c r="F417" s="465">
        <v>43164.3671875</v>
      </c>
      <c r="G417" s="464">
        <v>0.3666666666666667</v>
      </c>
      <c r="H417">
        <v>9.7166666666666686</v>
      </c>
      <c r="I417">
        <v>8</v>
      </c>
      <c r="J417" t="s">
        <v>129</v>
      </c>
      <c r="P417" s="140">
        <v>8562</v>
      </c>
      <c r="Q417" s="140" t="s">
        <v>63</v>
      </c>
      <c r="R417" s="140" t="s">
        <v>63</v>
      </c>
      <c r="S417" s="143" t="s">
        <v>6</v>
      </c>
      <c r="T417" s="144">
        <v>43164.3671875</v>
      </c>
      <c r="U417" s="89">
        <f t="shared" si="0"/>
        <v>43164.3671875</v>
      </c>
      <c r="V417" s="90" t="str">
        <f t="shared" si="3"/>
        <v>8:48</v>
      </c>
      <c r="W417" s="91">
        <f t="shared" si="4"/>
        <v>9.716666666666665</v>
      </c>
      <c r="X417" s="92">
        <f t="shared" si="5"/>
        <v>8</v>
      </c>
      <c r="Y417" s="92" t="str">
        <f t="shared" si="15"/>
        <v>-</v>
      </c>
      <c r="Z417" s="93">
        <f t="shared" si="6"/>
        <v>0</v>
      </c>
      <c r="AA417" s="93"/>
      <c r="AB417" s="94">
        <f t="shared" si="7"/>
        <v>0</v>
      </c>
      <c r="AC417" s="94">
        <f t="shared" si="1"/>
        <v>0</v>
      </c>
      <c r="AF417">
        <f t="shared" si="8"/>
        <v>1</v>
      </c>
      <c r="AG417">
        <f t="shared" si="9"/>
        <v>1</v>
      </c>
      <c r="AH417">
        <f t="shared" si="10"/>
        <v>1</v>
      </c>
      <c r="AI417">
        <f t="shared" si="11"/>
        <v>1</v>
      </c>
      <c r="AJ417">
        <f t="shared" si="12"/>
        <v>1</v>
      </c>
      <c r="AK417">
        <f t="shared" si="13"/>
        <v>1</v>
      </c>
      <c r="AL417">
        <f t="shared" si="14"/>
        <v>1</v>
      </c>
    </row>
    <row r="418" spans="1:38">
      <c r="A418">
        <v>8577</v>
      </c>
      <c r="B418" t="s">
        <v>63</v>
      </c>
      <c r="C418" t="s">
        <v>63</v>
      </c>
      <c r="D418" t="s">
        <v>5</v>
      </c>
      <c r="E418" s="1">
        <v>43164.771631944444</v>
      </c>
      <c r="F418" s="465">
        <v>43164.771631944444</v>
      </c>
      <c r="G418" s="464">
        <v>0.7715277777777777</v>
      </c>
      <c r="H418" t="s">
        <v>129</v>
      </c>
      <c r="I418" t="s">
        <v>129</v>
      </c>
      <c r="J418" t="s">
        <v>129</v>
      </c>
      <c r="P418" s="140">
        <v>8577</v>
      </c>
      <c r="Q418" s="140" t="s">
        <v>63</v>
      </c>
      <c r="R418" s="140" t="s">
        <v>63</v>
      </c>
      <c r="S418" s="143" t="s">
        <v>5</v>
      </c>
      <c r="T418" s="144">
        <v>43164.771631944444</v>
      </c>
      <c r="U418" s="89">
        <f t="shared" si="0"/>
        <v>43164.771631944444</v>
      </c>
      <c r="V418" s="90" t="str">
        <f t="shared" si="3"/>
        <v>18:31</v>
      </c>
      <c r="W418" s="91" t="str">
        <f t="shared" si="4"/>
        <v>-</v>
      </c>
      <c r="X418" s="92" t="str">
        <f t="shared" si="5"/>
        <v>-</v>
      </c>
      <c r="Y418" s="92" t="str">
        <f t="shared" si="15"/>
        <v>-</v>
      </c>
      <c r="Z418" s="93">
        <f t="shared" si="6"/>
        <v>0</v>
      </c>
      <c r="AA418" s="93"/>
      <c r="AB418" s="94">
        <f t="shared" si="7"/>
        <v>0</v>
      </c>
      <c r="AC418" s="94">
        <f t="shared" si="1"/>
        <v>0</v>
      </c>
      <c r="AF418">
        <f t="shared" si="8"/>
        <v>1</v>
      </c>
      <c r="AG418">
        <f t="shared" si="9"/>
        <v>1</v>
      </c>
      <c r="AH418">
        <f t="shared" si="10"/>
        <v>1</v>
      </c>
      <c r="AI418">
        <f t="shared" si="11"/>
        <v>1</v>
      </c>
      <c r="AJ418">
        <f t="shared" si="12"/>
        <v>1</v>
      </c>
      <c r="AK418">
        <f t="shared" si="13"/>
        <v>1</v>
      </c>
      <c r="AL418">
        <f t="shared" si="14"/>
        <v>1</v>
      </c>
    </row>
    <row r="419" spans="1:38">
      <c r="A419">
        <v>8578</v>
      </c>
      <c r="B419" t="s">
        <v>63</v>
      </c>
      <c r="C419" t="s">
        <v>63</v>
      </c>
      <c r="D419" t="s">
        <v>7</v>
      </c>
      <c r="E419" s="1">
        <v>43164.771643518521</v>
      </c>
      <c r="F419" s="465">
        <v>43164.771643518521</v>
      </c>
      <c r="G419" s="464">
        <v>0.7715277777777777</v>
      </c>
      <c r="H419" t="s">
        <v>129</v>
      </c>
      <c r="I419" t="s">
        <v>129</v>
      </c>
      <c r="J419" t="s">
        <v>129</v>
      </c>
      <c r="K419">
        <v>3.9666666666666659</v>
      </c>
      <c r="M419">
        <v>2</v>
      </c>
      <c r="N419">
        <v>1.9666666666666659</v>
      </c>
      <c r="P419" s="140">
        <v>8578</v>
      </c>
      <c r="Q419" s="140" t="s">
        <v>63</v>
      </c>
      <c r="R419" s="140" t="s">
        <v>63</v>
      </c>
      <c r="S419" s="143" t="s">
        <v>7</v>
      </c>
      <c r="T419" s="144">
        <v>43164.771643518521</v>
      </c>
      <c r="U419" s="89">
        <f t="shared" si="0"/>
        <v>43164.771643518521</v>
      </c>
      <c r="V419" s="90" t="str">
        <f t="shared" si="3"/>
        <v>18:31</v>
      </c>
      <c r="W419" s="91" t="str">
        <f t="shared" si="4"/>
        <v>-</v>
      </c>
      <c r="X419" s="92" t="str">
        <f t="shared" si="5"/>
        <v>-</v>
      </c>
      <c r="Y419" s="92" t="str">
        <f t="shared" si="15"/>
        <v>-</v>
      </c>
      <c r="Z419" s="93">
        <f t="shared" si="6"/>
        <v>3.9666666666666686</v>
      </c>
      <c r="AA419" s="93"/>
      <c r="AB419" s="94">
        <f t="shared" si="7"/>
        <v>2</v>
      </c>
      <c r="AC419" s="94">
        <f t="shared" si="1"/>
        <v>1.9666666666666686</v>
      </c>
      <c r="AF419">
        <f t="shared" si="8"/>
        <v>1</v>
      </c>
      <c r="AG419">
        <f t="shared" si="9"/>
        <v>1</v>
      </c>
      <c r="AH419">
        <f t="shared" si="10"/>
        <v>1</v>
      </c>
      <c r="AI419">
        <f t="shared" si="11"/>
        <v>1</v>
      </c>
      <c r="AJ419">
        <f t="shared" si="12"/>
        <v>1</v>
      </c>
      <c r="AK419">
        <f t="shared" si="13"/>
        <v>1</v>
      </c>
      <c r="AL419">
        <f t="shared" si="14"/>
        <v>1</v>
      </c>
    </row>
    <row r="420" spans="1:38">
      <c r="A420">
        <v>8591</v>
      </c>
      <c r="B420" t="s">
        <v>63</v>
      </c>
      <c r="C420" t="s">
        <v>63</v>
      </c>
      <c r="D420" t="s">
        <v>8</v>
      </c>
      <c r="E420" s="1">
        <v>43164.936956018515</v>
      </c>
      <c r="F420" s="465">
        <v>43164.936956018515</v>
      </c>
      <c r="G420" s="464">
        <v>0.93680555555555556</v>
      </c>
      <c r="H420" t="s">
        <v>129</v>
      </c>
      <c r="I420" t="s">
        <v>129</v>
      </c>
      <c r="J420" t="s">
        <v>129</v>
      </c>
      <c r="P420" s="140">
        <v>8591</v>
      </c>
      <c r="Q420" s="140" t="s">
        <v>63</v>
      </c>
      <c r="R420" s="140" t="s">
        <v>63</v>
      </c>
      <c r="S420" s="143" t="s">
        <v>8</v>
      </c>
      <c r="T420" s="144">
        <v>43164.936956018515</v>
      </c>
      <c r="U420" s="89">
        <f t="shared" si="0"/>
        <v>43164.936956018515</v>
      </c>
      <c r="V420" s="90" t="str">
        <f t="shared" si="3"/>
        <v>22:29</v>
      </c>
      <c r="W420" s="91" t="str">
        <f t="shared" si="4"/>
        <v>-</v>
      </c>
      <c r="X420" s="92" t="str">
        <f t="shared" si="5"/>
        <v>-</v>
      </c>
      <c r="Y420" s="92" t="str">
        <f t="shared" si="15"/>
        <v>-</v>
      </c>
      <c r="Z420" s="93">
        <f t="shared" si="6"/>
        <v>0</v>
      </c>
      <c r="AA420" s="93"/>
      <c r="AB420" s="94">
        <f t="shared" si="7"/>
        <v>0</v>
      </c>
      <c r="AC420" s="94">
        <f t="shared" si="1"/>
        <v>0</v>
      </c>
      <c r="AF420">
        <f t="shared" si="8"/>
        <v>1</v>
      </c>
      <c r="AG420">
        <f t="shared" si="9"/>
        <v>1</v>
      </c>
      <c r="AH420">
        <f t="shared" si="10"/>
        <v>1</v>
      </c>
      <c r="AI420">
        <f t="shared" si="11"/>
        <v>1</v>
      </c>
      <c r="AJ420">
        <f t="shared" si="12"/>
        <v>1</v>
      </c>
      <c r="AK420">
        <f t="shared" si="13"/>
        <v>1</v>
      </c>
      <c r="AL420">
        <f t="shared" si="14"/>
        <v>1</v>
      </c>
    </row>
    <row r="421" spans="1:38">
      <c r="A421">
        <v>8602</v>
      </c>
      <c r="B421" t="s">
        <v>63</v>
      </c>
      <c r="C421" t="s">
        <v>63</v>
      </c>
      <c r="D421" t="s">
        <v>6</v>
      </c>
      <c r="E421" s="1">
        <v>43165.372662037036</v>
      </c>
      <c r="F421" s="465">
        <v>43165.372662037036</v>
      </c>
      <c r="G421" s="464">
        <v>0.37222222222222223</v>
      </c>
      <c r="H421">
        <v>9.6833333333333336</v>
      </c>
      <c r="I421">
        <v>8</v>
      </c>
      <c r="J421" t="s">
        <v>129</v>
      </c>
      <c r="P421" s="140">
        <v>8602</v>
      </c>
      <c r="Q421" s="140" t="s">
        <v>63</v>
      </c>
      <c r="R421" s="140" t="s">
        <v>63</v>
      </c>
      <c r="S421" s="143" t="s">
        <v>6</v>
      </c>
      <c r="T421" s="144">
        <v>43165.372662037036</v>
      </c>
      <c r="U421" s="89">
        <f t="shared" si="0"/>
        <v>43165.372662037036</v>
      </c>
      <c r="V421" s="90" t="str">
        <f t="shared" si="3"/>
        <v>8:56</v>
      </c>
      <c r="W421" s="91">
        <f t="shared" si="4"/>
        <v>9.6833333333333336</v>
      </c>
      <c r="X421" s="92">
        <f t="shared" si="5"/>
        <v>8</v>
      </c>
      <c r="Y421" s="92" t="str">
        <f t="shared" si="15"/>
        <v>-</v>
      </c>
      <c r="Z421" s="93">
        <f t="shared" si="6"/>
        <v>0</v>
      </c>
      <c r="AA421" s="93"/>
      <c r="AB421" s="94">
        <f t="shared" si="7"/>
        <v>0</v>
      </c>
      <c r="AC421" s="94">
        <f t="shared" si="1"/>
        <v>0</v>
      </c>
      <c r="AF421">
        <f t="shared" si="8"/>
        <v>1</v>
      </c>
      <c r="AG421">
        <f t="shared" si="9"/>
        <v>1</v>
      </c>
      <c r="AH421">
        <f t="shared" si="10"/>
        <v>1</v>
      </c>
      <c r="AI421">
        <f t="shared" si="11"/>
        <v>1</v>
      </c>
      <c r="AJ421">
        <f t="shared" si="12"/>
        <v>1</v>
      </c>
      <c r="AK421">
        <f t="shared" si="13"/>
        <v>1</v>
      </c>
      <c r="AL421">
        <f t="shared" si="14"/>
        <v>1</v>
      </c>
    </row>
    <row r="422" spans="1:38">
      <c r="A422">
        <v>8612</v>
      </c>
      <c r="B422" t="s">
        <v>63</v>
      </c>
      <c r="C422" t="s">
        <v>63</v>
      </c>
      <c r="D422" t="s">
        <v>5</v>
      </c>
      <c r="E422" s="1">
        <v>43165.77616898148</v>
      </c>
      <c r="F422" s="465">
        <v>43165.77616898148</v>
      </c>
      <c r="G422" s="464">
        <v>0.77569444444444446</v>
      </c>
      <c r="H422" t="s">
        <v>129</v>
      </c>
      <c r="I422" t="s">
        <v>129</v>
      </c>
      <c r="J422" t="s">
        <v>129</v>
      </c>
      <c r="P422" s="140">
        <v>8612</v>
      </c>
      <c r="Q422" s="140" t="s">
        <v>63</v>
      </c>
      <c r="R422" s="140" t="s">
        <v>63</v>
      </c>
      <c r="S422" s="143" t="s">
        <v>5</v>
      </c>
      <c r="T422" s="144">
        <v>43165.77616898148</v>
      </c>
      <c r="U422" s="89">
        <f t="shared" si="0"/>
        <v>43165.77616898148</v>
      </c>
      <c r="V422" s="90" t="str">
        <f t="shared" si="3"/>
        <v>18:37</v>
      </c>
      <c r="W422" s="91" t="str">
        <f t="shared" si="4"/>
        <v>-</v>
      </c>
      <c r="X422" s="92" t="str">
        <f t="shared" si="5"/>
        <v>-</v>
      </c>
      <c r="Y422" s="92" t="str">
        <f t="shared" si="15"/>
        <v>-</v>
      </c>
      <c r="Z422" s="93">
        <f t="shared" si="6"/>
        <v>0</v>
      </c>
      <c r="AA422" s="93"/>
      <c r="AB422" s="94">
        <f t="shared" si="7"/>
        <v>0</v>
      </c>
      <c r="AC422" s="94">
        <f t="shared" si="1"/>
        <v>0</v>
      </c>
      <c r="AF422">
        <f t="shared" si="8"/>
        <v>1</v>
      </c>
      <c r="AG422">
        <f t="shared" si="9"/>
        <v>1</v>
      </c>
      <c r="AH422">
        <f t="shared" si="10"/>
        <v>1</v>
      </c>
      <c r="AI422">
        <f t="shared" si="11"/>
        <v>1</v>
      </c>
      <c r="AJ422">
        <f t="shared" si="12"/>
        <v>1</v>
      </c>
      <c r="AK422">
        <f t="shared" si="13"/>
        <v>1</v>
      </c>
      <c r="AL422">
        <f t="shared" si="14"/>
        <v>1</v>
      </c>
    </row>
    <row r="423" spans="1:38">
      <c r="A423">
        <v>8613</v>
      </c>
      <c r="B423" t="s">
        <v>63</v>
      </c>
      <c r="C423" t="s">
        <v>63</v>
      </c>
      <c r="D423" t="s">
        <v>7</v>
      </c>
      <c r="E423" s="1">
        <v>43165.776180555556</v>
      </c>
      <c r="F423" s="465">
        <v>43165.776180555556</v>
      </c>
      <c r="G423" s="464">
        <v>0.77569444444444446</v>
      </c>
      <c r="H423" t="s">
        <v>129</v>
      </c>
      <c r="I423" t="s">
        <v>129</v>
      </c>
      <c r="J423" t="s">
        <v>129</v>
      </c>
      <c r="K423">
        <v>3.8666666666666663</v>
      </c>
      <c r="M423">
        <v>2</v>
      </c>
      <c r="N423">
        <v>1.8666666666666663</v>
      </c>
      <c r="P423" s="140">
        <v>8613</v>
      </c>
      <c r="Q423" s="140" t="s">
        <v>63</v>
      </c>
      <c r="R423" s="140" t="s">
        <v>63</v>
      </c>
      <c r="S423" s="143" t="s">
        <v>7</v>
      </c>
      <c r="T423" s="144">
        <v>43165.776180555556</v>
      </c>
      <c r="U423" s="89">
        <f t="shared" si="0"/>
        <v>43165.776180555556</v>
      </c>
      <c r="V423" s="90" t="str">
        <f t="shared" si="3"/>
        <v>18:37</v>
      </c>
      <c r="W423" s="91" t="str">
        <f t="shared" si="4"/>
        <v>-</v>
      </c>
      <c r="X423" s="92" t="str">
        <f t="shared" si="5"/>
        <v>-</v>
      </c>
      <c r="Y423" s="92" t="str">
        <f t="shared" si="15"/>
        <v>-</v>
      </c>
      <c r="Z423" s="93">
        <f t="shared" si="6"/>
        <v>3.8666666666666663</v>
      </c>
      <c r="AA423" s="93"/>
      <c r="AB423" s="94">
        <f t="shared" si="7"/>
        <v>2</v>
      </c>
      <c r="AC423" s="94">
        <f t="shared" si="1"/>
        <v>1.8666666666666663</v>
      </c>
      <c r="AF423">
        <f t="shared" si="8"/>
        <v>1</v>
      </c>
      <c r="AG423">
        <f t="shared" si="9"/>
        <v>1</v>
      </c>
      <c r="AH423">
        <f t="shared" si="10"/>
        <v>1</v>
      </c>
      <c r="AI423">
        <f t="shared" si="11"/>
        <v>1</v>
      </c>
      <c r="AJ423">
        <f t="shared" si="12"/>
        <v>1</v>
      </c>
      <c r="AK423">
        <f t="shared" si="13"/>
        <v>1</v>
      </c>
      <c r="AL423">
        <f t="shared" si="14"/>
        <v>1</v>
      </c>
    </row>
    <row r="424" spans="1:38">
      <c r="A424">
        <v>8625</v>
      </c>
      <c r="B424" t="s">
        <v>63</v>
      </c>
      <c r="C424" t="s">
        <v>63</v>
      </c>
      <c r="D424" t="s">
        <v>8</v>
      </c>
      <c r="E424" s="1">
        <v>43165.936967592592</v>
      </c>
      <c r="F424" s="465">
        <v>43165.936967592592</v>
      </c>
      <c r="G424" s="464">
        <v>0.93680555555555556</v>
      </c>
      <c r="H424" t="s">
        <v>129</v>
      </c>
      <c r="I424" t="s">
        <v>129</v>
      </c>
      <c r="J424" t="s">
        <v>129</v>
      </c>
      <c r="P424" s="140">
        <v>8625</v>
      </c>
      <c r="Q424" s="140" t="s">
        <v>63</v>
      </c>
      <c r="R424" s="140" t="s">
        <v>63</v>
      </c>
      <c r="S424" s="143" t="s">
        <v>8</v>
      </c>
      <c r="T424" s="144">
        <v>43165.936967592592</v>
      </c>
      <c r="U424" s="89">
        <f t="shared" si="0"/>
        <v>43165.936967592592</v>
      </c>
      <c r="V424" s="90" t="str">
        <f t="shared" si="3"/>
        <v>22:29</v>
      </c>
      <c r="W424" s="91" t="str">
        <f t="shared" si="4"/>
        <v>-</v>
      </c>
      <c r="X424" s="92" t="str">
        <f t="shared" si="5"/>
        <v>-</v>
      </c>
      <c r="Y424" s="92" t="str">
        <f t="shared" si="15"/>
        <v>-</v>
      </c>
      <c r="Z424" s="93">
        <f t="shared" si="6"/>
        <v>0</v>
      </c>
      <c r="AA424" s="93"/>
      <c r="AB424" s="94">
        <f t="shared" si="7"/>
        <v>0</v>
      </c>
      <c r="AC424" s="94">
        <f t="shared" si="1"/>
        <v>0</v>
      </c>
      <c r="AF424">
        <f t="shared" si="8"/>
        <v>1</v>
      </c>
      <c r="AG424">
        <f t="shared" si="9"/>
        <v>1</v>
      </c>
      <c r="AH424">
        <f t="shared" si="10"/>
        <v>1</v>
      </c>
      <c r="AI424">
        <f t="shared" si="11"/>
        <v>1</v>
      </c>
      <c r="AJ424">
        <f t="shared" si="12"/>
        <v>1</v>
      </c>
      <c r="AK424">
        <f t="shared" si="13"/>
        <v>1</v>
      </c>
      <c r="AL424">
        <f t="shared" si="14"/>
        <v>1</v>
      </c>
    </row>
    <row r="425" spans="1:38">
      <c r="A425">
        <v>8630</v>
      </c>
      <c r="B425" t="s">
        <v>63</v>
      </c>
      <c r="C425" t="s">
        <v>63</v>
      </c>
      <c r="D425" t="s">
        <v>6</v>
      </c>
      <c r="E425" s="1">
        <v>43166.367060185185</v>
      </c>
      <c r="F425" s="465">
        <v>43166.367060185185</v>
      </c>
      <c r="G425" s="464">
        <v>0.3666666666666667</v>
      </c>
      <c r="H425">
        <v>10.116666666666667</v>
      </c>
      <c r="I425">
        <v>8</v>
      </c>
      <c r="J425" t="s">
        <v>129</v>
      </c>
      <c r="P425" s="140">
        <v>8630</v>
      </c>
      <c r="Q425" s="140" t="s">
        <v>63</v>
      </c>
      <c r="R425" s="140" t="s">
        <v>63</v>
      </c>
      <c r="S425" s="143" t="s">
        <v>6</v>
      </c>
      <c r="T425" s="144">
        <v>43166.367060185185</v>
      </c>
      <c r="U425" s="89">
        <f t="shared" si="0"/>
        <v>43166.367060185185</v>
      </c>
      <c r="V425" s="90" t="str">
        <f t="shared" si="3"/>
        <v>8:48</v>
      </c>
      <c r="W425" s="91">
        <f t="shared" si="4"/>
        <v>10.116666666666667</v>
      </c>
      <c r="X425" s="92">
        <f t="shared" si="5"/>
        <v>8</v>
      </c>
      <c r="Y425" s="92" t="str">
        <f t="shared" si="15"/>
        <v>-</v>
      </c>
      <c r="Z425" s="93">
        <f t="shared" si="6"/>
        <v>0</v>
      </c>
      <c r="AA425" s="93"/>
      <c r="AB425" s="94">
        <f t="shared" si="7"/>
        <v>0</v>
      </c>
      <c r="AC425" s="94">
        <f t="shared" si="1"/>
        <v>0</v>
      </c>
      <c r="AF425">
        <f t="shared" si="8"/>
        <v>1</v>
      </c>
      <c r="AG425">
        <f t="shared" si="9"/>
        <v>1</v>
      </c>
      <c r="AH425">
        <f t="shared" si="10"/>
        <v>1</v>
      </c>
      <c r="AI425">
        <f t="shared" si="11"/>
        <v>1</v>
      </c>
      <c r="AJ425">
        <f t="shared" si="12"/>
        <v>1</v>
      </c>
      <c r="AK425">
        <f t="shared" si="13"/>
        <v>1</v>
      </c>
      <c r="AL425">
        <f t="shared" si="14"/>
        <v>1</v>
      </c>
    </row>
    <row r="426" spans="1:38">
      <c r="A426">
        <v>8651</v>
      </c>
      <c r="B426" t="s">
        <v>63</v>
      </c>
      <c r="C426" t="s">
        <v>63</v>
      </c>
      <c r="D426" t="s">
        <v>5</v>
      </c>
      <c r="E426" s="1">
        <v>43166.788541666669</v>
      </c>
      <c r="F426" s="465">
        <v>43166.788541666669</v>
      </c>
      <c r="G426" s="464">
        <v>0.78819444444444453</v>
      </c>
      <c r="H426" t="s">
        <v>129</v>
      </c>
      <c r="I426" t="s">
        <v>129</v>
      </c>
      <c r="J426" t="s">
        <v>129</v>
      </c>
      <c r="P426" s="140">
        <v>8651</v>
      </c>
      <c r="Q426" s="140" t="s">
        <v>63</v>
      </c>
      <c r="R426" s="140" t="s">
        <v>63</v>
      </c>
      <c r="S426" s="143" t="s">
        <v>5</v>
      </c>
      <c r="T426" s="144">
        <v>43166.788541666669</v>
      </c>
      <c r="U426" s="89">
        <f t="shared" si="0"/>
        <v>43166.788541666669</v>
      </c>
      <c r="V426" s="90" t="str">
        <f t="shared" si="3"/>
        <v>18:55</v>
      </c>
      <c r="W426" s="91" t="str">
        <f t="shared" si="4"/>
        <v>-</v>
      </c>
      <c r="X426" s="92" t="str">
        <f t="shared" si="5"/>
        <v>-</v>
      </c>
      <c r="Y426" s="92" t="str">
        <f t="shared" si="15"/>
        <v>-</v>
      </c>
      <c r="Z426" s="93">
        <f t="shared" si="6"/>
        <v>0</v>
      </c>
      <c r="AA426" s="93"/>
      <c r="AB426" s="94">
        <f t="shared" si="7"/>
        <v>0</v>
      </c>
      <c r="AC426" s="94">
        <f t="shared" si="1"/>
        <v>0</v>
      </c>
      <c r="AF426">
        <f t="shared" si="8"/>
        <v>1</v>
      </c>
      <c r="AG426">
        <f t="shared" si="9"/>
        <v>1</v>
      </c>
      <c r="AH426">
        <f t="shared" si="10"/>
        <v>1</v>
      </c>
      <c r="AI426">
        <f t="shared" si="11"/>
        <v>1</v>
      </c>
      <c r="AJ426">
        <f t="shared" si="12"/>
        <v>1</v>
      </c>
      <c r="AK426">
        <f t="shared" si="13"/>
        <v>1</v>
      </c>
      <c r="AL426">
        <f t="shared" si="14"/>
        <v>1</v>
      </c>
    </row>
    <row r="427" spans="1:38">
      <c r="A427">
        <v>8652</v>
      </c>
      <c r="B427" t="s">
        <v>63</v>
      </c>
      <c r="C427" t="s">
        <v>63</v>
      </c>
      <c r="D427" t="s">
        <v>7</v>
      </c>
      <c r="E427" s="1">
        <v>43166.788564814815</v>
      </c>
      <c r="F427" s="465">
        <v>43166.788564814815</v>
      </c>
      <c r="G427" s="464">
        <v>0.78819444444444453</v>
      </c>
      <c r="H427" t="s">
        <v>129</v>
      </c>
      <c r="I427" t="s">
        <v>129</v>
      </c>
      <c r="J427" t="s">
        <v>129</v>
      </c>
      <c r="K427">
        <v>3.1833333333333327</v>
      </c>
      <c r="M427">
        <v>2</v>
      </c>
      <c r="N427">
        <v>1.1833333333333327</v>
      </c>
      <c r="P427" s="140">
        <v>8652</v>
      </c>
      <c r="Q427" s="140" t="s">
        <v>63</v>
      </c>
      <c r="R427" s="140" t="s">
        <v>63</v>
      </c>
      <c r="S427" s="143" t="s">
        <v>7</v>
      </c>
      <c r="T427" s="144">
        <v>43166.788564814815</v>
      </c>
      <c r="U427" s="89">
        <f t="shared" si="0"/>
        <v>43166.788564814815</v>
      </c>
      <c r="V427" s="90" t="str">
        <f t="shared" si="3"/>
        <v>18:55</v>
      </c>
      <c r="W427" s="91" t="str">
        <f t="shared" si="4"/>
        <v>-</v>
      </c>
      <c r="X427" s="92" t="str">
        <f t="shared" si="5"/>
        <v>-</v>
      </c>
      <c r="Y427" s="92" t="str">
        <f t="shared" si="15"/>
        <v>-</v>
      </c>
      <c r="Z427" s="93">
        <f t="shared" si="6"/>
        <v>3.1833333333333327</v>
      </c>
      <c r="AA427" s="93"/>
      <c r="AB427" s="94">
        <f t="shared" si="7"/>
        <v>2</v>
      </c>
      <c r="AC427" s="94">
        <f t="shared" si="1"/>
        <v>1.1833333333333327</v>
      </c>
      <c r="AF427">
        <f t="shared" si="8"/>
        <v>1</v>
      </c>
      <c r="AG427">
        <f t="shared" si="9"/>
        <v>1</v>
      </c>
      <c r="AH427">
        <f t="shared" si="10"/>
        <v>1</v>
      </c>
      <c r="AI427">
        <f t="shared" si="11"/>
        <v>1</v>
      </c>
      <c r="AJ427">
        <f t="shared" si="12"/>
        <v>1</v>
      </c>
      <c r="AK427">
        <f t="shared" si="13"/>
        <v>1</v>
      </c>
      <c r="AL427">
        <f t="shared" si="14"/>
        <v>1</v>
      </c>
    </row>
    <row r="428" spans="1:38">
      <c r="A428">
        <v>8661</v>
      </c>
      <c r="B428" t="s">
        <v>63</v>
      </c>
      <c r="C428" t="s">
        <v>63</v>
      </c>
      <c r="D428" t="s">
        <v>8</v>
      </c>
      <c r="E428" s="1">
        <v>43166.921157407407</v>
      </c>
      <c r="F428" s="465">
        <v>43166.921157407407</v>
      </c>
      <c r="G428" s="464">
        <v>0.92083333333333339</v>
      </c>
      <c r="H428" t="s">
        <v>129</v>
      </c>
      <c r="I428" t="s">
        <v>129</v>
      </c>
      <c r="J428" t="s">
        <v>129</v>
      </c>
      <c r="P428" s="140">
        <v>8661</v>
      </c>
      <c r="Q428" s="140" t="s">
        <v>63</v>
      </c>
      <c r="R428" s="140" t="s">
        <v>63</v>
      </c>
      <c r="S428" s="143" t="s">
        <v>8</v>
      </c>
      <c r="T428" s="144">
        <v>43166.921157407407</v>
      </c>
      <c r="U428" s="89">
        <f t="shared" si="0"/>
        <v>43166.921157407407</v>
      </c>
      <c r="V428" s="90" t="str">
        <f t="shared" si="3"/>
        <v>22:6</v>
      </c>
      <c r="W428" s="91" t="str">
        <f t="shared" si="4"/>
        <v>-</v>
      </c>
      <c r="X428" s="92" t="str">
        <f t="shared" si="5"/>
        <v>-</v>
      </c>
      <c r="Y428" s="92" t="str">
        <f t="shared" si="15"/>
        <v>-</v>
      </c>
      <c r="Z428" s="93">
        <f t="shared" si="6"/>
        <v>0</v>
      </c>
      <c r="AA428" s="93"/>
      <c r="AB428" s="94">
        <f t="shared" si="7"/>
        <v>0</v>
      </c>
      <c r="AC428" s="94">
        <f t="shared" si="1"/>
        <v>0</v>
      </c>
      <c r="AF428">
        <f t="shared" si="8"/>
        <v>1</v>
      </c>
      <c r="AG428">
        <f t="shared" si="9"/>
        <v>1</v>
      </c>
      <c r="AH428">
        <f t="shared" si="10"/>
        <v>1</v>
      </c>
      <c r="AI428">
        <f t="shared" si="11"/>
        <v>1</v>
      </c>
      <c r="AJ428">
        <f t="shared" si="12"/>
        <v>1</v>
      </c>
      <c r="AK428">
        <f t="shared" si="13"/>
        <v>1</v>
      </c>
      <c r="AL428">
        <f t="shared" si="14"/>
        <v>1</v>
      </c>
    </row>
    <row r="429" spans="1:38">
      <c r="A429">
        <v>8672</v>
      </c>
      <c r="B429" t="s">
        <v>63</v>
      </c>
      <c r="C429" t="s">
        <v>63</v>
      </c>
      <c r="D429" t="s">
        <v>6</v>
      </c>
      <c r="E429" s="1">
        <v>43167.371944444443</v>
      </c>
      <c r="F429" s="465">
        <v>43167.371944444443</v>
      </c>
      <c r="G429" s="464">
        <v>0.37152777777777773</v>
      </c>
      <c r="H429">
        <v>9.65</v>
      </c>
      <c r="I429">
        <v>8</v>
      </c>
      <c r="J429" t="s">
        <v>129</v>
      </c>
      <c r="P429" s="140">
        <v>8672</v>
      </c>
      <c r="Q429" s="140" t="s">
        <v>63</v>
      </c>
      <c r="R429" s="140" t="s">
        <v>63</v>
      </c>
      <c r="S429" s="143" t="s">
        <v>6</v>
      </c>
      <c r="T429" s="144">
        <v>43167.371944444443</v>
      </c>
      <c r="U429" s="89">
        <f t="shared" si="0"/>
        <v>43167.371944444443</v>
      </c>
      <c r="V429" s="90" t="str">
        <f t="shared" si="3"/>
        <v>8:55</v>
      </c>
      <c r="W429" s="91">
        <f t="shared" si="4"/>
        <v>9.6500000000000021</v>
      </c>
      <c r="X429" s="92">
        <f t="shared" si="5"/>
        <v>8</v>
      </c>
      <c r="Y429" s="92" t="str">
        <f t="shared" si="15"/>
        <v>-</v>
      </c>
      <c r="Z429" s="93">
        <f t="shared" si="6"/>
        <v>0</v>
      </c>
      <c r="AA429" s="93"/>
      <c r="AB429" s="94">
        <f t="shared" si="7"/>
        <v>0</v>
      </c>
      <c r="AC429" s="94">
        <f t="shared" si="1"/>
        <v>0</v>
      </c>
      <c r="AF429">
        <f t="shared" si="8"/>
        <v>1</v>
      </c>
      <c r="AG429">
        <f t="shared" si="9"/>
        <v>1</v>
      </c>
      <c r="AH429">
        <f t="shared" si="10"/>
        <v>1</v>
      </c>
      <c r="AI429">
        <f t="shared" si="11"/>
        <v>1</v>
      </c>
      <c r="AJ429">
        <f t="shared" si="12"/>
        <v>1</v>
      </c>
      <c r="AK429">
        <f t="shared" si="13"/>
        <v>1</v>
      </c>
      <c r="AL429">
        <f t="shared" si="14"/>
        <v>1</v>
      </c>
    </row>
    <row r="430" spans="1:38">
      <c r="A430">
        <v>8679</v>
      </c>
      <c r="B430" t="s">
        <v>63</v>
      </c>
      <c r="C430" t="s">
        <v>63</v>
      </c>
      <c r="D430" t="s">
        <v>5</v>
      </c>
      <c r="E430" s="1">
        <v>43167.773773148147</v>
      </c>
      <c r="F430" s="465">
        <v>43167.773773148147</v>
      </c>
      <c r="G430" s="464">
        <v>0.77361111111111114</v>
      </c>
      <c r="H430" t="s">
        <v>129</v>
      </c>
      <c r="I430" t="s">
        <v>129</v>
      </c>
      <c r="J430" t="s">
        <v>129</v>
      </c>
      <c r="P430" s="140">
        <v>8679</v>
      </c>
      <c r="Q430" s="140" t="s">
        <v>63</v>
      </c>
      <c r="R430" s="140" t="s">
        <v>63</v>
      </c>
      <c r="S430" s="143" t="s">
        <v>5</v>
      </c>
      <c r="T430" s="144">
        <v>43167.773773148147</v>
      </c>
      <c r="U430" s="89">
        <f t="shared" si="0"/>
        <v>43167.773773148147</v>
      </c>
      <c r="V430" s="90" t="str">
        <f t="shared" si="3"/>
        <v>18:34</v>
      </c>
      <c r="W430" s="91" t="str">
        <f t="shared" si="4"/>
        <v>-</v>
      </c>
      <c r="X430" s="92" t="str">
        <f t="shared" si="5"/>
        <v>-</v>
      </c>
      <c r="Y430" s="92" t="str">
        <f t="shared" si="15"/>
        <v>-</v>
      </c>
      <c r="Z430" s="93">
        <f t="shared" si="6"/>
        <v>0</v>
      </c>
      <c r="AA430" s="93"/>
      <c r="AB430" s="94">
        <f t="shared" si="7"/>
        <v>0</v>
      </c>
      <c r="AC430" s="94">
        <f t="shared" si="1"/>
        <v>0</v>
      </c>
      <c r="AF430">
        <f t="shared" si="8"/>
        <v>1</v>
      </c>
      <c r="AG430">
        <f t="shared" si="9"/>
        <v>1</v>
      </c>
      <c r="AH430">
        <f t="shared" si="10"/>
        <v>1</v>
      </c>
      <c r="AI430">
        <f t="shared" si="11"/>
        <v>1</v>
      </c>
      <c r="AJ430">
        <f t="shared" si="12"/>
        <v>1</v>
      </c>
      <c r="AK430">
        <f t="shared" si="13"/>
        <v>1</v>
      </c>
      <c r="AL430">
        <f t="shared" si="14"/>
        <v>1</v>
      </c>
    </row>
    <row r="431" spans="1:38">
      <c r="A431">
        <v>8680</v>
      </c>
      <c r="B431" t="s">
        <v>63</v>
      </c>
      <c r="C431" t="s">
        <v>63</v>
      </c>
      <c r="D431" t="s">
        <v>7</v>
      </c>
      <c r="E431" s="1">
        <v>43167.773796296293</v>
      </c>
      <c r="F431" s="465">
        <v>43167.773796296293</v>
      </c>
      <c r="G431" s="464">
        <v>0.77361111111111114</v>
      </c>
      <c r="H431" t="s">
        <v>129</v>
      </c>
      <c r="I431" t="s">
        <v>129</v>
      </c>
      <c r="J431" t="s">
        <v>129</v>
      </c>
      <c r="K431">
        <v>2.6999999999999984</v>
      </c>
      <c r="M431">
        <v>2</v>
      </c>
      <c r="N431">
        <v>0.6999999999999984</v>
      </c>
      <c r="P431" s="140">
        <v>8680</v>
      </c>
      <c r="Q431" s="140" t="s">
        <v>63</v>
      </c>
      <c r="R431" s="140" t="s">
        <v>63</v>
      </c>
      <c r="S431" s="143" t="s">
        <v>7</v>
      </c>
      <c r="T431" s="144">
        <v>43167.773796296293</v>
      </c>
      <c r="U431" s="89">
        <f t="shared" si="0"/>
        <v>43167.773796296293</v>
      </c>
      <c r="V431" s="90" t="str">
        <f t="shared" si="3"/>
        <v>18:34</v>
      </c>
      <c r="W431" s="91" t="str">
        <f t="shared" si="4"/>
        <v>-</v>
      </c>
      <c r="X431" s="92" t="str">
        <f t="shared" si="5"/>
        <v>-</v>
      </c>
      <c r="Y431" s="92" t="str">
        <f t="shared" si="15"/>
        <v>-</v>
      </c>
      <c r="Z431" s="93">
        <f t="shared" si="6"/>
        <v>2.6999999999999984</v>
      </c>
      <c r="AA431" s="93"/>
      <c r="AB431" s="94">
        <f t="shared" si="7"/>
        <v>2</v>
      </c>
      <c r="AC431" s="94">
        <f t="shared" si="1"/>
        <v>0.6999999999999984</v>
      </c>
      <c r="AF431">
        <f t="shared" si="8"/>
        <v>1</v>
      </c>
      <c r="AG431">
        <f t="shared" si="9"/>
        <v>1</v>
      </c>
      <c r="AH431">
        <f t="shared" si="10"/>
        <v>1</v>
      </c>
      <c r="AI431">
        <f t="shared" si="11"/>
        <v>1</v>
      </c>
      <c r="AJ431">
        <f t="shared" si="12"/>
        <v>1</v>
      </c>
      <c r="AK431">
        <f t="shared" si="13"/>
        <v>1</v>
      </c>
      <c r="AL431">
        <f t="shared" si="14"/>
        <v>1</v>
      </c>
    </row>
    <row r="432" spans="1:38">
      <c r="A432">
        <v>8691</v>
      </c>
      <c r="B432" t="s">
        <v>63</v>
      </c>
      <c r="C432" t="s">
        <v>63</v>
      </c>
      <c r="D432" t="s">
        <v>8</v>
      </c>
      <c r="E432" s="1">
        <v>43167.886759259258</v>
      </c>
      <c r="F432" s="465">
        <v>43167.886759259258</v>
      </c>
      <c r="G432" s="464">
        <v>0.88611111111111107</v>
      </c>
      <c r="H432" t="s">
        <v>129</v>
      </c>
      <c r="I432" t="s">
        <v>129</v>
      </c>
      <c r="J432" t="s">
        <v>129</v>
      </c>
      <c r="P432" s="140">
        <v>8691</v>
      </c>
      <c r="Q432" s="140" t="s">
        <v>63</v>
      </c>
      <c r="R432" s="140" t="s">
        <v>63</v>
      </c>
      <c r="S432" s="143" t="s">
        <v>8</v>
      </c>
      <c r="T432" s="144">
        <v>43167.886759259258</v>
      </c>
      <c r="U432" s="89">
        <f t="shared" si="0"/>
        <v>43167.886759259258</v>
      </c>
      <c r="V432" s="90" t="str">
        <f t="shared" si="3"/>
        <v>21:16</v>
      </c>
      <c r="W432" s="91" t="str">
        <f t="shared" si="4"/>
        <v>-</v>
      </c>
      <c r="X432" s="92" t="str">
        <f t="shared" si="5"/>
        <v>-</v>
      </c>
      <c r="Y432" s="92" t="str">
        <f t="shared" si="15"/>
        <v>-</v>
      </c>
      <c r="Z432" s="93">
        <f t="shared" si="6"/>
        <v>0</v>
      </c>
      <c r="AA432" s="93"/>
      <c r="AB432" s="94">
        <f t="shared" si="7"/>
        <v>0</v>
      </c>
      <c r="AC432" s="94">
        <f t="shared" si="1"/>
        <v>0</v>
      </c>
      <c r="AF432">
        <f t="shared" si="8"/>
        <v>1</v>
      </c>
      <c r="AG432">
        <f t="shared" si="9"/>
        <v>1</v>
      </c>
      <c r="AH432">
        <f t="shared" si="10"/>
        <v>1</v>
      </c>
      <c r="AI432">
        <f t="shared" si="11"/>
        <v>1</v>
      </c>
      <c r="AJ432">
        <f t="shared" si="12"/>
        <v>1</v>
      </c>
      <c r="AK432">
        <f t="shared" si="13"/>
        <v>1</v>
      </c>
      <c r="AL432">
        <f t="shared" si="14"/>
        <v>1</v>
      </c>
    </row>
    <row r="433" spans="1:38">
      <c r="A433">
        <v>8701</v>
      </c>
      <c r="B433" t="s">
        <v>63</v>
      </c>
      <c r="C433" t="s">
        <v>63</v>
      </c>
      <c r="D433" t="s">
        <v>6</v>
      </c>
      <c r="E433" s="1">
        <v>43168.377453703702</v>
      </c>
      <c r="F433" s="465">
        <v>43168.377453703702</v>
      </c>
      <c r="G433" s="464">
        <v>0.37708333333333338</v>
      </c>
      <c r="H433">
        <v>9.4500000000000011</v>
      </c>
      <c r="I433">
        <v>7.9500000000000011</v>
      </c>
      <c r="J433">
        <v>4.9999999999998934E-2</v>
      </c>
      <c r="P433" s="408">
        <v>8701</v>
      </c>
      <c r="Q433" s="408" t="s">
        <v>63</v>
      </c>
      <c r="R433" s="408" t="s">
        <v>63</v>
      </c>
      <c r="S433" s="409" t="s">
        <v>6</v>
      </c>
      <c r="T433" s="410">
        <v>43168.377453703702</v>
      </c>
      <c r="U433" s="411">
        <f t="shared" si="0"/>
        <v>43168.377453703702</v>
      </c>
      <c r="V433" s="412" t="str">
        <f t="shared" si="3"/>
        <v>9:3</v>
      </c>
      <c r="W433" s="413">
        <f t="shared" si="4"/>
        <v>9.4499999999999993</v>
      </c>
      <c r="X433" s="414">
        <f>8-Y433</f>
        <v>7.5</v>
      </c>
      <c r="Y433" s="414">
        <v>0.5</v>
      </c>
      <c r="Z433" s="415">
        <f t="shared" si="6"/>
        <v>0</v>
      </c>
      <c r="AA433" s="415"/>
      <c r="AB433" s="416">
        <f t="shared" si="7"/>
        <v>0</v>
      </c>
      <c r="AC433" s="416">
        <f t="shared" si="1"/>
        <v>0</v>
      </c>
      <c r="AF433">
        <f t="shared" si="8"/>
        <v>1</v>
      </c>
      <c r="AG433">
        <f t="shared" si="9"/>
        <v>0</v>
      </c>
      <c r="AH433">
        <f t="shared" si="10"/>
        <v>0</v>
      </c>
      <c r="AI433">
        <f t="shared" si="11"/>
        <v>1</v>
      </c>
      <c r="AJ433">
        <f t="shared" si="12"/>
        <v>1</v>
      </c>
      <c r="AK433">
        <f t="shared" si="13"/>
        <v>1</v>
      </c>
      <c r="AL433">
        <f t="shared" si="14"/>
        <v>1</v>
      </c>
    </row>
    <row r="434" spans="1:38">
      <c r="A434">
        <v>8711</v>
      </c>
      <c r="B434" t="s">
        <v>79</v>
      </c>
      <c r="C434" t="s">
        <v>63</v>
      </c>
      <c r="D434" t="s">
        <v>5</v>
      </c>
      <c r="E434" s="1">
        <v>43168.771481481483</v>
      </c>
      <c r="F434" s="465">
        <v>43168.771481481483</v>
      </c>
      <c r="G434" s="464">
        <v>0.77083333333333337</v>
      </c>
      <c r="H434" t="s">
        <v>129</v>
      </c>
      <c r="I434" t="s">
        <v>129</v>
      </c>
      <c r="J434" t="s">
        <v>129</v>
      </c>
      <c r="P434" s="140">
        <v>8711</v>
      </c>
      <c r="Q434" s="140" t="s">
        <v>79</v>
      </c>
      <c r="R434" s="140" t="s">
        <v>63</v>
      </c>
      <c r="S434" s="143" t="s">
        <v>5</v>
      </c>
      <c r="T434" s="144">
        <v>43168.771481481483</v>
      </c>
      <c r="U434" s="89">
        <f t="shared" si="0"/>
        <v>43168.771481481483</v>
      </c>
      <c r="V434" s="90" t="str">
        <f t="shared" si="3"/>
        <v>18:30</v>
      </c>
      <c r="W434" s="91" t="str">
        <f t="shared" si="4"/>
        <v>-</v>
      </c>
      <c r="X434" s="92" t="str">
        <f t="shared" si="5"/>
        <v>-</v>
      </c>
      <c r="Y434" s="92" t="str">
        <f t="shared" si="15"/>
        <v>-</v>
      </c>
      <c r="Z434" s="93">
        <f t="shared" si="6"/>
        <v>0</v>
      </c>
      <c r="AA434" s="93"/>
      <c r="AB434" s="94">
        <f t="shared" si="7"/>
        <v>0</v>
      </c>
      <c r="AC434" s="94">
        <f t="shared" si="1"/>
        <v>0</v>
      </c>
      <c r="AF434">
        <f t="shared" si="8"/>
        <v>1</v>
      </c>
      <c r="AG434">
        <f t="shared" si="9"/>
        <v>1</v>
      </c>
      <c r="AH434">
        <f t="shared" si="10"/>
        <v>1</v>
      </c>
      <c r="AI434">
        <f t="shared" si="11"/>
        <v>1</v>
      </c>
      <c r="AJ434">
        <f t="shared" si="12"/>
        <v>1</v>
      </c>
      <c r="AK434">
        <f t="shared" si="13"/>
        <v>1</v>
      </c>
      <c r="AL434">
        <f t="shared" si="14"/>
        <v>1</v>
      </c>
    </row>
    <row r="435" spans="1:38">
      <c r="A435">
        <v>8712</v>
      </c>
      <c r="B435" t="s">
        <v>79</v>
      </c>
      <c r="C435" t="s">
        <v>63</v>
      </c>
      <c r="D435" t="s">
        <v>7</v>
      </c>
      <c r="E435" s="1">
        <v>43168.771562499998</v>
      </c>
      <c r="F435" s="465">
        <v>43168.771562499998</v>
      </c>
      <c r="G435" s="464">
        <v>0.7715277777777777</v>
      </c>
      <c r="H435" t="s">
        <v>129</v>
      </c>
      <c r="I435" t="s">
        <v>129</v>
      </c>
      <c r="J435" t="s">
        <v>129</v>
      </c>
      <c r="K435">
        <v>3.5166666666666648</v>
      </c>
      <c r="M435">
        <v>2</v>
      </c>
      <c r="N435">
        <v>1.5166666666666648</v>
      </c>
      <c r="P435" s="140">
        <v>8712</v>
      </c>
      <c r="Q435" s="140" t="s">
        <v>79</v>
      </c>
      <c r="R435" s="140" t="s">
        <v>63</v>
      </c>
      <c r="S435" s="143" t="s">
        <v>7</v>
      </c>
      <c r="T435" s="144">
        <v>43168.771562499998</v>
      </c>
      <c r="U435" s="89">
        <f t="shared" si="0"/>
        <v>43168.771562499998</v>
      </c>
      <c r="V435" s="90" t="str">
        <f t="shared" si="3"/>
        <v>18:31</v>
      </c>
      <c r="W435" s="91" t="str">
        <f t="shared" si="4"/>
        <v>-</v>
      </c>
      <c r="X435" s="92" t="str">
        <f t="shared" si="5"/>
        <v>-</v>
      </c>
      <c r="Y435" s="92" t="str">
        <f t="shared" si="15"/>
        <v>-</v>
      </c>
      <c r="Z435" s="93">
        <f t="shared" si="6"/>
        <v>3.5166666666666702</v>
      </c>
      <c r="AA435" s="93"/>
      <c r="AB435" s="94">
        <f t="shared" si="7"/>
        <v>2</v>
      </c>
      <c r="AC435" s="94">
        <f t="shared" si="1"/>
        <v>1.5166666666666702</v>
      </c>
      <c r="AF435">
        <f t="shared" si="8"/>
        <v>1</v>
      </c>
      <c r="AG435">
        <f t="shared" si="9"/>
        <v>1</v>
      </c>
      <c r="AH435">
        <f t="shared" si="10"/>
        <v>1</v>
      </c>
      <c r="AI435">
        <f t="shared" si="11"/>
        <v>0</v>
      </c>
      <c r="AJ435">
        <f t="shared" si="12"/>
        <v>1</v>
      </c>
      <c r="AK435">
        <f t="shared" si="13"/>
        <v>1</v>
      </c>
      <c r="AL435">
        <f t="shared" si="14"/>
        <v>0</v>
      </c>
    </row>
    <row r="436" spans="1:38">
      <c r="A436">
        <v>8717</v>
      </c>
      <c r="B436" t="s">
        <v>63</v>
      </c>
      <c r="C436" t="s">
        <v>63</v>
      </c>
      <c r="D436" t="s">
        <v>8</v>
      </c>
      <c r="E436" s="1">
        <v>43168.918483796297</v>
      </c>
      <c r="F436" s="465">
        <v>43168.918483796297</v>
      </c>
      <c r="G436" s="464">
        <v>0.91805555555555562</v>
      </c>
      <c r="H436" t="s">
        <v>129</v>
      </c>
      <c r="I436" t="s">
        <v>129</v>
      </c>
      <c r="J436" t="s">
        <v>129</v>
      </c>
      <c r="P436" s="140">
        <v>8717</v>
      </c>
      <c r="Q436" s="140" t="s">
        <v>63</v>
      </c>
      <c r="R436" s="140" t="s">
        <v>63</v>
      </c>
      <c r="S436" s="143" t="s">
        <v>8</v>
      </c>
      <c r="T436" s="144">
        <v>43168.918483796297</v>
      </c>
      <c r="U436" s="89">
        <f t="shared" si="0"/>
        <v>43168.918483796297</v>
      </c>
      <c r="V436" s="90" t="str">
        <f t="shared" si="3"/>
        <v>22:2</v>
      </c>
      <c r="W436" s="91" t="str">
        <f t="shared" si="4"/>
        <v>-</v>
      </c>
      <c r="X436" s="92" t="str">
        <f t="shared" si="5"/>
        <v>-</v>
      </c>
      <c r="Y436" s="92" t="str">
        <f t="shared" si="15"/>
        <v>-</v>
      </c>
      <c r="Z436" s="93">
        <f t="shared" si="6"/>
        <v>0</v>
      </c>
      <c r="AA436" s="93"/>
      <c r="AB436" s="94">
        <f t="shared" si="7"/>
        <v>0</v>
      </c>
      <c r="AC436" s="94">
        <f t="shared" si="1"/>
        <v>0</v>
      </c>
      <c r="AF436">
        <f t="shared" si="8"/>
        <v>1</v>
      </c>
      <c r="AG436">
        <f t="shared" si="9"/>
        <v>1</v>
      </c>
      <c r="AH436">
        <f t="shared" si="10"/>
        <v>1</v>
      </c>
      <c r="AI436">
        <f t="shared" si="11"/>
        <v>1</v>
      </c>
      <c r="AJ436">
        <f t="shared" si="12"/>
        <v>1</v>
      </c>
      <c r="AK436">
        <f t="shared" si="13"/>
        <v>1</v>
      </c>
      <c r="AL436">
        <f t="shared" si="14"/>
        <v>1</v>
      </c>
    </row>
    <row r="437" spans="1:38">
      <c r="A437">
        <v>8722</v>
      </c>
      <c r="B437" t="s">
        <v>63</v>
      </c>
      <c r="C437" t="s">
        <v>63</v>
      </c>
      <c r="D437" t="s">
        <v>7</v>
      </c>
      <c r="E437" s="1">
        <v>43169.459178240744</v>
      </c>
      <c r="F437" s="465">
        <v>43169.459178240744</v>
      </c>
      <c r="G437" s="464">
        <v>0.45902777777777781</v>
      </c>
      <c r="H437" t="s">
        <v>129</v>
      </c>
      <c r="I437" t="s">
        <v>129</v>
      </c>
      <c r="J437" t="s">
        <v>129</v>
      </c>
      <c r="K437">
        <v>3.4166666666666665</v>
      </c>
      <c r="M437">
        <v>2</v>
      </c>
      <c r="N437">
        <v>3.6500000000000004</v>
      </c>
      <c r="P437" s="140">
        <v>8722</v>
      </c>
      <c r="Q437" s="140" t="s">
        <v>63</v>
      </c>
      <c r="R437" s="140" t="s">
        <v>63</v>
      </c>
      <c r="S437" s="143" t="s">
        <v>7</v>
      </c>
      <c r="T437" s="144">
        <v>43169.459178240744</v>
      </c>
      <c r="U437" s="89">
        <f t="shared" si="0"/>
        <v>43169.459178240744</v>
      </c>
      <c r="V437" s="90" t="str">
        <f t="shared" si="3"/>
        <v>11:1</v>
      </c>
      <c r="W437" s="91" t="str">
        <f t="shared" si="4"/>
        <v>-</v>
      </c>
      <c r="X437" s="92" t="str">
        <f t="shared" si="5"/>
        <v>-</v>
      </c>
      <c r="Y437" s="92" t="str">
        <f t="shared" si="15"/>
        <v>-</v>
      </c>
      <c r="Z437" s="93">
        <f t="shared" si="6"/>
        <v>3.4166666666666652</v>
      </c>
      <c r="AA437" s="93"/>
      <c r="AB437" s="94">
        <f t="shared" si="7"/>
        <v>2</v>
      </c>
      <c r="AC437" s="94">
        <f t="shared" si="1"/>
        <v>1.4166666666666652</v>
      </c>
      <c r="AF437">
        <f t="shared" si="8"/>
        <v>1</v>
      </c>
      <c r="AG437">
        <f t="shared" si="9"/>
        <v>1</v>
      </c>
      <c r="AH437">
        <f t="shared" si="10"/>
        <v>1</v>
      </c>
      <c r="AI437">
        <f t="shared" si="11"/>
        <v>1</v>
      </c>
      <c r="AJ437">
        <f t="shared" si="12"/>
        <v>1</v>
      </c>
      <c r="AK437">
        <f t="shared" si="13"/>
        <v>1</v>
      </c>
      <c r="AL437">
        <f t="shared" si="14"/>
        <v>0</v>
      </c>
    </row>
    <row r="438" spans="1:38">
      <c r="A438">
        <v>8725</v>
      </c>
      <c r="B438" t="s">
        <v>63</v>
      </c>
      <c r="C438" t="s">
        <v>63</v>
      </c>
      <c r="D438" t="s">
        <v>8</v>
      </c>
      <c r="E438" s="1">
        <v>43169.601655092592</v>
      </c>
      <c r="F438" s="465">
        <v>43169.601655092592</v>
      </c>
      <c r="G438" s="464">
        <v>0.60138888888888886</v>
      </c>
      <c r="H438" t="s">
        <v>129</v>
      </c>
      <c r="I438" t="s">
        <v>129</v>
      </c>
      <c r="J438" t="s">
        <v>129</v>
      </c>
      <c r="P438" s="140">
        <v>8725</v>
      </c>
      <c r="Q438" s="140" t="s">
        <v>63</v>
      </c>
      <c r="R438" s="140" t="s">
        <v>63</v>
      </c>
      <c r="S438" s="143" t="s">
        <v>8</v>
      </c>
      <c r="T438" s="144">
        <v>43169.601655092592</v>
      </c>
      <c r="U438" s="89">
        <f t="shared" si="0"/>
        <v>43169.601655092592</v>
      </c>
      <c r="V438" s="90" t="str">
        <f t="shared" si="3"/>
        <v>14:26</v>
      </c>
      <c r="W438" s="91" t="str">
        <f t="shared" si="4"/>
        <v>-</v>
      </c>
      <c r="X438" s="92" t="str">
        <f t="shared" si="5"/>
        <v>-</v>
      </c>
      <c r="Y438" s="92" t="str">
        <f t="shared" si="15"/>
        <v>-</v>
      </c>
      <c r="Z438" s="93">
        <f t="shared" si="6"/>
        <v>0</v>
      </c>
      <c r="AA438" s="93"/>
      <c r="AB438" s="94">
        <f t="shared" si="7"/>
        <v>0</v>
      </c>
      <c r="AC438" s="94">
        <f t="shared" si="1"/>
        <v>0</v>
      </c>
      <c r="AF438">
        <f t="shared" si="8"/>
        <v>1</v>
      </c>
      <c r="AG438">
        <f t="shared" si="9"/>
        <v>1</v>
      </c>
      <c r="AH438">
        <f t="shared" si="10"/>
        <v>1</v>
      </c>
      <c r="AI438">
        <f t="shared" si="11"/>
        <v>1</v>
      </c>
      <c r="AJ438">
        <f t="shared" si="12"/>
        <v>1</v>
      </c>
      <c r="AK438">
        <f t="shared" si="13"/>
        <v>1</v>
      </c>
      <c r="AL438">
        <f t="shared" si="14"/>
        <v>1</v>
      </c>
    </row>
    <row r="439" spans="1:38">
      <c r="A439">
        <v>8726</v>
      </c>
      <c r="B439" t="s">
        <v>63</v>
      </c>
      <c r="C439" t="s">
        <v>63</v>
      </c>
      <c r="D439" t="s">
        <v>7</v>
      </c>
      <c r="E439" s="1">
        <v>43169.601712962962</v>
      </c>
      <c r="F439" s="465">
        <v>43169.601712962962</v>
      </c>
      <c r="G439" s="464">
        <v>0.60138888888888886</v>
      </c>
      <c r="H439" t="s">
        <v>129</v>
      </c>
      <c r="I439" t="s">
        <v>129</v>
      </c>
      <c r="J439" t="s">
        <v>129</v>
      </c>
      <c r="K439">
        <v>2.2333333333333334</v>
      </c>
      <c r="P439" s="140">
        <v>8726</v>
      </c>
      <c r="Q439" s="140" t="s">
        <v>63</v>
      </c>
      <c r="R439" s="140" t="s">
        <v>63</v>
      </c>
      <c r="S439" s="143" t="s">
        <v>7</v>
      </c>
      <c r="T439" s="144">
        <v>43169.601712962962</v>
      </c>
      <c r="U439" s="89">
        <f t="shared" si="0"/>
        <v>43169.601712962962</v>
      </c>
      <c r="V439" s="90" t="str">
        <f t="shared" si="3"/>
        <v>14:26</v>
      </c>
      <c r="W439" s="91" t="str">
        <f t="shared" si="4"/>
        <v>-</v>
      </c>
      <c r="X439" s="92" t="str">
        <f t="shared" si="5"/>
        <v>-</v>
      </c>
      <c r="Y439" s="92" t="str">
        <f t="shared" si="15"/>
        <v>-</v>
      </c>
      <c r="Z439" s="93">
        <f t="shared" si="6"/>
        <v>2.2333333333333361</v>
      </c>
      <c r="AA439" s="93"/>
      <c r="AB439" s="94">
        <v>0</v>
      </c>
      <c r="AC439" s="94">
        <f>Z439</f>
        <v>2.2333333333333361</v>
      </c>
      <c r="AF439">
        <f t="shared" si="8"/>
        <v>1</v>
      </c>
      <c r="AG439">
        <f t="shared" si="9"/>
        <v>1</v>
      </c>
      <c r="AH439">
        <f t="shared" si="10"/>
        <v>1</v>
      </c>
      <c r="AI439">
        <f t="shared" si="11"/>
        <v>0</v>
      </c>
      <c r="AJ439">
        <f t="shared" si="12"/>
        <v>1</v>
      </c>
      <c r="AK439">
        <f t="shared" si="13"/>
        <v>1</v>
      </c>
      <c r="AL439">
        <f t="shared" si="14"/>
        <v>0</v>
      </c>
    </row>
    <row r="440" spans="1:38">
      <c r="A440">
        <v>8727</v>
      </c>
      <c r="B440" t="s">
        <v>63</v>
      </c>
      <c r="C440" t="s">
        <v>63</v>
      </c>
      <c r="D440" t="s">
        <v>8</v>
      </c>
      <c r="E440" s="1">
        <v>43169.694780092592</v>
      </c>
      <c r="F440" s="465">
        <v>43169.694780092592</v>
      </c>
      <c r="G440" s="464">
        <v>0.69444444444444453</v>
      </c>
      <c r="H440" t="s">
        <v>129</v>
      </c>
      <c r="I440" t="s">
        <v>129</v>
      </c>
      <c r="J440" t="s">
        <v>129</v>
      </c>
      <c r="P440" s="140">
        <v>8727</v>
      </c>
      <c r="Q440" s="140" t="s">
        <v>63</v>
      </c>
      <c r="R440" s="140" t="s">
        <v>63</v>
      </c>
      <c r="S440" s="143" t="s">
        <v>8</v>
      </c>
      <c r="T440" s="144">
        <v>43169.694780092592</v>
      </c>
      <c r="U440" s="89">
        <f t="shared" si="0"/>
        <v>43169.694780092592</v>
      </c>
      <c r="V440" s="90" t="str">
        <f t="shared" si="3"/>
        <v>16:40</v>
      </c>
      <c r="W440" s="91" t="str">
        <f t="shared" si="4"/>
        <v>-</v>
      </c>
      <c r="X440" s="92" t="str">
        <f t="shared" si="5"/>
        <v>-</v>
      </c>
      <c r="Y440" s="92" t="str">
        <f t="shared" si="15"/>
        <v>-</v>
      </c>
      <c r="Z440" s="93">
        <f t="shared" si="6"/>
        <v>0</v>
      </c>
      <c r="AA440" s="93"/>
      <c r="AB440" s="94">
        <f t="shared" si="7"/>
        <v>0</v>
      </c>
      <c r="AC440" s="94">
        <f t="shared" si="1"/>
        <v>0</v>
      </c>
      <c r="AF440">
        <f t="shared" si="8"/>
        <v>1</v>
      </c>
      <c r="AG440">
        <f t="shared" si="9"/>
        <v>1</v>
      </c>
      <c r="AH440">
        <f t="shared" si="10"/>
        <v>1</v>
      </c>
      <c r="AI440">
        <f t="shared" si="11"/>
        <v>1</v>
      </c>
      <c r="AJ440">
        <f t="shared" si="12"/>
        <v>1</v>
      </c>
      <c r="AK440">
        <f t="shared" si="13"/>
        <v>1</v>
      </c>
      <c r="AL440">
        <f t="shared" si="14"/>
        <v>1</v>
      </c>
    </row>
    <row r="441" spans="1:38">
      <c r="A441">
        <v>8733</v>
      </c>
      <c r="B441" t="s">
        <v>63</v>
      </c>
      <c r="C441" t="s">
        <v>63</v>
      </c>
      <c r="D441" t="s">
        <v>7</v>
      </c>
      <c r="E441" s="1">
        <v>43170.465104166666</v>
      </c>
      <c r="F441" s="465">
        <v>43170.465104166666</v>
      </c>
      <c r="G441" s="464">
        <v>0.46458333333333335</v>
      </c>
      <c r="H441" t="s">
        <v>129</v>
      </c>
      <c r="I441" t="s">
        <v>129</v>
      </c>
      <c r="J441" t="s">
        <v>129</v>
      </c>
      <c r="K441">
        <v>2.0333333333333341</v>
      </c>
      <c r="M441">
        <v>2</v>
      </c>
      <c r="N441">
        <v>4.9166666666666661</v>
      </c>
      <c r="P441" s="140">
        <v>8733</v>
      </c>
      <c r="Q441" s="140" t="s">
        <v>63</v>
      </c>
      <c r="R441" s="140" t="s">
        <v>63</v>
      </c>
      <c r="S441" s="143" t="s">
        <v>7</v>
      </c>
      <c r="T441" s="144">
        <v>43170.465104166666</v>
      </c>
      <c r="U441" s="89">
        <f t="shared" si="0"/>
        <v>43170.465104166666</v>
      </c>
      <c r="V441" s="90" t="str">
        <f t="shared" si="3"/>
        <v>11:9</v>
      </c>
      <c r="W441" s="91" t="str">
        <f t="shared" si="4"/>
        <v>-</v>
      </c>
      <c r="X441" s="92" t="str">
        <f t="shared" si="5"/>
        <v>-</v>
      </c>
      <c r="Y441" s="92" t="str">
        <f t="shared" si="15"/>
        <v>-</v>
      </c>
      <c r="Z441" s="93">
        <f t="shared" si="6"/>
        <v>2.0333333333333341</v>
      </c>
      <c r="AA441" s="93"/>
      <c r="AB441" s="94">
        <f t="shared" si="7"/>
        <v>2</v>
      </c>
      <c r="AC441" s="94">
        <f t="shared" si="1"/>
        <v>3.3333333333334103E-2</v>
      </c>
      <c r="AF441">
        <f t="shared" si="8"/>
        <v>1</v>
      </c>
      <c r="AG441">
        <f t="shared" si="9"/>
        <v>1</v>
      </c>
      <c r="AH441">
        <f t="shared" si="10"/>
        <v>1</v>
      </c>
      <c r="AI441">
        <f t="shared" si="11"/>
        <v>1</v>
      </c>
      <c r="AJ441">
        <f t="shared" si="12"/>
        <v>1</v>
      </c>
      <c r="AK441">
        <f t="shared" si="13"/>
        <v>1</v>
      </c>
      <c r="AL441">
        <f t="shared" si="14"/>
        <v>0</v>
      </c>
    </row>
    <row r="442" spans="1:38">
      <c r="A442">
        <v>8737</v>
      </c>
      <c r="B442" t="s">
        <v>63</v>
      </c>
      <c r="C442" t="s">
        <v>63</v>
      </c>
      <c r="D442" t="s">
        <v>8</v>
      </c>
      <c r="E442" s="1">
        <v>43170.549849537034</v>
      </c>
      <c r="F442" s="465">
        <v>43170.549849537034</v>
      </c>
      <c r="G442" s="464">
        <v>0.5493055555555556</v>
      </c>
      <c r="H442" t="s">
        <v>129</v>
      </c>
      <c r="I442" t="s">
        <v>129</v>
      </c>
      <c r="J442" t="s">
        <v>129</v>
      </c>
      <c r="P442" s="140">
        <v>8737</v>
      </c>
      <c r="Q442" s="140" t="s">
        <v>63</v>
      </c>
      <c r="R442" s="140" t="s">
        <v>63</v>
      </c>
      <c r="S442" s="143" t="s">
        <v>8</v>
      </c>
      <c r="T442" s="144">
        <v>43170.549849537034</v>
      </c>
      <c r="U442" s="89">
        <f t="shared" si="0"/>
        <v>43170.549849537034</v>
      </c>
      <c r="V442" s="90" t="str">
        <f t="shared" si="3"/>
        <v>13:11</v>
      </c>
      <c r="W442" s="91" t="str">
        <f t="shared" si="4"/>
        <v>-</v>
      </c>
      <c r="X442" s="92" t="str">
        <f t="shared" si="5"/>
        <v>-</v>
      </c>
      <c r="Y442" s="92" t="str">
        <f t="shared" si="15"/>
        <v>-</v>
      </c>
      <c r="Z442" s="93">
        <f t="shared" si="6"/>
        <v>0</v>
      </c>
      <c r="AA442" s="93"/>
      <c r="AB442" s="94">
        <f t="shared" si="7"/>
        <v>0</v>
      </c>
      <c r="AC442" s="94">
        <f t="shared" si="1"/>
        <v>0</v>
      </c>
      <c r="AF442">
        <f t="shared" si="8"/>
        <v>1</v>
      </c>
      <c r="AG442">
        <f t="shared" si="9"/>
        <v>1</v>
      </c>
      <c r="AH442">
        <f t="shared" si="10"/>
        <v>1</v>
      </c>
      <c r="AI442">
        <f t="shared" si="11"/>
        <v>1</v>
      </c>
      <c r="AJ442">
        <f t="shared" si="12"/>
        <v>1</v>
      </c>
      <c r="AK442">
        <f t="shared" si="13"/>
        <v>1</v>
      </c>
      <c r="AL442">
        <f t="shared" si="14"/>
        <v>1</v>
      </c>
    </row>
    <row r="443" spans="1:38">
      <c r="A443">
        <v>8742</v>
      </c>
      <c r="B443" t="s">
        <v>63</v>
      </c>
      <c r="C443" t="s">
        <v>63</v>
      </c>
      <c r="D443" t="s">
        <v>7</v>
      </c>
      <c r="E443" s="1">
        <v>43170.581793981481</v>
      </c>
      <c r="F443" s="465">
        <v>43170.581793981481</v>
      </c>
      <c r="G443" s="464">
        <v>0.58124999999999993</v>
      </c>
      <c r="H443" t="s">
        <v>129</v>
      </c>
      <c r="I443" t="s">
        <v>129</v>
      </c>
      <c r="J443" t="s">
        <v>129</v>
      </c>
      <c r="K443">
        <v>4.0833333333333321</v>
      </c>
      <c r="P443" s="140">
        <v>8742</v>
      </c>
      <c r="Q443" s="140" t="s">
        <v>63</v>
      </c>
      <c r="R443" s="140" t="s">
        <v>63</v>
      </c>
      <c r="S443" s="143" t="s">
        <v>7</v>
      </c>
      <c r="T443" s="144">
        <v>43170.581793981481</v>
      </c>
      <c r="U443" s="89">
        <f t="shared" si="0"/>
        <v>43170.581793981481</v>
      </c>
      <c r="V443" s="90" t="str">
        <f t="shared" si="3"/>
        <v>13:57</v>
      </c>
      <c r="W443" s="91" t="str">
        <f t="shared" si="4"/>
        <v>-</v>
      </c>
      <c r="X443" s="92" t="str">
        <f t="shared" si="5"/>
        <v>-</v>
      </c>
      <c r="Y443" s="92" t="str">
        <f t="shared" si="15"/>
        <v>-</v>
      </c>
      <c r="Z443" s="93">
        <f t="shared" si="6"/>
        <v>4.0833333333333375</v>
      </c>
      <c r="AA443" s="93"/>
      <c r="AB443" s="94">
        <v>0</v>
      </c>
      <c r="AC443" s="94">
        <v>4</v>
      </c>
      <c r="AF443">
        <f t="shared" si="8"/>
        <v>1</v>
      </c>
      <c r="AG443">
        <f t="shared" si="9"/>
        <v>1</v>
      </c>
      <c r="AH443">
        <f t="shared" si="10"/>
        <v>1</v>
      </c>
      <c r="AI443">
        <f t="shared" si="11"/>
        <v>0</v>
      </c>
      <c r="AJ443">
        <f t="shared" si="12"/>
        <v>1</v>
      </c>
      <c r="AK443">
        <f t="shared" si="13"/>
        <v>1</v>
      </c>
      <c r="AL443">
        <f t="shared" si="14"/>
        <v>0</v>
      </c>
    </row>
    <row r="444" spans="1:38">
      <c r="A444">
        <v>8753</v>
      </c>
      <c r="B444" t="s">
        <v>63</v>
      </c>
      <c r="C444" t="s">
        <v>63</v>
      </c>
      <c r="D444" t="s">
        <v>8</v>
      </c>
      <c r="E444" s="1">
        <v>43170.751388888886</v>
      </c>
      <c r="F444" s="465">
        <v>43170.751388888886</v>
      </c>
      <c r="G444" s="464">
        <v>0.75138888888888899</v>
      </c>
      <c r="H444" t="s">
        <v>129</v>
      </c>
      <c r="I444" t="s">
        <v>129</v>
      </c>
      <c r="J444" t="s">
        <v>129</v>
      </c>
      <c r="P444" s="140">
        <v>8753</v>
      </c>
      <c r="Q444" s="140" t="s">
        <v>63</v>
      </c>
      <c r="R444" s="140" t="s">
        <v>63</v>
      </c>
      <c r="S444" s="143" t="s">
        <v>8</v>
      </c>
      <c r="T444" s="144">
        <v>43170.751388888886</v>
      </c>
      <c r="U444" s="89">
        <f t="shared" si="0"/>
        <v>43170.751388888886</v>
      </c>
      <c r="V444" s="90" t="str">
        <f t="shared" si="3"/>
        <v>18:2</v>
      </c>
      <c r="W444" s="91" t="str">
        <f t="shared" si="4"/>
        <v>-</v>
      </c>
      <c r="X444" s="92" t="str">
        <f t="shared" si="5"/>
        <v>-</v>
      </c>
      <c r="Y444" s="92" t="str">
        <f t="shared" si="15"/>
        <v>-</v>
      </c>
      <c r="Z444" s="93">
        <f t="shared" si="6"/>
        <v>0</v>
      </c>
      <c r="AA444" s="93"/>
      <c r="AB444" s="94">
        <f t="shared" si="7"/>
        <v>0</v>
      </c>
      <c r="AC444" s="94">
        <f t="shared" si="1"/>
        <v>0</v>
      </c>
      <c r="AF444">
        <f t="shared" si="8"/>
        <v>1</v>
      </c>
      <c r="AG444">
        <f t="shared" si="9"/>
        <v>1</v>
      </c>
      <c r="AH444">
        <f t="shared" si="10"/>
        <v>1</v>
      </c>
      <c r="AI444">
        <f t="shared" si="11"/>
        <v>1</v>
      </c>
      <c r="AJ444">
        <f t="shared" si="12"/>
        <v>1</v>
      </c>
      <c r="AK444">
        <f t="shared" si="13"/>
        <v>1</v>
      </c>
      <c r="AL444">
        <f t="shared" si="14"/>
        <v>1</v>
      </c>
    </row>
    <row r="445" spans="1:38">
      <c r="A445">
        <v>8755</v>
      </c>
      <c r="B445" t="s">
        <v>63</v>
      </c>
      <c r="C445" t="s">
        <v>63</v>
      </c>
      <c r="D445" t="s">
        <v>7</v>
      </c>
      <c r="E445" s="1">
        <v>43170.751435185186</v>
      </c>
      <c r="F445" s="465">
        <v>43170.751435185186</v>
      </c>
      <c r="G445" s="464">
        <v>0.75138888888888899</v>
      </c>
      <c r="H445" t="s">
        <v>129</v>
      </c>
      <c r="I445" t="s">
        <v>129</v>
      </c>
      <c r="J445" t="s">
        <v>129</v>
      </c>
      <c r="K445">
        <v>0.79999999999999982</v>
      </c>
      <c r="P445" s="140">
        <v>8755</v>
      </c>
      <c r="Q445" s="140" t="s">
        <v>63</v>
      </c>
      <c r="R445" s="140" t="s">
        <v>63</v>
      </c>
      <c r="S445" s="143" t="s">
        <v>7</v>
      </c>
      <c r="T445" s="144">
        <v>43170.751435185186</v>
      </c>
      <c r="U445" s="89">
        <f t="shared" si="0"/>
        <v>43170.751435185186</v>
      </c>
      <c r="V445" s="90" t="str">
        <f t="shared" si="3"/>
        <v>18:2</v>
      </c>
      <c r="W445" s="91" t="str">
        <f t="shared" si="4"/>
        <v>-</v>
      </c>
      <c r="X445" s="92" t="str">
        <f t="shared" si="5"/>
        <v>-</v>
      </c>
      <c r="Y445" s="92" t="str">
        <f t="shared" si="15"/>
        <v>-</v>
      </c>
      <c r="Z445" s="93">
        <f t="shared" si="6"/>
        <v>0.79999999999999716</v>
      </c>
      <c r="AA445" s="93"/>
      <c r="AB445" s="94">
        <v>0</v>
      </c>
      <c r="AC445" s="94">
        <f>Z445</f>
        <v>0.79999999999999716</v>
      </c>
      <c r="AF445">
        <f t="shared" si="8"/>
        <v>1</v>
      </c>
      <c r="AG445">
        <f t="shared" si="9"/>
        <v>1</v>
      </c>
      <c r="AH445">
        <f t="shared" si="10"/>
        <v>1</v>
      </c>
      <c r="AI445">
        <f t="shared" si="11"/>
        <v>0</v>
      </c>
      <c r="AJ445">
        <f t="shared" si="12"/>
        <v>1</v>
      </c>
      <c r="AK445">
        <f t="shared" si="13"/>
        <v>1</v>
      </c>
      <c r="AL445">
        <f t="shared" si="14"/>
        <v>0</v>
      </c>
    </row>
    <row r="446" spans="1:38">
      <c r="A446">
        <v>8757</v>
      </c>
      <c r="B446" t="s">
        <v>79</v>
      </c>
      <c r="C446" t="s">
        <v>63</v>
      </c>
      <c r="D446" t="s">
        <v>8</v>
      </c>
      <c r="E446" s="1">
        <v>43170.785185185188</v>
      </c>
      <c r="F446" s="465">
        <v>43170.785185185188</v>
      </c>
      <c r="G446" s="464">
        <v>0.78472222222222221</v>
      </c>
      <c r="H446" t="s">
        <v>129</v>
      </c>
      <c r="I446" t="s">
        <v>129</v>
      </c>
      <c r="J446" t="s">
        <v>129</v>
      </c>
      <c r="P446" s="140">
        <v>8757</v>
      </c>
      <c r="Q446" s="140" t="s">
        <v>79</v>
      </c>
      <c r="R446" s="140" t="s">
        <v>63</v>
      </c>
      <c r="S446" s="143" t="s">
        <v>8</v>
      </c>
      <c r="T446" s="144">
        <v>43170.785185185188</v>
      </c>
      <c r="U446" s="89">
        <f t="shared" si="0"/>
        <v>43170.785185185188</v>
      </c>
      <c r="V446" s="90" t="str">
        <f t="shared" si="3"/>
        <v>18:50</v>
      </c>
      <c r="W446" s="91" t="str">
        <f t="shared" si="4"/>
        <v>-</v>
      </c>
      <c r="X446" s="92" t="str">
        <f t="shared" si="5"/>
        <v>-</v>
      </c>
      <c r="Y446" s="92" t="str">
        <f t="shared" si="15"/>
        <v>-</v>
      </c>
      <c r="Z446" s="93">
        <f t="shared" si="6"/>
        <v>0</v>
      </c>
      <c r="AA446" s="93"/>
      <c r="AB446" s="94">
        <f t="shared" si="7"/>
        <v>0</v>
      </c>
      <c r="AC446" s="94">
        <f t="shared" si="1"/>
        <v>0</v>
      </c>
      <c r="AF446">
        <f t="shared" si="8"/>
        <v>1</v>
      </c>
      <c r="AG446">
        <f t="shared" si="9"/>
        <v>1</v>
      </c>
      <c r="AH446">
        <f t="shared" si="10"/>
        <v>1</v>
      </c>
      <c r="AI446">
        <f t="shared" si="11"/>
        <v>1</v>
      </c>
      <c r="AJ446">
        <f t="shared" si="12"/>
        <v>1</v>
      </c>
      <c r="AK446">
        <f t="shared" si="13"/>
        <v>1</v>
      </c>
      <c r="AL446">
        <f t="shared" si="14"/>
        <v>1</v>
      </c>
    </row>
    <row r="447" spans="1:38">
      <c r="A447">
        <v>8770</v>
      </c>
      <c r="B447" t="s">
        <v>63</v>
      </c>
      <c r="C447" t="s">
        <v>63</v>
      </c>
      <c r="D447" t="s">
        <v>6</v>
      </c>
      <c r="E447" s="1">
        <v>43171.373472222222</v>
      </c>
      <c r="F447" s="465">
        <v>43171.373472222222</v>
      </c>
      <c r="G447" s="464">
        <v>0.37291666666666662</v>
      </c>
      <c r="H447">
        <v>9.6833333333333336</v>
      </c>
      <c r="I447">
        <v>8</v>
      </c>
      <c r="J447" t="s">
        <v>129</v>
      </c>
      <c r="P447" s="140">
        <v>8770</v>
      </c>
      <c r="Q447" s="140" t="s">
        <v>63</v>
      </c>
      <c r="R447" s="140" t="s">
        <v>63</v>
      </c>
      <c r="S447" s="143" t="s">
        <v>6</v>
      </c>
      <c r="T447" s="144">
        <v>43171.373472222222</v>
      </c>
      <c r="U447" s="89">
        <f t="shared" si="0"/>
        <v>43171.373472222222</v>
      </c>
      <c r="V447" s="90" t="str">
        <f t="shared" si="3"/>
        <v>8:57</v>
      </c>
      <c r="W447" s="91">
        <f t="shared" si="4"/>
        <v>9.6833333333333353</v>
      </c>
      <c r="X447" s="92">
        <f t="shared" si="5"/>
        <v>8</v>
      </c>
      <c r="Y447" s="92" t="str">
        <f t="shared" si="15"/>
        <v>-</v>
      </c>
      <c r="Z447" s="93">
        <f t="shared" si="6"/>
        <v>0</v>
      </c>
      <c r="AA447" s="93"/>
      <c r="AB447" s="94">
        <f t="shared" si="7"/>
        <v>0</v>
      </c>
      <c r="AC447" s="94">
        <f t="shared" si="1"/>
        <v>0</v>
      </c>
      <c r="AF447">
        <f t="shared" si="8"/>
        <v>0</v>
      </c>
      <c r="AG447">
        <f t="shared" si="9"/>
        <v>1</v>
      </c>
      <c r="AH447">
        <f t="shared" si="10"/>
        <v>1</v>
      </c>
      <c r="AI447">
        <f t="shared" si="11"/>
        <v>1</v>
      </c>
      <c r="AJ447">
        <f t="shared" si="12"/>
        <v>1</v>
      </c>
      <c r="AK447">
        <f t="shared" si="13"/>
        <v>1</v>
      </c>
      <c r="AL447">
        <f t="shared" si="14"/>
        <v>1</v>
      </c>
    </row>
    <row r="448" spans="1:38">
      <c r="A448">
        <v>8784</v>
      </c>
      <c r="B448" t="s">
        <v>63</v>
      </c>
      <c r="C448" t="s">
        <v>63</v>
      </c>
      <c r="D448" t="s">
        <v>5</v>
      </c>
      <c r="E448" s="1">
        <v>43171.776643518519</v>
      </c>
      <c r="F448" s="465">
        <v>43171.776643518519</v>
      </c>
      <c r="G448" s="464">
        <v>0.77638888888888891</v>
      </c>
      <c r="H448" t="s">
        <v>129</v>
      </c>
      <c r="I448" t="s">
        <v>129</v>
      </c>
      <c r="J448" t="s">
        <v>129</v>
      </c>
      <c r="P448" s="140">
        <v>8784</v>
      </c>
      <c r="Q448" s="140" t="s">
        <v>63</v>
      </c>
      <c r="R448" s="140" t="s">
        <v>63</v>
      </c>
      <c r="S448" s="143" t="s">
        <v>5</v>
      </c>
      <c r="T448" s="144">
        <v>43171.776643518519</v>
      </c>
      <c r="U448" s="89">
        <f t="shared" si="0"/>
        <v>43171.776643518519</v>
      </c>
      <c r="V448" s="90" t="str">
        <f t="shared" si="3"/>
        <v>18:38</v>
      </c>
      <c r="W448" s="91" t="str">
        <f t="shared" si="4"/>
        <v>-</v>
      </c>
      <c r="X448" s="92" t="str">
        <f t="shared" si="5"/>
        <v>-</v>
      </c>
      <c r="Y448" s="92" t="str">
        <f t="shared" si="15"/>
        <v>-</v>
      </c>
      <c r="Z448" s="93">
        <f t="shared" si="6"/>
        <v>0</v>
      </c>
      <c r="AA448" s="93"/>
      <c r="AB448" s="94">
        <f t="shared" si="7"/>
        <v>0</v>
      </c>
      <c r="AC448" s="94">
        <f t="shared" si="1"/>
        <v>0</v>
      </c>
      <c r="AF448">
        <f t="shared" si="8"/>
        <v>1</v>
      </c>
      <c r="AG448">
        <f t="shared" si="9"/>
        <v>1</v>
      </c>
      <c r="AH448">
        <f t="shared" si="10"/>
        <v>1</v>
      </c>
      <c r="AI448">
        <f t="shared" si="11"/>
        <v>1</v>
      </c>
      <c r="AJ448">
        <f t="shared" si="12"/>
        <v>1</v>
      </c>
      <c r="AK448">
        <f t="shared" si="13"/>
        <v>1</v>
      </c>
      <c r="AL448">
        <f t="shared" si="14"/>
        <v>1</v>
      </c>
    </row>
    <row r="449" spans="1:38">
      <c r="A449">
        <v>8785</v>
      </c>
      <c r="B449" t="s">
        <v>63</v>
      </c>
      <c r="C449" t="s">
        <v>63</v>
      </c>
      <c r="D449" t="s">
        <v>7</v>
      </c>
      <c r="E449" s="1">
        <v>43171.776655092595</v>
      </c>
      <c r="F449" s="465">
        <v>43171.776655092595</v>
      </c>
      <c r="G449" s="464">
        <v>0.77638888888888891</v>
      </c>
      <c r="H449" t="s">
        <v>129</v>
      </c>
      <c r="I449" t="s">
        <v>129</v>
      </c>
      <c r="J449" t="s">
        <v>129</v>
      </c>
      <c r="K449">
        <v>0.46666666666666501</v>
      </c>
      <c r="M449">
        <v>2</v>
      </c>
      <c r="N449">
        <v>0.54999999999999893</v>
      </c>
      <c r="P449" s="140">
        <v>8785</v>
      </c>
      <c r="Q449" s="140" t="s">
        <v>63</v>
      </c>
      <c r="R449" s="140" t="s">
        <v>63</v>
      </c>
      <c r="S449" s="143" t="s">
        <v>7</v>
      </c>
      <c r="T449" s="144">
        <v>43171.776655092595</v>
      </c>
      <c r="U449" s="89">
        <f t="shared" si="0"/>
        <v>43171.776655092595</v>
      </c>
      <c r="V449" s="90" t="str">
        <f t="shared" si="3"/>
        <v>18:38</v>
      </c>
      <c r="W449" s="91" t="str">
        <f t="shared" si="4"/>
        <v>-</v>
      </c>
      <c r="X449" s="92" t="str">
        <f t="shared" si="5"/>
        <v>-</v>
      </c>
      <c r="Y449" s="92" t="str">
        <f t="shared" si="15"/>
        <v>-</v>
      </c>
      <c r="Z449" s="93">
        <f t="shared" si="6"/>
        <v>0.46666666666666767</v>
      </c>
      <c r="AA449" s="93"/>
      <c r="AB449" s="94">
        <v>0</v>
      </c>
      <c r="AC449" s="94">
        <f>Z449</f>
        <v>0.46666666666666767</v>
      </c>
      <c r="AF449">
        <f t="shared" si="8"/>
        <v>1</v>
      </c>
      <c r="AG449">
        <f t="shared" si="9"/>
        <v>1</v>
      </c>
      <c r="AH449">
        <f t="shared" si="10"/>
        <v>1</v>
      </c>
      <c r="AI449">
        <f t="shared" si="11"/>
        <v>0</v>
      </c>
      <c r="AJ449">
        <f t="shared" si="12"/>
        <v>1</v>
      </c>
      <c r="AK449">
        <f t="shared" si="13"/>
        <v>0</v>
      </c>
      <c r="AL449">
        <f t="shared" si="14"/>
        <v>0</v>
      </c>
    </row>
    <row r="450" spans="1:38">
      <c r="A450">
        <v>8788</v>
      </c>
      <c r="B450" t="s">
        <v>63</v>
      </c>
      <c r="C450" t="s">
        <v>63</v>
      </c>
      <c r="D450" t="s">
        <v>8</v>
      </c>
      <c r="E450" s="1">
        <v>43171.796215277776</v>
      </c>
      <c r="F450" s="465">
        <v>43171.796215277776</v>
      </c>
      <c r="G450" s="464">
        <v>0.79583333333333339</v>
      </c>
      <c r="H450" t="s">
        <v>129</v>
      </c>
      <c r="I450" t="s">
        <v>129</v>
      </c>
      <c r="J450" t="s">
        <v>129</v>
      </c>
      <c r="P450" s="140">
        <v>8788</v>
      </c>
      <c r="Q450" s="140" t="s">
        <v>63</v>
      </c>
      <c r="R450" s="140" t="s">
        <v>63</v>
      </c>
      <c r="S450" s="143" t="s">
        <v>8</v>
      </c>
      <c r="T450" s="144">
        <v>43171.796215277776</v>
      </c>
      <c r="U450" s="89">
        <f t="shared" si="0"/>
        <v>43171.796215277776</v>
      </c>
      <c r="V450" s="90" t="str">
        <f t="shared" si="3"/>
        <v>19:6</v>
      </c>
      <c r="W450" s="91" t="str">
        <f t="shared" si="4"/>
        <v>-</v>
      </c>
      <c r="X450" s="92" t="str">
        <f t="shared" si="5"/>
        <v>-</v>
      </c>
      <c r="Y450" s="92" t="str">
        <f t="shared" si="15"/>
        <v>-</v>
      </c>
      <c r="Z450" s="93">
        <f t="shared" si="6"/>
        <v>0</v>
      </c>
      <c r="AA450" s="93"/>
      <c r="AB450" s="94">
        <f t="shared" si="7"/>
        <v>0</v>
      </c>
      <c r="AC450" s="94">
        <f t="shared" si="1"/>
        <v>0</v>
      </c>
      <c r="AF450">
        <f t="shared" si="8"/>
        <v>1</v>
      </c>
      <c r="AG450">
        <f t="shared" si="9"/>
        <v>1</v>
      </c>
      <c r="AH450">
        <f t="shared" si="10"/>
        <v>1</v>
      </c>
      <c r="AI450">
        <f t="shared" si="11"/>
        <v>1</v>
      </c>
      <c r="AJ450">
        <f t="shared" si="12"/>
        <v>1</v>
      </c>
      <c r="AK450">
        <f t="shared" si="13"/>
        <v>1</v>
      </c>
      <c r="AL450">
        <f t="shared" si="14"/>
        <v>1</v>
      </c>
    </row>
    <row r="451" spans="1:38">
      <c r="A451">
        <v>8792</v>
      </c>
      <c r="B451" t="s">
        <v>79</v>
      </c>
      <c r="C451" t="s">
        <v>63</v>
      </c>
      <c r="D451" t="s">
        <v>7</v>
      </c>
      <c r="E451" s="1">
        <v>43171.828460648147</v>
      </c>
      <c r="F451" s="465">
        <v>43171.828460648147</v>
      </c>
      <c r="G451" s="464">
        <v>0.82777777777777783</v>
      </c>
      <c r="H451" t="s">
        <v>129</v>
      </c>
      <c r="I451" t="s">
        <v>129</v>
      </c>
      <c r="J451" t="s">
        <v>129</v>
      </c>
      <c r="K451">
        <v>2.0833333333333339</v>
      </c>
      <c r="P451" s="140">
        <v>8792</v>
      </c>
      <c r="Q451" s="140" t="s">
        <v>79</v>
      </c>
      <c r="R451" s="140" t="s">
        <v>63</v>
      </c>
      <c r="S451" s="143" t="s">
        <v>7</v>
      </c>
      <c r="T451" s="144">
        <v>43171.828460648147</v>
      </c>
      <c r="U451" s="89">
        <f t="shared" si="0"/>
        <v>43171.828460648147</v>
      </c>
      <c r="V451" s="90" t="str">
        <f t="shared" si="3"/>
        <v>19:52</v>
      </c>
      <c r="W451" s="91" t="str">
        <f t="shared" si="4"/>
        <v>-</v>
      </c>
      <c r="X451" s="92" t="str">
        <f t="shared" si="5"/>
        <v>-</v>
      </c>
      <c r="Y451" s="92" t="str">
        <f t="shared" si="15"/>
        <v>-</v>
      </c>
      <c r="Z451" s="93">
        <f t="shared" si="6"/>
        <v>2.0833333333333313</v>
      </c>
      <c r="AA451" s="93"/>
      <c r="AB451" s="94">
        <f t="shared" si="7"/>
        <v>2</v>
      </c>
      <c r="AC451" s="94">
        <f t="shared" si="1"/>
        <v>8.3333333333331261E-2</v>
      </c>
      <c r="AF451">
        <f t="shared" si="8"/>
        <v>1</v>
      </c>
      <c r="AG451">
        <f t="shared" si="9"/>
        <v>1</v>
      </c>
      <c r="AH451">
        <f t="shared" si="10"/>
        <v>1</v>
      </c>
      <c r="AI451">
        <f t="shared" si="11"/>
        <v>1</v>
      </c>
      <c r="AJ451">
        <f t="shared" si="12"/>
        <v>1</v>
      </c>
      <c r="AK451">
        <f t="shared" si="13"/>
        <v>0</v>
      </c>
      <c r="AL451">
        <f t="shared" si="14"/>
        <v>0</v>
      </c>
    </row>
    <row r="452" spans="1:38">
      <c r="A452">
        <v>8799</v>
      </c>
      <c r="B452" t="s">
        <v>63</v>
      </c>
      <c r="C452" t="s">
        <v>63</v>
      </c>
      <c r="D452" t="s">
        <v>8</v>
      </c>
      <c r="E452" s="1">
        <v>43171.914884259262</v>
      </c>
      <c r="F452" s="465">
        <v>43171.914884259262</v>
      </c>
      <c r="G452" s="464">
        <v>0.9145833333333333</v>
      </c>
      <c r="H452" t="s">
        <v>129</v>
      </c>
      <c r="I452" t="s">
        <v>129</v>
      </c>
      <c r="J452" t="s">
        <v>129</v>
      </c>
      <c r="P452" s="140">
        <v>8799</v>
      </c>
      <c r="Q452" s="140" t="s">
        <v>63</v>
      </c>
      <c r="R452" s="140" t="s">
        <v>63</v>
      </c>
      <c r="S452" s="143" t="s">
        <v>8</v>
      </c>
      <c r="T452" s="144">
        <v>43171.914884259262</v>
      </c>
      <c r="U452" s="89">
        <f t="shared" si="0"/>
        <v>43171.914884259262</v>
      </c>
      <c r="V452" s="90" t="str">
        <f t="shared" si="3"/>
        <v>21:57</v>
      </c>
      <c r="W452" s="91" t="str">
        <f t="shared" si="4"/>
        <v>-</v>
      </c>
      <c r="X452" s="92" t="str">
        <f t="shared" si="5"/>
        <v>-</v>
      </c>
      <c r="Y452" s="92" t="str">
        <f t="shared" si="15"/>
        <v>-</v>
      </c>
      <c r="Z452" s="93">
        <f t="shared" si="6"/>
        <v>0</v>
      </c>
      <c r="AA452" s="93"/>
      <c r="AB452" s="94">
        <f t="shared" si="7"/>
        <v>0</v>
      </c>
      <c r="AC452" s="94">
        <f t="shared" si="1"/>
        <v>0</v>
      </c>
      <c r="AF452">
        <f t="shared" si="8"/>
        <v>1</v>
      </c>
      <c r="AG452">
        <f t="shared" si="9"/>
        <v>1</v>
      </c>
      <c r="AH452">
        <f t="shared" si="10"/>
        <v>1</v>
      </c>
      <c r="AI452">
        <f t="shared" si="11"/>
        <v>1</v>
      </c>
      <c r="AJ452">
        <f t="shared" si="12"/>
        <v>1</v>
      </c>
      <c r="AK452">
        <f t="shared" si="13"/>
        <v>1</v>
      </c>
      <c r="AL452">
        <f t="shared" si="14"/>
        <v>1</v>
      </c>
    </row>
    <row r="453" spans="1:38">
      <c r="A453">
        <v>8803</v>
      </c>
      <c r="B453" t="s">
        <v>79</v>
      </c>
      <c r="C453" t="s">
        <v>63</v>
      </c>
      <c r="D453" t="s">
        <v>6</v>
      </c>
      <c r="E453" s="1">
        <v>43172.363738425927</v>
      </c>
      <c r="F453" s="465">
        <v>43172.363738425927</v>
      </c>
      <c r="G453" s="464">
        <v>0.36319444444444443</v>
      </c>
      <c r="H453">
        <v>10.016666666666667</v>
      </c>
      <c r="I453">
        <v>8</v>
      </c>
      <c r="J453" t="s">
        <v>129</v>
      </c>
      <c r="P453" s="140">
        <v>8803</v>
      </c>
      <c r="Q453" s="140" t="s">
        <v>79</v>
      </c>
      <c r="R453" s="140" t="s">
        <v>63</v>
      </c>
      <c r="S453" s="143" t="s">
        <v>6</v>
      </c>
      <c r="T453" s="144">
        <v>43172.363738425927</v>
      </c>
      <c r="U453" s="89">
        <f t="shared" si="0"/>
        <v>43172.363738425927</v>
      </c>
      <c r="V453" s="90" t="str">
        <f t="shared" si="3"/>
        <v>8:43</v>
      </c>
      <c r="W453" s="91">
        <f t="shared" si="4"/>
        <v>10.016666666666667</v>
      </c>
      <c r="X453" s="92">
        <f t="shared" si="5"/>
        <v>8</v>
      </c>
      <c r="Y453" s="92" t="str">
        <f t="shared" si="15"/>
        <v>-</v>
      </c>
      <c r="Z453" s="93">
        <f t="shared" si="6"/>
        <v>0</v>
      </c>
      <c r="AA453" s="93"/>
      <c r="AB453" s="94">
        <f t="shared" si="7"/>
        <v>0</v>
      </c>
      <c r="AC453" s="94">
        <f t="shared" si="1"/>
        <v>0</v>
      </c>
      <c r="AF453">
        <f t="shared" si="8"/>
        <v>1</v>
      </c>
      <c r="AG453">
        <f t="shared" si="9"/>
        <v>1</v>
      </c>
      <c r="AH453">
        <f t="shared" si="10"/>
        <v>1</v>
      </c>
      <c r="AI453">
        <f t="shared" si="11"/>
        <v>1</v>
      </c>
      <c r="AJ453">
        <f t="shared" si="12"/>
        <v>1</v>
      </c>
      <c r="AK453">
        <f t="shared" si="13"/>
        <v>1</v>
      </c>
      <c r="AL453">
        <f t="shared" si="14"/>
        <v>1</v>
      </c>
    </row>
    <row r="454" spans="1:38">
      <c r="A454">
        <v>8825</v>
      </c>
      <c r="B454" t="s">
        <v>63</v>
      </c>
      <c r="C454" t="s">
        <v>63</v>
      </c>
      <c r="D454" t="s">
        <v>5</v>
      </c>
      <c r="E454" s="1">
        <v>43172.781076388892</v>
      </c>
      <c r="F454" s="465">
        <v>43172.781076388892</v>
      </c>
      <c r="G454" s="464">
        <v>0.78055555555555556</v>
      </c>
      <c r="H454" t="s">
        <v>129</v>
      </c>
      <c r="I454" t="s">
        <v>129</v>
      </c>
      <c r="J454" t="s">
        <v>129</v>
      </c>
      <c r="P454" s="140">
        <v>8825</v>
      </c>
      <c r="Q454" s="140" t="s">
        <v>63</v>
      </c>
      <c r="R454" s="140" t="s">
        <v>63</v>
      </c>
      <c r="S454" s="143" t="s">
        <v>5</v>
      </c>
      <c r="T454" s="144">
        <v>43172.781076388892</v>
      </c>
      <c r="U454" s="89">
        <f t="shared" si="0"/>
        <v>43172.781076388892</v>
      </c>
      <c r="V454" s="90" t="str">
        <f t="shared" si="3"/>
        <v>18:44</v>
      </c>
      <c r="W454" s="91" t="str">
        <f t="shared" si="4"/>
        <v>-</v>
      </c>
      <c r="X454" s="92" t="str">
        <f t="shared" si="5"/>
        <v>-</v>
      </c>
      <c r="Y454" s="92" t="str">
        <f t="shared" si="15"/>
        <v>-</v>
      </c>
      <c r="Z454" s="93">
        <f t="shared" si="6"/>
        <v>0</v>
      </c>
      <c r="AA454" s="93"/>
      <c r="AB454" s="94">
        <f t="shared" si="7"/>
        <v>0</v>
      </c>
      <c r="AC454" s="94">
        <f t="shared" si="1"/>
        <v>0</v>
      </c>
      <c r="AF454">
        <f t="shared" si="8"/>
        <v>1</v>
      </c>
      <c r="AG454">
        <f t="shared" si="9"/>
        <v>1</v>
      </c>
      <c r="AH454">
        <f t="shared" si="10"/>
        <v>1</v>
      </c>
      <c r="AI454">
        <f t="shared" si="11"/>
        <v>1</v>
      </c>
      <c r="AJ454">
        <f t="shared" si="12"/>
        <v>1</v>
      </c>
      <c r="AK454">
        <f t="shared" si="13"/>
        <v>1</v>
      </c>
      <c r="AL454">
        <f t="shared" si="14"/>
        <v>1</v>
      </c>
    </row>
    <row r="455" spans="1:38">
      <c r="A455">
        <v>8826</v>
      </c>
      <c r="B455" t="s">
        <v>63</v>
      </c>
      <c r="C455" t="s">
        <v>63</v>
      </c>
      <c r="D455" t="s">
        <v>7</v>
      </c>
      <c r="E455" s="1">
        <v>43172.781099537038</v>
      </c>
      <c r="F455" s="465">
        <v>43172.781099537038</v>
      </c>
      <c r="G455" s="464">
        <v>0.78055555555555556</v>
      </c>
      <c r="H455" t="s">
        <v>129</v>
      </c>
      <c r="I455" t="s">
        <v>129</v>
      </c>
      <c r="J455" t="s">
        <v>129</v>
      </c>
      <c r="K455">
        <v>3.0166666666666666</v>
      </c>
      <c r="M455">
        <v>2</v>
      </c>
      <c r="N455">
        <v>1.0166666666666666</v>
      </c>
      <c r="P455" s="140">
        <v>8826</v>
      </c>
      <c r="Q455" s="140" t="s">
        <v>63</v>
      </c>
      <c r="R455" s="140" t="s">
        <v>63</v>
      </c>
      <c r="S455" s="143" t="s">
        <v>7</v>
      </c>
      <c r="T455" s="144">
        <v>43172.781099537038</v>
      </c>
      <c r="U455" s="89">
        <f t="shared" si="0"/>
        <v>43172.781099537038</v>
      </c>
      <c r="V455" s="90" t="str">
        <f t="shared" si="3"/>
        <v>18:44</v>
      </c>
      <c r="W455" s="91" t="str">
        <f t="shared" si="4"/>
        <v>-</v>
      </c>
      <c r="X455" s="92" t="str">
        <f t="shared" si="5"/>
        <v>-</v>
      </c>
      <c r="Y455" s="92" t="str">
        <f t="shared" si="15"/>
        <v>-</v>
      </c>
      <c r="Z455" s="93">
        <f t="shared" si="6"/>
        <v>3.0166666666666666</v>
      </c>
      <c r="AA455" s="93"/>
      <c r="AB455" s="94">
        <f t="shared" si="7"/>
        <v>2</v>
      </c>
      <c r="AC455" s="94">
        <f t="shared" si="1"/>
        <v>1.0166666666666666</v>
      </c>
      <c r="AF455">
        <f t="shared" si="8"/>
        <v>1</v>
      </c>
      <c r="AG455">
        <f t="shared" si="9"/>
        <v>1</v>
      </c>
      <c r="AH455">
        <f t="shared" si="10"/>
        <v>1</v>
      </c>
      <c r="AI455">
        <f t="shared" si="11"/>
        <v>1</v>
      </c>
      <c r="AJ455">
        <f t="shared" si="12"/>
        <v>1</v>
      </c>
      <c r="AK455">
        <f t="shared" si="13"/>
        <v>1</v>
      </c>
      <c r="AL455">
        <f t="shared" si="14"/>
        <v>1</v>
      </c>
    </row>
    <row r="456" spans="1:38">
      <c r="A456">
        <v>8834</v>
      </c>
      <c r="B456" t="s">
        <v>63</v>
      </c>
      <c r="C456" t="s">
        <v>63</v>
      </c>
      <c r="D456" t="s">
        <v>8</v>
      </c>
      <c r="E456" s="1">
        <v>43172.906770833331</v>
      </c>
      <c r="F456" s="465">
        <v>43172.906770833331</v>
      </c>
      <c r="G456" s="464">
        <v>0.90625</v>
      </c>
      <c r="H456" t="s">
        <v>129</v>
      </c>
      <c r="I456" t="s">
        <v>129</v>
      </c>
      <c r="J456" t="s">
        <v>129</v>
      </c>
      <c r="P456" s="140">
        <v>8834</v>
      </c>
      <c r="Q456" s="140" t="s">
        <v>63</v>
      </c>
      <c r="R456" s="140" t="s">
        <v>63</v>
      </c>
      <c r="S456" s="143" t="s">
        <v>8</v>
      </c>
      <c r="T456" s="144">
        <v>43172.906770833331</v>
      </c>
      <c r="U456" s="89">
        <f t="shared" si="0"/>
        <v>43172.906770833331</v>
      </c>
      <c r="V456" s="90" t="str">
        <f t="shared" si="3"/>
        <v>21:45</v>
      </c>
      <c r="W456" s="91" t="str">
        <f t="shared" si="4"/>
        <v>-</v>
      </c>
      <c r="X456" s="92" t="str">
        <f t="shared" si="5"/>
        <v>-</v>
      </c>
      <c r="Y456" s="92" t="str">
        <f t="shared" si="15"/>
        <v>-</v>
      </c>
      <c r="Z456" s="93">
        <f t="shared" si="6"/>
        <v>0</v>
      </c>
      <c r="AA456" s="93"/>
      <c r="AB456" s="94">
        <f t="shared" si="7"/>
        <v>0</v>
      </c>
      <c r="AC456" s="94">
        <f t="shared" si="1"/>
        <v>0</v>
      </c>
      <c r="AF456">
        <f t="shared" si="8"/>
        <v>1</v>
      </c>
      <c r="AG456">
        <f t="shared" si="9"/>
        <v>1</v>
      </c>
      <c r="AH456">
        <f t="shared" si="10"/>
        <v>1</v>
      </c>
      <c r="AI456">
        <f t="shared" si="11"/>
        <v>1</v>
      </c>
      <c r="AJ456">
        <f t="shared" si="12"/>
        <v>1</v>
      </c>
      <c r="AK456">
        <f t="shared" si="13"/>
        <v>1</v>
      </c>
      <c r="AL456">
        <f t="shared" si="14"/>
        <v>1</v>
      </c>
    </row>
    <row r="457" spans="1:38">
      <c r="A457">
        <v>8840</v>
      </c>
      <c r="B457" t="s">
        <v>63</v>
      </c>
      <c r="C457" t="s">
        <v>63</v>
      </c>
      <c r="D457" t="s">
        <v>6</v>
      </c>
      <c r="E457" s="1">
        <v>43173.363900462966</v>
      </c>
      <c r="F457" s="465">
        <v>43173.363900462966</v>
      </c>
      <c r="G457" s="464">
        <v>0.36388888888888887</v>
      </c>
      <c r="H457">
        <v>10.016666666666667</v>
      </c>
      <c r="I457">
        <v>8</v>
      </c>
      <c r="J457" t="s">
        <v>129</v>
      </c>
      <c r="P457" s="140">
        <v>8840</v>
      </c>
      <c r="Q457" s="140" t="s">
        <v>63</v>
      </c>
      <c r="R457" s="140" t="s">
        <v>63</v>
      </c>
      <c r="S457" s="143" t="s">
        <v>6</v>
      </c>
      <c r="T457" s="144">
        <v>43173.363900462966</v>
      </c>
      <c r="U457" s="89">
        <f t="shared" si="0"/>
        <v>43173.363900462966</v>
      </c>
      <c r="V457" s="90" t="str">
        <f t="shared" si="3"/>
        <v>8:44</v>
      </c>
      <c r="W457" s="91">
        <f t="shared" si="4"/>
        <v>10.016666666666667</v>
      </c>
      <c r="X457" s="92">
        <f t="shared" si="5"/>
        <v>8</v>
      </c>
      <c r="Y457" s="92" t="str">
        <f t="shared" si="15"/>
        <v>-</v>
      </c>
      <c r="Z457" s="93">
        <f t="shared" si="6"/>
        <v>0</v>
      </c>
      <c r="AA457" s="93"/>
      <c r="AB457" s="94">
        <f t="shared" si="7"/>
        <v>0</v>
      </c>
      <c r="AC457" s="94">
        <f t="shared" si="1"/>
        <v>0</v>
      </c>
      <c r="AF457">
        <f t="shared" si="8"/>
        <v>1</v>
      </c>
      <c r="AG457">
        <f t="shared" si="9"/>
        <v>1</v>
      </c>
      <c r="AH457">
        <f t="shared" si="10"/>
        <v>1</v>
      </c>
      <c r="AI457">
        <f t="shared" si="11"/>
        <v>1</v>
      </c>
      <c r="AJ457">
        <f t="shared" si="12"/>
        <v>1</v>
      </c>
      <c r="AK457">
        <f t="shared" si="13"/>
        <v>1</v>
      </c>
      <c r="AL457">
        <f t="shared" si="14"/>
        <v>1</v>
      </c>
    </row>
    <row r="458" spans="1:38">
      <c r="A458">
        <v>8858</v>
      </c>
      <c r="B458" t="s">
        <v>63</v>
      </c>
      <c r="C458" t="s">
        <v>63</v>
      </c>
      <c r="D458" t="s">
        <v>5</v>
      </c>
      <c r="E458" s="1">
        <v>43173.781793981485</v>
      </c>
      <c r="F458" s="465">
        <v>43173.781793981485</v>
      </c>
      <c r="G458" s="464">
        <v>0.78125</v>
      </c>
      <c r="H458" t="s">
        <v>129</v>
      </c>
      <c r="I458" t="s">
        <v>129</v>
      </c>
      <c r="J458" t="s">
        <v>129</v>
      </c>
      <c r="P458" s="140">
        <v>8858</v>
      </c>
      <c r="Q458" s="140" t="s">
        <v>63</v>
      </c>
      <c r="R458" s="140" t="s">
        <v>63</v>
      </c>
      <c r="S458" s="143" t="s">
        <v>5</v>
      </c>
      <c r="T458" s="144">
        <v>43173.781793981485</v>
      </c>
      <c r="U458" s="89">
        <f t="shared" si="0"/>
        <v>43173.781793981485</v>
      </c>
      <c r="V458" s="90" t="str">
        <f t="shared" si="3"/>
        <v>18:45</v>
      </c>
      <c r="W458" s="91" t="str">
        <f t="shared" si="4"/>
        <v>-</v>
      </c>
      <c r="X458" s="92" t="str">
        <f t="shared" si="5"/>
        <v>-</v>
      </c>
      <c r="Y458" s="92" t="str">
        <f t="shared" si="15"/>
        <v>-</v>
      </c>
      <c r="Z458" s="93">
        <f t="shared" si="6"/>
        <v>0</v>
      </c>
      <c r="AA458" s="93"/>
      <c r="AB458" s="94">
        <f t="shared" si="7"/>
        <v>0</v>
      </c>
      <c r="AC458" s="94">
        <f t="shared" si="1"/>
        <v>0</v>
      </c>
      <c r="AF458">
        <f t="shared" si="8"/>
        <v>1</v>
      </c>
      <c r="AG458">
        <f t="shared" si="9"/>
        <v>1</v>
      </c>
      <c r="AH458">
        <f t="shared" si="10"/>
        <v>1</v>
      </c>
      <c r="AI458">
        <f t="shared" si="11"/>
        <v>1</v>
      </c>
      <c r="AJ458">
        <f t="shared" si="12"/>
        <v>1</v>
      </c>
      <c r="AK458">
        <f t="shared" si="13"/>
        <v>1</v>
      </c>
      <c r="AL458">
        <f t="shared" si="14"/>
        <v>1</v>
      </c>
    </row>
    <row r="459" spans="1:38">
      <c r="A459">
        <v>8859</v>
      </c>
      <c r="B459" t="s">
        <v>63</v>
      </c>
      <c r="C459" t="s">
        <v>63</v>
      </c>
      <c r="D459" t="s">
        <v>7</v>
      </c>
      <c r="E459" s="1">
        <v>43173.781805555554</v>
      </c>
      <c r="F459" s="465">
        <v>43173.781805555554</v>
      </c>
      <c r="G459" s="464">
        <v>0.78125</v>
      </c>
      <c r="H459" t="s">
        <v>129</v>
      </c>
      <c r="I459" t="s">
        <v>129</v>
      </c>
      <c r="J459" t="s">
        <v>129</v>
      </c>
      <c r="K459">
        <v>2.7833333333333341</v>
      </c>
      <c r="M459">
        <v>2</v>
      </c>
      <c r="N459">
        <v>0.7833333333333341</v>
      </c>
      <c r="P459" s="140">
        <v>8859</v>
      </c>
      <c r="Q459" s="140" t="s">
        <v>63</v>
      </c>
      <c r="R459" s="140" t="s">
        <v>63</v>
      </c>
      <c r="S459" s="143" t="s">
        <v>7</v>
      </c>
      <c r="T459" s="144">
        <v>43173.781805555554</v>
      </c>
      <c r="U459" s="89">
        <f t="shared" si="0"/>
        <v>43173.781805555554</v>
      </c>
      <c r="V459" s="90" t="str">
        <f t="shared" si="3"/>
        <v>18:45</v>
      </c>
      <c r="W459" s="91" t="str">
        <f t="shared" si="4"/>
        <v>-</v>
      </c>
      <c r="X459" s="92" t="str">
        <f t="shared" si="5"/>
        <v>-</v>
      </c>
      <c r="Y459" s="92" t="str">
        <f t="shared" si="15"/>
        <v>-</v>
      </c>
      <c r="Z459" s="93">
        <f t="shared" si="6"/>
        <v>2.7833333333333341</v>
      </c>
      <c r="AA459" s="93"/>
      <c r="AB459" s="94">
        <f t="shared" si="7"/>
        <v>2</v>
      </c>
      <c r="AC459" s="94">
        <f t="shared" si="1"/>
        <v>0.7833333333333341</v>
      </c>
      <c r="AF459">
        <f t="shared" si="8"/>
        <v>1</v>
      </c>
      <c r="AG459">
        <f t="shared" si="9"/>
        <v>1</v>
      </c>
      <c r="AH459">
        <f t="shared" si="10"/>
        <v>1</v>
      </c>
      <c r="AI459">
        <f t="shared" si="11"/>
        <v>1</v>
      </c>
      <c r="AJ459">
        <f t="shared" si="12"/>
        <v>1</v>
      </c>
      <c r="AK459">
        <f t="shared" si="13"/>
        <v>1</v>
      </c>
      <c r="AL459">
        <f t="shared" si="14"/>
        <v>1</v>
      </c>
    </row>
    <row r="460" spans="1:38">
      <c r="A460">
        <v>8871</v>
      </c>
      <c r="B460" t="s">
        <v>63</v>
      </c>
      <c r="C460" t="s">
        <v>63</v>
      </c>
      <c r="D460" t="s">
        <v>8</v>
      </c>
      <c r="E460" s="1">
        <v>43173.897604166668</v>
      </c>
      <c r="F460" s="465">
        <v>43173.897604166668</v>
      </c>
      <c r="G460" s="464">
        <v>0.89722222222222225</v>
      </c>
      <c r="H460" t="s">
        <v>129</v>
      </c>
      <c r="I460" t="s">
        <v>129</v>
      </c>
      <c r="J460" t="s">
        <v>129</v>
      </c>
      <c r="P460" s="140">
        <v>8871</v>
      </c>
      <c r="Q460" s="140" t="s">
        <v>63</v>
      </c>
      <c r="R460" s="140" t="s">
        <v>63</v>
      </c>
      <c r="S460" s="143" t="s">
        <v>8</v>
      </c>
      <c r="T460" s="144">
        <v>43173.897604166668</v>
      </c>
      <c r="U460" s="89">
        <f t="shared" si="0"/>
        <v>43173.897604166668</v>
      </c>
      <c r="V460" s="90" t="str">
        <f t="shared" si="3"/>
        <v>21:32</v>
      </c>
      <c r="W460" s="91" t="str">
        <f t="shared" si="4"/>
        <v>-</v>
      </c>
      <c r="X460" s="92" t="str">
        <f t="shared" si="5"/>
        <v>-</v>
      </c>
      <c r="Y460" s="92" t="str">
        <f t="shared" si="15"/>
        <v>-</v>
      </c>
      <c r="Z460" s="93">
        <f t="shared" si="6"/>
        <v>0</v>
      </c>
      <c r="AA460" s="93"/>
      <c r="AB460" s="94">
        <f t="shared" si="7"/>
        <v>0</v>
      </c>
      <c r="AC460" s="94">
        <f t="shared" si="1"/>
        <v>0</v>
      </c>
      <c r="AF460">
        <f t="shared" si="8"/>
        <v>1</v>
      </c>
      <c r="AG460">
        <f t="shared" si="9"/>
        <v>1</v>
      </c>
      <c r="AH460">
        <f t="shared" si="10"/>
        <v>1</v>
      </c>
      <c r="AI460">
        <f t="shared" si="11"/>
        <v>1</v>
      </c>
      <c r="AJ460">
        <f t="shared" si="12"/>
        <v>1</v>
      </c>
      <c r="AK460">
        <f t="shared" si="13"/>
        <v>1</v>
      </c>
      <c r="AL460">
        <f t="shared" si="14"/>
        <v>1</v>
      </c>
    </row>
    <row r="461" spans="1:38">
      <c r="A461">
        <v>8880</v>
      </c>
      <c r="B461" t="s">
        <v>63</v>
      </c>
      <c r="C461" t="s">
        <v>63</v>
      </c>
      <c r="D461" t="s">
        <v>6</v>
      </c>
      <c r="E461" s="1">
        <v>43174.37332175926</v>
      </c>
      <c r="F461" s="465">
        <v>43174.37332175926</v>
      </c>
      <c r="G461" s="464">
        <v>0.37291666666666662</v>
      </c>
      <c r="H461">
        <v>9.5833333333333339</v>
      </c>
      <c r="I461">
        <v>8</v>
      </c>
      <c r="J461" t="s">
        <v>129</v>
      </c>
      <c r="P461" s="140">
        <v>8880</v>
      </c>
      <c r="Q461" s="140" t="s">
        <v>63</v>
      </c>
      <c r="R461" s="140" t="s">
        <v>63</v>
      </c>
      <c r="S461" s="143" t="s">
        <v>6</v>
      </c>
      <c r="T461" s="144">
        <v>43174.37332175926</v>
      </c>
      <c r="U461" s="89">
        <f t="shared" si="0"/>
        <v>43174.37332175926</v>
      </c>
      <c r="V461" s="90" t="str">
        <f t="shared" si="3"/>
        <v>8:57</v>
      </c>
      <c r="W461" s="91">
        <f t="shared" si="4"/>
        <v>9.5833333333333357</v>
      </c>
      <c r="X461" s="92">
        <f t="shared" si="5"/>
        <v>8</v>
      </c>
      <c r="Y461" s="92" t="str">
        <f t="shared" si="15"/>
        <v>-</v>
      </c>
      <c r="Z461" s="93">
        <f t="shared" si="6"/>
        <v>0</v>
      </c>
      <c r="AA461" s="93"/>
      <c r="AB461" s="94">
        <f t="shared" si="7"/>
        <v>0</v>
      </c>
      <c r="AC461" s="94">
        <f t="shared" si="1"/>
        <v>0</v>
      </c>
      <c r="AF461">
        <f t="shared" si="8"/>
        <v>0</v>
      </c>
      <c r="AG461">
        <f t="shared" si="9"/>
        <v>1</v>
      </c>
      <c r="AH461">
        <f t="shared" si="10"/>
        <v>1</v>
      </c>
      <c r="AI461">
        <f t="shared" si="11"/>
        <v>1</v>
      </c>
      <c r="AJ461">
        <f t="shared" si="12"/>
        <v>1</v>
      </c>
      <c r="AK461">
        <f t="shared" si="13"/>
        <v>1</v>
      </c>
      <c r="AL461">
        <f t="shared" si="14"/>
        <v>1</v>
      </c>
    </row>
    <row r="462" spans="1:38">
      <c r="A462">
        <v>8891</v>
      </c>
      <c r="B462" t="s">
        <v>63</v>
      </c>
      <c r="C462" t="s">
        <v>63</v>
      </c>
      <c r="D462" t="s">
        <v>5</v>
      </c>
      <c r="E462" s="1">
        <v>43174.772233796299</v>
      </c>
      <c r="F462" s="465">
        <v>43174.772233796299</v>
      </c>
      <c r="G462" s="464">
        <v>0.77222222222222225</v>
      </c>
      <c r="H462" t="s">
        <v>129</v>
      </c>
      <c r="I462" t="s">
        <v>129</v>
      </c>
      <c r="J462" t="s">
        <v>129</v>
      </c>
      <c r="P462" s="140">
        <v>8891</v>
      </c>
      <c r="Q462" s="140" t="s">
        <v>63</v>
      </c>
      <c r="R462" s="140" t="s">
        <v>63</v>
      </c>
      <c r="S462" s="143" t="s">
        <v>5</v>
      </c>
      <c r="T462" s="144">
        <v>43174.772233796299</v>
      </c>
      <c r="U462" s="89">
        <f t="shared" si="0"/>
        <v>43174.772233796299</v>
      </c>
      <c r="V462" s="90" t="str">
        <f t="shared" si="3"/>
        <v>18:32</v>
      </c>
      <c r="W462" s="91" t="str">
        <f t="shared" si="4"/>
        <v>-</v>
      </c>
      <c r="X462" s="92" t="str">
        <f t="shared" si="5"/>
        <v>-</v>
      </c>
      <c r="Y462" s="92" t="str">
        <f t="shared" si="15"/>
        <v>-</v>
      </c>
      <c r="Z462" s="93">
        <f t="shared" si="6"/>
        <v>0</v>
      </c>
      <c r="AA462" s="93"/>
      <c r="AB462" s="94">
        <f t="shared" si="7"/>
        <v>0</v>
      </c>
      <c r="AC462" s="94">
        <f t="shared" si="1"/>
        <v>0</v>
      </c>
      <c r="AF462">
        <f t="shared" si="8"/>
        <v>1</v>
      </c>
      <c r="AG462">
        <f t="shared" si="9"/>
        <v>1</v>
      </c>
      <c r="AH462">
        <f t="shared" si="10"/>
        <v>1</v>
      </c>
      <c r="AI462">
        <f t="shared" si="11"/>
        <v>1</v>
      </c>
      <c r="AJ462">
        <f t="shared" si="12"/>
        <v>1</v>
      </c>
      <c r="AK462">
        <f t="shared" si="13"/>
        <v>1</v>
      </c>
      <c r="AL462">
        <f t="shared" si="14"/>
        <v>1</v>
      </c>
    </row>
    <row r="463" spans="1:38">
      <c r="A463">
        <v>8892</v>
      </c>
      <c r="B463" t="s">
        <v>63</v>
      </c>
      <c r="C463" t="s">
        <v>63</v>
      </c>
      <c r="D463" t="s">
        <v>7</v>
      </c>
      <c r="E463" s="1">
        <v>43174.772280092591</v>
      </c>
      <c r="F463" s="465">
        <v>43174.772280092591</v>
      </c>
      <c r="G463" s="464">
        <v>0.77222222222222225</v>
      </c>
      <c r="H463" t="s">
        <v>129</v>
      </c>
      <c r="I463" t="s">
        <v>129</v>
      </c>
      <c r="J463" t="s">
        <v>129</v>
      </c>
      <c r="K463">
        <v>3.4333333333333318</v>
      </c>
      <c r="M463">
        <v>2</v>
      </c>
      <c r="N463">
        <v>1.4333333333333318</v>
      </c>
      <c r="P463" s="140">
        <v>8892</v>
      </c>
      <c r="Q463" s="140" t="s">
        <v>63</v>
      </c>
      <c r="R463" s="140" t="s">
        <v>63</v>
      </c>
      <c r="S463" s="143" t="s">
        <v>7</v>
      </c>
      <c r="T463" s="144">
        <v>43174.772280092591</v>
      </c>
      <c r="U463" s="89">
        <f t="shared" si="0"/>
        <v>43174.772280092591</v>
      </c>
      <c r="V463" s="90" t="str">
        <f t="shared" si="3"/>
        <v>18:32</v>
      </c>
      <c r="W463" s="91" t="str">
        <f t="shared" si="4"/>
        <v>-</v>
      </c>
      <c r="X463" s="92" t="str">
        <f t="shared" si="5"/>
        <v>-</v>
      </c>
      <c r="Y463" s="92" t="str">
        <f t="shared" si="15"/>
        <v>-</v>
      </c>
      <c r="Z463" s="93">
        <f t="shared" si="6"/>
        <v>3.4333333333333318</v>
      </c>
      <c r="AA463" s="93"/>
      <c r="AB463" s="94">
        <f t="shared" si="7"/>
        <v>2</v>
      </c>
      <c r="AC463" s="94">
        <f t="shared" si="1"/>
        <v>1.4333333333333318</v>
      </c>
      <c r="AF463">
        <f t="shared" si="8"/>
        <v>1</v>
      </c>
      <c r="AG463">
        <f t="shared" si="9"/>
        <v>1</v>
      </c>
      <c r="AH463">
        <f t="shared" si="10"/>
        <v>1</v>
      </c>
      <c r="AI463">
        <f t="shared" si="11"/>
        <v>1</v>
      </c>
      <c r="AJ463">
        <f t="shared" si="12"/>
        <v>1</v>
      </c>
      <c r="AK463">
        <f t="shared" si="13"/>
        <v>1</v>
      </c>
      <c r="AL463">
        <f t="shared" si="14"/>
        <v>1</v>
      </c>
    </row>
    <row r="464" spans="1:38">
      <c r="A464">
        <v>8905</v>
      </c>
      <c r="B464" t="s">
        <v>63</v>
      </c>
      <c r="C464" t="s">
        <v>63</v>
      </c>
      <c r="D464" t="s">
        <v>8</v>
      </c>
      <c r="E464" s="1">
        <v>43174.915555555555</v>
      </c>
      <c r="F464" s="465">
        <v>43174.915555555555</v>
      </c>
      <c r="G464" s="464">
        <v>0.91527777777777775</v>
      </c>
      <c r="H464" t="s">
        <v>129</v>
      </c>
      <c r="I464" t="s">
        <v>129</v>
      </c>
      <c r="J464" t="s">
        <v>129</v>
      </c>
      <c r="P464" s="140">
        <v>8905</v>
      </c>
      <c r="Q464" s="140" t="s">
        <v>63</v>
      </c>
      <c r="R464" s="140" t="s">
        <v>63</v>
      </c>
      <c r="S464" s="143" t="s">
        <v>8</v>
      </c>
      <c r="T464" s="144">
        <v>43174.915555555555</v>
      </c>
      <c r="U464" s="89">
        <f t="shared" si="0"/>
        <v>43174.915555555555</v>
      </c>
      <c r="V464" s="90" t="str">
        <f t="shared" si="3"/>
        <v>21:58</v>
      </c>
      <c r="W464" s="91" t="str">
        <f t="shared" si="4"/>
        <v>-</v>
      </c>
      <c r="X464" s="92" t="str">
        <f t="shared" si="5"/>
        <v>-</v>
      </c>
      <c r="Y464" s="92" t="str">
        <f t="shared" si="15"/>
        <v>-</v>
      </c>
      <c r="Z464" s="93">
        <f t="shared" si="6"/>
        <v>0</v>
      </c>
      <c r="AA464" s="93"/>
      <c r="AB464" s="94">
        <f t="shared" si="7"/>
        <v>0</v>
      </c>
      <c r="AC464" s="94">
        <f t="shared" si="1"/>
        <v>0</v>
      </c>
      <c r="AF464">
        <f t="shared" si="8"/>
        <v>1</v>
      </c>
      <c r="AG464">
        <f t="shared" si="9"/>
        <v>1</v>
      </c>
      <c r="AH464">
        <f t="shared" si="10"/>
        <v>1</v>
      </c>
      <c r="AI464">
        <f t="shared" si="11"/>
        <v>1</v>
      </c>
      <c r="AJ464">
        <f t="shared" si="12"/>
        <v>1</v>
      </c>
      <c r="AK464">
        <f t="shared" si="13"/>
        <v>1</v>
      </c>
      <c r="AL464">
        <f t="shared" si="14"/>
        <v>1</v>
      </c>
    </row>
    <row r="465" spans="1:38">
      <c r="A465">
        <v>8915</v>
      </c>
      <c r="B465" t="s">
        <v>63</v>
      </c>
      <c r="C465" t="s">
        <v>63</v>
      </c>
      <c r="D465" t="s">
        <v>6</v>
      </c>
      <c r="E465" s="1">
        <v>43175.37158564815</v>
      </c>
      <c r="F465" s="465">
        <v>43175.37158564815</v>
      </c>
      <c r="G465" s="464">
        <v>0.37152777777777773</v>
      </c>
      <c r="H465">
        <v>9.65</v>
      </c>
      <c r="I465">
        <v>8</v>
      </c>
      <c r="J465" t="s">
        <v>129</v>
      </c>
      <c r="P465" s="140">
        <v>8915</v>
      </c>
      <c r="Q465" s="140" t="s">
        <v>63</v>
      </c>
      <c r="R465" s="140" t="s">
        <v>63</v>
      </c>
      <c r="S465" s="143" t="s">
        <v>6</v>
      </c>
      <c r="T465" s="144">
        <v>43175.37158564815</v>
      </c>
      <c r="U465" s="89">
        <f t="shared" si="0"/>
        <v>43175.37158564815</v>
      </c>
      <c r="V465" s="90" t="str">
        <f t="shared" si="3"/>
        <v>8:55</v>
      </c>
      <c r="W465" s="91">
        <f t="shared" si="4"/>
        <v>9.6500000000000021</v>
      </c>
      <c r="X465" s="92">
        <f t="shared" si="5"/>
        <v>8</v>
      </c>
      <c r="Y465" s="92" t="str">
        <f t="shared" si="15"/>
        <v>-</v>
      </c>
      <c r="Z465" s="93">
        <f t="shared" si="6"/>
        <v>0</v>
      </c>
      <c r="AA465" s="93"/>
      <c r="AB465" s="94">
        <f t="shared" si="7"/>
        <v>0</v>
      </c>
      <c r="AC465" s="94">
        <f t="shared" si="1"/>
        <v>0</v>
      </c>
      <c r="AF465">
        <f t="shared" si="8"/>
        <v>1</v>
      </c>
      <c r="AG465">
        <f t="shared" si="9"/>
        <v>1</v>
      </c>
      <c r="AH465">
        <f t="shared" si="10"/>
        <v>1</v>
      </c>
      <c r="AI465">
        <f t="shared" si="11"/>
        <v>1</v>
      </c>
      <c r="AJ465">
        <f t="shared" si="12"/>
        <v>1</v>
      </c>
      <c r="AK465">
        <f t="shared" si="13"/>
        <v>1</v>
      </c>
      <c r="AL465">
        <f t="shared" si="14"/>
        <v>1</v>
      </c>
    </row>
    <row r="466" spans="1:38">
      <c r="A466">
        <v>8925</v>
      </c>
      <c r="B466" t="s">
        <v>63</v>
      </c>
      <c r="C466" t="s">
        <v>63</v>
      </c>
      <c r="D466" t="s">
        <v>5</v>
      </c>
      <c r="E466" s="1">
        <v>43175.774097222224</v>
      </c>
      <c r="F466" s="465">
        <v>43175.774097222224</v>
      </c>
      <c r="G466" s="464">
        <v>0.77361111111111114</v>
      </c>
      <c r="H466" t="s">
        <v>129</v>
      </c>
      <c r="I466" t="s">
        <v>129</v>
      </c>
      <c r="J466" t="s">
        <v>129</v>
      </c>
      <c r="P466" s="140">
        <v>8925</v>
      </c>
      <c r="Q466" s="140" t="s">
        <v>63</v>
      </c>
      <c r="R466" s="140" t="s">
        <v>63</v>
      </c>
      <c r="S466" s="143" t="s">
        <v>5</v>
      </c>
      <c r="T466" s="144">
        <v>43175.774097222224</v>
      </c>
      <c r="U466" s="89">
        <f t="shared" si="0"/>
        <v>43175.774097222224</v>
      </c>
      <c r="V466" s="90" t="str">
        <f t="shared" si="3"/>
        <v>18:34</v>
      </c>
      <c r="W466" s="91" t="str">
        <f t="shared" si="4"/>
        <v>-</v>
      </c>
      <c r="X466" s="92" t="str">
        <f t="shared" si="5"/>
        <v>-</v>
      </c>
      <c r="Y466" s="92" t="str">
        <f t="shared" si="15"/>
        <v>-</v>
      </c>
      <c r="Z466" s="93">
        <f t="shared" si="6"/>
        <v>0</v>
      </c>
      <c r="AA466" s="93"/>
      <c r="AB466" s="94">
        <f t="shared" si="7"/>
        <v>0</v>
      </c>
      <c r="AC466" s="94">
        <f t="shared" si="1"/>
        <v>0</v>
      </c>
      <c r="AF466">
        <f t="shared" si="8"/>
        <v>1</v>
      </c>
      <c r="AG466">
        <f t="shared" si="9"/>
        <v>1</v>
      </c>
      <c r="AH466">
        <f t="shared" si="10"/>
        <v>1</v>
      </c>
      <c r="AI466">
        <f t="shared" si="11"/>
        <v>1</v>
      </c>
      <c r="AJ466">
        <f t="shared" si="12"/>
        <v>1</v>
      </c>
      <c r="AK466">
        <f t="shared" si="13"/>
        <v>1</v>
      </c>
      <c r="AL466">
        <f t="shared" si="14"/>
        <v>1</v>
      </c>
    </row>
    <row r="467" spans="1:38">
      <c r="A467">
        <v>8926</v>
      </c>
      <c r="B467" t="s">
        <v>63</v>
      </c>
      <c r="C467" t="s">
        <v>63</v>
      </c>
      <c r="D467" t="s">
        <v>7</v>
      </c>
      <c r="E467" s="1">
        <v>43175.774108796293</v>
      </c>
      <c r="F467" s="465">
        <v>43175.774108796293</v>
      </c>
      <c r="G467" s="464">
        <v>0.77361111111111114</v>
      </c>
      <c r="H467" t="s">
        <v>129</v>
      </c>
      <c r="I467" t="s">
        <v>129</v>
      </c>
      <c r="J467" t="s">
        <v>129</v>
      </c>
      <c r="K467">
        <v>0.34999999999999876</v>
      </c>
      <c r="M467">
        <v>2</v>
      </c>
      <c r="N467">
        <v>0.23333333333333339</v>
      </c>
      <c r="P467" s="140">
        <v>8926</v>
      </c>
      <c r="Q467" s="140" t="s">
        <v>63</v>
      </c>
      <c r="R467" s="140" t="s">
        <v>63</v>
      </c>
      <c r="S467" s="143" t="s">
        <v>7</v>
      </c>
      <c r="T467" s="144">
        <v>43175.774108796293</v>
      </c>
      <c r="U467" s="89">
        <f t="shared" si="0"/>
        <v>43175.774108796293</v>
      </c>
      <c r="V467" s="90" t="str">
        <f t="shared" si="3"/>
        <v>18:34</v>
      </c>
      <c r="W467" s="91" t="str">
        <f t="shared" si="4"/>
        <v>-</v>
      </c>
      <c r="X467" s="92" t="str">
        <f t="shared" si="5"/>
        <v>-</v>
      </c>
      <c r="Y467" s="92" t="str">
        <f t="shared" si="15"/>
        <v>-</v>
      </c>
      <c r="Z467" s="93">
        <f t="shared" si="6"/>
        <v>0.35000000000000142</v>
      </c>
      <c r="AA467" s="93"/>
      <c r="AB467" s="94">
        <f t="shared" si="7"/>
        <v>0.35000000000000142</v>
      </c>
      <c r="AC467" s="94">
        <f t="shared" si="1"/>
        <v>0</v>
      </c>
      <c r="AF467">
        <f t="shared" si="8"/>
        <v>1</v>
      </c>
      <c r="AG467">
        <f t="shared" si="9"/>
        <v>1</v>
      </c>
      <c r="AH467">
        <f t="shared" si="10"/>
        <v>1</v>
      </c>
      <c r="AI467">
        <f t="shared" si="11"/>
        <v>0</v>
      </c>
      <c r="AJ467">
        <f t="shared" si="12"/>
        <v>1</v>
      </c>
      <c r="AK467">
        <f t="shared" si="13"/>
        <v>0</v>
      </c>
      <c r="AL467">
        <f t="shared" si="14"/>
        <v>0</v>
      </c>
    </row>
    <row r="468" spans="1:38">
      <c r="A468">
        <v>8931</v>
      </c>
      <c r="B468" t="s">
        <v>63</v>
      </c>
      <c r="C468" t="s">
        <v>63</v>
      </c>
      <c r="D468" t="s">
        <v>8</v>
      </c>
      <c r="E468" s="1">
        <v>43175.788819444446</v>
      </c>
      <c r="F468" s="465">
        <v>43175.788819444446</v>
      </c>
      <c r="G468" s="464">
        <v>0.78819444444444453</v>
      </c>
      <c r="H468" t="s">
        <v>129</v>
      </c>
      <c r="I468" t="s">
        <v>129</v>
      </c>
      <c r="J468" t="s">
        <v>129</v>
      </c>
      <c r="P468" s="140">
        <v>8931</v>
      </c>
      <c r="Q468" s="140" t="s">
        <v>63</v>
      </c>
      <c r="R468" s="140" t="s">
        <v>63</v>
      </c>
      <c r="S468" s="143" t="s">
        <v>8</v>
      </c>
      <c r="T468" s="144">
        <v>43175.788819444446</v>
      </c>
      <c r="U468" s="89">
        <f t="shared" si="0"/>
        <v>43175.788819444446</v>
      </c>
      <c r="V468" s="90" t="str">
        <f t="shared" si="3"/>
        <v>18:55</v>
      </c>
      <c r="W468" s="91" t="str">
        <f t="shared" si="4"/>
        <v>-</v>
      </c>
      <c r="X468" s="92" t="str">
        <f t="shared" si="5"/>
        <v>-</v>
      </c>
      <c r="Y468" s="92" t="str">
        <f t="shared" si="15"/>
        <v>-</v>
      </c>
      <c r="Z468" s="93">
        <f t="shared" si="6"/>
        <v>0</v>
      </c>
      <c r="AA468" s="93"/>
      <c r="AB468" s="94">
        <f t="shared" si="7"/>
        <v>0</v>
      </c>
      <c r="AC468" s="94">
        <f t="shared" si="1"/>
        <v>0</v>
      </c>
      <c r="AF468">
        <f t="shared" si="8"/>
        <v>1</v>
      </c>
      <c r="AG468">
        <f t="shared" si="9"/>
        <v>1</v>
      </c>
      <c r="AH468">
        <f t="shared" si="10"/>
        <v>1</v>
      </c>
      <c r="AI468">
        <f t="shared" si="11"/>
        <v>1</v>
      </c>
      <c r="AJ468">
        <f t="shared" si="12"/>
        <v>1</v>
      </c>
      <c r="AK468">
        <f t="shared" si="13"/>
        <v>1</v>
      </c>
      <c r="AL468">
        <f t="shared" si="14"/>
        <v>1</v>
      </c>
    </row>
    <row r="469" spans="1:38">
      <c r="A469">
        <v>8937</v>
      </c>
      <c r="B469" t="s">
        <v>63</v>
      </c>
      <c r="C469" t="s">
        <v>63</v>
      </c>
      <c r="D469" t="s">
        <v>7</v>
      </c>
      <c r="E469" s="1">
        <v>43175.827546296299</v>
      </c>
      <c r="F469" s="465">
        <v>43175.827546296299</v>
      </c>
      <c r="G469" s="464">
        <v>0.82708333333333339</v>
      </c>
      <c r="H469" t="s">
        <v>129</v>
      </c>
      <c r="I469" t="s">
        <v>129</v>
      </c>
      <c r="J469" t="s">
        <v>129</v>
      </c>
      <c r="K469">
        <v>1.8833333333333346</v>
      </c>
      <c r="P469" s="140">
        <v>8937</v>
      </c>
      <c r="Q469" s="140" t="s">
        <v>63</v>
      </c>
      <c r="R469" s="140" t="s">
        <v>63</v>
      </c>
      <c r="S469" s="143" t="s">
        <v>7</v>
      </c>
      <c r="T469" s="144">
        <v>43175.827546296299</v>
      </c>
      <c r="U469" s="89">
        <f t="shared" si="0"/>
        <v>43175.827546296299</v>
      </c>
      <c r="V469" s="90" t="str">
        <f t="shared" si="3"/>
        <v>19:51</v>
      </c>
      <c r="W469" s="91" t="str">
        <f t="shared" si="4"/>
        <v>-</v>
      </c>
      <c r="X469" s="92" t="str">
        <f t="shared" si="5"/>
        <v>-</v>
      </c>
      <c r="Y469" s="92" t="str">
        <f t="shared" si="15"/>
        <v>-</v>
      </c>
      <c r="Z469" s="93">
        <f t="shared" si="6"/>
        <v>1.883333333333332</v>
      </c>
      <c r="AA469" s="93"/>
      <c r="AB469" s="94">
        <f t="shared" si="7"/>
        <v>1.883333333333332</v>
      </c>
      <c r="AC469" s="94">
        <f t="shared" si="1"/>
        <v>0</v>
      </c>
      <c r="AF469">
        <f t="shared" si="8"/>
        <v>1</v>
      </c>
      <c r="AG469">
        <f t="shared" si="9"/>
        <v>1</v>
      </c>
      <c r="AH469">
        <f t="shared" si="10"/>
        <v>1</v>
      </c>
      <c r="AI469">
        <f t="shared" si="11"/>
        <v>1</v>
      </c>
      <c r="AJ469">
        <f t="shared" si="12"/>
        <v>1</v>
      </c>
      <c r="AK469">
        <f t="shared" si="13"/>
        <v>0</v>
      </c>
      <c r="AL469">
        <f t="shared" si="14"/>
        <v>1</v>
      </c>
    </row>
    <row r="470" spans="1:38">
      <c r="A470">
        <v>8940</v>
      </c>
      <c r="B470" t="s">
        <v>63</v>
      </c>
      <c r="C470" t="s">
        <v>63</v>
      </c>
      <c r="D470" t="s">
        <v>8</v>
      </c>
      <c r="E470" s="1">
        <v>43175.906192129631</v>
      </c>
      <c r="F470" s="465">
        <v>43175.906192129631</v>
      </c>
      <c r="G470" s="464">
        <v>0.90555555555555556</v>
      </c>
      <c r="H470" t="s">
        <v>129</v>
      </c>
      <c r="I470" t="s">
        <v>129</v>
      </c>
      <c r="J470" t="s">
        <v>129</v>
      </c>
      <c r="P470" s="140">
        <v>8940</v>
      </c>
      <c r="Q470" s="140" t="s">
        <v>63</v>
      </c>
      <c r="R470" s="140" t="s">
        <v>63</v>
      </c>
      <c r="S470" s="143" t="s">
        <v>8</v>
      </c>
      <c r="T470" s="144">
        <v>43175.906192129631</v>
      </c>
      <c r="U470" s="89">
        <f t="shared" si="0"/>
        <v>43175.906192129631</v>
      </c>
      <c r="V470" s="90" t="str">
        <f t="shared" si="3"/>
        <v>21:44</v>
      </c>
      <c r="W470" s="91" t="str">
        <f t="shared" si="4"/>
        <v>-</v>
      </c>
      <c r="X470" s="92" t="str">
        <f t="shared" si="5"/>
        <v>-</v>
      </c>
      <c r="Y470" s="92" t="str">
        <f t="shared" si="15"/>
        <v>-</v>
      </c>
      <c r="Z470" s="93">
        <f t="shared" si="6"/>
        <v>0</v>
      </c>
      <c r="AA470" s="93"/>
      <c r="AB470" s="94">
        <f t="shared" si="7"/>
        <v>0</v>
      </c>
      <c r="AC470" s="94">
        <f t="shared" si="1"/>
        <v>0</v>
      </c>
      <c r="AF470">
        <f t="shared" si="8"/>
        <v>1</v>
      </c>
      <c r="AG470">
        <f t="shared" si="9"/>
        <v>1</v>
      </c>
      <c r="AH470">
        <f t="shared" si="10"/>
        <v>1</v>
      </c>
      <c r="AI470">
        <f t="shared" si="11"/>
        <v>1</v>
      </c>
      <c r="AJ470">
        <f t="shared" si="12"/>
        <v>1</v>
      </c>
      <c r="AK470">
        <f t="shared" si="13"/>
        <v>1</v>
      </c>
      <c r="AL470">
        <f t="shared" si="14"/>
        <v>1</v>
      </c>
    </row>
    <row r="471" spans="1:38">
      <c r="A471">
        <v>8951</v>
      </c>
      <c r="B471" t="s">
        <v>63</v>
      </c>
      <c r="C471" t="s">
        <v>63</v>
      </c>
      <c r="D471" t="s">
        <v>7</v>
      </c>
      <c r="E471" s="1">
        <v>43176.501944444448</v>
      </c>
      <c r="F471" s="465">
        <v>43176.501944444448</v>
      </c>
      <c r="G471" s="464">
        <v>0.50138888888888888</v>
      </c>
      <c r="H471" t="s">
        <v>129</v>
      </c>
      <c r="I471" t="s">
        <v>129</v>
      </c>
      <c r="J471" t="s">
        <v>129</v>
      </c>
      <c r="K471">
        <v>1.5666666666666664</v>
      </c>
      <c r="M471">
        <v>2</v>
      </c>
      <c r="N471">
        <v>5.8833333333333346</v>
      </c>
      <c r="P471" s="140">
        <v>8951</v>
      </c>
      <c r="Q471" s="140" t="s">
        <v>63</v>
      </c>
      <c r="R471" s="140" t="s">
        <v>63</v>
      </c>
      <c r="S471" s="143" t="s">
        <v>7</v>
      </c>
      <c r="T471" s="144">
        <v>43176.501944444448</v>
      </c>
      <c r="U471" s="89">
        <f t="shared" si="0"/>
        <v>43176.501944444448</v>
      </c>
      <c r="V471" s="90" t="str">
        <f t="shared" si="3"/>
        <v>12:2</v>
      </c>
      <c r="W471" s="91" t="str">
        <f t="shared" si="4"/>
        <v>-</v>
      </c>
      <c r="X471" s="92" t="str">
        <f t="shared" si="5"/>
        <v>-</v>
      </c>
      <c r="Y471" s="92" t="str">
        <f t="shared" si="15"/>
        <v>-</v>
      </c>
      <c r="Z471" s="93">
        <f t="shared" si="6"/>
        <v>1.5666666666666664</v>
      </c>
      <c r="AA471" s="93"/>
      <c r="AB471" s="94">
        <v>0</v>
      </c>
      <c r="AC471" s="94">
        <f>Z471</f>
        <v>1.5666666666666664</v>
      </c>
      <c r="AF471">
        <f t="shared" si="8"/>
        <v>1</v>
      </c>
      <c r="AG471">
        <f t="shared" si="9"/>
        <v>1</v>
      </c>
      <c r="AH471">
        <f t="shared" si="10"/>
        <v>1</v>
      </c>
      <c r="AI471">
        <f t="shared" si="11"/>
        <v>1</v>
      </c>
      <c r="AJ471">
        <f t="shared" si="12"/>
        <v>1</v>
      </c>
      <c r="AK471">
        <f t="shared" si="13"/>
        <v>0</v>
      </c>
      <c r="AL471">
        <f t="shared" si="14"/>
        <v>0</v>
      </c>
    </row>
    <row r="472" spans="1:38">
      <c r="A472">
        <v>8955</v>
      </c>
      <c r="B472" t="s">
        <v>63</v>
      </c>
      <c r="C472" t="s">
        <v>63</v>
      </c>
      <c r="D472" t="s">
        <v>8</v>
      </c>
      <c r="E472" s="1">
        <v>43176.56695601852</v>
      </c>
      <c r="F472" s="465">
        <v>43176.56695601852</v>
      </c>
      <c r="G472" s="464">
        <v>0.56666666666666665</v>
      </c>
      <c r="H472" t="s">
        <v>129</v>
      </c>
      <c r="I472" t="s">
        <v>129</v>
      </c>
      <c r="J472" t="s">
        <v>129</v>
      </c>
      <c r="P472" s="140">
        <v>8955</v>
      </c>
      <c r="Q472" s="140" t="s">
        <v>63</v>
      </c>
      <c r="R472" s="140" t="s">
        <v>63</v>
      </c>
      <c r="S472" s="143" t="s">
        <v>8</v>
      </c>
      <c r="T472" s="144">
        <v>43176.56695601852</v>
      </c>
      <c r="U472" s="89">
        <f t="shared" si="0"/>
        <v>43176.56695601852</v>
      </c>
      <c r="V472" s="90" t="str">
        <f t="shared" si="3"/>
        <v>13:36</v>
      </c>
      <c r="W472" s="91" t="str">
        <f t="shared" si="4"/>
        <v>-</v>
      </c>
      <c r="X472" s="92" t="str">
        <f t="shared" si="5"/>
        <v>-</v>
      </c>
      <c r="Y472" s="92" t="str">
        <f t="shared" si="15"/>
        <v>-</v>
      </c>
      <c r="Z472" s="93">
        <f t="shared" si="6"/>
        <v>0</v>
      </c>
      <c r="AA472" s="93"/>
      <c r="AB472" s="94">
        <f t="shared" si="7"/>
        <v>0</v>
      </c>
      <c r="AC472" s="94">
        <f t="shared" si="1"/>
        <v>0</v>
      </c>
      <c r="AF472">
        <f t="shared" si="8"/>
        <v>1</v>
      </c>
      <c r="AG472">
        <f t="shared" si="9"/>
        <v>1</v>
      </c>
      <c r="AH472">
        <f t="shared" si="10"/>
        <v>1</v>
      </c>
      <c r="AI472">
        <f t="shared" si="11"/>
        <v>1</v>
      </c>
      <c r="AJ472">
        <f t="shared" si="12"/>
        <v>1</v>
      </c>
      <c r="AK472">
        <f t="shared" si="13"/>
        <v>1</v>
      </c>
      <c r="AL472">
        <f t="shared" si="14"/>
        <v>1</v>
      </c>
    </row>
    <row r="473" spans="1:38">
      <c r="A473">
        <v>8959</v>
      </c>
      <c r="B473" t="s">
        <v>63</v>
      </c>
      <c r="C473" t="s">
        <v>63</v>
      </c>
      <c r="D473" t="s">
        <v>7</v>
      </c>
      <c r="E473" s="1">
        <v>43176.57576388889</v>
      </c>
      <c r="F473" s="465">
        <v>43176.57576388889</v>
      </c>
      <c r="G473" s="464">
        <v>0.5756944444444444</v>
      </c>
      <c r="H473" t="s">
        <v>129</v>
      </c>
      <c r="I473" t="s">
        <v>129</v>
      </c>
      <c r="J473" t="s">
        <v>129</v>
      </c>
      <c r="K473">
        <v>3.200000000000002</v>
      </c>
      <c r="P473" s="140">
        <v>8959</v>
      </c>
      <c r="Q473" s="140" t="s">
        <v>63</v>
      </c>
      <c r="R473" s="140" t="s">
        <v>63</v>
      </c>
      <c r="S473" s="143" t="s">
        <v>7</v>
      </c>
      <c r="T473" s="144">
        <v>43176.57576388889</v>
      </c>
      <c r="U473" s="89">
        <f t="shared" ref="U473:U520" si="16">T473</f>
        <v>43176.57576388889</v>
      </c>
      <c r="V473" s="90" t="str">
        <f t="shared" si="3"/>
        <v>13:49</v>
      </c>
      <c r="W473" s="91" t="str">
        <f t="shared" si="4"/>
        <v>-</v>
      </c>
      <c r="X473" s="92" t="str">
        <f t="shared" si="5"/>
        <v>-</v>
      </c>
      <c r="Y473" s="92" t="str">
        <f t="shared" si="15"/>
        <v>-</v>
      </c>
      <c r="Z473" s="93">
        <f t="shared" si="6"/>
        <v>3.1999999999999993</v>
      </c>
      <c r="AA473" s="93"/>
      <c r="AB473" s="94">
        <f t="shared" si="7"/>
        <v>2</v>
      </c>
      <c r="AC473" s="94">
        <f t="shared" ref="AC473:AC520" si="17">IF(Z473&gt;2,Z473-2,0)</f>
        <v>1.1999999999999993</v>
      </c>
      <c r="AF473">
        <f t="shared" si="8"/>
        <v>1</v>
      </c>
      <c r="AG473">
        <f t="shared" si="9"/>
        <v>1</v>
      </c>
      <c r="AH473">
        <f t="shared" si="10"/>
        <v>1</v>
      </c>
      <c r="AI473">
        <f t="shared" si="11"/>
        <v>1</v>
      </c>
      <c r="AJ473">
        <f t="shared" si="12"/>
        <v>1</v>
      </c>
      <c r="AK473">
        <f t="shared" si="13"/>
        <v>0</v>
      </c>
      <c r="AL473">
        <f t="shared" si="14"/>
        <v>0</v>
      </c>
    </row>
    <row r="474" spans="1:38">
      <c r="A474">
        <v>8967</v>
      </c>
      <c r="B474" t="s">
        <v>63</v>
      </c>
      <c r="C474" t="s">
        <v>63</v>
      </c>
      <c r="D474" t="s">
        <v>8</v>
      </c>
      <c r="E474" s="1">
        <v>43176.709537037037</v>
      </c>
      <c r="F474" s="465">
        <v>43176.709537037037</v>
      </c>
      <c r="G474" s="464">
        <v>0.7090277777777777</v>
      </c>
      <c r="H474" t="s">
        <v>129</v>
      </c>
      <c r="I474" t="s">
        <v>129</v>
      </c>
      <c r="J474" t="s">
        <v>129</v>
      </c>
      <c r="P474" s="140">
        <v>8967</v>
      </c>
      <c r="Q474" s="140" t="s">
        <v>63</v>
      </c>
      <c r="R474" s="140" t="s">
        <v>63</v>
      </c>
      <c r="S474" s="143" t="s">
        <v>8</v>
      </c>
      <c r="T474" s="144">
        <v>43176.709537037037</v>
      </c>
      <c r="U474" s="89">
        <f t="shared" si="16"/>
        <v>43176.709537037037</v>
      </c>
      <c r="V474" s="90" t="str">
        <f t="shared" ref="V474:V520" si="18">HOUR(T474)&amp;":"&amp;MINUTE(T474)</f>
        <v>17:1</v>
      </c>
      <c r="W474" s="91" t="str">
        <f t="shared" ref="W474:W520" si="19">IF(S474="上班",(V475-V474)*24,"-")</f>
        <v>-</v>
      </c>
      <c r="X474" s="92" t="str">
        <f t="shared" ref="X474:X520" si="20">IF(S474="上班",IF(W474-1.5&gt;8,8,W474-1.5),"-")</f>
        <v>-</v>
      </c>
      <c r="Y474" s="92" t="str">
        <f t="shared" si="15"/>
        <v>-</v>
      </c>
      <c r="Z474" s="93">
        <f t="shared" ref="Z474:Z520" si="21">IF(S474="加班",(V475-V474)*24,0)</f>
        <v>0</v>
      </c>
      <c r="AA474" s="93"/>
      <c r="AB474" s="94">
        <f t="shared" ref="AB474:AB520" si="22">IF(Z474&gt;2,2,Z474)</f>
        <v>0</v>
      </c>
      <c r="AC474" s="94">
        <f t="shared" si="17"/>
        <v>0</v>
      </c>
      <c r="AF474">
        <f t="shared" ref="AF474:AF537" si="23">IF(W474=H474,1,0)</f>
        <v>1</v>
      </c>
      <c r="AG474">
        <f t="shared" ref="AG474:AG537" si="24">IF(X474=I474,1,0)</f>
        <v>1</v>
      </c>
      <c r="AH474">
        <f t="shared" ref="AH474:AH537" si="25">IF(Y474=J474,1,0)</f>
        <v>1</v>
      </c>
      <c r="AI474">
        <f t="shared" ref="AI474:AI537" si="26">IF(Z474=K474,1,0)</f>
        <v>1</v>
      </c>
      <c r="AJ474">
        <f t="shared" ref="AJ474:AJ537" si="27">IF(AA474=L474,1,0)</f>
        <v>1</v>
      </c>
      <c r="AK474">
        <f t="shared" ref="AK474:AK537" si="28">IF(AB474=M474,1,0)</f>
        <v>1</v>
      </c>
      <c r="AL474">
        <f t="shared" ref="AL474:AL537" si="29">IF(AC474=N474,1,0)</f>
        <v>1</v>
      </c>
    </row>
    <row r="475" spans="1:38">
      <c r="A475">
        <v>8968</v>
      </c>
      <c r="B475" t="s">
        <v>63</v>
      </c>
      <c r="C475" t="s">
        <v>63</v>
      </c>
      <c r="D475" t="s">
        <v>7</v>
      </c>
      <c r="E475" s="1">
        <v>43176.709548611114</v>
      </c>
      <c r="F475" s="465">
        <v>43176.709548611114</v>
      </c>
      <c r="G475" s="464">
        <v>0.7090277777777777</v>
      </c>
      <c r="H475" t="s">
        <v>129</v>
      </c>
      <c r="I475" t="s">
        <v>129</v>
      </c>
      <c r="J475" t="s">
        <v>129</v>
      </c>
      <c r="K475">
        <v>3.1166666666666663</v>
      </c>
      <c r="P475" s="140">
        <v>8968</v>
      </c>
      <c r="Q475" s="140" t="s">
        <v>63</v>
      </c>
      <c r="R475" s="140" t="s">
        <v>63</v>
      </c>
      <c r="S475" s="143" t="s">
        <v>7</v>
      </c>
      <c r="T475" s="144">
        <v>43176.709548611114</v>
      </c>
      <c r="U475" s="89">
        <f t="shared" si="16"/>
        <v>43176.709548611114</v>
      </c>
      <c r="V475" s="90" t="str">
        <f t="shared" si="18"/>
        <v>17:1</v>
      </c>
      <c r="W475" s="91" t="str">
        <f t="shared" si="19"/>
        <v>-</v>
      </c>
      <c r="X475" s="92" t="str">
        <f t="shared" si="20"/>
        <v>-</v>
      </c>
      <c r="Y475" s="92" t="str">
        <f t="shared" ref="Y475:Y520" si="30">IF(X475&lt;8,8-X475,"-")</f>
        <v>-</v>
      </c>
      <c r="Z475" s="93">
        <f t="shared" si="21"/>
        <v>3.1166666666666689</v>
      </c>
      <c r="AA475" s="93"/>
      <c r="AB475" s="94">
        <v>0</v>
      </c>
      <c r="AC475" s="94">
        <f>Z475</f>
        <v>3.1166666666666689</v>
      </c>
      <c r="AF475">
        <f t="shared" si="23"/>
        <v>1</v>
      </c>
      <c r="AG475">
        <f t="shared" si="24"/>
        <v>1</v>
      </c>
      <c r="AH475">
        <f t="shared" si="25"/>
        <v>1</v>
      </c>
      <c r="AI475">
        <f t="shared" si="26"/>
        <v>1</v>
      </c>
      <c r="AJ475">
        <f t="shared" si="27"/>
        <v>1</v>
      </c>
      <c r="AK475">
        <f t="shared" si="28"/>
        <v>1</v>
      </c>
      <c r="AL475">
        <f t="shared" si="29"/>
        <v>0</v>
      </c>
    </row>
    <row r="476" spans="1:38">
      <c r="A476">
        <v>8973</v>
      </c>
      <c r="B476" t="s">
        <v>79</v>
      </c>
      <c r="C476" t="s">
        <v>63</v>
      </c>
      <c r="D476" t="s">
        <v>8</v>
      </c>
      <c r="E476" s="1">
        <v>43176.839062500003</v>
      </c>
      <c r="F476" s="465">
        <v>43176.839062500003</v>
      </c>
      <c r="G476" s="464">
        <v>0.83888888888888891</v>
      </c>
      <c r="H476" t="s">
        <v>129</v>
      </c>
      <c r="I476" t="s">
        <v>129</v>
      </c>
      <c r="J476" t="s">
        <v>129</v>
      </c>
      <c r="P476" s="140">
        <v>8973</v>
      </c>
      <c r="Q476" s="140" t="s">
        <v>79</v>
      </c>
      <c r="R476" s="140" t="s">
        <v>63</v>
      </c>
      <c r="S476" s="143" t="s">
        <v>8</v>
      </c>
      <c r="T476" s="144">
        <v>43176.839062500003</v>
      </c>
      <c r="U476" s="89">
        <f t="shared" si="16"/>
        <v>43176.839062500003</v>
      </c>
      <c r="V476" s="90" t="str">
        <f t="shared" si="18"/>
        <v>20:8</v>
      </c>
      <c r="W476" s="91" t="str">
        <f t="shared" si="19"/>
        <v>-</v>
      </c>
      <c r="X476" s="92" t="str">
        <f t="shared" si="20"/>
        <v>-</v>
      </c>
      <c r="Y476" s="92" t="str">
        <f t="shared" si="30"/>
        <v>-</v>
      </c>
      <c r="Z476" s="93">
        <f t="shared" si="21"/>
        <v>0</v>
      </c>
      <c r="AA476" s="93"/>
      <c r="AB476" s="94">
        <f t="shared" si="22"/>
        <v>0</v>
      </c>
      <c r="AC476" s="94">
        <f t="shared" si="17"/>
        <v>0</v>
      </c>
      <c r="AF476">
        <f t="shared" si="23"/>
        <v>1</v>
      </c>
      <c r="AG476">
        <f t="shared" si="24"/>
        <v>1</v>
      </c>
      <c r="AH476">
        <f t="shared" si="25"/>
        <v>1</v>
      </c>
      <c r="AI476">
        <f t="shared" si="26"/>
        <v>1</v>
      </c>
      <c r="AJ476">
        <f t="shared" si="27"/>
        <v>1</v>
      </c>
      <c r="AK476">
        <f t="shared" si="28"/>
        <v>1</v>
      </c>
      <c r="AL476">
        <f t="shared" si="29"/>
        <v>1</v>
      </c>
    </row>
    <row r="477" spans="1:38">
      <c r="A477">
        <v>8980</v>
      </c>
      <c r="B477" t="s">
        <v>63</v>
      </c>
      <c r="C477" t="s">
        <v>63</v>
      </c>
      <c r="D477" t="s">
        <v>6</v>
      </c>
      <c r="E477" s="1">
        <v>43178.371666666666</v>
      </c>
      <c r="F477" s="465">
        <v>43178.371666666666</v>
      </c>
      <c r="G477" s="464">
        <v>0.37152777777777773</v>
      </c>
      <c r="H477">
        <v>9.5</v>
      </c>
      <c r="I477">
        <v>8</v>
      </c>
      <c r="J477" t="s">
        <v>129</v>
      </c>
      <c r="P477" s="140">
        <v>8980</v>
      </c>
      <c r="Q477" s="140" t="s">
        <v>63</v>
      </c>
      <c r="R477" s="140" t="s">
        <v>63</v>
      </c>
      <c r="S477" s="143" t="s">
        <v>6</v>
      </c>
      <c r="T477" s="144">
        <v>43178.371666666666</v>
      </c>
      <c r="U477" s="89">
        <f t="shared" si="16"/>
        <v>43178.371666666666</v>
      </c>
      <c r="V477" s="90" t="str">
        <f t="shared" si="18"/>
        <v>8:55</v>
      </c>
      <c r="W477" s="91">
        <f t="shared" si="19"/>
        <v>9.5000000000000018</v>
      </c>
      <c r="X477" s="92">
        <f t="shared" si="20"/>
        <v>8.0000000000000018</v>
      </c>
      <c r="Y477" s="92" t="str">
        <f t="shared" si="30"/>
        <v>-</v>
      </c>
      <c r="Z477" s="93">
        <f t="shared" si="21"/>
        <v>0</v>
      </c>
      <c r="AA477" s="93"/>
      <c r="AB477" s="94">
        <f t="shared" si="22"/>
        <v>0</v>
      </c>
      <c r="AC477" s="94">
        <f t="shared" si="17"/>
        <v>0</v>
      </c>
      <c r="AF477">
        <f t="shared" si="23"/>
        <v>1</v>
      </c>
      <c r="AG477">
        <f t="shared" si="24"/>
        <v>1</v>
      </c>
      <c r="AH477">
        <f t="shared" si="25"/>
        <v>1</v>
      </c>
      <c r="AI477">
        <f t="shared" si="26"/>
        <v>1</v>
      </c>
      <c r="AJ477">
        <f t="shared" si="27"/>
        <v>1</v>
      </c>
      <c r="AK477">
        <f t="shared" si="28"/>
        <v>1</v>
      </c>
      <c r="AL477">
        <f t="shared" si="29"/>
        <v>1</v>
      </c>
    </row>
    <row r="478" spans="1:38">
      <c r="A478">
        <v>8987</v>
      </c>
      <c r="B478" t="s">
        <v>63</v>
      </c>
      <c r="C478" t="s">
        <v>63</v>
      </c>
      <c r="D478" t="s">
        <v>5</v>
      </c>
      <c r="E478" s="1">
        <v>43178.767800925925</v>
      </c>
      <c r="F478" s="465">
        <v>43178.767800925925</v>
      </c>
      <c r="G478" s="464">
        <v>0.76736111111111116</v>
      </c>
      <c r="H478" t="s">
        <v>129</v>
      </c>
      <c r="I478" t="s">
        <v>129</v>
      </c>
      <c r="J478" t="s">
        <v>129</v>
      </c>
      <c r="P478" s="140">
        <v>8987</v>
      </c>
      <c r="Q478" s="140" t="s">
        <v>63</v>
      </c>
      <c r="R478" s="140" t="s">
        <v>63</v>
      </c>
      <c r="S478" s="143" t="s">
        <v>5</v>
      </c>
      <c r="T478" s="144">
        <v>43178.767800925925</v>
      </c>
      <c r="U478" s="89">
        <f t="shared" si="16"/>
        <v>43178.767800925925</v>
      </c>
      <c r="V478" s="90" t="str">
        <f t="shared" si="18"/>
        <v>18:25</v>
      </c>
      <c r="W478" s="91" t="str">
        <f t="shared" si="19"/>
        <v>-</v>
      </c>
      <c r="X478" s="92" t="str">
        <f t="shared" si="20"/>
        <v>-</v>
      </c>
      <c r="Y478" s="92" t="str">
        <f t="shared" si="30"/>
        <v>-</v>
      </c>
      <c r="Z478" s="93">
        <f t="shared" si="21"/>
        <v>0</v>
      </c>
      <c r="AA478" s="93"/>
      <c r="AB478" s="94">
        <f t="shared" si="22"/>
        <v>0</v>
      </c>
      <c r="AC478" s="94">
        <f t="shared" si="17"/>
        <v>0</v>
      </c>
      <c r="AF478">
        <f t="shared" si="23"/>
        <v>1</v>
      </c>
      <c r="AG478">
        <f t="shared" si="24"/>
        <v>1</v>
      </c>
      <c r="AH478">
        <f t="shared" si="25"/>
        <v>1</v>
      </c>
      <c r="AI478">
        <f t="shared" si="26"/>
        <v>1</v>
      </c>
      <c r="AJ478">
        <f t="shared" si="27"/>
        <v>1</v>
      </c>
      <c r="AK478">
        <f t="shared" si="28"/>
        <v>1</v>
      </c>
      <c r="AL478">
        <f t="shared" si="29"/>
        <v>1</v>
      </c>
    </row>
    <row r="479" spans="1:38">
      <c r="A479">
        <v>8998</v>
      </c>
      <c r="B479" t="s">
        <v>63</v>
      </c>
      <c r="C479" t="s">
        <v>63</v>
      </c>
      <c r="D479" t="s">
        <v>7</v>
      </c>
      <c r="E479" s="1">
        <v>43178.794733796298</v>
      </c>
      <c r="F479" s="465">
        <v>43178.794733796298</v>
      </c>
      <c r="G479" s="464">
        <v>0.7944444444444444</v>
      </c>
      <c r="H479" t="s">
        <v>129</v>
      </c>
      <c r="I479" t="s">
        <v>129</v>
      </c>
      <c r="J479" t="s">
        <v>129</v>
      </c>
      <c r="K479">
        <v>2.7833333333333341</v>
      </c>
      <c r="M479">
        <v>2</v>
      </c>
      <c r="N479">
        <v>0.7833333333333341</v>
      </c>
      <c r="P479" s="140">
        <v>8998</v>
      </c>
      <c r="Q479" s="140" t="s">
        <v>63</v>
      </c>
      <c r="R479" s="140" t="s">
        <v>63</v>
      </c>
      <c r="S479" s="143" t="s">
        <v>7</v>
      </c>
      <c r="T479" s="144">
        <v>43178.794733796298</v>
      </c>
      <c r="U479" s="89">
        <f t="shared" si="16"/>
        <v>43178.794733796298</v>
      </c>
      <c r="V479" s="90" t="str">
        <f t="shared" si="18"/>
        <v>19:4</v>
      </c>
      <c r="W479" s="91" t="str">
        <f t="shared" si="19"/>
        <v>-</v>
      </c>
      <c r="X479" s="92" t="str">
        <f t="shared" si="20"/>
        <v>-</v>
      </c>
      <c r="Y479" s="92" t="str">
        <f t="shared" si="30"/>
        <v>-</v>
      </c>
      <c r="Z479" s="93">
        <f t="shared" si="21"/>
        <v>2.7833333333333368</v>
      </c>
      <c r="AA479" s="93"/>
      <c r="AB479" s="94">
        <f t="shared" si="22"/>
        <v>2</v>
      </c>
      <c r="AC479" s="94">
        <f t="shared" si="17"/>
        <v>0.78333333333333677</v>
      </c>
      <c r="AF479">
        <f t="shared" si="23"/>
        <v>1</v>
      </c>
      <c r="AG479">
        <f t="shared" si="24"/>
        <v>1</v>
      </c>
      <c r="AH479">
        <f t="shared" si="25"/>
        <v>1</v>
      </c>
      <c r="AI479">
        <f t="shared" si="26"/>
        <v>0</v>
      </c>
      <c r="AJ479">
        <f t="shared" si="27"/>
        <v>1</v>
      </c>
      <c r="AK479">
        <f t="shared" si="28"/>
        <v>1</v>
      </c>
      <c r="AL479">
        <f t="shared" si="29"/>
        <v>0</v>
      </c>
    </row>
    <row r="480" spans="1:38">
      <c r="A480">
        <v>9006</v>
      </c>
      <c r="B480" t="s">
        <v>63</v>
      </c>
      <c r="C480" t="s">
        <v>63</v>
      </c>
      <c r="D480" t="s">
        <v>8</v>
      </c>
      <c r="E480" s="1">
        <v>43178.910752314812</v>
      </c>
      <c r="F480" s="465">
        <v>43178.910752314812</v>
      </c>
      <c r="G480" s="464">
        <v>0.91041666666666676</v>
      </c>
      <c r="H480" t="s">
        <v>129</v>
      </c>
      <c r="I480" t="s">
        <v>129</v>
      </c>
      <c r="J480" t="s">
        <v>129</v>
      </c>
      <c r="P480" s="140">
        <v>9006</v>
      </c>
      <c r="Q480" s="140" t="s">
        <v>63</v>
      </c>
      <c r="R480" s="140" t="s">
        <v>63</v>
      </c>
      <c r="S480" s="143" t="s">
        <v>8</v>
      </c>
      <c r="T480" s="144">
        <v>43178.910752314812</v>
      </c>
      <c r="U480" s="89">
        <f t="shared" si="16"/>
        <v>43178.910752314812</v>
      </c>
      <c r="V480" s="90" t="str">
        <f t="shared" si="18"/>
        <v>21:51</v>
      </c>
      <c r="W480" s="91" t="str">
        <f t="shared" si="19"/>
        <v>-</v>
      </c>
      <c r="X480" s="92" t="str">
        <f t="shared" si="20"/>
        <v>-</v>
      </c>
      <c r="Y480" s="92" t="str">
        <f t="shared" si="30"/>
        <v>-</v>
      </c>
      <c r="Z480" s="93">
        <f t="shared" si="21"/>
        <v>0</v>
      </c>
      <c r="AA480" s="93"/>
      <c r="AB480" s="94">
        <f t="shared" si="22"/>
        <v>0</v>
      </c>
      <c r="AC480" s="94">
        <f t="shared" si="17"/>
        <v>0</v>
      </c>
      <c r="AF480">
        <f t="shared" si="23"/>
        <v>1</v>
      </c>
      <c r="AG480">
        <f t="shared" si="24"/>
        <v>1</v>
      </c>
      <c r="AH480">
        <f t="shared" si="25"/>
        <v>1</v>
      </c>
      <c r="AI480">
        <f t="shared" si="26"/>
        <v>1</v>
      </c>
      <c r="AJ480">
        <f t="shared" si="27"/>
        <v>1</v>
      </c>
      <c r="AK480">
        <f t="shared" si="28"/>
        <v>1</v>
      </c>
      <c r="AL480">
        <f t="shared" si="29"/>
        <v>1</v>
      </c>
    </row>
    <row r="481" spans="1:38">
      <c r="A481">
        <v>9014</v>
      </c>
      <c r="B481" t="s">
        <v>79</v>
      </c>
      <c r="C481" t="s">
        <v>63</v>
      </c>
      <c r="D481" t="s">
        <v>6</v>
      </c>
      <c r="E481" s="1">
        <v>43179.368750000001</v>
      </c>
      <c r="F481" s="465">
        <v>43179.368750000001</v>
      </c>
      <c r="G481" s="464">
        <v>0.36874999999999997</v>
      </c>
      <c r="H481">
        <v>9.6333333333333329</v>
      </c>
      <c r="I481">
        <v>8</v>
      </c>
      <c r="J481" t="s">
        <v>129</v>
      </c>
      <c r="P481" s="140">
        <v>9014</v>
      </c>
      <c r="Q481" s="140" t="s">
        <v>79</v>
      </c>
      <c r="R481" s="140" t="s">
        <v>63</v>
      </c>
      <c r="S481" s="143" t="s">
        <v>6</v>
      </c>
      <c r="T481" s="144">
        <v>43179.368750000001</v>
      </c>
      <c r="U481" s="89">
        <f t="shared" si="16"/>
        <v>43179.368750000001</v>
      </c>
      <c r="V481" s="90" t="str">
        <f t="shared" si="18"/>
        <v>8:51</v>
      </c>
      <c r="W481" s="91">
        <f t="shared" si="19"/>
        <v>9.6333333333333346</v>
      </c>
      <c r="X481" s="92">
        <f t="shared" si="20"/>
        <v>8</v>
      </c>
      <c r="Y481" s="92" t="str">
        <f t="shared" si="30"/>
        <v>-</v>
      </c>
      <c r="Z481" s="93">
        <f t="shared" si="21"/>
        <v>0</v>
      </c>
      <c r="AA481" s="93"/>
      <c r="AB481" s="94">
        <f t="shared" si="22"/>
        <v>0</v>
      </c>
      <c r="AC481" s="94">
        <f t="shared" si="17"/>
        <v>0</v>
      </c>
      <c r="AF481">
        <f t="shared" si="23"/>
        <v>1</v>
      </c>
      <c r="AG481">
        <f t="shared" si="24"/>
        <v>1</v>
      </c>
      <c r="AH481">
        <f t="shared" si="25"/>
        <v>1</v>
      </c>
      <c r="AI481">
        <f t="shared" si="26"/>
        <v>1</v>
      </c>
      <c r="AJ481">
        <f t="shared" si="27"/>
        <v>1</v>
      </c>
      <c r="AK481">
        <f t="shared" si="28"/>
        <v>1</v>
      </c>
      <c r="AL481">
        <f t="shared" si="29"/>
        <v>1</v>
      </c>
    </row>
    <row r="482" spans="1:38">
      <c r="A482">
        <v>9029</v>
      </c>
      <c r="B482" t="s">
        <v>63</v>
      </c>
      <c r="C482" t="s">
        <v>63</v>
      </c>
      <c r="D482" t="s">
        <v>5</v>
      </c>
      <c r="E482" s="1">
        <v>43179.770729166667</v>
      </c>
      <c r="F482" s="465">
        <v>43179.770729166667</v>
      </c>
      <c r="G482" s="464">
        <v>0.77013888888888893</v>
      </c>
      <c r="H482" t="s">
        <v>129</v>
      </c>
      <c r="I482" t="s">
        <v>129</v>
      </c>
      <c r="J482" t="s">
        <v>129</v>
      </c>
      <c r="P482" s="140">
        <v>9029</v>
      </c>
      <c r="Q482" s="140" t="s">
        <v>63</v>
      </c>
      <c r="R482" s="140" t="s">
        <v>63</v>
      </c>
      <c r="S482" s="143" t="s">
        <v>5</v>
      </c>
      <c r="T482" s="144">
        <v>43179.770729166667</v>
      </c>
      <c r="U482" s="89">
        <f t="shared" si="16"/>
        <v>43179.770729166667</v>
      </c>
      <c r="V482" s="90" t="str">
        <f t="shared" si="18"/>
        <v>18:29</v>
      </c>
      <c r="W482" s="91" t="str">
        <f t="shared" si="19"/>
        <v>-</v>
      </c>
      <c r="X482" s="92" t="str">
        <f t="shared" si="20"/>
        <v>-</v>
      </c>
      <c r="Y482" s="92" t="str">
        <f t="shared" si="30"/>
        <v>-</v>
      </c>
      <c r="Z482" s="93">
        <f t="shared" si="21"/>
        <v>0</v>
      </c>
      <c r="AA482" s="93"/>
      <c r="AB482" s="94">
        <f t="shared" si="22"/>
        <v>0</v>
      </c>
      <c r="AC482" s="94">
        <f t="shared" si="17"/>
        <v>0</v>
      </c>
      <c r="AF482">
        <f t="shared" si="23"/>
        <v>1</v>
      </c>
      <c r="AG482">
        <f t="shared" si="24"/>
        <v>1</v>
      </c>
      <c r="AH482">
        <f t="shared" si="25"/>
        <v>1</v>
      </c>
      <c r="AI482">
        <f t="shared" si="26"/>
        <v>1</v>
      </c>
      <c r="AJ482">
        <f t="shared" si="27"/>
        <v>1</v>
      </c>
      <c r="AK482">
        <f t="shared" si="28"/>
        <v>1</v>
      </c>
      <c r="AL482">
        <f t="shared" si="29"/>
        <v>1</v>
      </c>
    </row>
    <row r="483" spans="1:38">
      <c r="A483">
        <v>9035</v>
      </c>
      <c r="B483" t="s">
        <v>63</v>
      </c>
      <c r="C483" t="s">
        <v>63</v>
      </c>
      <c r="D483" t="s">
        <v>7</v>
      </c>
      <c r="E483" s="1">
        <v>43179.787592592591</v>
      </c>
      <c r="F483" s="465">
        <v>43179.787592592591</v>
      </c>
      <c r="G483" s="464">
        <v>0.78749999999999998</v>
      </c>
      <c r="H483" t="s">
        <v>129</v>
      </c>
      <c r="I483" t="s">
        <v>129</v>
      </c>
      <c r="J483" t="s">
        <v>129</v>
      </c>
      <c r="K483">
        <v>2.5666666666666682</v>
      </c>
      <c r="M483">
        <v>2</v>
      </c>
      <c r="N483">
        <v>0.56666666666666821</v>
      </c>
      <c r="P483" s="140">
        <v>9035</v>
      </c>
      <c r="Q483" s="140" t="s">
        <v>63</v>
      </c>
      <c r="R483" s="140" t="s">
        <v>63</v>
      </c>
      <c r="S483" s="143" t="s">
        <v>7</v>
      </c>
      <c r="T483" s="144">
        <v>43179.787592592591</v>
      </c>
      <c r="U483" s="89">
        <f t="shared" si="16"/>
        <v>43179.787592592591</v>
      </c>
      <c r="V483" s="90" t="str">
        <f t="shared" si="18"/>
        <v>18:54</v>
      </c>
      <c r="W483" s="91" t="str">
        <f t="shared" si="19"/>
        <v>-</v>
      </c>
      <c r="X483" s="92" t="str">
        <f t="shared" si="20"/>
        <v>-</v>
      </c>
      <c r="Y483" s="92" t="str">
        <f t="shared" si="30"/>
        <v>-</v>
      </c>
      <c r="Z483" s="93">
        <f t="shared" si="21"/>
        <v>2.5666666666666655</v>
      </c>
      <c r="AA483" s="93"/>
      <c r="AB483" s="94">
        <f t="shared" si="22"/>
        <v>2</v>
      </c>
      <c r="AC483" s="94">
        <f t="shared" si="17"/>
        <v>0.56666666666666554</v>
      </c>
      <c r="AF483">
        <f t="shared" si="23"/>
        <v>1</v>
      </c>
      <c r="AG483">
        <f t="shared" si="24"/>
        <v>1</v>
      </c>
      <c r="AH483">
        <f t="shared" si="25"/>
        <v>1</v>
      </c>
      <c r="AI483">
        <f t="shared" si="26"/>
        <v>1</v>
      </c>
      <c r="AJ483">
        <f t="shared" si="27"/>
        <v>1</v>
      </c>
      <c r="AK483">
        <f t="shared" si="28"/>
        <v>1</v>
      </c>
      <c r="AL483">
        <f t="shared" si="29"/>
        <v>0</v>
      </c>
    </row>
    <row r="484" spans="1:38">
      <c r="A484">
        <v>9045</v>
      </c>
      <c r="B484" t="s">
        <v>63</v>
      </c>
      <c r="C484" t="s">
        <v>63</v>
      </c>
      <c r="D484" t="s">
        <v>8</v>
      </c>
      <c r="E484" s="1">
        <v>43179.89508101852</v>
      </c>
      <c r="F484" s="465">
        <v>43179.89508101852</v>
      </c>
      <c r="G484" s="464">
        <v>0.89444444444444438</v>
      </c>
      <c r="H484" t="s">
        <v>129</v>
      </c>
      <c r="I484" t="s">
        <v>129</v>
      </c>
      <c r="J484" t="s">
        <v>129</v>
      </c>
      <c r="P484" s="140">
        <v>9045</v>
      </c>
      <c r="Q484" s="140" t="s">
        <v>63</v>
      </c>
      <c r="R484" s="140" t="s">
        <v>63</v>
      </c>
      <c r="S484" s="143" t="s">
        <v>8</v>
      </c>
      <c r="T484" s="144">
        <v>43179.89508101852</v>
      </c>
      <c r="U484" s="89">
        <f t="shared" si="16"/>
        <v>43179.89508101852</v>
      </c>
      <c r="V484" s="90" t="str">
        <f t="shared" si="18"/>
        <v>21:28</v>
      </c>
      <c r="W484" s="91" t="str">
        <f t="shared" si="19"/>
        <v>-</v>
      </c>
      <c r="X484" s="92" t="str">
        <f t="shared" si="20"/>
        <v>-</v>
      </c>
      <c r="Y484" s="92" t="str">
        <f t="shared" si="30"/>
        <v>-</v>
      </c>
      <c r="Z484" s="93">
        <f t="shared" si="21"/>
        <v>0</v>
      </c>
      <c r="AA484" s="93"/>
      <c r="AB484" s="94">
        <f t="shared" si="22"/>
        <v>0</v>
      </c>
      <c r="AC484" s="94">
        <f t="shared" si="17"/>
        <v>0</v>
      </c>
      <c r="AF484">
        <f t="shared" si="23"/>
        <v>1</v>
      </c>
      <c r="AG484">
        <f t="shared" si="24"/>
        <v>1</v>
      </c>
      <c r="AH484">
        <f t="shared" si="25"/>
        <v>1</v>
      </c>
      <c r="AI484">
        <f t="shared" si="26"/>
        <v>1</v>
      </c>
      <c r="AJ484">
        <f t="shared" si="27"/>
        <v>1</v>
      </c>
      <c r="AK484">
        <f t="shared" si="28"/>
        <v>1</v>
      </c>
      <c r="AL484">
        <f t="shared" si="29"/>
        <v>1</v>
      </c>
    </row>
    <row r="485" spans="1:38">
      <c r="A485">
        <v>9051</v>
      </c>
      <c r="B485" t="s">
        <v>63</v>
      </c>
      <c r="C485" t="s">
        <v>63</v>
      </c>
      <c r="D485" t="s">
        <v>6</v>
      </c>
      <c r="E485" s="1">
        <v>43180.368668981479</v>
      </c>
      <c r="F485" s="465">
        <v>43180.368668981479</v>
      </c>
      <c r="G485" s="464">
        <v>0.36805555555555558</v>
      </c>
      <c r="H485">
        <v>9.6666666666666679</v>
      </c>
      <c r="I485">
        <v>8</v>
      </c>
      <c r="J485" t="s">
        <v>129</v>
      </c>
      <c r="P485" s="140">
        <v>9051</v>
      </c>
      <c r="Q485" s="140" t="s">
        <v>63</v>
      </c>
      <c r="R485" s="140" t="s">
        <v>63</v>
      </c>
      <c r="S485" s="143" t="s">
        <v>6</v>
      </c>
      <c r="T485" s="144">
        <v>43180.368668981479</v>
      </c>
      <c r="U485" s="89">
        <f t="shared" si="16"/>
        <v>43180.368668981479</v>
      </c>
      <c r="V485" s="90" t="str">
        <f t="shared" si="18"/>
        <v>8:50</v>
      </c>
      <c r="W485" s="91">
        <f t="shared" si="19"/>
        <v>9.6666666666666679</v>
      </c>
      <c r="X485" s="92">
        <f t="shared" si="20"/>
        <v>8</v>
      </c>
      <c r="Y485" s="92" t="str">
        <f t="shared" si="30"/>
        <v>-</v>
      </c>
      <c r="Z485" s="93">
        <f t="shared" si="21"/>
        <v>0</v>
      </c>
      <c r="AA485" s="93"/>
      <c r="AB485" s="94">
        <f t="shared" si="22"/>
        <v>0</v>
      </c>
      <c r="AC485" s="94">
        <f t="shared" si="17"/>
        <v>0</v>
      </c>
      <c r="AF485">
        <f t="shared" si="23"/>
        <v>1</v>
      </c>
      <c r="AG485">
        <f t="shared" si="24"/>
        <v>1</v>
      </c>
      <c r="AH485">
        <f t="shared" si="25"/>
        <v>1</v>
      </c>
      <c r="AI485">
        <f t="shared" si="26"/>
        <v>1</v>
      </c>
      <c r="AJ485">
        <f t="shared" si="27"/>
        <v>1</v>
      </c>
      <c r="AK485">
        <f t="shared" si="28"/>
        <v>1</v>
      </c>
      <c r="AL485">
        <f t="shared" si="29"/>
        <v>1</v>
      </c>
    </row>
    <row r="486" spans="1:38">
      <c r="A486">
        <v>9061</v>
      </c>
      <c r="B486" t="s">
        <v>63</v>
      </c>
      <c r="C486" t="s">
        <v>63</v>
      </c>
      <c r="D486" t="s">
        <v>5</v>
      </c>
      <c r="E486" s="1">
        <v>43180.770833333336</v>
      </c>
      <c r="F486" s="465">
        <v>43180.770833333336</v>
      </c>
      <c r="G486" s="464">
        <v>0.77083333333333337</v>
      </c>
      <c r="H486" t="s">
        <v>129</v>
      </c>
      <c r="I486" t="s">
        <v>129</v>
      </c>
      <c r="J486" t="s">
        <v>129</v>
      </c>
      <c r="P486" s="140">
        <v>9061</v>
      </c>
      <c r="Q486" s="140" t="s">
        <v>63</v>
      </c>
      <c r="R486" s="140" t="s">
        <v>63</v>
      </c>
      <c r="S486" s="143" t="s">
        <v>5</v>
      </c>
      <c r="T486" s="144">
        <v>43180.770833333336</v>
      </c>
      <c r="U486" s="89">
        <f t="shared" si="16"/>
        <v>43180.770833333336</v>
      </c>
      <c r="V486" s="90" t="str">
        <f t="shared" si="18"/>
        <v>18:30</v>
      </c>
      <c r="W486" s="91" t="str">
        <f t="shared" si="19"/>
        <v>-</v>
      </c>
      <c r="X486" s="92" t="str">
        <f t="shared" si="20"/>
        <v>-</v>
      </c>
      <c r="Y486" s="92" t="str">
        <f t="shared" si="30"/>
        <v>-</v>
      </c>
      <c r="Z486" s="93">
        <f t="shared" si="21"/>
        <v>0</v>
      </c>
      <c r="AA486" s="93"/>
      <c r="AB486" s="94">
        <f t="shared" si="22"/>
        <v>0</v>
      </c>
      <c r="AC486" s="94">
        <f t="shared" si="17"/>
        <v>0</v>
      </c>
      <c r="AF486">
        <f t="shared" si="23"/>
        <v>1</v>
      </c>
      <c r="AG486">
        <f t="shared" si="24"/>
        <v>1</v>
      </c>
      <c r="AH486">
        <f t="shared" si="25"/>
        <v>1</v>
      </c>
      <c r="AI486">
        <f t="shared" si="26"/>
        <v>1</v>
      </c>
      <c r="AJ486">
        <f t="shared" si="27"/>
        <v>1</v>
      </c>
      <c r="AK486">
        <f t="shared" si="28"/>
        <v>1</v>
      </c>
      <c r="AL486">
        <f t="shared" si="29"/>
        <v>1</v>
      </c>
    </row>
    <row r="487" spans="1:38">
      <c r="A487">
        <v>9063</v>
      </c>
      <c r="B487" t="s">
        <v>63</v>
      </c>
      <c r="C487" t="s">
        <v>63</v>
      </c>
      <c r="D487" t="s">
        <v>7</v>
      </c>
      <c r="E487" s="1">
        <v>43180.770914351851</v>
      </c>
      <c r="F487" s="465">
        <v>43180.770914351851</v>
      </c>
      <c r="G487" s="464">
        <v>0.77083333333333337</v>
      </c>
      <c r="H487" t="s">
        <v>129</v>
      </c>
      <c r="I487" t="s">
        <v>129</v>
      </c>
      <c r="J487" t="s">
        <v>129</v>
      </c>
      <c r="K487">
        <v>0.53333333333333144</v>
      </c>
      <c r="M487">
        <v>2</v>
      </c>
      <c r="N487">
        <v>1.2166666666666659</v>
      </c>
      <c r="P487" s="140">
        <v>9063</v>
      </c>
      <c r="Q487" s="140" t="s">
        <v>63</v>
      </c>
      <c r="R487" s="140" t="s">
        <v>63</v>
      </c>
      <c r="S487" s="143" t="s">
        <v>7</v>
      </c>
      <c r="T487" s="144">
        <v>43180.770914351851</v>
      </c>
      <c r="U487" s="89">
        <f t="shared" si="16"/>
        <v>43180.770914351851</v>
      </c>
      <c r="V487" s="90" t="str">
        <f t="shared" si="18"/>
        <v>18:30</v>
      </c>
      <c r="W487" s="91" t="str">
        <f t="shared" si="19"/>
        <v>-</v>
      </c>
      <c r="X487" s="92" t="str">
        <f t="shared" si="20"/>
        <v>-</v>
      </c>
      <c r="Y487" s="92" t="str">
        <f t="shared" si="30"/>
        <v>-</v>
      </c>
      <c r="Z487" s="93">
        <f t="shared" si="21"/>
        <v>0.5333333333333341</v>
      </c>
      <c r="AA487" s="93"/>
      <c r="AB487" s="94">
        <v>0</v>
      </c>
      <c r="AC487" s="94">
        <f>Z487</f>
        <v>0.5333333333333341</v>
      </c>
      <c r="AF487">
        <f t="shared" si="23"/>
        <v>1</v>
      </c>
      <c r="AG487">
        <f t="shared" si="24"/>
        <v>1</v>
      </c>
      <c r="AH487">
        <f t="shared" si="25"/>
        <v>1</v>
      </c>
      <c r="AI487">
        <f t="shared" si="26"/>
        <v>0</v>
      </c>
      <c r="AJ487">
        <f t="shared" si="27"/>
        <v>1</v>
      </c>
      <c r="AK487">
        <f t="shared" si="28"/>
        <v>0</v>
      </c>
      <c r="AL487">
        <f t="shared" si="29"/>
        <v>0</v>
      </c>
    </row>
    <row r="488" spans="1:38">
      <c r="A488">
        <v>9072</v>
      </c>
      <c r="B488" t="s">
        <v>79</v>
      </c>
      <c r="C488" t="s">
        <v>63</v>
      </c>
      <c r="D488" t="s">
        <v>8</v>
      </c>
      <c r="E488" s="1">
        <v>43180.793495370373</v>
      </c>
      <c r="F488" s="465">
        <v>43180.793495370373</v>
      </c>
      <c r="G488" s="464">
        <v>0.79305555555555562</v>
      </c>
      <c r="H488" t="s">
        <v>129</v>
      </c>
      <c r="I488" t="s">
        <v>129</v>
      </c>
      <c r="J488" t="s">
        <v>129</v>
      </c>
      <c r="P488" s="140">
        <v>9072</v>
      </c>
      <c r="Q488" s="140" t="s">
        <v>79</v>
      </c>
      <c r="R488" s="140" t="s">
        <v>63</v>
      </c>
      <c r="S488" s="143" t="s">
        <v>8</v>
      </c>
      <c r="T488" s="144">
        <v>43180.793495370373</v>
      </c>
      <c r="U488" s="89">
        <f t="shared" si="16"/>
        <v>43180.793495370373</v>
      </c>
      <c r="V488" s="90" t="str">
        <f t="shared" si="18"/>
        <v>19:2</v>
      </c>
      <c r="W488" s="91" t="str">
        <f t="shared" si="19"/>
        <v>-</v>
      </c>
      <c r="X488" s="92" t="str">
        <f t="shared" si="20"/>
        <v>-</v>
      </c>
      <c r="Y488" s="92" t="str">
        <f t="shared" si="30"/>
        <v>-</v>
      </c>
      <c r="Z488" s="93">
        <f t="shared" si="21"/>
        <v>0</v>
      </c>
      <c r="AA488" s="93"/>
      <c r="AB488" s="94">
        <f t="shared" si="22"/>
        <v>0</v>
      </c>
      <c r="AC488" s="94">
        <f t="shared" si="17"/>
        <v>0</v>
      </c>
      <c r="AF488">
        <f t="shared" si="23"/>
        <v>1</v>
      </c>
      <c r="AG488">
        <f t="shared" si="24"/>
        <v>1</v>
      </c>
      <c r="AH488">
        <f t="shared" si="25"/>
        <v>1</v>
      </c>
      <c r="AI488">
        <f t="shared" si="26"/>
        <v>1</v>
      </c>
      <c r="AJ488">
        <f t="shared" si="27"/>
        <v>1</v>
      </c>
      <c r="AK488">
        <f t="shared" si="28"/>
        <v>1</v>
      </c>
      <c r="AL488">
        <f t="shared" si="29"/>
        <v>1</v>
      </c>
    </row>
    <row r="489" spans="1:38">
      <c r="A489">
        <v>9074</v>
      </c>
      <c r="B489" t="s">
        <v>79</v>
      </c>
      <c r="C489" t="s">
        <v>63</v>
      </c>
      <c r="D489" t="s">
        <v>7</v>
      </c>
      <c r="E489" s="1">
        <v>43180.813136574077</v>
      </c>
      <c r="F489" s="465">
        <v>43180.813136574077</v>
      </c>
      <c r="G489" s="464">
        <v>0.8125</v>
      </c>
      <c r="H489" t="s">
        <v>129</v>
      </c>
      <c r="I489" t="s">
        <v>129</v>
      </c>
      <c r="J489" t="s">
        <v>129</v>
      </c>
      <c r="K489">
        <v>2.6833333333333345</v>
      </c>
      <c r="P489">
        <v>9074</v>
      </c>
      <c r="Q489" t="s">
        <v>79</v>
      </c>
      <c r="R489" t="s">
        <v>63</v>
      </c>
      <c r="S489" s="143" t="s">
        <v>7</v>
      </c>
      <c r="T489" s="144">
        <v>43180.813136574077</v>
      </c>
      <c r="U489" s="89">
        <f t="shared" si="16"/>
        <v>43180.813136574077</v>
      </c>
      <c r="V489" s="90" t="str">
        <f t="shared" si="18"/>
        <v>19:30</v>
      </c>
      <c r="W489" s="91" t="str">
        <f t="shared" si="19"/>
        <v>-</v>
      </c>
      <c r="X489" s="92" t="str">
        <f t="shared" si="20"/>
        <v>-</v>
      </c>
      <c r="Y489" s="92" t="str">
        <f t="shared" si="30"/>
        <v>-</v>
      </c>
      <c r="Z489" s="93">
        <f t="shared" si="21"/>
        <v>2.6833333333333345</v>
      </c>
      <c r="AA489" s="93"/>
      <c r="AB489" s="94">
        <f t="shared" si="22"/>
        <v>2</v>
      </c>
      <c r="AC489" s="94">
        <f t="shared" si="17"/>
        <v>0.68333333333333446</v>
      </c>
      <c r="AF489">
        <f t="shared" si="23"/>
        <v>1</v>
      </c>
      <c r="AG489">
        <f t="shared" si="24"/>
        <v>1</v>
      </c>
      <c r="AH489">
        <f t="shared" si="25"/>
        <v>1</v>
      </c>
      <c r="AI489">
        <f t="shared" si="26"/>
        <v>1</v>
      </c>
      <c r="AJ489">
        <f t="shared" si="27"/>
        <v>1</v>
      </c>
      <c r="AK489">
        <f t="shared" si="28"/>
        <v>0</v>
      </c>
      <c r="AL489">
        <f t="shared" si="29"/>
        <v>0</v>
      </c>
    </row>
    <row r="490" spans="1:38">
      <c r="A490">
        <v>9081</v>
      </c>
      <c r="B490" t="s">
        <v>63</v>
      </c>
      <c r="C490" t="s">
        <v>63</v>
      </c>
      <c r="D490" t="s">
        <v>8</v>
      </c>
      <c r="E490" s="1">
        <v>43180.924537037034</v>
      </c>
      <c r="F490" s="465">
        <v>43180.924537037034</v>
      </c>
      <c r="G490" s="464">
        <v>0.9243055555555556</v>
      </c>
      <c r="H490" t="s">
        <v>129</v>
      </c>
      <c r="I490" t="s">
        <v>129</v>
      </c>
      <c r="J490" t="s">
        <v>129</v>
      </c>
      <c r="P490">
        <v>9081</v>
      </c>
      <c r="Q490" t="s">
        <v>63</v>
      </c>
      <c r="R490" t="s">
        <v>63</v>
      </c>
      <c r="S490" s="143" t="s">
        <v>8</v>
      </c>
      <c r="T490" s="144">
        <v>43180.924537037034</v>
      </c>
      <c r="U490" s="89">
        <f t="shared" si="16"/>
        <v>43180.924537037034</v>
      </c>
      <c r="V490" s="90" t="str">
        <f t="shared" si="18"/>
        <v>22:11</v>
      </c>
      <c r="W490" s="91" t="str">
        <f t="shared" si="19"/>
        <v>-</v>
      </c>
      <c r="X490" s="92" t="str">
        <f t="shared" si="20"/>
        <v>-</v>
      </c>
      <c r="Y490" s="92" t="str">
        <f t="shared" si="30"/>
        <v>-</v>
      </c>
      <c r="Z490" s="93">
        <f t="shared" si="21"/>
        <v>0</v>
      </c>
      <c r="AA490" s="93"/>
      <c r="AB490" s="94">
        <f t="shared" si="22"/>
        <v>0</v>
      </c>
      <c r="AC490" s="94">
        <f t="shared" si="17"/>
        <v>0</v>
      </c>
      <c r="AF490">
        <f t="shared" si="23"/>
        <v>1</v>
      </c>
      <c r="AG490">
        <f t="shared" si="24"/>
        <v>1</v>
      </c>
      <c r="AH490">
        <f t="shared" si="25"/>
        <v>1</v>
      </c>
      <c r="AI490">
        <f t="shared" si="26"/>
        <v>1</v>
      </c>
      <c r="AJ490">
        <f t="shared" si="27"/>
        <v>1</v>
      </c>
      <c r="AK490">
        <f t="shared" si="28"/>
        <v>1</v>
      </c>
      <c r="AL490">
        <f t="shared" si="29"/>
        <v>1</v>
      </c>
    </row>
    <row r="491" spans="1:38">
      <c r="A491">
        <v>9090</v>
      </c>
      <c r="B491" t="s">
        <v>79</v>
      </c>
      <c r="C491" t="s">
        <v>63</v>
      </c>
      <c r="D491" t="s">
        <v>6</v>
      </c>
      <c r="E491" s="1">
        <v>43181.37327546296</v>
      </c>
      <c r="F491" s="465">
        <v>43181.37327546296</v>
      </c>
      <c r="G491" s="464">
        <v>0.37291666666666662</v>
      </c>
      <c r="H491">
        <v>9.8000000000000007</v>
      </c>
      <c r="I491">
        <v>8</v>
      </c>
      <c r="J491" t="s">
        <v>129</v>
      </c>
      <c r="P491">
        <v>9090</v>
      </c>
      <c r="Q491" t="s">
        <v>79</v>
      </c>
      <c r="R491" t="s">
        <v>63</v>
      </c>
      <c r="S491" s="143" t="s">
        <v>6</v>
      </c>
      <c r="T491" s="144">
        <v>43181.37327546296</v>
      </c>
      <c r="U491" s="89">
        <f t="shared" si="16"/>
        <v>43181.37327546296</v>
      </c>
      <c r="V491" s="90" t="str">
        <f t="shared" si="18"/>
        <v>8:57</v>
      </c>
      <c r="W491" s="91">
        <f t="shared" si="19"/>
        <v>9.8000000000000007</v>
      </c>
      <c r="X491" s="92">
        <f t="shared" si="20"/>
        <v>8</v>
      </c>
      <c r="Y491" s="92" t="str">
        <f t="shared" si="30"/>
        <v>-</v>
      </c>
      <c r="Z491" s="93">
        <f t="shared" si="21"/>
        <v>0</v>
      </c>
      <c r="AA491" s="93"/>
      <c r="AB491" s="94">
        <f t="shared" si="22"/>
        <v>0</v>
      </c>
      <c r="AC491" s="94">
        <f t="shared" si="17"/>
        <v>0</v>
      </c>
      <c r="AF491">
        <f t="shared" si="23"/>
        <v>1</v>
      </c>
      <c r="AG491">
        <f t="shared" si="24"/>
        <v>1</v>
      </c>
      <c r="AH491">
        <f t="shared" si="25"/>
        <v>1</v>
      </c>
      <c r="AI491">
        <f t="shared" si="26"/>
        <v>1</v>
      </c>
      <c r="AJ491">
        <f t="shared" si="27"/>
        <v>1</v>
      </c>
      <c r="AK491">
        <f t="shared" si="28"/>
        <v>1</v>
      </c>
      <c r="AL491">
        <f t="shared" si="29"/>
        <v>1</v>
      </c>
    </row>
    <row r="492" spans="1:38">
      <c r="A492">
        <v>9100</v>
      </c>
      <c r="B492" t="s">
        <v>63</v>
      </c>
      <c r="C492" t="s">
        <v>63</v>
      </c>
      <c r="D492" t="s">
        <v>5</v>
      </c>
      <c r="E492" s="1">
        <v>43181.781655092593</v>
      </c>
      <c r="F492" s="465">
        <v>43181.781655092593</v>
      </c>
      <c r="G492" s="464">
        <v>0.78125</v>
      </c>
      <c r="H492" t="s">
        <v>129</v>
      </c>
      <c r="I492" t="s">
        <v>129</v>
      </c>
      <c r="J492" t="s">
        <v>129</v>
      </c>
      <c r="P492">
        <v>9100</v>
      </c>
      <c r="Q492" t="s">
        <v>63</v>
      </c>
      <c r="R492" t="s">
        <v>63</v>
      </c>
      <c r="S492" s="143" t="s">
        <v>5</v>
      </c>
      <c r="T492" s="144">
        <v>43181.781655092593</v>
      </c>
      <c r="U492" s="89">
        <f t="shared" si="16"/>
        <v>43181.781655092593</v>
      </c>
      <c r="V492" s="90" t="str">
        <f t="shared" si="18"/>
        <v>18:45</v>
      </c>
      <c r="W492" s="91" t="str">
        <f t="shared" si="19"/>
        <v>-</v>
      </c>
      <c r="X492" s="92" t="str">
        <f t="shared" si="20"/>
        <v>-</v>
      </c>
      <c r="Y492" s="92" t="str">
        <f t="shared" si="30"/>
        <v>-</v>
      </c>
      <c r="Z492" s="93">
        <f t="shared" si="21"/>
        <v>0</v>
      </c>
      <c r="AA492" s="93"/>
      <c r="AB492" s="94">
        <f t="shared" si="22"/>
        <v>0</v>
      </c>
      <c r="AC492" s="94">
        <f t="shared" si="17"/>
        <v>0</v>
      </c>
      <c r="AF492">
        <f t="shared" si="23"/>
        <v>1</v>
      </c>
      <c r="AG492">
        <f t="shared" si="24"/>
        <v>1</v>
      </c>
      <c r="AH492">
        <f t="shared" si="25"/>
        <v>1</v>
      </c>
      <c r="AI492">
        <f t="shared" si="26"/>
        <v>1</v>
      </c>
      <c r="AJ492">
        <f t="shared" si="27"/>
        <v>1</v>
      </c>
      <c r="AK492">
        <f t="shared" si="28"/>
        <v>1</v>
      </c>
      <c r="AL492">
        <f t="shared" si="29"/>
        <v>1</v>
      </c>
    </row>
    <row r="493" spans="1:38">
      <c r="A493">
        <v>9107</v>
      </c>
      <c r="B493" t="s">
        <v>63</v>
      </c>
      <c r="C493" t="s">
        <v>63</v>
      </c>
      <c r="D493" t="s">
        <v>7</v>
      </c>
      <c r="E493" s="1">
        <v>43181.80777777778</v>
      </c>
      <c r="F493" s="465">
        <v>43181.80777777778</v>
      </c>
      <c r="G493" s="464">
        <v>0.80763888888888891</v>
      </c>
      <c r="H493" t="s">
        <v>129</v>
      </c>
      <c r="I493" t="s">
        <v>129</v>
      </c>
      <c r="J493" t="s">
        <v>129</v>
      </c>
      <c r="K493">
        <v>3.6166666666666671</v>
      </c>
      <c r="M493">
        <v>2</v>
      </c>
      <c r="N493">
        <v>1.6166666666666671</v>
      </c>
      <c r="P493">
        <v>9107</v>
      </c>
      <c r="Q493" t="s">
        <v>63</v>
      </c>
      <c r="R493" t="s">
        <v>63</v>
      </c>
      <c r="S493" s="143" t="s">
        <v>7</v>
      </c>
      <c r="T493" s="144">
        <v>43181.80777777778</v>
      </c>
      <c r="U493" s="89">
        <f t="shared" si="16"/>
        <v>43181.80777777778</v>
      </c>
      <c r="V493" s="90" t="str">
        <f t="shared" si="18"/>
        <v>19:23</v>
      </c>
      <c r="W493" s="91" t="str">
        <f t="shared" si="19"/>
        <v>-</v>
      </c>
      <c r="X493" s="92" t="str">
        <f t="shared" si="20"/>
        <v>-</v>
      </c>
      <c r="Y493" s="92" t="str">
        <f t="shared" si="30"/>
        <v>-</v>
      </c>
      <c r="Z493" s="93">
        <f t="shared" si="21"/>
        <v>3.6166666666666671</v>
      </c>
      <c r="AA493" s="93"/>
      <c r="AB493" s="94">
        <f t="shared" si="22"/>
        <v>2</v>
      </c>
      <c r="AC493" s="94">
        <f t="shared" si="17"/>
        <v>1.6166666666666671</v>
      </c>
      <c r="AF493">
        <f t="shared" si="23"/>
        <v>1</v>
      </c>
      <c r="AG493">
        <f t="shared" si="24"/>
        <v>1</v>
      </c>
      <c r="AH493">
        <f t="shared" si="25"/>
        <v>1</v>
      </c>
      <c r="AI493">
        <f t="shared" si="26"/>
        <v>1</v>
      </c>
      <c r="AJ493">
        <f t="shared" si="27"/>
        <v>1</v>
      </c>
      <c r="AK493">
        <f t="shared" si="28"/>
        <v>1</v>
      </c>
      <c r="AL493">
        <f t="shared" si="29"/>
        <v>1</v>
      </c>
    </row>
    <row r="494" spans="1:38">
      <c r="A494">
        <v>9116</v>
      </c>
      <c r="B494" t="s">
        <v>63</v>
      </c>
      <c r="C494" t="s">
        <v>63</v>
      </c>
      <c r="D494" t="s">
        <v>8</v>
      </c>
      <c r="E494" s="1">
        <v>43181.958391203705</v>
      </c>
      <c r="F494" s="465">
        <v>43181.958391203705</v>
      </c>
      <c r="G494" s="464">
        <v>0.95833333333333337</v>
      </c>
      <c r="H494" t="s">
        <v>129</v>
      </c>
      <c r="I494" t="s">
        <v>129</v>
      </c>
      <c r="J494" t="s">
        <v>129</v>
      </c>
      <c r="P494">
        <v>9116</v>
      </c>
      <c r="Q494" t="s">
        <v>63</v>
      </c>
      <c r="R494" t="s">
        <v>63</v>
      </c>
      <c r="S494" s="143" t="s">
        <v>8</v>
      </c>
      <c r="T494" s="144">
        <v>43181.958391203705</v>
      </c>
      <c r="U494" s="89">
        <f t="shared" si="16"/>
        <v>43181.958391203705</v>
      </c>
      <c r="V494" s="90" t="str">
        <f t="shared" si="18"/>
        <v>23:0</v>
      </c>
      <c r="W494" s="91" t="str">
        <f t="shared" si="19"/>
        <v>-</v>
      </c>
      <c r="X494" s="92" t="str">
        <f t="shared" si="20"/>
        <v>-</v>
      </c>
      <c r="Y494" s="92" t="str">
        <f t="shared" si="30"/>
        <v>-</v>
      </c>
      <c r="Z494" s="93">
        <f t="shared" si="21"/>
        <v>0</v>
      </c>
      <c r="AA494" s="93"/>
      <c r="AB494" s="94">
        <f t="shared" si="22"/>
        <v>0</v>
      </c>
      <c r="AC494" s="94">
        <f t="shared" si="17"/>
        <v>0</v>
      </c>
      <c r="AF494">
        <f t="shared" si="23"/>
        <v>1</v>
      </c>
      <c r="AG494">
        <f t="shared" si="24"/>
        <v>1</v>
      </c>
      <c r="AH494">
        <f t="shared" si="25"/>
        <v>1</v>
      </c>
      <c r="AI494">
        <f t="shared" si="26"/>
        <v>1</v>
      </c>
      <c r="AJ494">
        <f t="shared" si="27"/>
        <v>1</v>
      </c>
      <c r="AK494">
        <f t="shared" si="28"/>
        <v>1</v>
      </c>
      <c r="AL494">
        <f t="shared" si="29"/>
        <v>1</v>
      </c>
    </row>
    <row r="495" spans="1:38">
      <c r="A495">
        <v>9126</v>
      </c>
      <c r="B495" t="s">
        <v>63</v>
      </c>
      <c r="C495" t="s">
        <v>63</v>
      </c>
      <c r="D495" t="s">
        <v>6</v>
      </c>
      <c r="E495" s="1">
        <v>43182.382407407407</v>
      </c>
      <c r="F495" s="465">
        <v>43182.382407407407</v>
      </c>
      <c r="G495" s="464">
        <v>0.38194444444444442</v>
      </c>
      <c r="H495">
        <v>9.4000000000000021</v>
      </c>
      <c r="I495">
        <v>7.9000000000000021</v>
      </c>
      <c r="J495">
        <v>9.9999999999997868E-2</v>
      </c>
      <c r="P495" s="421">
        <v>9126</v>
      </c>
      <c r="Q495" s="421" t="s">
        <v>63</v>
      </c>
      <c r="R495" s="421" t="s">
        <v>63</v>
      </c>
      <c r="S495" s="409" t="s">
        <v>6</v>
      </c>
      <c r="T495" s="410">
        <v>43182.382407407407</v>
      </c>
      <c r="U495" s="411">
        <f t="shared" si="16"/>
        <v>43182.382407407407</v>
      </c>
      <c r="V495" s="412" t="str">
        <f t="shared" si="18"/>
        <v>9:10</v>
      </c>
      <c r="W495" s="413">
        <f t="shared" si="19"/>
        <v>9.4000000000000021</v>
      </c>
      <c r="X495" s="414">
        <f>8-Y495</f>
        <v>7.5</v>
      </c>
      <c r="Y495" s="414">
        <v>0.5</v>
      </c>
      <c r="Z495" s="415">
        <f t="shared" si="21"/>
        <v>0</v>
      </c>
      <c r="AA495" s="415"/>
      <c r="AB495" s="416">
        <f t="shared" si="22"/>
        <v>0</v>
      </c>
      <c r="AC495" s="416">
        <f t="shared" si="17"/>
        <v>0</v>
      </c>
      <c r="AF495">
        <f t="shared" si="23"/>
        <v>1</v>
      </c>
      <c r="AG495">
        <f t="shared" si="24"/>
        <v>0</v>
      </c>
      <c r="AH495">
        <f t="shared" si="25"/>
        <v>0</v>
      </c>
      <c r="AI495">
        <f t="shared" si="26"/>
        <v>1</v>
      </c>
      <c r="AJ495">
        <f t="shared" si="27"/>
        <v>1</v>
      </c>
      <c r="AK495">
        <f t="shared" si="28"/>
        <v>1</v>
      </c>
      <c r="AL495">
        <f t="shared" si="29"/>
        <v>1</v>
      </c>
    </row>
    <row r="496" spans="1:38">
      <c r="A496">
        <v>9135</v>
      </c>
      <c r="B496" t="s">
        <v>79</v>
      </c>
      <c r="C496" t="s">
        <v>63</v>
      </c>
      <c r="D496" t="s">
        <v>5</v>
      </c>
      <c r="E496" s="1">
        <v>43182.774178240739</v>
      </c>
      <c r="F496" s="465">
        <v>43182.774178240739</v>
      </c>
      <c r="G496" s="464">
        <v>0.77361111111111114</v>
      </c>
      <c r="H496" t="s">
        <v>129</v>
      </c>
      <c r="I496" t="s">
        <v>129</v>
      </c>
      <c r="J496" t="s">
        <v>129</v>
      </c>
      <c r="P496">
        <v>9135</v>
      </c>
      <c r="Q496" t="s">
        <v>79</v>
      </c>
      <c r="R496" t="s">
        <v>63</v>
      </c>
      <c r="S496" s="143" t="s">
        <v>5</v>
      </c>
      <c r="T496" s="144">
        <v>43182.774178240739</v>
      </c>
      <c r="U496" s="89">
        <f t="shared" si="16"/>
        <v>43182.774178240739</v>
      </c>
      <c r="V496" s="90" t="str">
        <f t="shared" si="18"/>
        <v>18:34</v>
      </c>
      <c r="W496" s="91" t="str">
        <f t="shared" si="19"/>
        <v>-</v>
      </c>
      <c r="X496" s="92" t="str">
        <f t="shared" si="20"/>
        <v>-</v>
      </c>
      <c r="Y496" s="92" t="str">
        <f t="shared" si="30"/>
        <v>-</v>
      </c>
      <c r="Z496" s="93">
        <f t="shared" si="21"/>
        <v>0</v>
      </c>
      <c r="AA496" s="93"/>
      <c r="AB496" s="94">
        <f t="shared" si="22"/>
        <v>0</v>
      </c>
      <c r="AC496" s="94">
        <f t="shared" si="17"/>
        <v>0</v>
      </c>
      <c r="AF496">
        <f t="shared" si="23"/>
        <v>1</v>
      </c>
      <c r="AG496">
        <f t="shared" si="24"/>
        <v>1</v>
      </c>
      <c r="AH496">
        <f t="shared" si="25"/>
        <v>1</v>
      </c>
      <c r="AI496">
        <f t="shared" si="26"/>
        <v>1</v>
      </c>
      <c r="AJ496">
        <f t="shared" si="27"/>
        <v>1</v>
      </c>
      <c r="AK496">
        <f t="shared" si="28"/>
        <v>1</v>
      </c>
      <c r="AL496">
        <f t="shared" si="29"/>
        <v>1</v>
      </c>
    </row>
    <row r="497" spans="1:38">
      <c r="A497">
        <v>9144</v>
      </c>
      <c r="B497" t="s">
        <v>63</v>
      </c>
      <c r="C497" t="s">
        <v>63</v>
      </c>
      <c r="D497" t="s">
        <v>6</v>
      </c>
      <c r="E497" s="1">
        <v>43185.374988425923</v>
      </c>
      <c r="F497" s="465">
        <v>43185.374988425923</v>
      </c>
      <c r="G497" s="464">
        <v>0.3743055555555555</v>
      </c>
      <c r="H497">
        <v>9.5166666666666675</v>
      </c>
      <c r="I497">
        <v>8</v>
      </c>
      <c r="J497" t="s">
        <v>129</v>
      </c>
      <c r="P497">
        <v>9144</v>
      </c>
      <c r="Q497" t="s">
        <v>63</v>
      </c>
      <c r="R497" t="s">
        <v>63</v>
      </c>
      <c r="S497" s="143" t="s">
        <v>6</v>
      </c>
      <c r="T497" s="144">
        <v>43185.374988425923</v>
      </c>
      <c r="U497" s="89">
        <f t="shared" si="16"/>
        <v>43185.374988425923</v>
      </c>
      <c r="V497" s="90" t="str">
        <f t="shared" si="18"/>
        <v>8:59</v>
      </c>
      <c r="W497" s="91">
        <f t="shared" si="19"/>
        <v>9.5166666666666693</v>
      </c>
      <c r="X497" s="92">
        <f t="shared" si="20"/>
        <v>8</v>
      </c>
      <c r="Y497" s="92" t="str">
        <f t="shared" si="30"/>
        <v>-</v>
      </c>
      <c r="Z497" s="93">
        <f t="shared" si="21"/>
        <v>0</v>
      </c>
      <c r="AA497" s="93"/>
      <c r="AB497" s="94">
        <f t="shared" si="22"/>
        <v>0</v>
      </c>
      <c r="AC497" s="94">
        <f t="shared" si="17"/>
        <v>0</v>
      </c>
      <c r="AF497">
        <f t="shared" si="23"/>
        <v>1</v>
      </c>
      <c r="AG497">
        <f t="shared" si="24"/>
        <v>1</v>
      </c>
      <c r="AH497">
        <f t="shared" si="25"/>
        <v>1</v>
      </c>
      <c r="AI497">
        <f t="shared" si="26"/>
        <v>1</v>
      </c>
      <c r="AJ497">
        <f t="shared" si="27"/>
        <v>1</v>
      </c>
      <c r="AK497">
        <f t="shared" si="28"/>
        <v>1</v>
      </c>
      <c r="AL497">
        <f t="shared" si="29"/>
        <v>1</v>
      </c>
    </row>
    <row r="498" spans="1:38">
      <c r="A498">
        <v>9152</v>
      </c>
      <c r="B498" t="s">
        <v>63</v>
      </c>
      <c r="C498" t="s">
        <v>63</v>
      </c>
      <c r="D498" t="s">
        <v>5</v>
      </c>
      <c r="E498" s="1">
        <v>43185.771192129629</v>
      </c>
      <c r="F498" s="465">
        <v>43185.771192129629</v>
      </c>
      <c r="G498" s="464">
        <v>0.77083333333333337</v>
      </c>
      <c r="H498" t="s">
        <v>129</v>
      </c>
      <c r="I498" t="s">
        <v>129</v>
      </c>
      <c r="J498" t="s">
        <v>129</v>
      </c>
      <c r="P498">
        <v>9152</v>
      </c>
      <c r="Q498" t="s">
        <v>63</v>
      </c>
      <c r="R498" t="s">
        <v>63</v>
      </c>
      <c r="S498" s="143" t="s">
        <v>5</v>
      </c>
      <c r="T498" s="144">
        <v>43185.771192129629</v>
      </c>
      <c r="U498" s="89">
        <f t="shared" si="16"/>
        <v>43185.771192129629</v>
      </c>
      <c r="V498" s="90" t="str">
        <f t="shared" si="18"/>
        <v>18:30</v>
      </c>
      <c r="W498" s="91" t="str">
        <f t="shared" si="19"/>
        <v>-</v>
      </c>
      <c r="X498" s="92" t="str">
        <f t="shared" si="20"/>
        <v>-</v>
      </c>
      <c r="Y498" s="92" t="str">
        <f t="shared" si="30"/>
        <v>-</v>
      </c>
      <c r="Z498" s="93">
        <f t="shared" si="21"/>
        <v>0</v>
      </c>
      <c r="AA498" s="93"/>
      <c r="AB498" s="94">
        <f t="shared" si="22"/>
        <v>0</v>
      </c>
      <c r="AC498" s="94">
        <f t="shared" si="17"/>
        <v>0</v>
      </c>
      <c r="AF498">
        <f t="shared" si="23"/>
        <v>1</v>
      </c>
      <c r="AG498">
        <f t="shared" si="24"/>
        <v>1</v>
      </c>
      <c r="AH498">
        <f t="shared" si="25"/>
        <v>1</v>
      </c>
      <c r="AI498">
        <f t="shared" si="26"/>
        <v>1</v>
      </c>
      <c r="AJ498">
        <f t="shared" si="27"/>
        <v>1</v>
      </c>
      <c r="AK498">
        <f t="shared" si="28"/>
        <v>1</v>
      </c>
      <c r="AL498">
        <f t="shared" si="29"/>
        <v>1</v>
      </c>
    </row>
    <row r="499" spans="1:38">
      <c r="A499">
        <v>9153</v>
      </c>
      <c r="B499" t="s">
        <v>63</v>
      </c>
      <c r="C499" t="s">
        <v>63</v>
      </c>
      <c r="D499" t="s">
        <v>7</v>
      </c>
      <c r="E499" s="1">
        <v>43185.771215277775</v>
      </c>
      <c r="F499" s="465">
        <v>43185.771215277775</v>
      </c>
      <c r="G499" s="464">
        <v>0.77083333333333337</v>
      </c>
      <c r="H499" t="s">
        <v>129</v>
      </c>
      <c r="I499" t="s">
        <v>129</v>
      </c>
      <c r="J499" t="s">
        <v>129</v>
      </c>
      <c r="K499">
        <v>3.083333333333333</v>
      </c>
      <c r="M499">
        <v>2</v>
      </c>
      <c r="N499">
        <v>1.083333333333333</v>
      </c>
      <c r="P499">
        <v>9153</v>
      </c>
      <c r="Q499" t="s">
        <v>63</v>
      </c>
      <c r="R499" t="s">
        <v>63</v>
      </c>
      <c r="S499" s="143" t="s">
        <v>7</v>
      </c>
      <c r="T499" s="144">
        <v>43185.771215277775</v>
      </c>
      <c r="U499" s="89">
        <f t="shared" si="16"/>
        <v>43185.771215277775</v>
      </c>
      <c r="V499" s="90" t="str">
        <f t="shared" si="18"/>
        <v>18:30</v>
      </c>
      <c r="W499" s="91" t="str">
        <f t="shared" si="19"/>
        <v>-</v>
      </c>
      <c r="X499" s="92" t="str">
        <f t="shared" si="20"/>
        <v>-</v>
      </c>
      <c r="Y499" s="92" t="str">
        <f t="shared" si="30"/>
        <v>-</v>
      </c>
      <c r="Z499" s="93">
        <f t="shared" si="21"/>
        <v>3.0833333333333304</v>
      </c>
      <c r="AA499" s="93"/>
      <c r="AB499" s="94">
        <f t="shared" si="22"/>
        <v>2</v>
      </c>
      <c r="AC499" s="94">
        <f t="shared" si="17"/>
        <v>1.0833333333333304</v>
      </c>
      <c r="AF499">
        <f t="shared" si="23"/>
        <v>1</v>
      </c>
      <c r="AG499">
        <f t="shared" si="24"/>
        <v>1</v>
      </c>
      <c r="AH499">
        <f t="shared" si="25"/>
        <v>1</v>
      </c>
      <c r="AI499">
        <f t="shared" si="26"/>
        <v>1</v>
      </c>
      <c r="AJ499">
        <f t="shared" si="27"/>
        <v>1</v>
      </c>
      <c r="AK499">
        <f t="shared" si="28"/>
        <v>1</v>
      </c>
      <c r="AL499">
        <f t="shared" si="29"/>
        <v>1</v>
      </c>
    </row>
    <row r="500" spans="1:38">
      <c r="A500">
        <v>9189</v>
      </c>
      <c r="B500" t="s">
        <v>63</v>
      </c>
      <c r="C500" t="s">
        <v>63</v>
      </c>
      <c r="D500" t="s">
        <v>8</v>
      </c>
      <c r="E500" s="1">
        <v>43185.899918981479</v>
      </c>
      <c r="F500" s="465">
        <v>43185.899918981479</v>
      </c>
      <c r="G500" s="464">
        <v>0.89930555555555547</v>
      </c>
      <c r="H500" t="s">
        <v>129</v>
      </c>
      <c r="I500" t="s">
        <v>129</v>
      </c>
      <c r="J500" t="s">
        <v>129</v>
      </c>
      <c r="P500" s="63">
        <v>9189</v>
      </c>
      <c r="Q500" s="63" t="s">
        <v>63</v>
      </c>
      <c r="R500" s="63" t="s">
        <v>63</v>
      </c>
      <c r="S500" s="181" t="s">
        <v>8</v>
      </c>
      <c r="T500" s="180">
        <v>43185.899918981479</v>
      </c>
      <c r="U500" s="135">
        <f t="shared" si="16"/>
        <v>43185.899918981479</v>
      </c>
      <c r="V500" s="67" t="str">
        <f t="shared" si="18"/>
        <v>21:35</v>
      </c>
      <c r="W500" s="64" t="str">
        <f t="shared" si="19"/>
        <v>-</v>
      </c>
      <c r="X500" s="66" t="str">
        <f t="shared" si="20"/>
        <v>-</v>
      </c>
      <c r="Y500" s="66" t="str">
        <f t="shared" si="30"/>
        <v>-</v>
      </c>
      <c r="Z500" s="68">
        <f t="shared" si="21"/>
        <v>0</v>
      </c>
      <c r="AA500" s="68"/>
      <c r="AB500" s="65">
        <f t="shared" si="22"/>
        <v>0</v>
      </c>
      <c r="AC500" s="65">
        <f t="shared" si="17"/>
        <v>0</v>
      </c>
      <c r="AF500">
        <f t="shared" si="23"/>
        <v>1</v>
      </c>
      <c r="AG500">
        <f t="shared" si="24"/>
        <v>1</v>
      </c>
      <c r="AH500">
        <f t="shared" si="25"/>
        <v>1</v>
      </c>
      <c r="AI500">
        <f t="shared" si="26"/>
        <v>1</v>
      </c>
      <c r="AJ500">
        <f t="shared" si="27"/>
        <v>1</v>
      </c>
      <c r="AK500">
        <f t="shared" si="28"/>
        <v>1</v>
      </c>
      <c r="AL500">
        <f t="shared" si="29"/>
        <v>1</v>
      </c>
    </row>
    <row r="501" spans="1:38">
      <c r="A501">
        <v>9163</v>
      </c>
      <c r="B501" t="s">
        <v>79</v>
      </c>
      <c r="C501" t="s">
        <v>63</v>
      </c>
      <c r="D501" t="s">
        <v>6</v>
      </c>
      <c r="E501" s="1">
        <v>43186.3596412037</v>
      </c>
      <c r="F501" s="465">
        <v>43186.3596412037</v>
      </c>
      <c r="G501" s="464">
        <v>0.35902777777777778</v>
      </c>
      <c r="H501">
        <v>9.8833333333333346</v>
      </c>
      <c r="I501">
        <v>8</v>
      </c>
      <c r="J501" t="s">
        <v>129</v>
      </c>
      <c r="P501">
        <v>9163</v>
      </c>
      <c r="Q501" t="s">
        <v>79</v>
      </c>
      <c r="R501" t="s">
        <v>63</v>
      </c>
      <c r="S501" s="143" t="s">
        <v>6</v>
      </c>
      <c r="T501" s="144">
        <v>43186.3596412037</v>
      </c>
      <c r="U501" s="89">
        <f t="shared" si="16"/>
        <v>43186.3596412037</v>
      </c>
      <c r="V501" s="90" t="str">
        <f t="shared" si="18"/>
        <v>8:37</v>
      </c>
      <c r="W501" s="91">
        <f t="shared" si="19"/>
        <v>9.8833333333333346</v>
      </c>
      <c r="X501" s="92">
        <f t="shared" si="20"/>
        <v>8</v>
      </c>
      <c r="Y501" s="92" t="str">
        <f t="shared" si="30"/>
        <v>-</v>
      </c>
      <c r="Z501" s="93">
        <f t="shared" si="21"/>
        <v>0</v>
      </c>
      <c r="AA501" s="93"/>
      <c r="AB501" s="94">
        <f t="shared" si="22"/>
        <v>0</v>
      </c>
      <c r="AC501" s="94">
        <f t="shared" si="17"/>
        <v>0</v>
      </c>
      <c r="AF501">
        <f t="shared" si="23"/>
        <v>1</v>
      </c>
      <c r="AG501">
        <f t="shared" si="24"/>
        <v>1</v>
      </c>
      <c r="AH501">
        <f t="shared" si="25"/>
        <v>1</v>
      </c>
      <c r="AI501">
        <f t="shared" si="26"/>
        <v>1</v>
      </c>
      <c r="AJ501">
        <f t="shared" si="27"/>
        <v>1</v>
      </c>
      <c r="AK501">
        <f t="shared" si="28"/>
        <v>1</v>
      </c>
      <c r="AL501">
        <f t="shared" si="29"/>
        <v>1</v>
      </c>
    </row>
    <row r="502" spans="1:38">
      <c r="A502">
        <v>9173</v>
      </c>
      <c r="B502" t="s">
        <v>63</v>
      </c>
      <c r="C502" t="s">
        <v>63</v>
      </c>
      <c r="D502" t="s">
        <v>5</v>
      </c>
      <c r="E502" s="1">
        <v>43186.770949074074</v>
      </c>
      <c r="F502" s="465">
        <v>43186.770949074074</v>
      </c>
      <c r="G502" s="464">
        <v>0.77083333333333337</v>
      </c>
      <c r="H502" t="s">
        <v>129</v>
      </c>
      <c r="I502" t="s">
        <v>129</v>
      </c>
      <c r="J502" t="s">
        <v>129</v>
      </c>
      <c r="P502">
        <v>9173</v>
      </c>
      <c r="Q502" t="s">
        <v>63</v>
      </c>
      <c r="R502" t="s">
        <v>63</v>
      </c>
      <c r="S502" s="143" t="s">
        <v>5</v>
      </c>
      <c r="T502" s="144">
        <v>43186.770949074074</v>
      </c>
      <c r="U502" s="89">
        <f t="shared" si="16"/>
        <v>43186.770949074074</v>
      </c>
      <c r="V502" s="90" t="str">
        <f t="shared" si="18"/>
        <v>18:30</v>
      </c>
      <c r="W502" s="91" t="str">
        <f t="shared" si="19"/>
        <v>-</v>
      </c>
      <c r="X502" s="92" t="str">
        <f t="shared" si="20"/>
        <v>-</v>
      </c>
      <c r="Y502" s="92" t="str">
        <f t="shared" si="30"/>
        <v>-</v>
      </c>
      <c r="Z502" s="93">
        <f t="shared" si="21"/>
        <v>0</v>
      </c>
      <c r="AA502" s="93"/>
      <c r="AB502" s="94">
        <f t="shared" si="22"/>
        <v>0</v>
      </c>
      <c r="AC502" s="94">
        <f t="shared" si="17"/>
        <v>0</v>
      </c>
      <c r="AF502">
        <f t="shared" si="23"/>
        <v>1</v>
      </c>
      <c r="AG502">
        <f t="shared" si="24"/>
        <v>1</v>
      </c>
      <c r="AH502">
        <f t="shared" si="25"/>
        <v>1</v>
      </c>
      <c r="AI502">
        <f t="shared" si="26"/>
        <v>1</v>
      </c>
      <c r="AJ502">
        <f t="shared" si="27"/>
        <v>1</v>
      </c>
      <c r="AK502">
        <f t="shared" si="28"/>
        <v>1</v>
      </c>
      <c r="AL502">
        <f t="shared" si="29"/>
        <v>1</v>
      </c>
    </row>
    <row r="503" spans="1:38">
      <c r="A503">
        <v>9208</v>
      </c>
      <c r="B503" t="s">
        <v>63</v>
      </c>
      <c r="C503" t="s">
        <v>63</v>
      </c>
      <c r="D503" t="s">
        <v>7</v>
      </c>
      <c r="E503" s="1">
        <v>43186.77144675926</v>
      </c>
      <c r="F503" s="465">
        <v>43186.77144675926</v>
      </c>
      <c r="G503" s="464">
        <v>0.77083333333333337</v>
      </c>
      <c r="H503" t="s">
        <v>129</v>
      </c>
      <c r="I503" t="s">
        <v>129</v>
      </c>
      <c r="J503" t="s">
        <v>129</v>
      </c>
      <c r="K503">
        <v>4.1833333333333318</v>
      </c>
      <c r="M503">
        <v>2</v>
      </c>
      <c r="N503">
        <v>2.1833333333333318</v>
      </c>
      <c r="P503" s="63">
        <v>9208</v>
      </c>
      <c r="Q503" s="63" t="s">
        <v>63</v>
      </c>
      <c r="R503" s="63" t="s">
        <v>63</v>
      </c>
      <c r="S503" s="181" t="s">
        <v>7</v>
      </c>
      <c r="T503" s="180">
        <v>43186.77144675926</v>
      </c>
      <c r="U503" s="135">
        <f t="shared" si="16"/>
        <v>43186.77144675926</v>
      </c>
      <c r="V503" s="67" t="str">
        <f t="shared" si="18"/>
        <v>18:30</v>
      </c>
      <c r="W503" s="64" t="str">
        <f t="shared" si="19"/>
        <v>-</v>
      </c>
      <c r="X503" s="66" t="str">
        <f t="shared" si="20"/>
        <v>-</v>
      </c>
      <c r="Y503" s="66" t="str">
        <f t="shared" si="30"/>
        <v>-</v>
      </c>
      <c r="Z503" s="68">
        <f t="shared" si="21"/>
        <v>4.1833333333333318</v>
      </c>
      <c r="AA503" s="68"/>
      <c r="AB503" s="65">
        <f t="shared" si="22"/>
        <v>2</v>
      </c>
      <c r="AC503" s="65">
        <f t="shared" si="17"/>
        <v>2.1833333333333318</v>
      </c>
      <c r="AF503">
        <f t="shared" si="23"/>
        <v>1</v>
      </c>
      <c r="AG503">
        <f t="shared" si="24"/>
        <v>1</v>
      </c>
      <c r="AH503">
        <f t="shared" si="25"/>
        <v>1</v>
      </c>
      <c r="AI503">
        <f t="shared" si="26"/>
        <v>1</v>
      </c>
      <c r="AJ503">
        <f t="shared" si="27"/>
        <v>1</v>
      </c>
      <c r="AK503">
        <f t="shared" si="28"/>
        <v>1</v>
      </c>
      <c r="AL503">
        <f t="shared" si="29"/>
        <v>1</v>
      </c>
    </row>
    <row r="504" spans="1:38">
      <c r="A504">
        <v>9189</v>
      </c>
      <c r="B504" t="s">
        <v>63</v>
      </c>
      <c r="C504" t="s">
        <v>63</v>
      </c>
      <c r="D504" t="s">
        <v>8</v>
      </c>
      <c r="E504" s="1">
        <v>43186.945752314816</v>
      </c>
      <c r="F504" s="465">
        <v>43186.945752314816</v>
      </c>
      <c r="G504" s="464">
        <v>0.94513888888888886</v>
      </c>
      <c r="H504" t="s">
        <v>129</v>
      </c>
      <c r="I504" t="s">
        <v>129</v>
      </c>
      <c r="J504" t="s">
        <v>129</v>
      </c>
      <c r="P504">
        <v>9189</v>
      </c>
      <c r="Q504" t="s">
        <v>63</v>
      </c>
      <c r="R504" t="s">
        <v>63</v>
      </c>
      <c r="S504" s="143" t="s">
        <v>8</v>
      </c>
      <c r="T504" s="144">
        <v>43186.945752314816</v>
      </c>
      <c r="U504" s="89">
        <f t="shared" si="16"/>
        <v>43186.945752314816</v>
      </c>
      <c r="V504" s="90" t="str">
        <f t="shared" si="18"/>
        <v>22:41</v>
      </c>
      <c r="W504" s="91" t="str">
        <f t="shared" si="19"/>
        <v>-</v>
      </c>
      <c r="X504" s="92" t="str">
        <f t="shared" si="20"/>
        <v>-</v>
      </c>
      <c r="Y504" s="92" t="str">
        <f t="shared" si="30"/>
        <v>-</v>
      </c>
      <c r="Z504" s="93">
        <f t="shared" si="21"/>
        <v>0</v>
      </c>
      <c r="AA504" s="93"/>
      <c r="AB504" s="94">
        <f t="shared" si="22"/>
        <v>0</v>
      </c>
      <c r="AC504" s="94">
        <f t="shared" si="17"/>
        <v>0</v>
      </c>
      <c r="AF504">
        <f t="shared" si="23"/>
        <v>1</v>
      </c>
      <c r="AG504">
        <f t="shared" si="24"/>
        <v>1</v>
      </c>
      <c r="AH504">
        <f t="shared" si="25"/>
        <v>1</v>
      </c>
      <c r="AI504">
        <f t="shared" si="26"/>
        <v>1</v>
      </c>
      <c r="AJ504">
        <f t="shared" si="27"/>
        <v>1</v>
      </c>
      <c r="AK504">
        <f t="shared" si="28"/>
        <v>1</v>
      </c>
      <c r="AL504">
        <f t="shared" si="29"/>
        <v>1</v>
      </c>
    </row>
    <row r="505" spans="1:38">
      <c r="A505">
        <v>9197</v>
      </c>
      <c r="B505" t="s">
        <v>63</v>
      </c>
      <c r="C505" t="s">
        <v>63</v>
      </c>
      <c r="D505" t="s">
        <v>6</v>
      </c>
      <c r="E505" s="1">
        <v>43187.370706018519</v>
      </c>
      <c r="F505" s="465">
        <v>43187.370706018519</v>
      </c>
      <c r="G505" s="464">
        <v>0.37013888888888885</v>
      </c>
      <c r="H505">
        <v>9.6166666666666671</v>
      </c>
      <c r="I505">
        <v>8</v>
      </c>
      <c r="J505" t="s">
        <v>129</v>
      </c>
      <c r="P505">
        <v>9197</v>
      </c>
      <c r="Q505" t="s">
        <v>63</v>
      </c>
      <c r="R505" t="s">
        <v>63</v>
      </c>
      <c r="S505" s="143" t="s">
        <v>6</v>
      </c>
      <c r="T505" s="144">
        <v>43187.370706018519</v>
      </c>
      <c r="U505" s="89">
        <f t="shared" si="16"/>
        <v>43187.370706018519</v>
      </c>
      <c r="V505" s="90" t="str">
        <f t="shared" si="18"/>
        <v>8:53</v>
      </c>
      <c r="W505" s="91">
        <f t="shared" si="19"/>
        <v>9.6166666666666689</v>
      </c>
      <c r="X505" s="92">
        <f t="shared" si="20"/>
        <v>8</v>
      </c>
      <c r="Y505" s="92" t="str">
        <f t="shared" si="30"/>
        <v>-</v>
      </c>
      <c r="Z505" s="93">
        <f t="shared" si="21"/>
        <v>0</v>
      </c>
      <c r="AA505" s="93"/>
      <c r="AB505" s="94">
        <f t="shared" si="22"/>
        <v>0</v>
      </c>
      <c r="AC505" s="94">
        <f t="shared" si="17"/>
        <v>0</v>
      </c>
      <c r="AF505">
        <f t="shared" si="23"/>
        <v>1</v>
      </c>
      <c r="AG505">
        <f t="shared" si="24"/>
        <v>1</v>
      </c>
      <c r="AH505">
        <f t="shared" si="25"/>
        <v>1</v>
      </c>
      <c r="AI505">
        <f t="shared" si="26"/>
        <v>1</v>
      </c>
      <c r="AJ505">
        <f t="shared" si="27"/>
        <v>1</v>
      </c>
      <c r="AK505">
        <f t="shared" si="28"/>
        <v>1</v>
      </c>
      <c r="AL505">
        <f t="shared" si="29"/>
        <v>1</v>
      </c>
    </row>
    <row r="506" spans="1:38">
      <c r="A506">
        <v>9207</v>
      </c>
      <c r="B506" t="s">
        <v>63</v>
      </c>
      <c r="C506" t="s">
        <v>63</v>
      </c>
      <c r="D506" t="s">
        <v>5</v>
      </c>
      <c r="E506" s="1">
        <v>43187.771412037036</v>
      </c>
      <c r="F506" s="465">
        <v>43187.771412037036</v>
      </c>
      <c r="G506" s="464">
        <v>0.77083333333333337</v>
      </c>
      <c r="H506" t="s">
        <v>129</v>
      </c>
      <c r="I506" t="s">
        <v>129</v>
      </c>
      <c r="J506" t="s">
        <v>129</v>
      </c>
      <c r="P506">
        <v>9207</v>
      </c>
      <c r="Q506" t="s">
        <v>63</v>
      </c>
      <c r="R506" t="s">
        <v>63</v>
      </c>
      <c r="S506" s="143" t="s">
        <v>5</v>
      </c>
      <c r="T506" s="144">
        <v>43187.771412037036</v>
      </c>
      <c r="U506" s="89">
        <f t="shared" si="16"/>
        <v>43187.771412037036</v>
      </c>
      <c r="V506" s="90" t="str">
        <f t="shared" si="18"/>
        <v>18:30</v>
      </c>
      <c r="W506" s="91" t="str">
        <f t="shared" si="19"/>
        <v>-</v>
      </c>
      <c r="X506" s="92" t="str">
        <f t="shared" si="20"/>
        <v>-</v>
      </c>
      <c r="Y506" s="92" t="str">
        <f t="shared" si="30"/>
        <v>-</v>
      </c>
      <c r="Z506" s="93">
        <f t="shared" si="21"/>
        <v>0</v>
      </c>
      <c r="AA506" s="93"/>
      <c r="AB506" s="94">
        <f t="shared" si="22"/>
        <v>0</v>
      </c>
      <c r="AC506" s="94">
        <f t="shared" si="17"/>
        <v>0</v>
      </c>
      <c r="AF506">
        <f t="shared" si="23"/>
        <v>1</v>
      </c>
      <c r="AG506">
        <f t="shared" si="24"/>
        <v>1</v>
      </c>
      <c r="AH506">
        <f t="shared" si="25"/>
        <v>1</v>
      </c>
      <c r="AI506">
        <f t="shared" si="26"/>
        <v>1</v>
      </c>
      <c r="AJ506">
        <f t="shared" si="27"/>
        <v>1</v>
      </c>
      <c r="AK506">
        <f t="shared" si="28"/>
        <v>1</v>
      </c>
      <c r="AL506">
        <f t="shared" si="29"/>
        <v>1</v>
      </c>
    </row>
    <row r="507" spans="1:38">
      <c r="A507">
        <v>9208</v>
      </c>
      <c r="B507" t="s">
        <v>63</v>
      </c>
      <c r="C507" t="s">
        <v>63</v>
      </c>
      <c r="D507" t="s">
        <v>7</v>
      </c>
      <c r="E507" s="1">
        <v>43187.77144675926</v>
      </c>
      <c r="F507" s="465">
        <v>43187.77144675926</v>
      </c>
      <c r="G507" s="464">
        <v>0.77083333333333337</v>
      </c>
      <c r="H507" t="s">
        <v>129</v>
      </c>
      <c r="I507" t="s">
        <v>129</v>
      </c>
      <c r="J507" t="s">
        <v>129</v>
      </c>
      <c r="K507">
        <v>4.7499999999999991</v>
      </c>
      <c r="M507">
        <v>2</v>
      </c>
      <c r="N507">
        <v>2.7499999999999991</v>
      </c>
      <c r="P507">
        <v>9208</v>
      </c>
      <c r="Q507" t="s">
        <v>63</v>
      </c>
      <c r="R507" t="s">
        <v>63</v>
      </c>
      <c r="S507" s="143" t="s">
        <v>7</v>
      </c>
      <c r="T507" s="144">
        <v>43187.77144675926</v>
      </c>
      <c r="U507" s="89">
        <f t="shared" si="16"/>
        <v>43187.77144675926</v>
      </c>
      <c r="V507" s="90" t="str">
        <f t="shared" si="18"/>
        <v>18:30</v>
      </c>
      <c r="W507" s="91" t="str">
        <f t="shared" si="19"/>
        <v>-</v>
      </c>
      <c r="X507" s="92" t="str">
        <f t="shared" si="20"/>
        <v>-</v>
      </c>
      <c r="Y507" s="92" t="str">
        <f t="shared" si="30"/>
        <v>-</v>
      </c>
      <c r="Z507" s="93">
        <f t="shared" si="21"/>
        <v>4.7499999999999991</v>
      </c>
      <c r="AA507" s="93"/>
      <c r="AB507" s="94">
        <f t="shared" si="22"/>
        <v>2</v>
      </c>
      <c r="AC507" s="94">
        <f t="shared" si="17"/>
        <v>2.7499999999999991</v>
      </c>
      <c r="AF507">
        <f t="shared" si="23"/>
        <v>1</v>
      </c>
      <c r="AG507">
        <f t="shared" si="24"/>
        <v>1</v>
      </c>
      <c r="AH507">
        <f t="shared" si="25"/>
        <v>1</v>
      </c>
      <c r="AI507">
        <f t="shared" si="26"/>
        <v>1</v>
      </c>
      <c r="AJ507">
        <f t="shared" si="27"/>
        <v>1</v>
      </c>
      <c r="AK507">
        <f t="shared" si="28"/>
        <v>1</v>
      </c>
      <c r="AL507">
        <f t="shared" si="29"/>
        <v>1</v>
      </c>
    </row>
    <row r="508" spans="1:38">
      <c r="A508">
        <v>9226</v>
      </c>
      <c r="B508" t="s">
        <v>63</v>
      </c>
      <c r="C508" t="s">
        <v>63</v>
      </c>
      <c r="D508" t="s">
        <v>8</v>
      </c>
      <c r="E508" s="1">
        <v>43187.969224537039</v>
      </c>
      <c r="F508" s="465">
        <v>43187.969224537039</v>
      </c>
      <c r="G508" s="464">
        <v>0.96875</v>
      </c>
      <c r="H508" t="s">
        <v>129</v>
      </c>
      <c r="I508" t="s">
        <v>129</v>
      </c>
      <c r="J508" t="s">
        <v>129</v>
      </c>
      <c r="P508">
        <v>9226</v>
      </c>
      <c r="Q508" t="s">
        <v>63</v>
      </c>
      <c r="R508" t="s">
        <v>63</v>
      </c>
      <c r="S508" s="143" t="s">
        <v>8</v>
      </c>
      <c r="T508" s="144">
        <v>43187.969224537039</v>
      </c>
      <c r="U508" s="89">
        <f t="shared" si="16"/>
        <v>43187.969224537039</v>
      </c>
      <c r="V508" s="90" t="str">
        <f t="shared" si="18"/>
        <v>23:15</v>
      </c>
      <c r="W508" s="91" t="str">
        <f t="shared" si="19"/>
        <v>-</v>
      </c>
      <c r="X508" s="92" t="str">
        <f t="shared" si="20"/>
        <v>-</v>
      </c>
      <c r="Y508" s="92" t="str">
        <f t="shared" si="30"/>
        <v>-</v>
      </c>
      <c r="Z508" s="93">
        <f t="shared" si="21"/>
        <v>0</v>
      </c>
      <c r="AA508" s="93"/>
      <c r="AB508" s="94">
        <f t="shared" si="22"/>
        <v>0</v>
      </c>
      <c r="AC508" s="94">
        <f t="shared" si="17"/>
        <v>0</v>
      </c>
      <c r="AF508">
        <f t="shared" si="23"/>
        <v>1</v>
      </c>
      <c r="AG508">
        <f t="shared" si="24"/>
        <v>1</v>
      </c>
      <c r="AH508">
        <f t="shared" si="25"/>
        <v>1</v>
      </c>
      <c r="AI508">
        <f t="shared" si="26"/>
        <v>1</v>
      </c>
      <c r="AJ508">
        <f t="shared" si="27"/>
        <v>1</v>
      </c>
      <c r="AK508">
        <f t="shared" si="28"/>
        <v>1</v>
      </c>
      <c r="AL508">
        <f t="shared" si="29"/>
        <v>1</v>
      </c>
    </row>
    <row r="509" spans="1:38">
      <c r="A509">
        <v>9235</v>
      </c>
      <c r="B509" t="s">
        <v>63</v>
      </c>
      <c r="C509" t="s">
        <v>63</v>
      </c>
      <c r="D509" t="s">
        <v>6</v>
      </c>
      <c r="E509" s="1">
        <v>43188.372858796298</v>
      </c>
      <c r="F509" s="465">
        <v>43188.372858796298</v>
      </c>
      <c r="G509" s="464">
        <v>0.37222222222222223</v>
      </c>
      <c r="H509">
        <v>9.7333333333333343</v>
      </c>
      <c r="I509">
        <v>8</v>
      </c>
      <c r="J509" t="s">
        <v>129</v>
      </c>
      <c r="P509">
        <v>9235</v>
      </c>
      <c r="Q509" t="s">
        <v>63</v>
      </c>
      <c r="R509" t="s">
        <v>63</v>
      </c>
      <c r="S509" s="143" t="s">
        <v>6</v>
      </c>
      <c r="T509" s="144">
        <v>43188.372858796298</v>
      </c>
      <c r="U509" s="89">
        <f t="shared" si="16"/>
        <v>43188.372858796298</v>
      </c>
      <c r="V509" s="90" t="str">
        <f t="shared" si="18"/>
        <v>8:56</v>
      </c>
      <c r="W509" s="91">
        <f t="shared" si="19"/>
        <v>9.7333333333333343</v>
      </c>
      <c r="X509" s="92">
        <f t="shared" si="20"/>
        <v>8</v>
      </c>
      <c r="Y509" s="92" t="str">
        <f t="shared" si="30"/>
        <v>-</v>
      </c>
      <c r="Z509" s="93">
        <f t="shared" si="21"/>
        <v>0</v>
      </c>
      <c r="AA509" s="93"/>
      <c r="AB509" s="94">
        <f t="shared" si="22"/>
        <v>0</v>
      </c>
      <c r="AC509" s="94">
        <f t="shared" si="17"/>
        <v>0</v>
      </c>
      <c r="AF509">
        <f t="shared" si="23"/>
        <v>1</v>
      </c>
      <c r="AG509">
        <f t="shared" si="24"/>
        <v>1</v>
      </c>
      <c r="AH509">
        <f t="shared" si="25"/>
        <v>1</v>
      </c>
      <c r="AI509">
        <f t="shared" si="26"/>
        <v>1</v>
      </c>
      <c r="AJ509">
        <f t="shared" si="27"/>
        <v>1</v>
      </c>
      <c r="AK509">
        <f t="shared" si="28"/>
        <v>1</v>
      </c>
      <c r="AL509">
        <f t="shared" si="29"/>
        <v>1</v>
      </c>
    </row>
    <row r="510" spans="1:38">
      <c r="A510">
        <v>9247</v>
      </c>
      <c r="B510" t="s">
        <v>63</v>
      </c>
      <c r="C510" t="s">
        <v>63</v>
      </c>
      <c r="D510" t="s">
        <v>5</v>
      </c>
      <c r="E510" s="1">
        <v>43188.778402777774</v>
      </c>
      <c r="F510" s="465">
        <v>43188.778402777774</v>
      </c>
      <c r="G510" s="464">
        <v>0.77777777777777779</v>
      </c>
      <c r="H510" t="s">
        <v>129</v>
      </c>
      <c r="I510" t="s">
        <v>129</v>
      </c>
      <c r="J510" t="s">
        <v>129</v>
      </c>
      <c r="P510">
        <v>9247</v>
      </c>
      <c r="Q510" t="s">
        <v>63</v>
      </c>
      <c r="R510" t="s">
        <v>63</v>
      </c>
      <c r="S510" s="143" t="s">
        <v>5</v>
      </c>
      <c r="T510" s="144">
        <v>43188.778402777774</v>
      </c>
      <c r="U510" s="89">
        <f t="shared" si="16"/>
        <v>43188.778402777774</v>
      </c>
      <c r="V510" s="90" t="str">
        <f t="shared" si="18"/>
        <v>18:40</v>
      </c>
      <c r="W510" s="91" t="str">
        <f t="shared" si="19"/>
        <v>-</v>
      </c>
      <c r="X510" s="92" t="str">
        <f t="shared" si="20"/>
        <v>-</v>
      </c>
      <c r="Y510" s="92" t="str">
        <f t="shared" si="30"/>
        <v>-</v>
      </c>
      <c r="Z510" s="93">
        <f t="shared" si="21"/>
        <v>0</v>
      </c>
      <c r="AA510" s="93"/>
      <c r="AB510" s="94">
        <f t="shared" si="22"/>
        <v>0</v>
      </c>
      <c r="AC510" s="94">
        <f t="shared" si="17"/>
        <v>0</v>
      </c>
      <c r="AF510">
        <f t="shared" si="23"/>
        <v>1</v>
      </c>
      <c r="AG510">
        <f t="shared" si="24"/>
        <v>1</v>
      </c>
      <c r="AH510">
        <f t="shared" si="25"/>
        <v>1</v>
      </c>
      <c r="AI510">
        <f t="shared" si="26"/>
        <v>1</v>
      </c>
      <c r="AJ510">
        <f t="shared" si="27"/>
        <v>1</v>
      </c>
      <c r="AK510">
        <f t="shared" si="28"/>
        <v>1</v>
      </c>
      <c r="AL510">
        <f t="shared" si="29"/>
        <v>1</v>
      </c>
    </row>
    <row r="511" spans="1:38">
      <c r="A511">
        <v>9248</v>
      </c>
      <c r="B511" t="s">
        <v>63</v>
      </c>
      <c r="C511" t="s">
        <v>63</v>
      </c>
      <c r="D511" t="s">
        <v>7</v>
      </c>
      <c r="E511" s="1">
        <v>43188.778414351851</v>
      </c>
      <c r="F511" s="465">
        <v>43188.778414351851</v>
      </c>
      <c r="G511" s="464">
        <v>0.77777777777777779</v>
      </c>
      <c r="H511" t="s">
        <v>129</v>
      </c>
      <c r="I511" t="s">
        <v>129</v>
      </c>
      <c r="J511" t="s">
        <v>129</v>
      </c>
      <c r="K511">
        <v>1.4000000000000004</v>
      </c>
      <c r="M511">
        <v>1.4000000000000004</v>
      </c>
      <c r="N511">
        <v>0</v>
      </c>
      <c r="P511">
        <v>9248</v>
      </c>
      <c r="Q511" t="s">
        <v>63</v>
      </c>
      <c r="R511" t="s">
        <v>63</v>
      </c>
      <c r="S511" s="143" t="s">
        <v>7</v>
      </c>
      <c r="T511" s="144">
        <v>43188.778414351851</v>
      </c>
      <c r="U511" s="89">
        <f t="shared" si="16"/>
        <v>43188.778414351851</v>
      </c>
      <c r="V511" s="90" t="str">
        <f t="shared" si="18"/>
        <v>18:40</v>
      </c>
      <c r="W511" s="91" t="str">
        <f t="shared" si="19"/>
        <v>-</v>
      </c>
      <c r="X511" s="92" t="str">
        <f t="shared" si="20"/>
        <v>-</v>
      </c>
      <c r="Y511" s="92" t="str">
        <f t="shared" si="30"/>
        <v>-</v>
      </c>
      <c r="Z511" s="93">
        <f t="shared" si="21"/>
        <v>1.4000000000000004</v>
      </c>
      <c r="AA511" s="93"/>
      <c r="AB511" s="94">
        <f t="shared" si="22"/>
        <v>1.4000000000000004</v>
      </c>
      <c r="AC511" s="94">
        <f t="shared" si="17"/>
        <v>0</v>
      </c>
      <c r="AF511">
        <f t="shared" si="23"/>
        <v>1</v>
      </c>
      <c r="AG511">
        <f t="shared" si="24"/>
        <v>1</v>
      </c>
      <c r="AH511">
        <f t="shared" si="25"/>
        <v>1</v>
      </c>
      <c r="AI511">
        <f t="shared" si="26"/>
        <v>1</v>
      </c>
      <c r="AJ511">
        <f t="shared" si="27"/>
        <v>1</v>
      </c>
      <c r="AK511">
        <f t="shared" si="28"/>
        <v>1</v>
      </c>
      <c r="AL511">
        <f t="shared" si="29"/>
        <v>1</v>
      </c>
    </row>
    <row r="512" spans="1:38">
      <c r="A512">
        <v>9255</v>
      </c>
      <c r="B512" t="s">
        <v>63</v>
      </c>
      <c r="C512" t="s">
        <v>63</v>
      </c>
      <c r="D512" t="s">
        <v>8</v>
      </c>
      <c r="E512" s="1">
        <v>43188.8362037037</v>
      </c>
      <c r="F512" s="465">
        <v>43188.8362037037</v>
      </c>
      <c r="G512" s="464">
        <v>0.83611111111111114</v>
      </c>
      <c r="H512" t="s">
        <v>129</v>
      </c>
      <c r="I512" t="s">
        <v>129</v>
      </c>
      <c r="J512" t="s">
        <v>129</v>
      </c>
      <c r="P512">
        <v>9255</v>
      </c>
      <c r="Q512" t="s">
        <v>63</v>
      </c>
      <c r="R512" t="s">
        <v>63</v>
      </c>
      <c r="S512" s="143" t="s">
        <v>8</v>
      </c>
      <c r="T512" s="144">
        <v>43188.8362037037</v>
      </c>
      <c r="U512" s="89">
        <f t="shared" si="16"/>
        <v>43188.8362037037</v>
      </c>
      <c r="V512" s="90" t="str">
        <f t="shared" si="18"/>
        <v>20:4</v>
      </c>
      <c r="W512" s="91" t="str">
        <f t="shared" si="19"/>
        <v>-</v>
      </c>
      <c r="X512" s="92" t="str">
        <f t="shared" si="20"/>
        <v>-</v>
      </c>
      <c r="Y512" s="92" t="str">
        <f t="shared" si="30"/>
        <v>-</v>
      </c>
      <c r="Z512" s="93">
        <f t="shared" si="21"/>
        <v>0</v>
      </c>
      <c r="AA512" s="93"/>
      <c r="AB512" s="94">
        <f t="shared" si="22"/>
        <v>0</v>
      </c>
      <c r="AC512" s="94">
        <f t="shared" si="17"/>
        <v>0</v>
      </c>
      <c r="AF512">
        <f t="shared" si="23"/>
        <v>1</v>
      </c>
      <c r="AG512">
        <f t="shared" si="24"/>
        <v>1</v>
      </c>
      <c r="AH512">
        <f t="shared" si="25"/>
        <v>1</v>
      </c>
      <c r="AI512">
        <f t="shared" si="26"/>
        <v>1</v>
      </c>
      <c r="AJ512">
        <f t="shared" si="27"/>
        <v>1</v>
      </c>
      <c r="AK512">
        <f t="shared" si="28"/>
        <v>1</v>
      </c>
      <c r="AL512">
        <f t="shared" si="29"/>
        <v>1</v>
      </c>
    </row>
    <row r="513" spans="1:38">
      <c r="A513">
        <v>9266</v>
      </c>
      <c r="B513" t="s">
        <v>79</v>
      </c>
      <c r="C513" t="s">
        <v>63</v>
      </c>
      <c r="D513" t="s">
        <v>6</v>
      </c>
      <c r="E513" s="1">
        <v>43189.371331018519</v>
      </c>
      <c r="F513" s="465">
        <v>43189.371331018519</v>
      </c>
      <c r="G513" s="464">
        <v>0.37083333333333335</v>
      </c>
      <c r="H513">
        <v>9.7166666666666668</v>
      </c>
      <c r="I513">
        <v>8</v>
      </c>
      <c r="J513" t="s">
        <v>129</v>
      </c>
      <c r="P513">
        <v>9266</v>
      </c>
      <c r="Q513" t="s">
        <v>79</v>
      </c>
      <c r="R513" t="s">
        <v>63</v>
      </c>
      <c r="S513" s="143" t="s">
        <v>6</v>
      </c>
      <c r="T513" s="144">
        <v>43189.371331018519</v>
      </c>
      <c r="U513" s="89">
        <f t="shared" si="16"/>
        <v>43189.371331018519</v>
      </c>
      <c r="V513" s="90" t="str">
        <f t="shared" si="18"/>
        <v>8:54</v>
      </c>
      <c r="W513" s="91">
        <f t="shared" si="19"/>
        <v>9.7166666666666668</v>
      </c>
      <c r="X513" s="92">
        <f t="shared" si="20"/>
        <v>8</v>
      </c>
      <c r="Y513" s="92" t="str">
        <f t="shared" si="30"/>
        <v>-</v>
      </c>
      <c r="Z513" s="93">
        <f t="shared" si="21"/>
        <v>0</v>
      </c>
      <c r="AA513" s="93"/>
      <c r="AB513" s="94">
        <f t="shared" si="22"/>
        <v>0</v>
      </c>
      <c r="AC513" s="94">
        <f t="shared" si="17"/>
        <v>0</v>
      </c>
      <c r="AF513">
        <f t="shared" si="23"/>
        <v>1</v>
      </c>
      <c r="AG513">
        <f t="shared" si="24"/>
        <v>1</v>
      </c>
      <c r="AH513">
        <f t="shared" si="25"/>
        <v>1</v>
      </c>
      <c r="AI513">
        <f t="shared" si="26"/>
        <v>1</v>
      </c>
      <c r="AJ513">
        <f t="shared" si="27"/>
        <v>1</v>
      </c>
      <c r="AK513">
        <f t="shared" si="28"/>
        <v>1</v>
      </c>
      <c r="AL513">
        <f t="shared" si="29"/>
        <v>1</v>
      </c>
    </row>
    <row r="514" spans="1:38">
      <c r="A514">
        <v>9277</v>
      </c>
      <c r="B514" t="s">
        <v>63</v>
      </c>
      <c r="C514" t="s">
        <v>63</v>
      </c>
      <c r="D514" t="s">
        <v>5</v>
      </c>
      <c r="E514" s="1">
        <v>43189.77584490741</v>
      </c>
      <c r="F514" s="465">
        <v>43189.77584490741</v>
      </c>
      <c r="G514" s="464">
        <v>0.77569444444444446</v>
      </c>
      <c r="H514" t="s">
        <v>129</v>
      </c>
      <c r="I514" t="s">
        <v>129</v>
      </c>
      <c r="J514" t="s">
        <v>129</v>
      </c>
      <c r="P514">
        <v>9277</v>
      </c>
      <c r="Q514" t="s">
        <v>63</v>
      </c>
      <c r="R514" t="s">
        <v>63</v>
      </c>
      <c r="S514" s="143" t="s">
        <v>5</v>
      </c>
      <c r="T514" s="144">
        <v>43189.77584490741</v>
      </c>
      <c r="U514" s="89">
        <f t="shared" si="16"/>
        <v>43189.77584490741</v>
      </c>
      <c r="V514" s="90" t="str">
        <f t="shared" si="18"/>
        <v>18:37</v>
      </c>
      <c r="W514" s="91" t="str">
        <f t="shared" si="19"/>
        <v>-</v>
      </c>
      <c r="X514" s="92" t="str">
        <f t="shared" si="20"/>
        <v>-</v>
      </c>
      <c r="Y514" s="92" t="str">
        <f t="shared" si="30"/>
        <v>-</v>
      </c>
      <c r="Z514" s="93">
        <f t="shared" si="21"/>
        <v>0</v>
      </c>
      <c r="AA514" s="93"/>
      <c r="AB514" s="94">
        <f t="shared" si="22"/>
        <v>0</v>
      </c>
      <c r="AC514" s="94">
        <f t="shared" si="17"/>
        <v>0</v>
      </c>
      <c r="AF514">
        <f t="shared" si="23"/>
        <v>1</v>
      </c>
      <c r="AG514">
        <f t="shared" si="24"/>
        <v>1</v>
      </c>
      <c r="AH514">
        <f t="shared" si="25"/>
        <v>1</v>
      </c>
      <c r="AI514">
        <f t="shared" si="26"/>
        <v>1</v>
      </c>
      <c r="AJ514">
        <f t="shared" si="27"/>
        <v>1</v>
      </c>
      <c r="AK514">
        <f t="shared" si="28"/>
        <v>1</v>
      </c>
      <c r="AL514">
        <f t="shared" si="29"/>
        <v>1</v>
      </c>
    </row>
    <row r="515" spans="1:38">
      <c r="A515">
        <v>9278</v>
      </c>
      <c r="B515" t="s">
        <v>63</v>
      </c>
      <c r="C515" t="s">
        <v>63</v>
      </c>
      <c r="D515" t="s">
        <v>7</v>
      </c>
      <c r="E515" s="1">
        <v>43189.775902777779</v>
      </c>
      <c r="F515" s="465">
        <v>43189.775902777779</v>
      </c>
      <c r="G515" s="464">
        <v>0.77569444444444446</v>
      </c>
      <c r="H515" t="s">
        <v>129</v>
      </c>
      <c r="I515" t="s">
        <v>129</v>
      </c>
      <c r="J515" t="s">
        <v>129</v>
      </c>
      <c r="K515">
        <v>1.6999999999999993</v>
      </c>
      <c r="M515">
        <v>1.6999999999999993</v>
      </c>
      <c r="N515">
        <v>0</v>
      </c>
      <c r="P515">
        <v>9278</v>
      </c>
      <c r="Q515" t="s">
        <v>63</v>
      </c>
      <c r="R515" t="s">
        <v>63</v>
      </c>
      <c r="S515" s="143" t="s">
        <v>7</v>
      </c>
      <c r="T515" s="144">
        <v>43189.775902777779</v>
      </c>
      <c r="U515" s="89">
        <f t="shared" si="16"/>
        <v>43189.775902777779</v>
      </c>
      <c r="V515" s="90" t="str">
        <f t="shared" si="18"/>
        <v>18:37</v>
      </c>
      <c r="W515" s="91" t="str">
        <f t="shared" si="19"/>
        <v>-</v>
      </c>
      <c r="X515" s="92" t="str">
        <f t="shared" si="20"/>
        <v>-</v>
      </c>
      <c r="Y515" s="92" t="str">
        <f t="shared" si="30"/>
        <v>-</v>
      </c>
      <c r="Z515" s="93">
        <f t="shared" si="21"/>
        <v>1.6999999999999993</v>
      </c>
      <c r="AA515" s="93"/>
      <c r="AB515" s="94">
        <f t="shared" si="22"/>
        <v>1.6999999999999993</v>
      </c>
      <c r="AC515" s="94">
        <f t="shared" si="17"/>
        <v>0</v>
      </c>
      <c r="AF515">
        <f t="shared" si="23"/>
        <v>1</v>
      </c>
      <c r="AG515">
        <f t="shared" si="24"/>
        <v>1</v>
      </c>
      <c r="AH515">
        <f t="shared" si="25"/>
        <v>1</v>
      </c>
      <c r="AI515">
        <f t="shared" si="26"/>
        <v>1</v>
      </c>
      <c r="AJ515">
        <f t="shared" si="27"/>
        <v>1</v>
      </c>
      <c r="AK515">
        <f t="shared" si="28"/>
        <v>1</v>
      </c>
      <c r="AL515">
        <f t="shared" si="29"/>
        <v>1</v>
      </c>
    </row>
    <row r="516" spans="1:38">
      <c r="A516">
        <v>9282</v>
      </c>
      <c r="B516" t="s">
        <v>63</v>
      </c>
      <c r="C516" t="s">
        <v>63</v>
      </c>
      <c r="D516" t="s">
        <v>8</v>
      </c>
      <c r="E516" s="1">
        <v>43189.846886574072</v>
      </c>
      <c r="F516" s="465">
        <v>43189.846886574072</v>
      </c>
      <c r="G516" s="464">
        <v>0.84652777777777777</v>
      </c>
      <c r="H516" t="s">
        <v>129</v>
      </c>
      <c r="I516" t="s">
        <v>129</v>
      </c>
      <c r="J516" t="s">
        <v>129</v>
      </c>
      <c r="P516">
        <v>9282</v>
      </c>
      <c r="Q516" t="s">
        <v>63</v>
      </c>
      <c r="R516" t="s">
        <v>63</v>
      </c>
      <c r="S516" s="143" t="s">
        <v>8</v>
      </c>
      <c r="T516" s="144">
        <v>43189.846886574072</v>
      </c>
      <c r="U516" s="89">
        <f t="shared" si="16"/>
        <v>43189.846886574072</v>
      </c>
      <c r="V516" s="90" t="str">
        <f t="shared" si="18"/>
        <v>20:19</v>
      </c>
      <c r="W516" s="91" t="str">
        <f t="shared" si="19"/>
        <v>-</v>
      </c>
      <c r="X516" s="92" t="str">
        <f t="shared" si="20"/>
        <v>-</v>
      </c>
      <c r="Y516" s="92" t="str">
        <f t="shared" si="30"/>
        <v>-</v>
      </c>
      <c r="Z516" s="93">
        <f t="shared" si="21"/>
        <v>0</v>
      </c>
      <c r="AA516" s="93"/>
      <c r="AB516" s="94">
        <f t="shared" si="22"/>
        <v>0</v>
      </c>
      <c r="AC516" s="94">
        <f t="shared" si="17"/>
        <v>0</v>
      </c>
      <c r="AF516">
        <f t="shared" si="23"/>
        <v>1</v>
      </c>
      <c r="AG516">
        <f t="shared" si="24"/>
        <v>1</v>
      </c>
      <c r="AH516">
        <f t="shared" si="25"/>
        <v>1</v>
      </c>
      <c r="AI516">
        <f t="shared" si="26"/>
        <v>1</v>
      </c>
      <c r="AJ516">
        <f t="shared" si="27"/>
        <v>1</v>
      </c>
      <c r="AK516">
        <f t="shared" si="28"/>
        <v>1</v>
      </c>
      <c r="AL516">
        <f t="shared" si="29"/>
        <v>1</v>
      </c>
    </row>
    <row r="517" spans="1:38">
      <c r="A517">
        <v>9287</v>
      </c>
      <c r="B517" t="s">
        <v>79</v>
      </c>
      <c r="C517" t="s">
        <v>63</v>
      </c>
      <c r="D517" t="s">
        <v>6</v>
      </c>
      <c r="E517" s="1">
        <v>43190.366932870369</v>
      </c>
      <c r="F517" s="465">
        <v>43190.366932870369</v>
      </c>
      <c r="G517" s="464">
        <v>0.3666666666666667</v>
      </c>
      <c r="H517">
        <v>10.333333333333336</v>
      </c>
      <c r="I517">
        <v>8</v>
      </c>
      <c r="J517" t="s">
        <v>129</v>
      </c>
      <c r="P517">
        <v>9287</v>
      </c>
      <c r="Q517" t="s">
        <v>79</v>
      </c>
      <c r="R517" t="s">
        <v>63</v>
      </c>
      <c r="S517" s="143" t="s">
        <v>6</v>
      </c>
      <c r="T517" s="144">
        <v>43190.366932870369</v>
      </c>
      <c r="U517" s="89">
        <f t="shared" si="16"/>
        <v>43190.366932870369</v>
      </c>
      <c r="V517" s="90" t="str">
        <f t="shared" si="18"/>
        <v>8:48</v>
      </c>
      <c r="W517" s="91">
        <f t="shared" si="19"/>
        <v>10.333333333333332</v>
      </c>
      <c r="X517" s="92">
        <f t="shared" si="20"/>
        <v>8</v>
      </c>
      <c r="Y517" s="92" t="str">
        <f t="shared" si="30"/>
        <v>-</v>
      </c>
      <c r="Z517" s="93">
        <f t="shared" si="21"/>
        <v>0</v>
      </c>
      <c r="AA517" s="93"/>
      <c r="AB517" s="94">
        <f t="shared" si="22"/>
        <v>0</v>
      </c>
      <c r="AC517" s="94">
        <f t="shared" si="17"/>
        <v>0</v>
      </c>
      <c r="AF517">
        <f t="shared" si="23"/>
        <v>1</v>
      </c>
      <c r="AG517">
        <f t="shared" si="24"/>
        <v>1</v>
      </c>
      <c r="AH517">
        <f t="shared" si="25"/>
        <v>1</v>
      </c>
      <c r="AI517">
        <f t="shared" si="26"/>
        <v>1</v>
      </c>
      <c r="AJ517">
        <f t="shared" si="27"/>
        <v>1</v>
      </c>
      <c r="AK517">
        <f t="shared" si="28"/>
        <v>1</v>
      </c>
      <c r="AL517">
        <f t="shared" si="29"/>
        <v>1</v>
      </c>
    </row>
    <row r="518" spans="1:38">
      <c r="A518">
        <v>9305</v>
      </c>
      <c r="B518" t="s">
        <v>79</v>
      </c>
      <c r="C518" t="s">
        <v>63</v>
      </c>
      <c r="D518" t="s">
        <v>5</v>
      </c>
      <c r="E518" s="1">
        <v>43190.797442129631</v>
      </c>
      <c r="F518" s="465">
        <v>43190.797442129631</v>
      </c>
      <c r="G518" s="464">
        <v>0.79722222222222217</v>
      </c>
      <c r="H518" t="s">
        <v>129</v>
      </c>
      <c r="I518" t="s">
        <v>129</v>
      </c>
      <c r="J518" t="s">
        <v>129</v>
      </c>
      <c r="P518">
        <v>9305</v>
      </c>
      <c r="Q518" t="s">
        <v>79</v>
      </c>
      <c r="R518" t="s">
        <v>63</v>
      </c>
      <c r="S518" s="143" t="s">
        <v>5</v>
      </c>
      <c r="T518" s="144">
        <v>43190.797442129631</v>
      </c>
      <c r="U518" s="89">
        <f t="shared" si="16"/>
        <v>43190.797442129631</v>
      </c>
      <c r="V518" s="90" t="str">
        <f t="shared" si="18"/>
        <v>19:8</v>
      </c>
      <c r="W518" s="91" t="str">
        <f t="shared" si="19"/>
        <v>-</v>
      </c>
      <c r="X518" s="92" t="str">
        <f t="shared" si="20"/>
        <v>-</v>
      </c>
      <c r="Y518" s="92" t="str">
        <f t="shared" si="30"/>
        <v>-</v>
      </c>
      <c r="Z518" s="93">
        <f t="shared" si="21"/>
        <v>0</v>
      </c>
      <c r="AA518" s="93"/>
      <c r="AB518" s="94">
        <f t="shared" si="22"/>
        <v>0</v>
      </c>
      <c r="AC518" s="94">
        <f t="shared" si="17"/>
        <v>0</v>
      </c>
      <c r="AF518">
        <f t="shared" si="23"/>
        <v>1</v>
      </c>
      <c r="AG518">
        <f t="shared" si="24"/>
        <v>1</v>
      </c>
      <c r="AH518">
        <f t="shared" si="25"/>
        <v>1</v>
      </c>
      <c r="AI518">
        <f t="shared" si="26"/>
        <v>1</v>
      </c>
      <c r="AJ518">
        <f t="shared" si="27"/>
        <v>1</v>
      </c>
      <c r="AK518">
        <f t="shared" si="28"/>
        <v>1</v>
      </c>
      <c r="AL518">
        <f t="shared" si="29"/>
        <v>1</v>
      </c>
    </row>
    <row r="519" spans="1:38">
      <c r="A519">
        <v>9306</v>
      </c>
      <c r="B519" t="s">
        <v>79</v>
      </c>
      <c r="C519" t="s">
        <v>63</v>
      </c>
      <c r="D519" t="s">
        <v>7</v>
      </c>
      <c r="E519" s="1">
        <v>43190.797465277778</v>
      </c>
      <c r="F519" s="465">
        <v>43190.797465277778</v>
      </c>
      <c r="G519" s="464">
        <v>0.79722222222222217</v>
      </c>
      <c r="H519" t="s">
        <v>129</v>
      </c>
      <c r="I519" t="s">
        <v>129</v>
      </c>
      <c r="J519" t="s">
        <v>129</v>
      </c>
      <c r="K519">
        <v>3.083333333333333</v>
      </c>
      <c r="M519">
        <v>2</v>
      </c>
      <c r="N519">
        <v>1.083333333333333</v>
      </c>
      <c r="P519">
        <v>9306</v>
      </c>
      <c r="Q519" t="s">
        <v>79</v>
      </c>
      <c r="R519" t="s">
        <v>63</v>
      </c>
      <c r="S519" s="143" t="s">
        <v>7</v>
      </c>
      <c r="T519" s="144">
        <v>43190.797465277778</v>
      </c>
      <c r="U519" s="89">
        <f t="shared" si="16"/>
        <v>43190.797465277778</v>
      </c>
      <c r="V519" s="90" t="str">
        <f t="shared" si="18"/>
        <v>19:8</v>
      </c>
      <c r="W519" s="91" t="str">
        <f t="shared" si="19"/>
        <v>-</v>
      </c>
      <c r="X519" s="92" t="str">
        <f t="shared" si="20"/>
        <v>-</v>
      </c>
      <c r="Y519" s="92" t="str">
        <f t="shared" si="30"/>
        <v>-</v>
      </c>
      <c r="Z519" s="93">
        <f t="shared" si="21"/>
        <v>3.083333333333333</v>
      </c>
      <c r="AA519" s="93"/>
      <c r="AB519" s="94">
        <f t="shared" si="22"/>
        <v>2</v>
      </c>
      <c r="AC519" s="94">
        <f t="shared" si="17"/>
        <v>1.083333333333333</v>
      </c>
      <c r="AF519">
        <f t="shared" si="23"/>
        <v>1</v>
      </c>
      <c r="AG519">
        <f t="shared" si="24"/>
        <v>1</v>
      </c>
      <c r="AH519">
        <f t="shared" si="25"/>
        <v>1</v>
      </c>
      <c r="AI519">
        <f t="shared" si="26"/>
        <v>1</v>
      </c>
      <c r="AJ519">
        <f t="shared" si="27"/>
        <v>1</v>
      </c>
      <c r="AK519">
        <f t="shared" si="28"/>
        <v>1</v>
      </c>
      <c r="AL519">
        <f t="shared" si="29"/>
        <v>1</v>
      </c>
    </row>
    <row r="520" spans="1:38">
      <c r="A520">
        <v>9309</v>
      </c>
      <c r="B520" t="s">
        <v>79</v>
      </c>
      <c r="C520" t="s">
        <v>63</v>
      </c>
      <c r="D520" t="s">
        <v>8</v>
      </c>
      <c r="E520" s="1">
        <v>43190.926006944443</v>
      </c>
      <c r="F520" s="465">
        <v>43190.926006944443</v>
      </c>
      <c r="G520" s="464">
        <v>0.92569444444444438</v>
      </c>
      <c r="H520" t="s">
        <v>129</v>
      </c>
      <c r="I520" t="s">
        <v>129</v>
      </c>
      <c r="J520" t="s">
        <v>129</v>
      </c>
      <c r="P520">
        <v>9309</v>
      </c>
      <c r="Q520" t="s">
        <v>79</v>
      </c>
      <c r="R520" t="s">
        <v>63</v>
      </c>
      <c r="S520" s="143" t="s">
        <v>8</v>
      </c>
      <c r="T520" s="144">
        <v>43190.926006944443</v>
      </c>
      <c r="U520" s="89">
        <f t="shared" si="16"/>
        <v>43190.926006944443</v>
      </c>
      <c r="V520" s="90" t="str">
        <f t="shared" si="18"/>
        <v>22:13</v>
      </c>
      <c r="W520" s="91" t="str">
        <f t="shared" si="19"/>
        <v>-</v>
      </c>
      <c r="X520" s="92" t="str">
        <f t="shared" si="20"/>
        <v>-</v>
      </c>
      <c r="Y520" s="92" t="str">
        <f t="shared" si="30"/>
        <v>-</v>
      </c>
      <c r="Z520" s="93">
        <f t="shared" si="21"/>
        <v>0</v>
      </c>
      <c r="AA520" s="93"/>
      <c r="AB520" s="94">
        <f t="shared" si="22"/>
        <v>0</v>
      </c>
      <c r="AC520" s="94">
        <f t="shared" si="17"/>
        <v>0</v>
      </c>
      <c r="AF520">
        <f t="shared" si="23"/>
        <v>1</v>
      </c>
      <c r="AG520">
        <f t="shared" si="24"/>
        <v>1</v>
      </c>
      <c r="AH520">
        <f t="shared" si="25"/>
        <v>1</v>
      </c>
      <c r="AI520">
        <f t="shared" si="26"/>
        <v>1</v>
      </c>
      <c r="AJ520">
        <f t="shared" si="27"/>
        <v>1</v>
      </c>
      <c r="AK520">
        <f t="shared" si="28"/>
        <v>1</v>
      </c>
      <c r="AL520">
        <f t="shared" si="29"/>
        <v>1</v>
      </c>
    </row>
    <row r="521" spans="1:38">
      <c r="A521">
        <v>8491</v>
      </c>
      <c r="B521" t="s">
        <v>72</v>
      </c>
      <c r="C521" t="s">
        <v>72</v>
      </c>
      <c r="D521" t="s">
        <v>6</v>
      </c>
      <c r="E521" s="1">
        <v>43160.362291666665</v>
      </c>
      <c r="F521" s="465">
        <v>43160.362291666665</v>
      </c>
      <c r="G521" s="464">
        <v>0.36180555555555555</v>
      </c>
      <c r="H521">
        <v>10.15</v>
      </c>
      <c r="I521">
        <v>8</v>
      </c>
      <c r="J521" t="s">
        <v>129</v>
      </c>
      <c r="AF521">
        <f t="shared" si="23"/>
        <v>0</v>
      </c>
      <c r="AG521">
        <f t="shared" si="24"/>
        <v>0</v>
      </c>
      <c r="AH521">
        <f t="shared" si="25"/>
        <v>0</v>
      </c>
      <c r="AI521">
        <f t="shared" si="26"/>
        <v>1</v>
      </c>
      <c r="AJ521">
        <f t="shared" si="27"/>
        <v>1</v>
      </c>
      <c r="AK521">
        <f t="shared" si="28"/>
        <v>1</v>
      </c>
      <c r="AL521">
        <f t="shared" si="29"/>
        <v>1</v>
      </c>
    </row>
    <row r="522" spans="1:38">
      <c r="A522">
        <v>8509</v>
      </c>
      <c r="B522" t="s">
        <v>71</v>
      </c>
      <c r="C522" t="s">
        <v>72</v>
      </c>
      <c r="D522" t="s">
        <v>5</v>
      </c>
      <c r="E522" s="1">
        <v>43160.785150462965</v>
      </c>
      <c r="F522" s="465">
        <v>43160.785150462965</v>
      </c>
      <c r="G522" s="464">
        <v>0.78472222222222221</v>
      </c>
      <c r="H522" t="s">
        <v>129</v>
      </c>
      <c r="I522" t="s">
        <v>129</v>
      </c>
      <c r="J522" t="s">
        <v>129</v>
      </c>
      <c r="AF522">
        <f t="shared" si="23"/>
        <v>0</v>
      </c>
      <c r="AG522">
        <f t="shared" si="24"/>
        <v>0</v>
      </c>
      <c r="AH522">
        <f t="shared" si="25"/>
        <v>0</v>
      </c>
      <c r="AI522">
        <f t="shared" si="26"/>
        <v>1</v>
      </c>
      <c r="AJ522">
        <f t="shared" si="27"/>
        <v>1</v>
      </c>
      <c r="AK522">
        <f t="shared" si="28"/>
        <v>1</v>
      </c>
      <c r="AL522">
        <f t="shared" si="29"/>
        <v>1</v>
      </c>
    </row>
    <row r="523" spans="1:38">
      <c r="A523">
        <v>8511</v>
      </c>
      <c r="B523" t="s">
        <v>71</v>
      </c>
      <c r="C523" t="s">
        <v>72</v>
      </c>
      <c r="D523" t="s">
        <v>7</v>
      </c>
      <c r="E523" s="1">
        <v>43160.785185185188</v>
      </c>
      <c r="F523" s="465">
        <v>43160.785185185188</v>
      </c>
      <c r="G523" s="464">
        <v>0.78472222222222221</v>
      </c>
      <c r="H523" t="s">
        <v>129</v>
      </c>
      <c r="I523" t="s">
        <v>129</v>
      </c>
      <c r="J523" t="s">
        <v>129</v>
      </c>
      <c r="K523">
        <v>1.2666666666666675</v>
      </c>
      <c r="M523">
        <v>1.2666666666666675</v>
      </c>
      <c r="N523">
        <v>0</v>
      </c>
      <c r="AF523">
        <f t="shared" si="23"/>
        <v>0</v>
      </c>
      <c r="AG523">
        <f t="shared" si="24"/>
        <v>0</v>
      </c>
      <c r="AH523">
        <f t="shared" si="25"/>
        <v>0</v>
      </c>
      <c r="AI523">
        <f t="shared" si="26"/>
        <v>0</v>
      </c>
      <c r="AJ523">
        <f t="shared" si="27"/>
        <v>1</v>
      </c>
      <c r="AK523">
        <f t="shared" si="28"/>
        <v>0</v>
      </c>
      <c r="AL523">
        <f t="shared" si="29"/>
        <v>1</v>
      </c>
    </row>
    <row r="524" spans="1:38">
      <c r="A524">
        <v>8517</v>
      </c>
      <c r="B524" t="s">
        <v>71</v>
      </c>
      <c r="C524" t="s">
        <v>72</v>
      </c>
      <c r="D524" t="s">
        <v>8</v>
      </c>
      <c r="E524" s="1">
        <v>43160.837962962964</v>
      </c>
      <c r="F524" s="465">
        <v>43160.837962962964</v>
      </c>
      <c r="G524" s="464">
        <v>0.83750000000000002</v>
      </c>
      <c r="H524" t="s">
        <v>129</v>
      </c>
      <c r="I524" t="s">
        <v>129</v>
      </c>
      <c r="J524" t="s">
        <v>129</v>
      </c>
      <c r="AF524">
        <f t="shared" si="23"/>
        <v>0</v>
      </c>
      <c r="AG524">
        <f t="shared" si="24"/>
        <v>0</v>
      </c>
      <c r="AH524">
        <f t="shared" si="25"/>
        <v>0</v>
      </c>
      <c r="AI524">
        <f t="shared" si="26"/>
        <v>1</v>
      </c>
      <c r="AJ524">
        <f t="shared" si="27"/>
        <v>1</v>
      </c>
      <c r="AK524">
        <f t="shared" si="28"/>
        <v>1</v>
      </c>
      <c r="AL524">
        <f t="shared" si="29"/>
        <v>1</v>
      </c>
    </row>
    <row r="525" spans="1:38">
      <c r="A525">
        <v>8525</v>
      </c>
      <c r="B525" t="s">
        <v>71</v>
      </c>
      <c r="C525" t="s">
        <v>72</v>
      </c>
      <c r="D525" t="s">
        <v>6</v>
      </c>
      <c r="E525" s="1">
        <v>43161.365624999999</v>
      </c>
      <c r="F525" s="465">
        <v>43161.365624999999</v>
      </c>
      <c r="G525" s="464">
        <v>0.36527777777777781</v>
      </c>
      <c r="H525">
        <v>9.9666666666666668</v>
      </c>
      <c r="I525">
        <v>8</v>
      </c>
      <c r="J525" t="s">
        <v>129</v>
      </c>
      <c r="AF525">
        <f t="shared" si="23"/>
        <v>0</v>
      </c>
      <c r="AG525">
        <f t="shared" si="24"/>
        <v>0</v>
      </c>
      <c r="AH525">
        <f t="shared" si="25"/>
        <v>0</v>
      </c>
      <c r="AI525">
        <f t="shared" si="26"/>
        <v>1</v>
      </c>
      <c r="AJ525">
        <f t="shared" si="27"/>
        <v>1</v>
      </c>
      <c r="AK525">
        <f t="shared" si="28"/>
        <v>1</v>
      </c>
      <c r="AL525">
        <f t="shared" si="29"/>
        <v>1</v>
      </c>
    </row>
    <row r="526" spans="1:38">
      <c r="A526">
        <v>8540</v>
      </c>
      <c r="B526" t="s">
        <v>71</v>
      </c>
      <c r="C526" t="s">
        <v>72</v>
      </c>
      <c r="D526" t="s">
        <v>5</v>
      </c>
      <c r="E526" s="1">
        <v>43161.780821759261</v>
      </c>
      <c r="F526" s="465">
        <v>43161.780821759261</v>
      </c>
      <c r="G526" s="464">
        <v>0.78055555555555556</v>
      </c>
      <c r="H526" t="s">
        <v>129</v>
      </c>
      <c r="I526" t="s">
        <v>129</v>
      </c>
      <c r="J526" t="s">
        <v>129</v>
      </c>
      <c r="AF526">
        <f t="shared" si="23"/>
        <v>0</v>
      </c>
      <c r="AG526">
        <f t="shared" si="24"/>
        <v>0</v>
      </c>
      <c r="AH526">
        <f t="shared" si="25"/>
        <v>0</v>
      </c>
      <c r="AI526">
        <f t="shared" si="26"/>
        <v>1</v>
      </c>
      <c r="AJ526">
        <f t="shared" si="27"/>
        <v>1</v>
      </c>
      <c r="AK526">
        <f t="shared" si="28"/>
        <v>1</v>
      </c>
      <c r="AL526">
        <f t="shared" si="29"/>
        <v>1</v>
      </c>
    </row>
    <row r="527" spans="1:38">
      <c r="A527">
        <v>8560</v>
      </c>
      <c r="B527" t="s">
        <v>72</v>
      </c>
      <c r="C527" t="s">
        <v>72</v>
      </c>
      <c r="D527" t="s">
        <v>6</v>
      </c>
      <c r="E527" s="1">
        <v>43164.364525462966</v>
      </c>
      <c r="F527" s="465">
        <v>43164.364525462966</v>
      </c>
      <c r="G527" s="464">
        <v>0.36388888888888887</v>
      </c>
      <c r="H527">
        <v>10.066666666666666</v>
      </c>
      <c r="I527">
        <v>8</v>
      </c>
      <c r="J527" t="s">
        <v>129</v>
      </c>
      <c r="AF527">
        <f t="shared" si="23"/>
        <v>0</v>
      </c>
      <c r="AG527">
        <f t="shared" si="24"/>
        <v>0</v>
      </c>
      <c r="AH527">
        <f t="shared" si="25"/>
        <v>0</v>
      </c>
      <c r="AI527">
        <f t="shared" si="26"/>
        <v>1</v>
      </c>
      <c r="AJ527">
        <f t="shared" si="27"/>
        <v>1</v>
      </c>
      <c r="AK527">
        <f t="shared" si="28"/>
        <v>1</v>
      </c>
      <c r="AL527">
        <f t="shared" si="29"/>
        <v>1</v>
      </c>
    </row>
    <row r="528" spans="1:38">
      <c r="A528">
        <v>8582</v>
      </c>
      <c r="B528" t="s">
        <v>71</v>
      </c>
      <c r="C528" t="s">
        <v>72</v>
      </c>
      <c r="D528" t="s">
        <v>5</v>
      </c>
      <c r="E528" s="1">
        <v>43164.783391203702</v>
      </c>
      <c r="F528" s="465">
        <v>43164.783391203702</v>
      </c>
      <c r="G528" s="464">
        <v>0.78333333333333333</v>
      </c>
      <c r="H528" t="s">
        <v>129</v>
      </c>
      <c r="I528" t="s">
        <v>129</v>
      </c>
      <c r="J528" t="s">
        <v>129</v>
      </c>
      <c r="AF528">
        <f t="shared" si="23"/>
        <v>0</v>
      </c>
      <c r="AG528">
        <f t="shared" si="24"/>
        <v>0</v>
      </c>
      <c r="AH528">
        <f t="shared" si="25"/>
        <v>0</v>
      </c>
      <c r="AI528">
        <f t="shared" si="26"/>
        <v>1</v>
      </c>
      <c r="AJ528">
        <f t="shared" si="27"/>
        <v>1</v>
      </c>
      <c r="AK528">
        <f t="shared" si="28"/>
        <v>1</v>
      </c>
      <c r="AL528">
        <f t="shared" si="29"/>
        <v>1</v>
      </c>
    </row>
    <row r="529" spans="1:38">
      <c r="A529">
        <v>8583</v>
      </c>
      <c r="B529" t="s">
        <v>71</v>
      </c>
      <c r="C529" t="s">
        <v>72</v>
      </c>
      <c r="D529" t="s">
        <v>7</v>
      </c>
      <c r="E529" s="1">
        <v>43164.783425925925</v>
      </c>
      <c r="F529" s="465">
        <v>43164.783425925925</v>
      </c>
      <c r="G529" s="464">
        <v>0.78333333333333333</v>
      </c>
      <c r="H529" t="s">
        <v>129</v>
      </c>
      <c r="I529" t="s">
        <v>129</v>
      </c>
      <c r="J529" t="s">
        <v>129</v>
      </c>
      <c r="K529">
        <v>1.7166666666666659</v>
      </c>
      <c r="M529">
        <v>1.7166666666666659</v>
      </c>
      <c r="N529">
        <v>0</v>
      </c>
      <c r="AF529">
        <f t="shared" si="23"/>
        <v>0</v>
      </c>
      <c r="AG529">
        <f t="shared" si="24"/>
        <v>0</v>
      </c>
      <c r="AH529">
        <f t="shared" si="25"/>
        <v>0</v>
      </c>
      <c r="AI529">
        <f t="shared" si="26"/>
        <v>0</v>
      </c>
      <c r="AJ529">
        <f t="shared" si="27"/>
        <v>1</v>
      </c>
      <c r="AK529">
        <f t="shared" si="28"/>
        <v>0</v>
      </c>
      <c r="AL529">
        <f t="shared" si="29"/>
        <v>1</v>
      </c>
    </row>
    <row r="530" spans="1:38">
      <c r="A530">
        <v>8588</v>
      </c>
      <c r="B530" t="s">
        <v>71</v>
      </c>
      <c r="C530" t="s">
        <v>72</v>
      </c>
      <c r="D530" t="s">
        <v>8</v>
      </c>
      <c r="E530" s="1">
        <v>43164.855034722219</v>
      </c>
      <c r="F530" s="465">
        <v>43164.855034722219</v>
      </c>
      <c r="G530" s="464">
        <v>0.85486111111111107</v>
      </c>
      <c r="H530" t="s">
        <v>129</v>
      </c>
      <c r="I530" t="s">
        <v>129</v>
      </c>
      <c r="J530" t="s">
        <v>129</v>
      </c>
      <c r="AF530">
        <f t="shared" si="23"/>
        <v>0</v>
      </c>
      <c r="AG530">
        <f t="shared" si="24"/>
        <v>0</v>
      </c>
      <c r="AH530">
        <f t="shared" si="25"/>
        <v>0</v>
      </c>
      <c r="AI530">
        <f t="shared" si="26"/>
        <v>1</v>
      </c>
      <c r="AJ530">
        <f t="shared" si="27"/>
        <v>1</v>
      </c>
      <c r="AK530">
        <f t="shared" si="28"/>
        <v>1</v>
      </c>
      <c r="AL530">
        <f t="shared" si="29"/>
        <v>1</v>
      </c>
    </row>
    <row r="531" spans="1:38">
      <c r="A531">
        <v>8596</v>
      </c>
      <c r="B531" t="s">
        <v>72</v>
      </c>
      <c r="C531" t="s">
        <v>72</v>
      </c>
      <c r="D531" t="s">
        <v>6</v>
      </c>
      <c r="E531" s="1">
        <v>43165.363182870373</v>
      </c>
      <c r="F531" s="465">
        <v>43165.363182870373</v>
      </c>
      <c r="G531" s="464">
        <v>0.36249999999999999</v>
      </c>
      <c r="H531">
        <v>9.9166666666666679</v>
      </c>
      <c r="I531">
        <v>8</v>
      </c>
      <c r="J531" t="s">
        <v>129</v>
      </c>
      <c r="AF531">
        <f t="shared" si="23"/>
        <v>0</v>
      </c>
      <c r="AG531">
        <f t="shared" si="24"/>
        <v>0</v>
      </c>
      <c r="AH531">
        <f t="shared" si="25"/>
        <v>0</v>
      </c>
      <c r="AI531">
        <f t="shared" si="26"/>
        <v>1</v>
      </c>
      <c r="AJ531">
        <f t="shared" si="27"/>
        <v>1</v>
      </c>
      <c r="AK531">
        <f t="shared" si="28"/>
        <v>1</v>
      </c>
      <c r="AL531">
        <f t="shared" si="29"/>
        <v>1</v>
      </c>
    </row>
    <row r="532" spans="1:38">
      <c r="A532">
        <v>8614</v>
      </c>
      <c r="B532" t="s">
        <v>72</v>
      </c>
      <c r="C532" t="s">
        <v>72</v>
      </c>
      <c r="D532" t="s">
        <v>5</v>
      </c>
      <c r="E532" s="1">
        <v>43165.776226851849</v>
      </c>
      <c r="F532" s="465">
        <v>43165.776226851849</v>
      </c>
      <c r="G532" s="464">
        <v>0.77569444444444446</v>
      </c>
      <c r="H532" t="s">
        <v>129</v>
      </c>
      <c r="I532" t="s">
        <v>129</v>
      </c>
      <c r="J532" t="s">
        <v>129</v>
      </c>
      <c r="AF532">
        <f t="shared" si="23"/>
        <v>0</v>
      </c>
      <c r="AG532">
        <f t="shared" si="24"/>
        <v>0</v>
      </c>
      <c r="AH532">
        <f t="shared" si="25"/>
        <v>0</v>
      </c>
      <c r="AI532">
        <f t="shared" si="26"/>
        <v>1</v>
      </c>
      <c r="AJ532">
        <f t="shared" si="27"/>
        <v>1</v>
      </c>
      <c r="AK532">
        <f t="shared" si="28"/>
        <v>1</v>
      </c>
      <c r="AL532">
        <f t="shared" si="29"/>
        <v>1</v>
      </c>
    </row>
    <row r="533" spans="1:38">
      <c r="A533">
        <v>8615</v>
      </c>
      <c r="B533" t="s">
        <v>72</v>
      </c>
      <c r="C533" t="s">
        <v>72</v>
      </c>
      <c r="D533" t="s">
        <v>7</v>
      </c>
      <c r="E533" s="1">
        <v>43165.776261574072</v>
      </c>
      <c r="F533" s="465">
        <v>43165.776261574072</v>
      </c>
      <c r="G533" s="464">
        <v>0.77569444444444446</v>
      </c>
      <c r="H533" t="s">
        <v>129</v>
      </c>
      <c r="I533" t="s">
        <v>129</v>
      </c>
      <c r="J533" t="s">
        <v>129</v>
      </c>
      <c r="K533">
        <v>3.0333333333333332</v>
      </c>
      <c r="M533">
        <v>2</v>
      </c>
      <c r="N533">
        <v>1.0333333333333332</v>
      </c>
      <c r="AF533">
        <f t="shared" si="23"/>
        <v>0</v>
      </c>
      <c r="AG533">
        <f t="shared" si="24"/>
        <v>0</v>
      </c>
      <c r="AH533">
        <f t="shared" si="25"/>
        <v>0</v>
      </c>
      <c r="AI533">
        <f t="shared" si="26"/>
        <v>0</v>
      </c>
      <c r="AJ533">
        <f t="shared" si="27"/>
        <v>1</v>
      </c>
      <c r="AK533">
        <f t="shared" si="28"/>
        <v>0</v>
      </c>
      <c r="AL533">
        <f t="shared" si="29"/>
        <v>0</v>
      </c>
    </row>
    <row r="534" spans="1:38">
      <c r="A534">
        <v>8623</v>
      </c>
      <c r="B534" t="s">
        <v>72</v>
      </c>
      <c r="C534" t="s">
        <v>72</v>
      </c>
      <c r="D534" t="s">
        <v>8</v>
      </c>
      <c r="E534" s="1">
        <v>43165.902118055557</v>
      </c>
      <c r="F534" s="465">
        <v>43165.902118055557</v>
      </c>
      <c r="G534" s="464">
        <v>0.90208333333333324</v>
      </c>
      <c r="H534" t="s">
        <v>129</v>
      </c>
      <c r="I534" t="s">
        <v>129</v>
      </c>
      <c r="J534" t="s">
        <v>129</v>
      </c>
      <c r="AF534">
        <f t="shared" si="23"/>
        <v>0</v>
      </c>
      <c r="AG534">
        <f t="shared" si="24"/>
        <v>0</v>
      </c>
      <c r="AH534">
        <f t="shared" si="25"/>
        <v>0</v>
      </c>
      <c r="AI534">
        <f t="shared" si="26"/>
        <v>1</v>
      </c>
      <c r="AJ534">
        <f t="shared" si="27"/>
        <v>1</v>
      </c>
      <c r="AK534">
        <f t="shared" si="28"/>
        <v>1</v>
      </c>
      <c r="AL534">
        <f t="shared" si="29"/>
        <v>1</v>
      </c>
    </row>
    <row r="535" spans="1:38">
      <c r="A535">
        <v>8628</v>
      </c>
      <c r="B535" t="s">
        <v>72</v>
      </c>
      <c r="C535" t="s">
        <v>72</v>
      </c>
      <c r="D535" t="s">
        <v>6</v>
      </c>
      <c r="E535" s="1">
        <v>43166.364398148151</v>
      </c>
      <c r="F535" s="465">
        <v>43166.364398148151</v>
      </c>
      <c r="G535" s="464">
        <v>0.36388888888888887</v>
      </c>
      <c r="H535">
        <v>9.9</v>
      </c>
      <c r="I535">
        <v>8</v>
      </c>
      <c r="J535" t="s">
        <v>129</v>
      </c>
      <c r="AF535">
        <f t="shared" si="23"/>
        <v>0</v>
      </c>
      <c r="AG535">
        <f t="shared" si="24"/>
        <v>0</v>
      </c>
      <c r="AH535">
        <f t="shared" si="25"/>
        <v>0</v>
      </c>
      <c r="AI535">
        <f t="shared" si="26"/>
        <v>1</v>
      </c>
      <c r="AJ535">
        <f t="shared" si="27"/>
        <v>1</v>
      </c>
      <c r="AK535">
        <f t="shared" si="28"/>
        <v>1</v>
      </c>
      <c r="AL535">
        <f t="shared" si="29"/>
        <v>1</v>
      </c>
    </row>
    <row r="536" spans="1:38">
      <c r="A536">
        <v>8647</v>
      </c>
      <c r="B536" t="s">
        <v>71</v>
      </c>
      <c r="C536" t="s">
        <v>72</v>
      </c>
      <c r="D536" t="s">
        <v>5</v>
      </c>
      <c r="E536" s="1">
        <v>43166.776412037034</v>
      </c>
      <c r="F536" s="465">
        <v>43166.776412037034</v>
      </c>
      <c r="G536" s="464">
        <v>0.77638888888888891</v>
      </c>
      <c r="H536" t="s">
        <v>129</v>
      </c>
      <c r="I536" t="s">
        <v>129</v>
      </c>
      <c r="J536" t="s">
        <v>129</v>
      </c>
      <c r="AF536">
        <f t="shared" si="23"/>
        <v>0</v>
      </c>
      <c r="AG536">
        <f t="shared" si="24"/>
        <v>0</v>
      </c>
      <c r="AH536">
        <f t="shared" si="25"/>
        <v>0</v>
      </c>
      <c r="AI536">
        <f t="shared" si="26"/>
        <v>1</v>
      </c>
      <c r="AJ536">
        <f t="shared" si="27"/>
        <v>1</v>
      </c>
      <c r="AK536">
        <f t="shared" si="28"/>
        <v>1</v>
      </c>
      <c r="AL536">
        <f t="shared" si="29"/>
        <v>1</v>
      </c>
    </row>
    <row r="537" spans="1:38">
      <c r="A537">
        <v>8648</v>
      </c>
      <c r="B537" t="s">
        <v>71</v>
      </c>
      <c r="C537" t="s">
        <v>72</v>
      </c>
      <c r="D537" t="s">
        <v>7</v>
      </c>
      <c r="E537" s="1">
        <v>43166.77648148148</v>
      </c>
      <c r="F537" s="465">
        <v>43166.77648148148</v>
      </c>
      <c r="G537" s="464">
        <v>0.77638888888888891</v>
      </c>
      <c r="H537" t="s">
        <v>129</v>
      </c>
      <c r="I537" t="s">
        <v>129</v>
      </c>
      <c r="J537" t="s">
        <v>129</v>
      </c>
      <c r="K537">
        <v>1.7333333333333325</v>
      </c>
      <c r="M537">
        <v>1.7333333333333325</v>
      </c>
      <c r="N537">
        <v>0</v>
      </c>
      <c r="AF537">
        <f t="shared" si="23"/>
        <v>0</v>
      </c>
      <c r="AG537">
        <f t="shared" si="24"/>
        <v>0</v>
      </c>
      <c r="AH537">
        <f t="shared" si="25"/>
        <v>0</v>
      </c>
      <c r="AI537">
        <f t="shared" si="26"/>
        <v>0</v>
      </c>
      <c r="AJ537">
        <f t="shared" si="27"/>
        <v>1</v>
      </c>
      <c r="AK537">
        <f t="shared" si="28"/>
        <v>0</v>
      </c>
      <c r="AL537">
        <f t="shared" si="29"/>
        <v>1</v>
      </c>
    </row>
    <row r="538" spans="1:38">
      <c r="A538">
        <v>8655</v>
      </c>
      <c r="B538" t="s">
        <v>72</v>
      </c>
      <c r="C538" t="s">
        <v>72</v>
      </c>
      <c r="D538" t="s">
        <v>8</v>
      </c>
      <c r="E538" s="1">
        <v>43166.848969907405</v>
      </c>
      <c r="F538" s="465">
        <v>43166.848969907405</v>
      </c>
      <c r="G538" s="464">
        <v>0.84861111111111109</v>
      </c>
      <c r="H538" t="s">
        <v>129</v>
      </c>
      <c r="I538" t="s">
        <v>129</v>
      </c>
      <c r="J538" t="s">
        <v>129</v>
      </c>
      <c r="AF538">
        <f t="shared" ref="AF538:AF571" si="31">IF(W538=H538,1,0)</f>
        <v>0</v>
      </c>
      <c r="AG538">
        <f t="shared" ref="AG538:AG571" si="32">IF(X538=I538,1,0)</f>
        <v>0</v>
      </c>
      <c r="AH538">
        <f t="shared" ref="AH538:AH571" si="33">IF(Y538=J538,1,0)</f>
        <v>0</v>
      </c>
      <c r="AI538">
        <f t="shared" ref="AI538:AI571" si="34">IF(Z538=K538,1,0)</f>
        <v>1</v>
      </c>
      <c r="AJ538">
        <f t="shared" ref="AJ538:AJ571" si="35">IF(AA538=L538,1,0)</f>
        <v>1</v>
      </c>
      <c r="AK538">
        <f t="shared" ref="AK538:AK571" si="36">IF(AB538=M538,1,0)</f>
        <v>1</v>
      </c>
      <c r="AL538">
        <f t="shared" ref="AL538:AL571" si="37">IF(AC538=N538,1,0)</f>
        <v>1</v>
      </c>
    </row>
    <row r="539" spans="1:38">
      <c r="A539">
        <v>8670</v>
      </c>
      <c r="B539" t="s">
        <v>71</v>
      </c>
      <c r="C539" t="s">
        <v>72</v>
      </c>
      <c r="D539" t="s">
        <v>6</v>
      </c>
      <c r="E539" s="1">
        <v>43167.371180555558</v>
      </c>
      <c r="F539" s="465">
        <v>43167.371180555558</v>
      </c>
      <c r="G539" s="464">
        <v>0.37083333333333335</v>
      </c>
      <c r="H539">
        <v>9.6666666666666679</v>
      </c>
      <c r="I539">
        <v>8</v>
      </c>
      <c r="J539" t="s">
        <v>129</v>
      </c>
      <c r="AF539">
        <f t="shared" si="31"/>
        <v>0</v>
      </c>
      <c r="AG539">
        <f t="shared" si="32"/>
        <v>0</v>
      </c>
      <c r="AH539">
        <f t="shared" si="33"/>
        <v>0</v>
      </c>
      <c r="AI539">
        <f t="shared" si="34"/>
        <v>1</v>
      </c>
      <c r="AJ539">
        <f t="shared" si="35"/>
        <v>1</v>
      </c>
      <c r="AK539">
        <f t="shared" si="36"/>
        <v>1</v>
      </c>
      <c r="AL539">
        <f t="shared" si="37"/>
        <v>1</v>
      </c>
    </row>
    <row r="540" spans="1:38">
      <c r="A540">
        <v>8681</v>
      </c>
      <c r="B540" t="s">
        <v>71</v>
      </c>
      <c r="C540" t="s">
        <v>72</v>
      </c>
      <c r="D540" t="s">
        <v>5</v>
      </c>
      <c r="E540" s="1">
        <v>43167.773796296293</v>
      </c>
      <c r="F540" s="465">
        <v>43167.773796296293</v>
      </c>
      <c r="G540" s="464">
        <v>0.77361111111111114</v>
      </c>
      <c r="H540" t="s">
        <v>129</v>
      </c>
      <c r="I540" t="s">
        <v>129</v>
      </c>
      <c r="J540" t="s">
        <v>129</v>
      </c>
      <c r="AF540">
        <f t="shared" si="31"/>
        <v>0</v>
      </c>
      <c r="AG540">
        <f t="shared" si="32"/>
        <v>0</v>
      </c>
      <c r="AH540">
        <f t="shared" si="33"/>
        <v>0</v>
      </c>
      <c r="AI540">
        <f t="shared" si="34"/>
        <v>1</v>
      </c>
      <c r="AJ540">
        <f t="shared" si="35"/>
        <v>1</v>
      </c>
      <c r="AK540">
        <f t="shared" si="36"/>
        <v>1</v>
      </c>
      <c r="AL540">
        <f t="shared" si="37"/>
        <v>1</v>
      </c>
    </row>
    <row r="541" spans="1:38">
      <c r="A541">
        <v>8682</v>
      </c>
      <c r="B541" t="s">
        <v>71</v>
      </c>
      <c r="C541" t="s">
        <v>72</v>
      </c>
      <c r="D541" t="s">
        <v>7</v>
      </c>
      <c r="E541" s="1">
        <v>43167.773854166669</v>
      </c>
      <c r="F541" s="465">
        <v>43167.773854166669</v>
      </c>
      <c r="G541" s="464">
        <v>0.77361111111111114</v>
      </c>
      <c r="H541" t="s">
        <v>129</v>
      </c>
      <c r="I541" t="s">
        <v>129</v>
      </c>
      <c r="J541" t="s">
        <v>129</v>
      </c>
      <c r="K541">
        <v>1.583333333333333</v>
      </c>
      <c r="M541">
        <v>1.583333333333333</v>
      </c>
      <c r="N541">
        <v>0</v>
      </c>
      <c r="AF541">
        <f t="shared" si="31"/>
        <v>0</v>
      </c>
      <c r="AG541">
        <f t="shared" si="32"/>
        <v>0</v>
      </c>
      <c r="AH541">
        <f t="shared" si="33"/>
        <v>0</v>
      </c>
      <c r="AI541">
        <f t="shared" si="34"/>
        <v>0</v>
      </c>
      <c r="AJ541">
        <f t="shared" si="35"/>
        <v>1</v>
      </c>
      <c r="AK541">
        <f t="shared" si="36"/>
        <v>0</v>
      </c>
      <c r="AL541">
        <f t="shared" si="37"/>
        <v>1</v>
      </c>
    </row>
    <row r="542" spans="1:38">
      <c r="A542">
        <v>8690</v>
      </c>
      <c r="B542" t="s">
        <v>72</v>
      </c>
      <c r="C542" t="s">
        <v>72</v>
      </c>
      <c r="D542" t="s">
        <v>8</v>
      </c>
      <c r="E542" s="1">
        <v>43167.839675925927</v>
      </c>
      <c r="F542" s="465">
        <v>43167.839675925927</v>
      </c>
      <c r="G542" s="464">
        <v>0.83958333333333324</v>
      </c>
      <c r="H542" t="s">
        <v>129</v>
      </c>
      <c r="I542" t="s">
        <v>129</v>
      </c>
      <c r="J542" t="s">
        <v>129</v>
      </c>
      <c r="AF542">
        <f t="shared" si="31"/>
        <v>0</v>
      </c>
      <c r="AG542">
        <f t="shared" si="32"/>
        <v>0</v>
      </c>
      <c r="AH542">
        <f t="shared" si="33"/>
        <v>0</v>
      </c>
      <c r="AI542">
        <f t="shared" si="34"/>
        <v>1</v>
      </c>
      <c r="AJ542">
        <f t="shared" si="35"/>
        <v>1</v>
      </c>
      <c r="AK542">
        <f t="shared" si="36"/>
        <v>1</v>
      </c>
      <c r="AL542">
        <f t="shared" si="37"/>
        <v>1</v>
      </c>
    </row>
    <row r="543" spans="1:38">
      <c r="A543">
        <v>8692</v>
      </c>
      <c r="B543" t="s">
        <v>71</v>
      </c>
      <c r="C543" t="s">
        <v>72</v>
      </c>
      <c r="D543" t="s">
        <v>6</v>
      </c>
      <c r="E543" s="1">
        <v>43168.362662037034</v>
      </c>
      <c r="F543" s="465">
        <v>43168.362662037034</v>
      </c>
      <c r="G543" s="464">
        <v>0.36249999999999999</v>
      </c>
      <c r="H543">
        <v>9.7166666666666686</v>
      </c>
      <c r="I543">
        <v>8</v>
      </c>
      <c r="J543" t="s">
        <v>129</v>
      </c>
      <c r="AF543">
        <f t="shared" si="31"/>
        <v>0</v>
      </c>
      <c r="AG543">
        <f t="shared" si="32"/>
        <v>0</v>
      </c>
      <c r="AH543">
        <f t="shared" si="33"/>
        <v>0</v>
      </c>
      <c r="AI543">
        <f t="shared" si="34"/>
        <v>1</v>
      </c>
      <c r="AJ543">
        <f t="shared" si="35"/>
        <v>1</v>
      </c>
      <c r="AK543">
        <f t="shared" si="36"/>
        <v>1</v>
      </c>
      <c r="AL543">
        <f t="shared" si="37"/>
        <v>1</v>
      </c>
    </row>
    <row r="544" spans="1:38">
      <c r="A544">
        <v>8705</v>
      </c>
      <c r="B544" t="s">
        <v>72</v>
      </c>
      <c r="C544" t="s">
        <v>72</v>
      </c>
      <c r="D544" t="s">
        <v>5</v>
      </c>
      <c r="E544" s="1">
        <v>43168.767766203702</v>
      </c>
      <c r="F544" s="465">
        <v>43168.767766203702</v>
      </c>
      <c r="G544" s="464">
        <v>0.76736111111111116</v>
      </c>
      <c r="H544" t="s">
        <v>129</v>
      </c>
      <c r="I544" t="s">
        <v>129</v>
      </c>
      <c r="J544" t="s">
        <v>129</v>
      </c>
      <c r="AF544">
        <f t="shared" si="31"/>
        <v>0</v>
      </c>
      <c r="AG544">
        <f t="shared" si="32"/>
        <v>0</v>
      </c>
      <c r="AH544">
        <f t="shared" si="33"/>
        <v>0</v>
      </c>
      <c r="AI544">
        <f t="shared" si="34"/>
        <v>1</v>
      </c>
      <c r="AJ544">
        <f t="shared" si="35"/>
        <v>1</v>
      </c>
      <c r="AK544">
        <f t="shared" si="36"/>
        <v>1</v>
      </c>
      <c r="AL544">
        <f t="shared" si="37"/>
        <v>1</v>
      </c>
    </row>
    <row r="545" spans="1:38">
      <c r="A545">
        <v>8729</v>
      </c>
      <c r="B545" t="s">
        <v>71</v>
      </c>
      <c r="C545" t="s">
        <v>72</v>
      </c>
      <c r="D545" t="s">
        <v>7</v>
      </c>
      <c r="E545" s="1">
        <v>43170.422361111108</v>
      </c>
      <c r="F545" s="465">
        <v>43170.422361111108</v>
      </c>
      <c r="G545" s="464">
        <v>0.42222222222222222</v>
      </c>
      <c r="H545" t="s">
        <v>129</v>
      </c>
      <c r="I545" t="s">
        <v>129</v>
      </c>
      <c r="J545" t="s">
        <v>129</v>
      </c>
      <c r="K545">
        <v>3.0500000000000012</v>
      </c>
      <c r="M545">
        <v>2</v>
      </c>
      <c r="N545">
        <v>5.1333333333333364</v>
      </c>
      <c r="AF545">
        <f t="shared" si="31"/>
        <v>0</v>
      </c>
      <c r="AG545">
        <f t="shared" si="32"/>
        <v>0</v>
      </c>
      <c r="AH545">
        <f t="shared" si="33"/>
        <v>0</v>
      </c>
      <c r="AI545">
        <f t="shared" si="34"/>
        <v>0</v>
      </c>
      <c r="AJ545">
        <f t="shared" si="35"/>
        <v>1</v>
      </c>
      <c r="AK545">
        <f t="shared" si="36"/>
        <v>0</v>
      </c>
      <c r="AL545">
        <f t="shared" si="37"/>
        <v>0</v>
      </c>
    </row>
    <row r="546" spans="1:38">
      <c r="A546">
        <v>8735</v>
      </c>
      <c r="B546" t="s">
        <v>71</v>
      </c>
      <c r="C546" t="s">
        <v>72</v>
      </c>
      <c r="D546" t="s">
        <v>8</v>
      </c>
      <c r="E546" s="1">
        <v>43170.549699074072</v>
      </c>
      <c r="F546" s="465">
        <v>43170.549699074072</v>
      </c>
      <c r="G546" s="464">
        <v>0.5493055555555556</v>
      </c>
      <c r="H546" t="s">
        <v>129</v>
      </c>
      <c r="I546" t="s">
        <v>129</v>
      </c>
      <c r="J546" t="s">
        <v>129</v>
      </c>
      <c r="AF546">
        <f t="shared" si="31"/>
        <v>0</v>
      </c>
      <c r="AG546">
        <f t="shared" si="32"/>
        <v>0</v>
      </c>
      <c r="AH546">
        <f t="shared" si="33"/>
        <v>0</v>
      </c>
      <c r="AI546">
        <f t="shared" si="34"/>
        <v>1</v>
      </c>
      <c r="AJ546">
        <f t="shared" si="35"/>
        <v>1</v>
      </c>
      <c r="AK546">
        <f t="shared" si="36"/>
        <v>1</v>
      </c>
      <c r="AL546">
        <f t="shared" si="37"/>
        <v>1</v>
      </c>
    </row>
    <row r="547" spans="1:38">
      <c r="A547">
        <v>8741</v>
      </c>
      <c r="B547" t="s">
        <v>72</v>
      </c>
      <c r="C547" t="s">
        <v>72</v>
      </c>
      <c r="D547" t="s">
        <v>7</v>
      </c>
      <c r="E547" s="1">
        <v>43170.572708333333</v>
      </c>
      <c r="F547" s="465">
        <v>43170.572708333333</v>
      </c>
      <c r="G547" s="464">
        <v>0.57222222222222219</v>
      </c>
      <c r="H547" t="s">
        <v>129</v>
      </c>
      <c r="I547" t="s">
        <v>129</v>
      </c>
      <c r="J547" t="s">
        <v>129</v>
      </c>
      <c r="K547">
        <v>4.0833333333333348</v>
      </c>
      <c r="AF547">
        <f t="shared" si="31"/>
        <v>0</v>
      </c>
      <c r="AG547">
        <f t="shared" si="32"/>
        <v>0</v>
      </c>
      <c r="AH547">
        <f t="shared" si="33"/>
        <v>0</v>
      </c>
      <c r="AI547">
        <f t="shared" si="34"/>
        <v>0</v>
      </c>
      <c r="AJ547">
        <f t="shared" si="35"/>
        <v>1</v>
      </c>
      <c r="AK547">
        <f t="shared" si="36"/>
        <v>1</v>
      </c>
      <c r="AL547">
        <f t="shared" si="37"/>
        <v>1</v>
      </c>
    </row>
    <row r="548" spans="1:38">
      <c r="A548">
        <v>8746</v>
      </c>
      <c r="B548" t="s">
        <v>72</v>
      </c>
      <c r="C548" t="s">
        <v>72</v>
      </c>
      <c r="D548" t="s">
        <v>8</v>
      </c>
      <c r="E548" s="1">
        <v>43170.742708333331</v>
      </c>
      <c r="F548" s="465">
        <v>43170.742708333331</v>
      </c>
      <c r="G548" s="464">
        <v>0.74236111111111114</v>
      </c>
      <c r="H548" t="s">
        <v>129</v>
      </c>
      <c r="I548" t="s">
        <v>129</v>
      </c>
      <c r="J548" t="s">
        <v>129</v>
      </c>
      <c r="AF548">
        <f t="shared" si="31"/>
        <v>0</v>
      </c>
      <c r="AG548">
        <f t="shared" si="32"/>
        <v>0</v>
      </c>
      <c r="AH548">
        <f t="shared" si="33"/>
        <v>0</v>
      </c>
      <c r="AI548">
        <f t="shared" si="34"/>
        <v>1</v>
      </c>
      <c r="AJ548">
        <f t="shared" si="35"/>
        <v>1</v>
      </c>
      <c r="AK548">
        <f t="shared" si="36"/>
        <v>1</v>
      </c>
      <c r="AL548">
        <f t="shared" si="37"/>
        <v>1</v>
      </c>
    </row>
    <row r="549" spans="1:38">
      <c r="A549">
        <v>8764</v>
      </c>
      <c r="B549" t="s">
        <v>71</v>
      </c>
      <c r="C549" t="s">
        <v>72</v>
      </c>
      <c r="D549" t="s">
        <v>6</v>
      </c>
      <c r="E549" s="1">
        <v>43171.366435185184</v>
      </c>
      <c r="F549" s="465">
        <v>43171.366435185184</v>
      </c>
      <c r="G549" s="464">
        <v>0.3659722222222222</v>
      </c>
      <c r="H549">
        <v>9.6666666666666679</v>
      </c>
      <c r="I549">
        <v>8</v>
      </c>
      <c r="J549" t="s">
        <v>129</v>
      </c>
      <c r="AF549">
        <f t="shared" si="31"/>
        <v>0</v>
      </c>
      <c r="AG549">
        <f t="shared" si="32"/>
        <v>0</v>
      </c>
      <c r="AH549">
        <f t="shared" si="33"/>
        <v>0</v>
      </c>
      <c r="AI549">
        <f t="shared" si="34"/>
        <v>1</v>
      </c>
      <c r="AJ549">
        <f t="shared" si="35"/>
        <v>1</v>
      </c>
      <c r="AK549">
        <f t="shared" si="36"/>
        <v>1</v>
      </c>
      <c r="AL549">
        <f t="shared" si="37"/>
        <v>1</v>
      </c>
    </row>
    <row r="550" spans="1:38">
      <c r="A550">
        <v>8777</v>
      </c>
      <c r="B550" t="s">
        <v>72</v>
      </c>
      <c r="C550" t="s">
        <v>72</v>
      </c>
      <c r="D550" t="s">
        <v>5</v>
      </c>
      <c r="E550" s="1">
        <v>43171.769074074073</v>
      </c>
      <c r="F550" s="465">
        <v>43171.769074074073</v>
      </c>
      <c r="G550" s="464">
        <v>0.76874999999999993</v>
      </c>
      <c r="H550" t="s">
        <v>129</v>
      </c>
      <c r="I550" t="s">
        <v>129</v>
      </c>
      <c r="J550" t="s">
        <v>129</v>
      </c>
      <c r="AF550">
        <f t="shared" si="31"/>
        <v>0</v>
      </c>
      <c r="AG550">
        <f t="shared" si="32"/>
        <v>0</v>
      </c>
      <c r="AH550">
        <f t="shared" si="33"/>
        <v>0</v>
      </c>
      <c r="AI550">
        <f t="shared" si="34"/>
        <v>1</v>
      </c>
      <c r="AJ550">
        <f t="shared" si="35"/>
        <v>1</v>
      </c>
      <c r="AK550">
        <f t="shared" si="36"/>
        <v>1</v>
      </c>
      <c r="AL550">
        <f t="shared" si="37"/>
        <v>1</v>
      </c>
    </row>
    <row r="551" spans="1:38">
      <c r="A551">
        <v>8778</v>
      </c>
      <c r="B551" t="s">
        <v>72</v>
      </c>
      <c r="C551" t="s">
        <v>72</v>
      </c>
      <c r="D551" t="s">
        <v>7</v>
      </c>
      <c r="E551" s="1">
        <v>43171.769131944442</v>
      </c>
      <c r="F551" s="465">
        <v>43171.769131944442</v>
      </c>
      <c r="G551" s="464">
        <v>0.76874999999999993</v>
      </c>
      <c r="H551" t="s">
        <v>129</v>
      </c>
      <c r="I551" t="s">
        <v>129</v>
      </c>
      <c r="J551" t="s">
        <v>129</v>
      </c>
      <c r="K551">
        <v>3.3499999999999988</v>
      </c>
      <c r="M551">
        <v>2</v>
      </c>
      <c r="N551">
        <v>1.3499999999999988</v>
      </c>
      <c r="AF551">
        <f t="shared" si="31"/>
        <v>0</v>
      </c>
      <c r="AG551">
        <f t="shared" si="32"/>
        <v>0</v>
      </c>
      <c r="AH551">
        <f t="shared" si="33"/>
        <v>0</v>
      </c>
      <c r="AI551">
        <f t="shared" si="34"/>
        <v>0</v>
      </c>
      <c r="AJ551">
        <f t="shared" si="35"/>
        <v>1</v>
      </c>
      <c r="AK551">
        <f t="shared" si="36"/>
        <v>0</v>
      </c>
      <c r="AL551">
        <f t="shared" si="37"/>
        <v>0</v>
      </c>
    </row>
    <row r="552" spans="1:38">
      <c r="A552">
        <v>8796</v>
      </c>
      <c r="B552" t="s">
        <v>72</v>
      </c>
      <c r="C552" t="s">
        <v>72</v>
      </c>
      <c r="D552" t="s">
        <v>8</v>
      </c>
      <c r="E552" s="1">
        <v>43171.909016203703</v>
      </c>
      <c r="F552" s="465">
        <v>43171.909016203703</v>
      </c>
      <c r="G552" s="464">
        <v>0.90833333333333333</v>
      </c>
      <c r="H552" t="s">
        <v>129</v>
      </c>
      <c r="I552" t="s">
        <v>129</v>
      </c>
      <c r="J552" t="s">
        <v>129</v>
      </c>
      <c r="AF552">
        <f t="shared" si="31"/>
        <v>0</v>
      </c>
      <c r="AG552">
        <f t="shared" si="32"/>
        <v>0</v>
      </c>
      <c r="AH552">
        <f t="shared" si="33"/>
        <v>0</v>
      </c>
      <c r="AI552">
        <f t="shared" si="34"/>
        <v>1</v>
      </c>
      <c r="AJ552">
        <f t="shared" si="35"/>
        <v>1</v>
      </c>
      <c r="AK552">
        <f t="shared" si="36"/>
        <v>1</v>
      </c>
      <c r="AL552">
        <f t="shared" si="37"/>
        <v>1</v>
      </c>
    </row>
    <row r="553" spans="1:38">
      <c r="A553">
        <v>8804</v>
      </c>
      <c r="B553" t="s">
        <v>71</v>
      </c>
      <c r="C553" t="s">
        <v>72</v>
      </c>
      <c r="D553" t="s">
        <v>6</v>
      </c>
      <c r="E553" s="1">
        <v>43172.366342592592</v>
      </c>
      <c r="F553" s="465">
        <v>43172.366342592592</v>
      </c>
      <c r="G553" s="464">
        <v>0.3659722222222222</v>
      </c>
      <c r="H553">
        <v>9.7666666666666675</v>
      </c>
      <c r="I553">
        <v>8</v>
      </c>
      <c r="J553" t="s">
        <v>129</v>
      </c>
      <c r="AF553">
        <f t="shared" si="31"/>
        <v>0</v>
      </c>
      <c r="AG553">
        <f t="shared" si="32"/>
        <v>0</v>
      </c>
      <c r="AH553">
        <f t="shared" si="33"/>
        <v>0</v>
      </c>
      <c r="AI553">
        <f t="shared" si="34"/>
        <v>1</v>
      </c>
      <c r="AJ553">
        <f t="shared" si="35"/>
        <v>1</v>
      </c>
      <c r="AK553">
        <f t="shared" si="36"/>
        <v>1</v>
      </c>
      <c r="AL553">
        <f t="shared" si="37"/>
        <v>1</v>
      </c>
    </row>
    <row r="554" spans="1:38">
      <c r="A554">
        <v>8821</v>
      </c>
      <c r="B554" t="s">
        <v>72</v>
      </c>
      <c r="C554" t="s">
        <v>72</v>
      </c>
      <c r="D554" t="s">
        <v>5</v>
      </c>
      <c r="E554" s="1">
        <v>43172.773298611108</v>
      </c>
      <c r="F554" s="465">
        <v>43172.773298611108</v>
      </c>
      <c r="G554" s="464">
        <v>0.7729166666666667</v>
      </c>
      <c r="H554" t="s">
        <v>129</v>
      </c>
      <c r="I554" t="s">
        <v>129</v>
      </c>
      <c r="J554" t="s">
        <v>129</v>
      </c>
      <c r="AF554">
        <f t="shared" si="31"/>
        <v>0</v>
      </c>
      <c r="AG554">
        <f t="shared" si="32"/>
        <v>0</v>
      </c>
      <c r="AH554">
        <f t="shared" si="33"/>
        <v>0</v>
      </c>
      <c r="AI554">
        <f t="shared" si="34"/>
        <v>1</v>
      </c>
      <c r="AJ554">
        <f t="shared" si="35"/>
        <v>1</v>
      </c>
      <c r="AK554">
        <f t="shared" si="36"/>
        <v>1</v>
      </c>
      <c r="AL554">
        <f t="shared" si="37"/>
        <v>1</v>
      </c>
    </row>
    <row r="555" spans="1:38">
      <c r="A555">
        <v>8822</v>
      </c>
      <c r="B555" t="s">
        <v>72</v>
      </c>
      <c r="C555" t="s">
        <v>72</v>
      </c>
      <c r="D555" t="s">
        <v>7</v>
      </c>
      <c r="E555" s="1">
        <v>43172.773344907408</v>
      </c>
      <c r="F555" s="465">
        <v>43172.773344907408</v>
      </c>
      <c r="G555" s="464">
        <v>0.7729166666666667</v>
      </c>
      <c r="H555" t="s">
        <v>129</v>
      </c>
      <c r="I555" t="s">
        <v>129</v>
      </c>
      <c r="J555" t="s">
        <v>129</v>
      </c>
      <c r="K555">
        <v>2.3666666666666663</v>
      </c>
      <c r="M555">
        <v>2</v>
      </c>
      <c r="N555">
        <v>0.36666666666666625</v>
      </c>
      <c r="AF555">
        <f t="shared" si="31"/>
        <v>0</v>
      </c>
      <c r="AG555">
        <f t="shared" si="32"/>
        <v>0</v>
      </c>
      <c r="AH555">
        <f t="shared" si="33"/>
        <v>0</v>
      </c>
      <c r="AI555">
        <f t="shared" si="34"/>
        <v>0</v>
      </c>
      <c r="AJ555">
        <f t="shared" si="35"/>
        <v>1</v>
      </c>
      <c r="AK555">
        <f t="shared" si="36"/>
        <v>0</v>
      </c>
      <c r="AL555">
        <f t="shared" si="37"/>
        <v>0</v>
      </c>
    </row>
    <row r="556" spans="1:38">
      <c r="A556">
        <v>8832</v>
      </c>
      <c r="B556" t="s">
        <v>71</v>
      </c>
      <c r="C556" t="s">
        <v>72</v>
      </c>
      <c r="D556" t="s">
        <v>8</v>
      </c>
      <c r="E556" s="1">
        <v>43172.872094907405</v>
      </c>
      <c r="F556" s="465">
        <v>43172.872094907405</v>
      </c>
      <c r="G556" s="464">
        <v>0.87152777777777779</v>
      </c>
      <c r="H556" t="s">
        <v>129</v>
      </c>
      <c r="I556" t="s">
        <v>129</v>
      </c>
      <c r="J556" t="s">
        <v>129</v>
      </c>
      <c r="AF556">
        <f t="shared" si="31"/>
        <v>0</v>
      </c>
      <c r="AG556">
        <f t="shared" si="32"/>
        <v>0</v>
      </c>
      <c r="AH556">
        <f t="shared" si="33"/>
        <v>0</v>
      </c>
      <c r="AI556">
        <f t="shared" si="34"/>
        <v>1</v>
      </c>
      <c r="AJ556">
        <f t="shared" si="35"/>
        <v>1</v>
      </c>
      <c r="AK556">
        <f t="shared" si="36"/>
        <v>1</v>
      </c>
      <c r="AL556">
        <f t="shared" si="37"/>
        <v>1</v>
      </c>
    </row>
    <row r="557" spans="1:38">
      <c r="A557">
        <v>8838</v>
      </c>
      <c r="B557" t="s">
        <v>72</v>
      </c>
      <c r="C557" t="s">
        <v>72</v>
      </c>
      <c r="D557" t="s">
        <v>6</v>
      </c>
      <c r="E557" s="1">
        <v>43173.363634259258</v>
      </c>
      <c r="F557" s="465">
        <v>43173.363634259258</v>
      </c>
      <c r="G557" s="464">
        <v>0.36319444444444443</v>
      </c>
      <c r="H557">
        <v>9.783333333333335</v>
      </c>
      <c r="I557">
        <v>8</v>
      </c>
      <c r="J557" t="s">
        <v>129</v>
      </c>
      <c r="AF557">
        <f t="shared" si="31"/>
        <v>0</v>
      </c>
      <c r="AG557">
        <f t="shared" si="32"/>
        <v>0</v>
      </c>
      <c r="AH557">
        <f t="shared" si="33"/>
        <v>0</v>
      </c>
      <c r="AI557">
        <f t="shared" si="34"/>
        <v>1</v>
      </c>
      <c r="AJ557">
        <f t="shared" si="35"/>
        <v>1</v>
      </c>
      <c r="AK557">
        <f t="shared" si="36"/>
        <v>1</v>
      </c>
      <c r="AL557">
        <f t="shared" si="37"/>
        <v>1</v>
      </c>
    </row>
    <row r="558" spans="1:38">
      <c r="A558">
        <v>8821</v>
      </c>
      <c r="B558" t="s">
        <v>72</v>
      </c>
      <c r="C558" t="s">
        <v>72</v>
      </c>
      <c r="D558" t="s">
        <v>5</v>
      </c>
      <c r="E558" s="1">
        <v>43173.771215277775</v>
      </c>
      <c r="F558" s="465">
        <v>43173.771215277775</v>
      </c>
      <c r="G558" s="464">
        <v>0.77083333333333337</v>
      </c>
      <c r="H558" t="s">
        <v>129</v>
      </c>
      <c r="I558" t="s">
        <v>129</v>
      </c>
      <c r="J558" t="s">
        <v>129</v>
      </c>
      <c r="AF558">
        <f t="shared" si="31"/>
        <v>0</v>
      </c>
      <c r="AG558">
        <f t="shared" si="32"/>
        <v>0</v>
      </c>
      <c r="AH558">
        <f t="shared" si="33"/>
        <v>0</v>
      </c>
      <c r="AI558">
        <f t="shared" si="34"/>
        <v>1</v>
      </c>
      <c r="AJ558">
        <f t="shared" si="35"/>
        <v>1</v>
      </c>
      <c r="AK558">
        <f t="shared" si="36"/>
        <v>1</v>
      </c>
      <c r="AL558">
        <f t="shared" si="37"/>
        <v>1</v>
      </c>
    </row>
    <row r="559" spans="1:38">
      <c r="A559">
        <v>8822</v>
      </c>
      <c r="B559" t="s">
        <v>72</v>
      </c>
      <c r="C559" t="s">
        <v>72</v>
      </c>
      <c r="D559" t="s">
        <v>7</v>
      </c>
      <c r="E559" s="1">
        <v>43173.771261574075</v>
      </c>
      <c r="F559" s="465">
        <v>43173.771261574075</v>
      </c>
      <c r="G559" s="464">
        <v>0.77083333333333337</v>
      </c>
      <c r="H559" t="s">
        <v>129</v>
      </c>
      <c r="I559" t="s">
        <v>129</v>
      </c>
      <c r="J559" t="s">
        <v>129</v>
      </c>
      <c r="K559">
        <v>2.1833333333333336</v>
      </c>
      <c r="M559">
        <v>2</v>
      </c>
      <c r="N559">
        <v>0.18333333333333357</v>
      </c>
      <c r="AF559">
        <f t="shared" si="31"/>
        <v>0</v>
      </c>
      <c r="AG559">
        <f t="shared" si="32"/>
        <v>0</v>
      </c>
      <c r="AH559">
        <f t="shared" si="33"/>
        <v>0</v>
      </c>
      <c r="AI559">
        <f t="shared" si="34"/>
        <v>0</v>
      </c>
      <c r="AJ559">
        <f t="shared" si="35"/>
        <v>1</v>
      </c>
      <c r="AK559">
        <f t="shared" si="36"/>
        <v>0</v>
      </c>
      <c r="AL559">
        <f t="shared" si="37"/>
        <v>0</v>
      </c>
    </row>
    <row r="560" spans="1:38">
      <c r="A560">
        <v>8867</v>
      </c>
      <c r="B560" t="s">
        <v>71</v>
      </c>
      <c r="C560" t="s">
        <v>72</v>
      </c>
      <c r="D560" t="s">
        <v>8</v>
      </c>
      <c r="E560" s="1">
        <v>43173.862118055556</v>
      </c>
      <c r="F560" s="465">
        <v>43173.862118055556</v>
      </c>
      <c r="G560" s="464">
        <v>0.8618055555555556</v>
      </c>
      <c r="H560" t="s">
        <v>129</v>
      </c>
      <c r="I560" t="s">
        <v>129</v>
      </c>
      <c r="J560" t="s">
        <v>129</v>
      </c>
      <c r="AF560">
        <f t="shared" si="31"/>
        <v>0</v>
      </c>
      <c r="AG560">
        <f t="shared" si="32"/>
        <v>0</v>
      </c>
      <c r="AH560">
        <f t="shared" si="33"/>
        <v>0</v>
      </c>
      <c r="AI560">
        <f t="shared" si="34"/>
        <v>1</v>
      </c>
      <c r="AJ560">
        <f t="shared" si="35"/>
        <v>1</v>
      </c>
      <c r="AK560">
        <f t="shared" si="36"/>
        <v>1</v>
      </c>
      <c r="AL560">
        <f t="shared" si="37"/>
        <v>1</v>
      </c>
    </row>
    <row r="561" spans="1:38">
      <c r="A561">
        <v>8872</v>
      </c>
      <c r="B561" t="s">
        <v>71</v>
      </c>
      <c r="C561" t="s">
        <v>72</v>
      </c>
      <c r="D561" t="s">
        <v>6</v>
      </c>
      <c r="E561" s="1">
        <v>43174.363125000003</v>
      </c>
      <c r="F561" s="465">
        <v>43174.363125000003</v>
      </c>
      <c r="G561" s="464">
        <v>0.36249999999999999</v>
      </c>
      <c r="H561">
        <v>9.8000000000000007</v>
      </c>
      <c r="I561">
        <v>8</v>
      </c>
      <c r="J561" t="s">
        <v>129</v>
      </c>
      <c r="AF561">
        <f t="shared" si="31"/>
        <v>0</v>
      </c>
      <c r="AG561">
        <f t="shared" si="32"/>
        <v>0</v>
      </c>
      <c r="AH561">
        <f t="shared" si="33"/>
        <v>0</v>
      </c>
      <c r="AI561">
        <f t="shared" si="34"/>
        <v>1</v>
      </c>
      <c r="AJ561">
        <f t="shared" si="35"/>
        <v>1</v>
      </c>
      <c r="AK561">
        <f t="shared" si="36"/>
        <v>1</v>
      </c>
      <c r="AL561">
        <f t="shared" si="37"/>
        <v>1</v>
      </c>
    </row>
    <row r="562" spans="1:38">
      <c r="A562">
        <v>8889</v>
      </c>
      <c r="B562" t="s">
        <v>72</v>
      </c>
      <c r="C562" t="s">
        <v>72</v>
      </c>
      <c r="D562" t="s">
        <v>5</v>
      </c>
      <c r="E562" s="1">
        <v>43174.771412037036</v>
      </c>
      <c r="F562" s="465">
        <v>43174.771412037036</v>
      </c>
      <c r="G562" s="464">
        <v>0.77083333333333337</v>
      </c>
      <c r="H562" t="s">
        <v>129</v>
      </c>
      <c r="I562" t="s">
        <v>129</v>
      </c>
      <c r="J562" t="s">
        <v>129</v>
      </c>
      <c r="AF562">
        <f t="shared" si="31"/>
        <v>0</v>
      </c>
      <c r="AG562">
        <f t="shared" si="32"/>
        <v>0</v>
      </c>
      <c r="AH562">
        <f t="shared" si="33"/>
        <v>0</v>
      </c>
      <c r="AI562">
        <f t="shared" si="34"/>
        <v>1</v>
      </c>
      <c r="AJ562">
        <f t="shared" si="35"/>
        <v>1</v>
      </c>
      <c r="AK562">
        <f t="shared" si="36"/>
        <v>1</v>
      </c>
      <c r="AL562">
        <f t="shared" si="37"/>
        <v>1</v>
      </c>
    </row>
    <row r="563" spans="1:38">
      <c r="A563">
        <v>8890</v>
      </c>
      <c r="B563" t="s">
        <v>72</v>
      </c>
      <c r="C563" t="s">
        <v>72</v>
      </c>
      <c r="D563" t="s">
        <v>7</v>
      </c>
      <c r="E563" s="1">
        <v>43174.771469907406</v>
      </c>
      <c r="F563" s="465">
        <v>43174.771469907406</v>
      </c>
      <c r="G563" s="464">
        <v>0.77083333333333337</v>
      </c>
      <c r="H563" t="s">
        <v>129</v>
      </c>
      <c r="I563" t="s">
        <v>129</v>
      </c>
      <c r="J563" t="s">
        <v>129</v>
      </c>
      <c r="K563">
        <v>2.2333333333333334</v>
      </c>
      <c r="M563">
        <v>2</v>
      </c>
      <c r="N563">
        <v>0.23333333333333339</v>
      </c>
      <c r="AF563">
        <f t="shared" si="31"/>
        <v>0</v>
      </c>
      <c r="AG563">
        <f t="shared" si="32"/>
        <v>0</v>
      </c>
      <c r="AH563">
        <f t="shared" si="33"/>
        <v>0</v>
      </c>
      <c r="AI563">
        <f t="shared" si="34"/>
        <v>0</v>
      </c>
      <c r="AJ563">
        <f t="shared" si="35"/>
        <v>1</v>
      </c>
      <c r="AK563">
        <f t="shared" si="36"/>
        <v>0</v>
      </c>
      <c r="AL563">
        <f t="shared" si="37"/>
        <v>0</v>
      </c>
    </row>
    <row r="564" spans="1:38">
      <c r="A564">
        <v>8903</v>
      </c>
      <c r="B564" t="s">
        <v>71</v>
      </c>
      <c r="C564" t="s">
        <v>72</v>
      </c>
      <c r="D564" t="s">
        <v>8</v>
      </c>
      <c r="E564" s="1">
        <v>43174.864120370374</v>
      </c>
      <c r="F564" s="465">
        <v>43174.864120370374</v>
      </c>
      <c r="G564" s="464">
        <v>0.86388888888888893</v>
      </c>
      <c r="H564" t="s">
        <v>129</v>
      </c>
      <c r="I564" t="s">
        <v>129</v>
      </c>
      <c r="J564" t="s">
        <v>129</v>
      </c>
      <c r="AF564">
        <f t="shared" si="31"/>
        <v>0</v>
      </c>
      <c r="AG564">
        <f t="shared" si="32"/>
        <v>0</v>
      </c>
      <c r="AH564">
        <f t="shared" si="33"/>
        <v>0</v>
      </c>
      <c r="AI564">
        <f t="shared" si="34"/>
        <v>1</v>
      </c>
      <c r="AJ564">
        <f t="shared" si="35"/>
        <v>1</v>
      </c>
      <c r="AK564">
        <f t="shared" si="36"/>
        <v>1</v>
      </c>
      <c r="AL564">
        <f t="shared" si="37"/>
        <v>1</v>
      </c>
    </row>
    <row r="565" spans="1:38">
      <c r="A565">
        <v>8910</v>
      </c>
      <c r="B565" t="s">
        <v>72</v>
      </c>
      <c r="C565" t="s">
        <v>72</v>
      </c>
      <c r="D565" t="s">
        <v>6</v>
      </c>
      <c r="E565" s="1">
        <v>43175.363020833334</v>
      </c>
      <c r="F565" s="465">
        <v>43175.363020833334</v>
      </c>
      <c r="G565" s="464">
        <v>0.36249999999999999</v>
      </c>
      <c r="H565">
        <v>9.7333333333333343</v>
      </c>
      <c r="I565">
        <v>8</v>
      </c>
      <c r="J565" t="s">
        <v>129</v>
      </c>
      <c r="AF565">
        <f t="shared" si="31"/>
        <v>0</v>
      </c>
      <c r="AG565">
        <f t="shared" si="32"/>
        <v>0</v>
      </c>
      <c r="AH565">
        <f t="shared" si="33"/>
        <v>0</v>
      </c>
      <c r="AI565">
        <f t="shared" si="34"/>
        <v>1</v>
      </c>
      <c r="AJ565">
        <f t="shared" si="35"/>
        <v>1</v>
      </c>
      <c r="AK565">
        <f t="shared" si="36"/>
        <v>1</v>
      </c>
      <c r="AL565">
        <f t="shared" si="37"/>
        <v>1</v>
      </c>
    </row>
    <row r="566" spans="1:38">
      <c r="A566">
        <v>8920</v>
      </c>
      <c r="B566" t="s">
        <v>72</v>
      </c>
      <c r="C566" t="s">
        <v>72</v>
      </c>
      <c r="D566" t="s">
        <v>5</v>
      </c>
      <c r="E566" s="1">
        <v>43175.768587962964</v>
      </c>
      <c r="F566" s="465">
        <v>43175.768587962964</v>
      </c>
      <c r="G566" s="464">
        <v>0.7680555555555556</v>
      </c>
      <c r="H566" t="s">
        <v>129</v>
      </c>
      <c r="I566" t="s">
        <v>129</v>
      </c>
      <c r="J566" t="s">
        <v>129</v>
      </c>
      <c r="AF566">
        <f t="shared" si="31"/>
        <v>0</v>
      </c>
      <c r="AG566">
        <f t="shared" si="32"/>
        <v>0</v>
      </c>
      <c r="AH566">
        <f t="shared" si="33"/>
        <v>0</v>
      </c>
      <c r="AI566">
        <f t="shared" si="34"/>
        <v>1</v>
      </c>
      <c r="AJ566">
        <f t="shared" si="35"/>
        <v>1</v>
      </c>
      <c r="AK566">
        <f t="shared" si="36"/>
        <v>1</v>
      </c>
      <c r="AL566">
        <f t="shared" si="37"/>
        <v>1</v>
      </c>
    </row>
    <row r="567" spans="1:38">
      <c r="A567">
        <v>8921</v>
      </c>
      <c r="B567" t="s">
        <v>72</v>
      </c>
      <c r="C567" t="s">
        <v>72</v>
      </c>
      <c r="D567" t="s">
        <v>7</v>
      </c>
      <c r="E567" s="1">
        <v>43175.768645833334</v>
      </c>
      <c r="F567" s="465">
        <v>43175.768645833334</v>
      </c>
      <c r="G567" s="464">
        <v>0.7680555555555556</v>
      </c>
      <c r="H567" t="s">
        <v>129</v>
      </c>
      <c r="I567" t="s">
        <v>129</v>
      </c>
      <c r="J567" t="s">
        <v>129</v>
      </c>
      <c r="K567">
        <v>3.2999999999999989</v>
      </c>
      <c r="M567">
        <v>2</v>
      </c>
      <c r="N567">
        <v>1.2999999999999989</v>
      </c>
      <c r="AF567">
        <f t="shared" si="31"/>
        <v>0</v>
      </c>
      <c r="AG567">
        <f t="shared" si="32"/>
        <v>0</v>
      </c>
      <c r="AH567">
        <f t="shared" si="33"/>
        <v>0</v>
      </c>
      <c r="AI567">
        <f t="shared" si="34"/>
        <v>0</v>
      </c>
      <c r="AJ567">
        <f t="shared" si="35"/>
        <v>1</v>
      </c>
      <c r="AK567">
        <f t="shared" si="36"/>
        <v>0</v>
      </c>
      <c r="AL567">
        <f t="shared" si="37"/>
        <v>0</v>
      </c>
    </row>
    <row r="568" spans="1:38">
      <c r="A568">
        <v>8938</v>
      </c>
      <c r="B568" t="s">
        <v>71</v>
      </c>
      <c r="C568" t="s">
        <v>72</v>
      </c>
      <c r="D568" t="s">
        <v>8</v>
      </c>
      <c r="E568" s="1">
        <v>43175.905868055554</v>
      </c>
      <c r="F568" s="465">
        <v>43175.905868055554</v>
      </c>
      <c r="G568" s="464">
        <v>0.90555555555555556</v>
      </c>
      <c r="H568" t="s">
        <v>129</v>
      </c>
      <c r="I568" t="s">
        <v>129</v>
      </c>
      <c r="J568" t="s">
        <v>129</v>
      </c>
      <c r="AF568">
        <f t="shared" si="31"/>
        <v>0</v>
      </c>
      <c r="AG568">
        <f t="shared" si="32"/>
        <v>0</v>
      </c>
      <c r="AH568">
        <f t="shared" si="33"/>
        <v>0</v>
      </c>
      <c r="AI568">
        <f t="shared" si="34"/>
        <v>1</v>
      </c>
      <c r="AJ568">
        <f t="shared" si="35"/>
        <v>1</v>
      </c>
      <c r="AK568">
        <f t="shared" si="36"/>
        <v>1</v>
      </c>
      <c r="AL568">
        <f t="shared" si="37"/>
        <v>1</v>
      </c>
    </row>
    <row r="569" spans="1:38">
      <c r="A569">
        <v>8942</v>
      </c>
      <c r="B569" t="s">
        <v>71</v>
      </c>
      <c r="C569" t="s">
        <v>72</v>
      </c>
      <c r="D569" t="s">
        <v>7</v>
      </c>
      <c r="E569" s="1">
        <v>43176.417395833334</v>
      </c>
      <c r="F569" s="465">
        <v>43176.417395833334</v>
      </c>
      <c r="G569" s="464">
        <v>0.41736111111111113</v>
      </c>
      <c r="H569" t="s">
        <v>129</v>
      </c>
      <c r="I569" t="s">
        <v>129</v>
      </c>
      <c r="J569" t="s">
        <v>129</v>
      </c>
      <c r="K569">
        <v>3.5833333333333326</v>
      </c>
      <c r="M569">
        <v>2</v>
      </c>
      <c r="N569">
        <v>4.4666666666666668</v>
      </c>
      <c r="AF569">
        <f t="shared" si="31"/>
        <v>0</v>
      </c>
      <c r="AG569">
        <f t="shared" si="32"/>
        <v>0</v>
      </c>
      <c r="AH569">
        <f t="shared" si="33"/>
        <v>0</v>
      </c>
      <c r="AI569">
        <f t="shared" si="34"/>
        <v>0</v>
      </c>
      <c r="AJ569">
        <f t="shared" si="35"/>
        <v>1</v>
      </c>
      <c r="AK569">
        <f t="shared" si="36"/>
        <v>0</v>
      </c>
      <c r="AL569">
        <f t="shared" si="37"/>
        <v>0</v>
      </c>
    </row>
    <row r="570" spans="1:38">
      <c r="A570">
        <v>8956</v>
      </c>
      <c r="B570" t="s">
        <v>71</v>
      </c>
      <c r="C570" t="s">
        <v>72</v>
      </c>
      <c r="D570" t="s">
        <v>8</v>
      </c>
      <c r="E570" s="1">
        <v>43176.567013888889</v>
      </c>
      <c r="F570" s="465">
        <v>43176.567013888889</v>
      </c>
      <c r="G570" s="464">
        <v>0.56666666666666665</v>
      </c>
      <c r="H570" t="s">
        <v>129</v>
      </c>
      <c r="I570" t="s">
        <v>129</v>
      </c>
      <c r="J570" t="s">
        <v>129</v>
      </c>
      <c r="AF570">
        <f t="shared" si="31"/>
        <v>0</v>
      </c>
      <c r="AG570">
        <f t="shared" si="32"/>
        <v>0</v>
      </c>
      <c r="AH570">
        <f t="shared" si="33"/>
        <v>0</v>
      </c>
      <c r="AI570">
        <f t="shared" si="34"/>
        <v>1</v>
      </c>
      <c r="AJ570">
        <f t="shared" si="35"/>
        <v>1</v>
      </c>
      <c r="AK570">
        <f t="shared" si="36"/>
        <v>1</v>
      </c>
      <c r="AL570">
        <f t="shared" si="37"/>
        <v>1</v>
      </c>
    </row>
    <row r="571" spans="1:38">
      <c r="A571">
        <v>8958</v>
      </c>
      <c r="B571" t="s">
        <v>71</v>
      </c>
      <c r="C571" t="s">
        <v>72</v>
      </c>
      <c r="D571" t="s">
        <v>7</v>
      </c>
      <c r="E571" s="1">
        <v>43176.573819444442</v>
      </c>
      <c r="F571" s="465">
        <v>43176.573819444442</v>
      </c>
      <c r="G571" s="464">
        <v>0.57361111111111118</v>
      </c>
      <c r="H571" t="s">
        <v>129</v>
      </c>
      <c r="I571" t="s">
        <v>129</v>
      </c>
      <c r="J571" t="s">
        <v>129</v>
      </c>
      <c r="K571">
        <v>2.8833333333333337</v>
      </c>
      <c r="AF571">
        <f t="shared" si="31"/>
        <v>0</v>
      </c>
      <c r="AG571">
        <f t="shared" si="32"/>
        <v>0</v>
      </c>
      <c r="AH571">
        <f t="shared" si="33"/>
        <v>0</v>
      </c>
      <c r="AI571">
        <f t="shared" si="34"/>
        <v>0</v>
      </c>
      <c r="AJ571">
        <f t="shared" si="35"/>
        <v>1</v>
      </c>
      <c r="AK571">
        <f t="shared" si="36"/>
        <v>1</v>
      </c>
      <c r="AL571">
        <f t="shared" si="37"/>
        <v>1</v>
      </c>
    </row>
    <row r="572" spans="1:38">
      <c r="A572">
        <v>8965</v>
      </c>
      <c r="B572" t="s">
        <v>72</v>
      </c>
      <c r="C572" t="s">
        <v>72</v>
      </c>
      <c r="D572" t="s">
        <v>8</v>
      </c>
      <c r="E572" s="1">
        <v>43176.693854166668</v>
      </c>
      <c r="F572" s="465">
        <v>43176.693854166668</v>
      </c>
      <c r="G572" s="464">
        <v>0.69374999999999998</v>
      </c>
      <c r="H572" t="s">
        <v>129</v>
      </c>
      <c r="I572" t="s">
        <v>129</v>
      </c>
      <c r="J572" t="s">
        <v>129</v>
      </c>
      <c r="AF572">
        <f t="shared" ref="AF538:AF601" si="38">IF(W572=H572,1,0)</f>
        <v>0</v>
      </c>
      <c r="AG572">
        <f t="shared" ref="AG538:AG601" si="39">IF(X572=I572,1,0)</f>
        <v>0</v>
      </c>
      <c r="AH572">
        <f t="shared" ref="AH538:AH601" si="40">IF(Y572=J572,1,0)</f>
        <v>0</v>
      </c>
      <c r="AI572">
        <f t="shared" ref="AI538:AI601" si="41">IF(Z572=K572,1,0)</f>
        <v>1</v>
      </c>
      <c r="AJ572">
        <f t="shared" ref="AJ538:AJ601" si="42">IF(AA572=L572,1,0)</f>
        <v>1</v>
      </c>
      <c r="AK572">
        <f t="shared" ref="AK538:AK601" si="43">IF(AB572=M572,1,0)</f>
        <v>1</v>
      </c>
    </row>
    <row r="573" spans="1:38">
      <c r="A573">
        <v>8975</v>
      </c>
      <c r="B573" t="s">
        <v>72</v>
      </c>
      <c r="C573" t="s">
        <v>72</v>
      </c>
      <c r="D573" t="s">
        <v>6</v>
      </c>
      <c r="E573" s="1">
        <v>43178.364583333336</v>
      </c>
      <c r="F573" s="465">
        <v>43178.364583333336</v>
      </c>
      <c r="G573" s="464">
        <v>0.36458333333333331</v>
      </c>
      <c r="H573">
        <v>9.6833333333333353</v>
      </c>
      <c r="I573">
        <v>8</v>
      </c>
      <c r="J573" t="s">
        <v>129</v>
      </c>
      <c r="AF573">
        <f t="shared" si="38"/>
        <v>0</v>
      </c>
      <c r="AG573">
        <f t="shared" si="39"/>
        <v>0</v>
      </c>
      <c r="AH573">
        <f t="shared" si="40"/>
        <v>0</v>
      </c>
      <c r="AI573">
        <f t="shared" si="41"/>
        <v>1</v>
      </c>
      <c r="AJ573">
        <f t="shared" si="42"/>
        <v>1</v>
      </c>
      <c r="AK573">
        <f t="shared" si="43"/>
        <v>1</v>
      </c>
    </row>
    <row r="574" spans="1:38">
      <c r="A574">
        <v>8989</v>
      </c>
      <c r="B574" t="s">
        <v>72</v>
      </c>
      <c r="C574" t="s">
        <v>72</v>
      </c>
      <c r="D574" t="s">
        <v>5</v>
      </c>
      <c r="E574" s="1">
        <v>43178.768275462964</v>
      </c>
      <c r="F574" s="465">
        <v>43178.768275462964</v>
      </c>
      <c r="G574" s="464">
        <v>0.7680555555555556</v>
      </c>
      <c r="H574" t="s">
        <v>129</v>
      </c>
      <c r="I574" t="s">
        <v>129</v>
      </c>
      <c r="J574" t="s">
        <v>129</v>
      </c>
      <c r="AF574">
        <f t="shared" si="38"/>
        <v>0</v>
      </c>
      <c r="AG574">
        <f t="shared" si="39"/>
        <v>0</v>
      </c>
      <c r="AH574">
        <f t="shared" si="40"/>
        <v>0</v>
      </c>
      <c r="AI574">
        <f t="shared" si="41"/>
        <v>1</v>
      </c>
      <c r="AJ574">
        <f t="shared" si="42"/>
        <v>1</v>
      </c>
      <c r="AK574">
        <f t="shared" si="43"/>
        <v>1</v>
      </c>
    </row>
    <row r="575" spans="1:38">
      <c r="A575">
        <v>8990</v>
      </c>
      <c r="B575" t="s">
        <v>72</v>
      </c>
      <c r="C575" t="s">
        <v>72</v>
      </c>
      <c r="D575" t="s">
        <v>7</v>
      </c>
      <c r="E575" s="1">
        <v>43178.768321759257</v>
      </c>
      <c r="F575" s="465">
        <v>43178.768321759257</v>
      </c>
      <c r="G575" s="464">
        <v>0.7680555555555556</v>
      </c>
      <c r="H575" t="s">
        <v>129</v>
      </c>
      <c r="I575" t="s">
        <v>129</v>
      </c>
      <c r="J575" t="s">
        <v>129</v>
      </c>
      <c r="K575">
        <v>2.3666666666666663</v>
      </c>
      <c r="M575">
        <v>2</v>
      </c>
      <c r="N575">
        <v>0.36666666666666625</v>
      </c>
      <c r="AF575">
        <f t="shared" si="38"/>
        <v>0</v>
      </c>
      <c r="AG575">
        <f t="shared" si="39"/>
        <v>0</v>
      </c>
      <c r="AH575">
        <f t="shared" si="40"/>
        <v>0</v>
      </c>
      <c r="AI575">
        <f t="shared" si="41"/>
        <v>0</v>
      </c>
      <c r="AJ575">
        <f t="shared" si="42"/>
        <v>1</v>
      </c>
      <c r="AK575">
        <f t="shared" si="43"/>
        <v>0</v>
      </c>
    </row>
    <row r="576" spans="1:38">
      <c r="A576">
        <v>9003</v>
      </c>
      <c r="B576" t="s">
        <v>71</v>
      </c>
      <c r="C576" t="s">
        <v>72</v>
      </c>
      <c r="D576" t="s">
        <v>8</v>
      </c>
      <c r="E576" s="1">
        <v>43178.8672337963</v>
      </c>
      <c r="F576" s="465">
        <v>43178.8672337963</v>
      </c>
      <c r="G576" s="464">
        <v>0.8666666666666667</v>
      </c>
      <c r="H576" t="s">
        <v>129</v>
      </c>
      <c r="I576" t="s">
        <v>129</v>
      </c>
      <c r="J576" t="s">
        <v>129</v>
      </c>
      <c r="AF576">
        <f t="shared" si="38"/>
        <v>0</v>
      </c>
      <c r="AG576">
        <f t="shared" si="39"/>
        <v>0</v>
      </c>
      <c r="AH576">
        <f t="shared" si="40"/>
        <v>0</v>
      </c>
      <c r="AI576">
        <f t="shared" si="41"/>
        <v>1</v>
      </c>
      <c r="AJ576">
        <f t="shared" si="42"/>
        <v>1</v>
      </c>
      <c r="AK576">
        <f t="shared" si="43"/>
        <v>1</v>
      </c>
    </row>
    <row r="577" spans="1:37">
      <c r="A577">
        <v>9012</v>
      </c>
      <c r="B577" t="s">
        <v>72</v>
      </c>
      <c r="C577" t="s">
        <v>72</v>
      </c>
      <c r="D577" t="s">
        <v>6</v>
      </c>
      <c r="E577" s="1">
        <v>43179.366030092591</v>
      </c>
      <c r="F577" s="465">
        <v>43179.366030092591</v>
      </c>
      <c r="G577" s="464">
        <v>0.3659722222222222</v>
      </c>
      <c r="H577">
        <v>9.6833333333333353</v>
      </c>
      <c r="I577">
        <v>8</v>
      </c>
      <c r="J577" t="s">
        <v>129</v>
      </c>
      <c r="AF577">
        <f t="shared" si="38"/>
        <v>0</v>
      </c>
      <c r="AG577">
        <f t="shared" si="39"/>
        <v>0</v>
      </c>
      <c r="AH577">
        <f t="shared" si="40"/>
        <v>0</v>
      </c>
      <c r="AI577">
        <f t="shared" si="41"/>
        <v>1</v>
      </c>
      <c r="AJ577">
        <f t="shared" si="42"/>
        <v>1</v>
      </c>
      <c r="AK577">
        <f t="shared" si="43"/>
        <v>1</v>
      </c>
    </row>
    <row r="578" spans="1:37">
      <c r="A578">
        <v>9025</v>
      </c>
      <c r="B578" t="s">
        <v>72</v>
      </c>
      <c r="C578" t="s">
        <v>72</v>
      </c>
      <c r="D578" t="s">
        <v>5</v>
      </c>
      <c r="E578" s="1">
        <v>43179.76971064815</v>
      </c>
      <c r="F578" s="465">
        <v>43179.76971064815</v>
      </c>
      <c r="G578" s="464">
        <v>0.76944444444444438</v>
      </c>
      <c r="H578" t="s">
        <v>129</v>
      </c>
      <c r="I578" t="s">
        <v>129</v>
      </c>
      <c r="J578" t="s">
        <v>129</v>
      </c>
      <c r="AF578">
        <f t="shared" si="38"/>
        <v>0</v>
      </c>
      <c r="AG578">
        <f t="shared" si="39"/>
        <v>0</v>
      </c>
      <c r="AH578">
        <f t="shared" si="40"/>
        <v>0</v>
      </c>
      <c r="AI578">
        <f t="shared" si="41"/>
        <v>1</v>
      </c>
      <c r="AJ578">
        <f t="shared" si="42"/>
        <v>1</v>
      </c>
      <c r="AK578">
        <f t="shared" si="43"/>
        <v>1</v>
      </c>
    </row>
    <row r="579" spans="1:37">
      <c r="A579">
        <v>9026</v>
      </c>
      <c r="B579" t="s">
        <v>72</v>
      </c>
      <c r="C579" t="s">
        <v>72</v>
      </c>
      <c r="D579" t="s">
        <v>7</v>
      </c>
      <c r="E579" s="1">
        <v>43179.769756944443</v>
      </c>
      <c r="F579" s="465">
        <v>43179.769756944443</v>
      </c>
      <c r="G579" s="464">
        <v>0.76944444444444438</v>
      </c>
      <c r="H579" t="s">
        <v>129</v>
      </c>
      <c r="I579" t="s">
        <v>129</v>
      </c>
      <c r="J579" t="s">
        <v>129</v>
      </c>
      <c r="K579">
        <v>3.3333333333333215E-2</v>
      </c>
      <c r="M579">
        <v>2</v>
      </c>
      <c r="N579">
        <v>0.25</v>
      </c>
      <c r="AF579">
        <f t="shared" si="38"/>
        <v>0</v>
      </c>
      <c r="AG579">
        <f t="shared" si="39"/>
        <v>0</v>
      </c>
      <c r="AH579">
        <f t="shared" si="40"/>
        <v>0</v>
      </c>
      <c r="AI579">
        <f t="shared" si="41"/>
        <v>0</v>
      </c>
      <c r="AJ579">
        <f t="shared" si="42"/>
        <v>1</v>
      </c>
      <c r="AK579">
        <f t="shared" si="43"/>
        <v>0</v>
      </c>
    </row>
    <row r="580" spans="1:37">
      <c r="A580">
        <v>9030</v>
      </c>
      <c r="B580" t="s">
        <v>72</v>
      </c>
      <c r="C580" t="s">
        <v>72</v>
      </c>
      <c r="D580" t="s">
        <v>8</v>
      </c>
      <c r="E580" s="1">
        <v>43179.771481481483</v>
      </c>
      <c r="F580" s="465">
        <v>43179.771481481483</v>
      </c>
      <c r="G580" s="464">
        <v>0.77083333333333337</v>
      </c>
      <c r="H580" t="s">
        <v>129</v>
      </c>
      <c r="I580" t="s">
        <v>129</v>
      </c>
      <c r="J580" t="s">
        <v>129</v>
      </c>
      <c r="AF580">
        <f t="shared" si="38"/>
        <v>0</v>
      </c>
      <c r="AG580">
        <f t="shared" si="39"/>
        <v>0</v>
      </c>
      <c r="AH580">
        <f t="shared" si="40"/>
        <v>0</v>
      </c>
      <c r="AI580">
        <f t="shared" si="41"/>
        <v>1</v>
      </c>
      <c r="AJ580">
        <f t="shared" si="42"/>
        <v>1</v>
      </c>
      <c r="AK580">
        <f t="shared" si="43"/>
        <v>1</v>
      </c>
    </row>
    <row r="581" spans="1:37">
      <c r="A581">
        <v>9037</v>
      </c>
      <c r="B581" t="s">
        <v>71</v>
      </c>
      <c r="C581" t="s">
        <v>72</v>
      </c>
      <c r="D581" t="s">
        <v>7</v>
      </c>
      <c r="E581" s="1">
        <v>43179.791238425925</v>
      </c>
      <c r="F581" s="465">
        <v>43179.791238425925</v>
      </c>
      <c r="G581" s="464">
        <v>0.7909722222222223</v>
      </c>
      <c r="H581" t="s">
        <v>129</v>
      </c>
      <c r="I581" t="s">
        <v>129</v>
      </c>
      <c r="J581" t="s">
        <v>129</v>
      </c>
      <c r="K581">
        <v>2.2166666666666668</v>
      </c>
      <c r="AF581">
        <f t="shared" si="38"/>
        <v>0</v>
      </c>
      <c r="AG581">
        <f t="shared" si="39"/>
        <v>0</v>
      </c>
      <c r="AH581">
        <f t="shared" si="40"/>
        <v>0</v>
      </c>
      <c r="AI581">
        <f t="shared" si="41"/>
        <v>0</v>
      </c>
      <c r="AJ581">
        <f t="shared" si="42"/>
        <v>1</v>
      </c>
      <c r="AK581">
        <f t="shared" si="43"/>
        <v>1</v>
      </c>
    </row>
    <row r="582" spans="1:37">
      <c r="A582">
        <v>9043</v>
      </c>
      <c r="B582" t="s">
        <v>71</v>
      </c>
      <c r="C582" t="s">
        <v>72</v>
      </c>
      <c r="D582" t="s">
        <v>8</v>
      </c>
      <c r="E582" s="1">
        <v>43179.883935185186</v>
      </c>
      <c r="F582" s="465">
        <v>43179.883935185186</v>
      </c>
      <c r="G582" s="464">
        <v>0.8833333333333333</v>
      </c>
      <c r="H582" t="s">
        <v>129</v>
      </c>
      <c r="I582" t="s">
        <v>129</v>
      </c>
      <c r="J582" t="s">
        <v>129</v>
      </c>
      <c r="AF582">
        <f t="shared" si="38"/>
        <v>0</v>
      </c>
      <c r="AG582">
        <f t="shared" si="39"/>
        <v>0</v>
      </c>
      <c r="AH582">
        <f t="shared" si="40"/>
        <v>0</v>
      </c>
      <c r="AI582">
        <f t="shared" si="41"/>
        <v>1</v>
      </c>
      <c r="AJ582">
        <f t="shared" si="42"/>
        <v>1</v>
      </c>
      <c r="AK582">
        <f t="shared" si="43"/>
        <v>1</v>
      </c>
    </row>
    <row r="583" spans="1:37">
      <c r="A583">
        <v>9047</v>
      </c>
      <c r="B583" t="s">
        <v>72</v>
      </c>
      <c r="C583" t="s">
        <v>72</v>
      </c>
      <c r="D583" t="s">
        <v>6</v>
      </c>
      <c r="E583" s="1">
        <v>43180.364814814813</v>
      </c>
      <c r="F583" s="465">
        <v>43180.364814814813</v>
      </c>
      <c r="G583" s="464">
        <v>0.36458333333333331</v>
      </c>
      <c r="H583">
        <v>9.7500000000000018</v>
      </c>
      <c r="I583">
        <v>8</v>
      </c>
      <c r="J583" t="s">
        <v>129</v>
      </c>
      <c r="AF583">
        <f t="shared" si="38"/>
        <v>0</v>
      </c>
      <c r="AG583">
        <f t="shared" si="39"/>
        <v>0</v>
      </c>
      <c r="AH583">
        <f t="shared" si="40"/>
        <v>0</v>
      </c>
      <c r="AI583">
        <f t="shared" si="41"/>
        <v>1</v>
      </c>
      <c r="AJ583">
        <f t="shared" si="42"/>
        <v>1</v>
      </c>
      <c r="AK583">
        <f t="shared" si="43"/>
        <v>1</v>
      </c>
    </row>
    <row r="584" spans="1:37">
      <c r="A584">
        <v>9064</v>
      </c>
      <c r="B584" t="s">
        <v>72</v>
      </c>
      <c r="C584" t="s">
        <v>72</v>
      </c>
      <c r="D584" t="s">
        <v>5</v>
      </c>
      <c r="E584" s="1">
        <v>43180.770972222221</v>
      </c>
      <c r="F584" s="465">
        <v>43180.770972222221</v>
      </c>
      <c r="G584" s="464">
        <v>0.77083333333333337</v>
      </c>
      <c r="H584" t="s">
        <v>129</v>
      </c>
      <c r="I584" t="s">
        <v>129</v>
      </c>
      <c r="J584" t="s">
        <v>129</v>
      </c>
      <c r="AF584">
        <f t="shared" si="38"/>
        <v>0</v>
      </c>
      <c r="AG584">
        <f t="shared" si="39"/>
        <v>0</v>
      </c>
      <c r="AH584">
        <f t="shared" si="40"/>
        <v>0</v>
      </c>
      <c r="AI584">
        <f t="shared" si="41"/>
        <v>1</v>
      </c>
      <c r="AJ584">
        <f t="shared" si="42"/>
        <v>1</v>
      </c>
      <c r="AK584">
        <f t="shared" si="43"/>
        <v>1</v>
      </c>
    </row>
    <row r="585" spans="1:37">
      <c r="A585">
        <v>9065</v>
      </c>
      <c r="B585" t="s">
        <v>72</v>
      </c>
      <c r="C585" t="s">
        <v>72</v>
      </c>
      <c r="D585" t="s">
        <v>7</v>
      </c>
      <c r="E585" s="1">
        <v>43180.771018518521</v>
      </c>
      <c r="F585" s="465">
        <v>43180.771018518521</v>
      </c>
      <c r="G585" s="464">
        <v>0.77083333333333337</v>
      </c>
      <c r="H585" t="s">
        <v>129</v>
      </c>
      <c r="I585" t="s">
        <v>129</v>
      </c>
      <c r="J585" t="s">
        <v>129</v>
      </c>
      <c r="K585">
        <v>2.1500000000000004</v>
      </c>
      <c r="M585">
        <v>2</v>
      </c>
      <c r="N585">
        <v>0.15000000000000036</v>
      </c>
      <c r="AF585">
        <f t="shared" si="38"/>
        <v>0</v>
      </c>
      <c r="AG585">
        <f t="shared" si="39"/>
        <v>0</v>
      </c>
      <c r="AH585">
        <f t="shared" si="40"/>
        <v>0</v>
      </c>
      <c r="AI585">
        <f t="shared" si="41"/>
        <v>0</v>
      </c>
      <c r="AJ585">
        <f t="shared" si="42"/>
        <v>1</v>
      </c>
      <c r="AK585">
        <f t="shared" si="43"/>
        <v>0</v>
      </c>
    </row>
    <row r="586" spans="1:37">
      <c r="A586">
        <v>9078</v>
      </c>
      <c r="B586" t="s">
        <v>71</v>
      </c>
      <c r="C586" t="s">
        <v>72</v>
      </c>
      <c r="D586" t="s">
        <v>8</v>
      </c>
      <c r="E586" s="1">
        <v>43180.860636574071</v>
      </c>
      <c r="F586" s="465">
        <v>43180.860636574071</v>
      </c>
      <c r="G586" s="464">
        <v>0.86041666666666661</v>
      </c>
      <c r="H586" t="s">
        <v>129</v>
      </c>
      <c r="I586" t="s">
        <v>129</v>
      </c>
      <c r="J586" t="s">
        <v>129</v>
      </c>
      <c r="AF586">
        <f t="shared" si="38"/>
        <v>0</v>
      </c>
      <c r="AG586">
        <f t="shared" si="39"/>
        <v>0</v>
      </c>
      <c r="AH586">
        <f t="shared" si="40"/>
        <v>0</v>
      </c>
      <c r="AI586">
        <f t="shared" si="41"/>
        <v>1</v>
      </c>
      <c r="AJ586">
        <f t="shared" si="42"/>
        <v>1</v>
      </c>
      <c r="AK586">
        <f t="shared" si="43"/>
        <v>1</v>
      </c>
    </row>
    <row r="587" spans="1:37">
      <c r="A587">
        <v>9084</v>
      </c>
      <c r="B587" t="s">
        <v>72</v>
      </c>
      <c r="C587" t="s">
        <v>72</v>
      </c>
      <c r="D587" t="s">
        <v>6</v>
      </c>
      <c r="E587" s="1">
        <v>43181.36414351852</v>
      </c>
      <c r="F587" s="465">
        <v>43181.36414351852</v>
      </c>
      <c r="G587" s="464">
        <v>0.36388888888888887</v>
      </c>
      <c r="H587">
        <v>9.6</v>
      </c>
      <c r="I587">
        <v>8</v>
      </c>
      <c r="J587" t="s">
        <v>129</v>
      </c>
      <c r="AF587">
        <f t="shared" si="38"/>
        <v>0</v>
      </c>
      <c r="AG587">
        <f t="shared" si="39"/>
        <v>0</v>
      </c>
      <c r="AH587">
        <f t="shared" si="40"/>
        <v>0</v>
      </c>
      <c r="AI587">
        <f t="shared" si="41"/>
        <v>1</v>
      </c>
      <c r="AJ587">
        <f t="shared" si="42"/>
        <v>1</v>
      </c>
      <c r="AK587">
        <f t="shared" si="43"/>
        <v>1</v>
      </c>
    </row>
    <row r="588" spans="1:37">
      <c r="A588">
        <v>9096</v>
      </c>
      <c r="B588" t="s">
        <v>72</v>
      </c>
      <c r="C588" t="s">
        <v>72</v>
      </c>
      <c r="D588" t="s">
        <v>5</v>
      </c>
      <c r="E588" s="1">
        <v>43181.764143518521</v>
      </c>
      <c r="F588" s="465">
        <v>43181.764143518521</v>
      </c>
      <c r="G588" s="464">
        <v>0.76388888888888884</v>
      </c>
      <c r="H588" t="s">
        <v>129</v>
      </c>
      <c r="I588" t="s">
        <v>129</v>
      </c>
      <c r="J588" t="s">
        <v>129</v>
      </c>
      <c r="AF588">
        <f t="shared" si="38"/>
        <v>0</v>
      </c>
      <c r="AG588">
        <f t="shared" si="39"/>
        <v>0</v>
      </c>
      <c r="AH588">
        <f t="shared" si="40"/>
        <v>0</v>
      </c>
      <c r="AI588">
        <f t="shared" si="41"/>
        <v>1</v>
      </c>
      <c r="AJ588">
        <f t="shared" si="42"/>
        <v>1</v>
      </c>
      <c r="AK588">
        <f t="shared" si="43"/>
        <v>1</v>
      </c>
    </row>
    <row r="589" spans="1:37">
      <c r="A589">
        <v>9097</v>
      </c>
      <c r="B589" t="s">
        <v>72</v>
      </c>
      <c r="C589" t="s">
        <v>72</v>
      </c>
      <c r="D589" t="s">
        <v>7</v>
      </c>
      <c r="E589" s="1">
        <v>43181.764189814814</v>
      </c>
      <c r="F589" s="465">
        <v>43181.764189814814</v>
      </c>
      <c r="G589" s="464">
        <v>0.76388888888888884</v>
      </c>
      <c r="H589" t="s">
        <v>129</v>
      </c>
      <c r="I589" t="s">
        <v>129</v>
      </c>
      <c r="J589" t="s">
        <v>129</v>
      </c>
      <c r="K589">
        <v>0.76666666666666661</v>
      </c>
      <c r="M589">
        <v>2</v>
      </c>
      <c r="N589">
        <v>1.8666666666666663</v>
      </c>
      <c r="AF589">
        <f t="shared" si="38"/>
        <v>0</v>
      </c>
      <c r="AG589">
        <f t="shared" si="39"/>
        <v>0</v>
      </c>
      <c r="AH589">
        <f t="shared" si="40"/>
        <v>0</v>
      </c>
      <c r="AI589">
        <f t="shared" si="41"/>
        <v>0</v>
      </c>
      <c r="AJ589">
        <f t="shared" si="42"/>
        <v>1</v>
      </c>
      <c r="AK589">
        <f t="shared" si="43"/>
        <v>0</v>
      </c>
    </row>
    <row r="590" spans="1:37">
      <c r="A590">
        <v>9104</v>
      </c>
      <c r="B590" t="s">
        <v>71</v>
      </c>
      <c r="C590" t="s">
        <v>72</v>
      </c>
      <c r="D590" t="s">
        <v>8</v>
      </c>
      <c r="E590" s="1">
        <v>43181.796226851853</v>
      </c>
      <c r="F590" s="465">
        <v>43181.796226851853</v>
      </c>
      <c r="G590" s="464">
        <v>0.79583333333333339</v>
      </c>
      <c r="H590" t="s">
        <v>129</v>
      </c>
      <c r="I590" t="s">
        <v>129</v>
      </c>
      <c r="J590" t="s">
        <v>129</v>
      </c>
      <c r="AF590">
        <f t="shared" si="38"/>
        <v>0</v>
      </c>
      <c r="AG590">
        <f t="shared" si="39"/>
        <v>0</v>
      </c>
      <c r="AH590">
        <f t="shared" si="40"/>
        <v>0</v>
      </c>
      <c r="AI590">
        <f t="shared" si="41"/>
        <v>1</v>
      </c>
      <c r="AJ590">
        <f t="shared" si="42"/>
        <v>1</v>
      </c>
      <c r="AK590">
        <f t="shared" si="43"/>
        <v>1</v>
      </c>
    </row>
    <row r="591" spans="1:37">
      <c r="A591">
        <v>9097</v>
      </c>
      <c r="B591" t="s">
        <v>72</v>
      </c>
      <c r="C591" t="s">
        <v>72</v>
      </c>
      <c r="D591" t="s">
        <v>7</v>
      </c>
      <c r="E591" s="1">
        <v>43181.805856481478</v>
      </c>
      <c r="F591" s="465">
        <v>43181.805856481478</v>
      </c>
      <c r="G591" s="464">
        <v>0.80555555555555547</v>
      </c>
      <c r="H591" t="s">
        <v>129</v>
      </c>
      <c r="I591" t="s">
        <v>129</v>
      </c>
      <c r="J591" t="s">
        <v>129</v>
      </c>
      <c r="K591">
        <v>3.0999999999999996</v>
      </c>
      <c r="AF591">
        <f t="shared" si="38"/>
        <v>0</v>
      </c>
      <c r="AG591">
        <f t="shared" si="39"/>
        <v>0</v>
      </c>
      <c r="AH591">
        <f t="shared" si="40"/>
        <v>0</v>
      </c>
      <c r="AI591">
        <f t="shared" si="41"/>
        <v>0</v>
      </c>
      <c r="AJ591">
        <f t="shared" si="42"/>
        <v>1</v>
      </c>
      <c r="AK591">
        <f t="shared" si="43"/>
        <v>1</v>
      </c>
    </row>
    <row r="592" spans="1:37">
      <c r="A592">
        <v>9113</v>
      </c>
      <c r="B592" t="s">
        <v>71</v>
      </c>
      <c r="C592" t="s">
        <v>72</v>
      </c>
      <c r="D592" t="s">
        <v>8</v>
      </c>
      <c r="E592" s="1">
        <v>43181.934814814813</v>
      </c>
      <c r="F592" s="465">
        <v>43181.934814814813</v>
      </c>
      <c r="G592" s="464">
        <v>0.93472222222222223</v>
      </c>
      <c r="H592" t="s">
        <v>129</v>
      </c>
      <c r="I592" t="s">
        <v>129</v>
      </c>
      <c r="J592" t="s">
        <v>129</v>
      </c>
      <c r="AF592">
        <f t="shared" si="38"/>
        <v>0</v>
      </c>
      <c r="AG592">
        <f t="shared" si="39"/>
        <v>0</v>
      </c>
      <c r="AH592">
        <f t="shared" si="40"/>
        <v>0</v>
      </c>
      <c r="AI592">
        <f t="shared" si="41"/>
        <v>1</v>
      </c>
      <c r="AJ592">
        <f t="shared" si="42"/>
        <v>1</v>
      </c>
      <c r="AK592">
        <f t="shared" si="43"/>
        <v>1</v>
      </c>
    </row>
    <row r="593" spans="1:37">
      <c r="A593">
        <v>9121</v>
      </c>
      <c r="B593" t="s">
        <v>72</v>
      </c>
      <c r="C593" t="s">
        <v>72</v>
      </c>
      <c r="D593" t="s">
        <v>6</v>
      </c>
      <c r="E593" s="1">
        <v>43182.365787037037</v>
      </c>
      <c r="F593" s="465">
        <v>43182.365787037037</v>
      </c>
      <c r="G593" s="464">
        <v>0.36527777777777781</v>
      </c>
      <c r="H593">
        <v>9.6666666666666679</v>
      </c>
      <c r="I593">
        <v>8</v>
      </c>
      <c r="J593" t="s">
        <v>129</v>
      </c>
      <c r="AF593">
        <f t="shared" si="38"/>
        <v>0</v>
      </c>
      <c r="AG593">
        <f t="shared" si="39"/>
        <v>0</v>
      </c>
      <c r="AH593">
        <f t="shared" si="40"/>
        <v>0</v>
      </c>
      <c r="AI593">
        <f t="shared" si="41"/>
        <v>1</v>
      </c>
      <c r="AJ593">
        <f t="shared" si="42"/>
        <v>1</v>
      </c>
      <c r="AK593">
        <f t="shared" si="43"/>
        <v>1</v>
      </c>
    </row>
    <row r="594" spans="1:37">
      <c r="A594">
        <v>9130</v>
      </c>
      <c r="B594" t="s">
        <v>72</v>
      </c>
      <c r="C594" t="s">
        <v>72</v>
      </c>
      <c r="D594" t="s">
        <v>5</v>
      </c>
      <c r="E594" s="1">
        <v>43182.768171296295</v>
      </c>
      <c r="F594" s="465">
        <v>43182.768171296295</v>
      </c>
      <c r="G594" s="464">
        <v>0.7680555555555556</v>
      </c>
      <c r="H594" t="s">
        <v>129</v>
      </c>
      <c r="I594" t="s">
        <v>129</v>
      </c>
      <c r="J594" t="s">
        <v>129</v>
      </c>
      <c r="AF594">
        <f t="shared" si="38"/>
        <v>0</v>
      </c>
      <c r="AG594">
        <f t="shared" si="39"/>
        <v>0</v>
      </c>
      <c r="AH594">
        <f t="shared" si="40"/>
        <v>0</v>
      </c>
      <c r="AI594">
        <f t="shared" si="41"/>
        <v>1</v>
      </c>
      <c r="AJ594">
        <f t="shared" si="42"/>
        <v>1</v>
      </c>
      <c r="AK594">
        <f t="shared" si="43"/>
        <v>1</v>
      </c>
    </row>
    <row r="595" spans="1:37">
      <c r="A595">
        <v>9140</v>
      </c>
      <c r="B595" t="s">
        <v>72</v>
      </c>
      <c r="C595" t="s">
        <v>72</v>
      </c>
      <c r="D595" t="s">
        <v>6</v>
      </c>
      <c r="E595" s="1">
        <v>43185.364085648151</v>
      </c>
      <c r="F595" s="465">
        <v>43185.364085648151</v>
      </c>
      <c r="G595" s="464">
        <v>0.36388888888888887</v>
      </c>
      <c r="H595">
        <v>9.6833333333333353</v>
      </c>
      <c r="I595">
        <v>8</v>
      </c>
      <c r="J595" t="s">
        <v>129</v>
      </c>
      <c r="AF595">
        <f t="shared" si="38"/>
        <v>0</v>
      </c>
      <c r="AG595">
        <f t="shared" si="39"/>
        <v>0</v>
      </c>
      <c r="AH595">
        <f t="shared" si="40"/>
        <v>0</v>
      </c>
      <c r="AI595">
        <f t="shared" si="41"/>
        <v>1</v>
      </c>
      <c r="AJ595">
        <f t="shared" si="42"/>
        <v>1</v>
      </c>
      <c r="AK595">
        <f t="shared" si="43"/>
        <v>1</v>
      </c>
    </row>
    <row r="596" spans="1:37">
      <c r="A596">
        <v>9147</v>
      </c>
      <c r="B596" t="s">
        <v>72</v>
      </c>
      <c r="C596" t="s">
        <v>72</v>
      </c>
      <c r="D596" t="s">
        <v>5</v>
      </c>
      <c r="E596" s="1">
        <v>43185.767766203702</v>
      </c>
      <c r="F596" s="465">
        <v>43185.767766203702</v>
      </c>
      <c r="G596" s="464">
        <v>0.76736111111111116</v>
      </c>
      <c r="H596" t="s">
        <v>129</v>
      </c>
      <c r="I596" t="s">
        <v>129</v>
      </c>
      <c r="J596" t="s">
        <v>129</v>
      </c>
      <c r="AF596">
        <f t="shared" si="38"/>
        <v>0</v>
      </c>
      <c r="AG596">
        <f t="shared" si="39"/>
        <v>0</v>
      </c>
      <c r="AH596">
        <f t="shared" si="40"/>
        <v>0</v>
      </c>
      <c r="AI596">
        <f t="shared" si="41"/>
        <v>1</v>
      </c>
      <c r="AJ596">
        <f t="shared" si="42"/>
        <v>1</v>
      </c>
      <c r="AK596">
        <f t="shared" si="43"/>
        <v>1</v>
      </c>
    </row>
    <row r="597" spans="1:37">
      <c r="A597">
        <v>9148</v>
      </c>
      <c r="B597" t="s">
        <v>72</v>
      </c>
      <c r="C597" t="s">
        <v>72</v>
      </c>
      <c r="D597" t="s">
        <v>7</v>
      </c>
      <c r="E597" s="1">
        <v>43185.767824074072</v>
      </c>
      <c r="F597" s="465">
        <v>43185.767824074072</v>
      </c>
      <c r="G597" s="464">
        <v>0.76736111111111116</v>
      </c>
      <c r="H597" t="s">
        <v>129</v>
      </c>
      <c r="I597" t="s">
        <v>129</v>
      </c>
      <c r="J597" t="s">
        <v>129</v>
      </c>
      <c r="K597">
        <v>1.5333333333333332</v>
      </c>
      <c r="M597">
        <v>1.5333333333333332</v>
      </c>
      <c r="N597">
        <v>0</v>
      </c>
      <c r="AF597">
        <f t="shared" si="38"/>
        <v>0</v>
      </c>
      <c r="AG597">
        <f t="shared" si="39"/>
        <v>0</v>
      </c>
      <c r="AH597">
        <f t="shared" si="40"/>
        <v>0</v>
      </c>
      <c r="AI597">
        <f t="shared" si="41"/>
        <v>0</v>
      </c>
      <c r="AJ597">
        <f t="shared" si="42"/>
        <v>1</v>
      </c>
      <c r="AK597">
        <f t="shared" si="43"/>
        <v>0</v>
      </c>
    </row>
    <row r="598" spans="1:37">
      <c r="A598">
        <v>9158</v>
      </c>
      <c r="B598" t="s">
        <v>72</v>
      </c>
      <c r="C598" t="s">
        <v>72</v>
      </c>
      <c r="D598" t="s">
        <v>8</v>
      </c>
      <c r="E598" s="1">
        <v>43185.831458333334</v>
      </c>
      <c r="F598" s="465">
        <v>43185.831458333334</v>
      </c>
      <c r="G598" s="464">
        <v>0.83124999999999993</v>
      </c>
      <c r="H598" t="s">
        <v>129</v>
      </c>
      <c r="I598" t="s">
        <v>129</v>
      </c>
      <c r="J598" t="s">
        <v>129</v>
      </c>
      <c r="AF598">
        <f t="shared" si="38"/>
        <v>0</v>
      </c>
      <c r="AG598">
        <f t="shared" si="39"/>
        <v>0</v>
      </c>
      <c r="AH598">
        <f t="shared" si="40"/>
        <v>0</v>
      </c>
      <c r="AI598">
        <f t="shared" si="41"/>
        <v>1</v>
      </c>
      <c r="AJ598">
        <f t="shared" si="42"/>
        <v>1</v>
      </c>
      <c r="AK598">
        <f t="shared" si="43"/>
        <v>1</v>
      </c>
    </row>
    <row r="599" spans="1:37">
      <c r="A599">
        <v>9166</v>
      </c>
      <c r="B599" t="s">
        <v>72</v>
      </c>
      <c r="C599" t="s">
        <v>72</v>
      </c>
      <c r="D599" t="s">
        <v>6</v>
      </c>
      <c r="E599" s="1">
        <v>43186.364432870374</v>
      </c>
      <c r="F599" s="465">
        <v>43186.364432870374</v>
      </c>
      <c r="G599" s="464">
        <v>0.36388888888888887</v>
      </c>
      <c r="H599">
        <v>9.8166666666666682</v>
      </c>
      <c r="I599">
        <v>8</v>
      </c>
      <c r="J599" t="s">
        <v>129</v>
      </c>
      <c r="AF599">
        <f t="shared" si="38"/>
        <v>0</v>
      </c>
      <c r="AG599">
        <f t="shared" si="39"/>
        <v>0</v>
      </c>
      <c r="AH599">
        <f t="shared" si="40"/>
        <v>0</v>
      </c>
      <c r="AI599">
        <f t="shared" si="41"/>
        <v>1</v>
      </c>
      <c r="AJ599">
        <f t="shared" si="42"/>
        <v>1</v>
      </c>
      <c r="AK599">
        <f t="shared" si="43"/>
        <v>1</v>
      </c>
    </row>
    <row r="600" spans="1:37">
      <c r="A600">
        <v>9176</v>
      </c>
      <c r="B600" t="s">
        <v>71</v>
      </c>
      <c r="C600" t="s">
        <v>72</v>
      </c>
      <c r="D600" t="s">
        <v>5</v>
      </c>
      <c r="E600" s="1">
        <v>43186.773310185185</v>
      </c>
      <c r="F600" s="465">
        <v>43186.773310185185</v>
      </c>
      <c r="G600" s="464">
        <v>0.7729166666666667</v>
      </c>
      <c r="H600" t="s">
        <v>129</v>
      </c>
      <c r="I600" t="s">
        <v>129</v>
      </c>
      <c r="J600" t="s">
        <v>129</v>
      </c>
      <c r="AF600">
        <f t="shared" si="38"/>
        <v>0</v>
      </c>
      <c r="AG600">
        <f t="shared" si="39"/>
        <v>0</v>
      </c>
      <c r="AH600">
        <f t="shared" si="40"/>
        <v>0</v>
      </c>
      <c r="AI600">
        <f t="shared" si="41"/>
        <v>1</v>
      </c>
      <c r="AJ600">
        <f t="shared" si="42"/>
        <v>1</v>
      </c>
      <c r="AK600">
        <f t="shared" si="43"/>
        <v>1</v>
      </c>
    </row>
    <row r="601" spans="1:37">
      <c r="A601">
        <v>9177</v>
      </c>
      <c r="B601" t="s">
        <v>71</v>
      </c>
      <c r="C601" t="s">
        <v>72</v>
      </c>
      <c r="D601" t="s">
        <v>7</v>
      </c>
      <c r="E601" s="1">
        <v>43186.773344907408</v>
      </c>
      <c r="F601" s="465">
        <v>43186.773344907408</v>
      </c>
      <c r="G601" s="464">
        <v>0.7729166666666667</v>
      </c>
      <c r="H601" t="s">
        <v>129</v>
      </c>
      <c r="I601" t="s">
        <v>129</v>
      </c>
      <c r="J601" t="s">
        <v>129</v>
      </c>
      <c r="K601">
        <v>1.4500000000000002</v>
      </c>
      <c r="M601">
        <v>1.4500000000000002</v>
      </c>
      <c r="N601">
        <v>0</v>
      </c>
      <c r="AF601">
        <f t="shared" si="38"/>
        <v>0</v>
      </c>
      <c r="AG601">
        <f t="shared" si="39"/>
        <v>0</v>
      </c>
      <c r="AH601">
        <f t="shared" si="40"/>
        <v>0</v>
      </c>
      <c r="AI601">
        <f t="shared" si="41"/>
        <v>0</v>
      </c>
      <c r="AJ601">
        <f t="shared" si="42"/>
        <v>1</v>
      </c>
      <c r="AK601">
        <f t="shared" si="43"/>
        <v>0</v>
      </c>
    </row>
    <row r="602" spans="1:37">
      <c r="A602">
        <v>9185</v>
      </c>
      <c r="B602" t="s">
        <v>71</v>
      </c>
      <c r="C602" t="s">
        <v>72</v>
      </c>
      <c r="D602" t="s">
        <v>8</v>
      </c>
      <c r="E602" s="1">
        <v>43186.833564814813</v>
      </c>
      <c r="F602" s="465">
        <v>43186.833564814813</v>
      </c>
      <c r="G602" s="464">
        <v>0.83333333333333337</v>
      </c>
      <c r="H602" t="s">
        <v>129</v>
      </c>
      <c r="I602" t="s">
        <v>129</v>
      </c>
      <c r="J602" t="s">
        <v>129</v>
      </c>
      <c r="AF602">
        <f t="shared" ref="AF602:AF641" si="44">IF(W602=H602,1,0)</f>
        <v>0</v>
      </c>
      <c r="AG602">
        <f t="shared" ref="AG602:AG641" si="45">IF(X602=I602,1,0)</f>
        <v>0</v>
      </c>
      <c r="AH602">
        <f t="shared" ref="AH602:AH641" si="46">IF(Y602=J602,1,0)</f>
        <v>0</v>
      </c>
      <c r="AI602">
        <f t="shared" ref="AI602:AI641" si="47">IF(Z602=K602,1,0)</f>
        <v>1</v>
      </c>
      <c r="AJ602">
        <f t="shared" ref="AJ602:AJ641" si="48">IF(AA602=L602,1,0)</f>
        <v>1</v>
      </c>
      <c r="AK602">
        <f t="shared" ref="AK602:AK641" si="49">IF(AB602=M602,1,0)</f>
        <v>1</v>
      </c>
    </row>
    <row r="603" spans="1:37">
      <c r="A603">
        <v>9195</v>
      </c>
      <c r="B603" t="s">
        <v>72</v>
      </c>
      <c r="C603" t="s">
        <v>72</v>
      </c>
      <c r="D603" t="s">
        <v>6</v>
      </c>
      <c r="E603" s="1">
        <v>43187.364629629628</v>
      </c>
      <c r="F603" s="465">
        <v>43187.364629629628</v>
      </c>
      <c r="G603" s="464">
        <v>0.36458333333333331</v>
      </c>
      <c r="H603">
        <v>9.7500000000000018</v>
      </c>
      <c r="I603">
        <v>8</v>
      </c>
      <c r="J603" t="s">
        <v>129</v>
      </c>
      <c r="AF603">
        <f t="shared" si="44"/>
        <v>0</v>
      </c>
      <c r="AG603">
        <f t="shared" si="45"/>
        <v>0</v>
      </c>
      <c r="AH603">
        <f t="shared" si="46"/>
        <v>0</v>
      </c>
      <c r="AI603">
        <f t="shared" si="47"/>
        <v>1</v>
      </c>
      <c r="AJ603">
        <f t="shared" si="48"/>
        <v>1</v>
      </c>
      <c r="AK603">
        <f t="shared" si="49"/>
        <v>1</v>
      </c>
    </row>
    <row r="604" spans="1:37">
      <c r="A604">
        <v>9205</v>
      </c>
      <c r="B604" t="s">
        <v>72</v>
      </c>
      <c r="C604" t="s">
        <v>72</v>
      </c>
      <c r="D604" t="s">
        <v>5</v>
      </c>
      <c r="E604" s="1">
        <v>43187.771296296298</v>
      </c>
      <c r="F604" s="465">
        <v>43187.771296296298</v>
      </c>
      <c r="G604" s="464">
        <v>0.77083333333333337</v>
      </c>
      <c r="H604" t="s">
        <v>129</v>
      </c>
      <c r="I604" t="s">
        <v>129</v>
      </c>
      <c r="J604" t="s">
        <v>129</v>
      </c>
      <c r="AF604">
        <f t="shared" si="44"/>
        <v>0</v>
      </c>
      <c r="AG604">
        <f t="shared" si="45"/>
        <v>0</v>
      </c>
      <c r="AH604">
        <f t="shared" si="46"/>
        <v>0</v>
      </c>
      <c r="AI604">
        <f t="shared" si="47"/>
        <v>1</v>
      </c>
      <c r="AJ604">
        <f t="shared" si="48"/>
        <v>1</v>
      </c>
      <c r="AK604">
        <f t="shared" si="49"/>
        <v>1</v>
      </c>
    </row>
    <row r="605" spans="1:37">
      <c r="A605">
        <v>9206</v>
      </c>
      <c r="B605" t="s">
        <v>72</v>
      </c>
      <c r="C605" t="s">
        <v>72</v>
      </c>
      <c r="D605" t="s">
        <v>7</v>
      </c>
      <c r="E605" s="1">
        <v>43187.771377314813</v>
      </c>
      <c r="F605" s="465">
        <v>43187.771377314813</v>
      </c>
      <c r="G605" s="464">
        <v>0.77083333333333337</v>
      </c>
      <c r="H605" t="s">
        <v>129</v>
      </c>
      <c r="I605" t="s">
        <v>129</v>
      </c>
      <c r="J605" t="s">
        <v>129</v>
      </c>
      <c r="K605">
        <v>2.2999999999999998</v>
      </c>
      <c r="M605">
        <v>2</v>
      </c>
      <c r="N605">
        <v>0.29999999999999982</v>
      </c>
      <c r="AF605">
        <f t="shared" si="44"/>
        <v>0</v>
      </c>
      <c r="AG605">
        <f t="shared" si="45"/>
        <v>0</v>
      </c>
      <c r="AH605">
        <f t="shared" si="46"/>
        <v>0</v>
      </c>
      <c r="AI605">
        <f t="shared" si="47"/>
        <v>0</v>
      </c>
      <c r="AJ605">
        <f t="shared" si="48"/>
        <v>1</v>
      </c>
      <c r="AK605">
        <f t="shared" si="49"/>
        <v>0</v>
      </c>
    </row>
    <row r="606" spans="1:37">
      <c r="A606">
        <v>9222</v>
      </c>
      <c r="B606" t="s">
        <v>97</v>
      </c>
      <c r="C606" t="s">
        <v>72</v>
      </c>
      <c r="D606" t="s">
        <v>8</v>
      </c>
      <c r="E606" s="1">
        <v>43187.866747685184</v>
      </c>
      <c r="F606" s="465">
        <v>43187.866747685184</v>
      </c>
      <c r="G606" s="464">
        <v>0.8666666666666667</v>
      </c>
      <c r="H606" t="s">
        <v>129</v>
      </c>
      <c r="I606" t="s">
        <v>129</v>
      </c>
      <c r="J606" t="s">
        <v>129</v>
      </c>
      <c r="AF606">
        <f t="shared" si="44"/>
        <v>0</v>
      </c>
      <c r="AG606">
        <f t="shared" si="45"/>
        <v>0</v>
      </c>
      <c r="AH606">
        <f t="shared" si="46"/>
        <v>0</v>
      </c>
      <c r="AI606">
        <f t="shared" si="47"/>
        <v>1</v>
      </c>
      <c r="AJ606">
        <f t="shared" si="48"/>
        <v>1</v>
      </c>
      <c r="AK606">
        <f t="shared" si="49"/>
        <v>1</v>
      </c>
    </row>
    <row r="607" spans="1:37">
      <c r="A607">
        <v>9229</v>
      </c>
      <c r="B607" t="s">
        <v>72</v>
      </c>
      <c r="C607" t="s">
        <v>72</v>
      </c>
      <c r="D607" t="s">
        <v>6</v>
      </c>
      <c r="E607" s="1">
        <v>43188.364247685182</v>
      </c>
      <c r="F607" s="465">
        <v>43188.364247685182</v>
      </c>
      <c r="G607" s="464">
        <v>0.36388888888888887</v>
      </c>
      <c r="H607">
        <v>9.8000000000000007</v>
      </c>
      <c r="I607">
        <v>8</v>
      </c>
      <c r="J607" t="s">
        <v>129</v>
      </c>
      <c r="AF607">
        <f t="shared" si="44"/>
        <v>0</v>
      </c>
      <c r="AG607">
        <f t="shared" si="45"/>
        <v>0</v>
      </c>
      <c r="AH607">
        <f t="shared" si="46"/>
        <v>0</v>
      </c>
      <c r="AI607">
        <f t="shared" si="47"/>
        <v>1</v>
      </c>
      <c r="AJ607">
        <f t="shared" si="48"/>
        <v>1</v>
      </c>
      <c r="AK607">
        <f t="shared" si="49"/>
        <v>1</v>
      </c>
    </row>
    <row r="608" spans="1:37">
      <c r="A608">
        <v>9243</v>
      </c>
      <c r="B608" t="s">
        <v>71</v>
      </c>
      <c r="C608" t="s">
        <v>72</v>
      </c>
      <c r="D608" t="s">
        <v>5</v>
      </c>
      <c r="E608" s="1">
        <v>43188.772650462961</v>
      </c>
      <c r="F608" s="465">
        <v>43188.772650462961</v>
      </c>
      <c r="G608" s="464">
        <v>0.77222222222222225</v>
      </c>
      <c r="H608" t="s">
        <v>129</v>
      </c>
      <c r="I608" t="s">
        <v>129</v>
      </c>
      <c r="J608" t="s">
        <v>129</v>
      </c>
      <c r="AF608">
        <f t="shared" si="44"/>
        <v>0</v>
      </c>
      <c r="AG608">
        <f t="shared" si="45"/>
        <v>0</v>
      </c>
      <c r="AH608">
        <f t="shared" si="46"/>
        <v>0</v>
      </c>
      <c r="AI608">
        <f t="shared" si="47"/>
        <v>1</v>
      </c>
      <c r="AJ608">
        <f t="shared" si="48"/>
        <v>1</v>
      </c>
      <c r="AK608">
        <f t="shared" si="49"/>
        <v>1</v>
      </c>
    </row>
    <row r="609" spans="1:37">
      <c r="A609">
        <v>9244</v>
      </c>
      <c r="B609" t="s">
        <v>71</v>
      </c>
      <c r="C609" t="s">
        <v>72</v>
      </c>
      <c r="D609" t="s">
        <v>7</v>
      </c>
      <c r="E609" s="1">
        <v>43188.772685185184</v>
      </c>
      <c r="F609" s="465">
        <v>43188.772685185184</v>
      </c>
      <c r="G609" s="464">
        <v>0.77222222222222225</v>
      </c>
      <c r="H609" t="s">
        <v>129</v>
      </c>
      <c r="I609" t="s">
        <v>129</v>
      </c>
      <c r="J609" t="s">
        <v>129</v>
      </c>
      <c r="K609">
        <v>1.8166666666666655</v>
      </c>
      <c r="M609">
        <v>1.8166666666666655</v>
      </c>
      <c r="N609">
        <v>0</v>
      </c>
      <c r="AF609">
        <f t="shared" si="44"/>
        <v>0</v>
      </c>
      <c r="AG609">
        <f t="shared" si="45"/>
        <v>0</v>
      </c>
      <c r="AH609">
        <f t="shared" si="46"/>
        <v>0</v>
      </c>
      <c r="AI609">
        <f t="shared" si="47"/>
        <v>0</v>
      </c>
      <c r="AJ609">
        <f t="shared" si="48"/>
        <v>1</v>
      </c>
      <c r="AK609">
        <f t="shared" si="49"/>
        <v>0</v>
      </c>
    </row>
    <row r="610" spans="1:37">
      <c r="A610">
        <v>9256</v>
      </c>
      <c r="B610" t="s">
        <v>71</v>
      </c>
      <c r="C610" t="s">
        <v>72</v>
      </c>
      <c r="D610" t="s">
        <v>8</v>
      </c>
      <c r="E610" s="1">
        <v>43188.848252314812</v>
      </c>
      <c r="F610" s="465">
        <v>43188.848252314812</v>
      </c>
      <c r="G610" s="464">
        <v>0.84791666666666676</v>
      </c>
      <c r="H610" t="s">
        <v>129</v>
      </c>
      <c r="I610" t="s">
        <v>129</v>
      </c>
      <c r="J610" t="s">
        <v>129</v>
      </c>
      <c r="AF610">
        <f t="shared" si="44"/>
        <v>0</v>
      </c>
      <c r="AG610">
        <f t="shared" si="45"/>
        <v>0</v>
      </c>
      <c r="AH610">
        <f t="shared" si="46"/>
        <v>0</v>
      </c>
      <c r="AI610">
        <f t="shared" si="47"/>
        <v>1</v>
      </c>
      <c r="AJ610">
        <f t="shared" si="48"/>
        <v>1</v>
      </c>
      <c r="AK610">
        <f t="shared" si="49"/>
        <v>1</v>
      </c>
    </row>
    <row r="611" spans="1:37">
      <c r="A611">
        <v>9261</v>
      </c>
      <c r="B611" t="s">
        <v>71</v>
      </c>
      <c r="C611" t="s">
        <v>72</v>
      </c>
      <c r="D611" t="s">
        <v>6</v>
      </c>
      <c r="E611" s="1">
        <v>43189.364664351851</v>
      </c>
      <c r="F611" s="465">
        <v>43189.364664351851</v>
      </c>
      <c r="G611" s="464">
        <v>0.36458333333333331</v>
      </c>
      <c r="H611">
        <v>9.8666666666666671</v>
      </c>
      <c r="I611">
        <v>8</v>
      </c>
      <c r="J611" t="s">
        <v>129</v>
      </c>
      <c r="AF611">
        <f t="shared" si="44"/>
        <v>0</v>
      </c>
      <c r="AG611">
        <f t="shared" si="45"/>
        <v>0</v>
      </c>
      <c r="AH611">
        <f t="shared" si="46"/>
        <v>0</v>
      </c>
      <c r="AI611">
        <f t="shared" si="47"/>
        <v>1</v>
      </c>
      <c r="AJ611">
        <f t="shared" si="48"/>
        <v>1</v>
      </c>
      <c r="AK611">
        <f t="shared" si="49"/>
        <v>1</v>
      </c>
    </row>
    <row r="612" spans="1:37">
      <c r="A612">
        <v>9276</v>
      </c>
      <c r="B612" t="s">
        <v>72</v>
      </c>
      <c r="C612" t="s">
        <v>72</v>
      </c>
      <c r="D612" t="s">
        <v>5</v>
      </c>
      <c r="E612" s="1">
        <v>43189.775706018518</v>
      </c>
      <c r="F612" s="465">
        <v>43189.775706018518</v>
      </c>
      <c r="G612" s="464">
        <v>0.77569444444444446</v>
      </c>
      <c r="H612" t="s">
        <v>129</v>
      </c>
      <c r="I612" t="s">
        <v>129</v>
      </c>
      <c r="J612" t="s">
        <v>129</v>
      </c>
      <c r="AF612">
        <f t="shared" si="44"/>
        <v>0</v>
      </c>
      <c r="AG612">
        <f t="shared" si="45"/>
        <v>0</v>
      </c>
      <c r="AH612">
        <f t="shared" si="46"/>
        <v>0</v>
      </c>
      <c r="AI612">
        <f t="shared" si="47"/>
        <v>1</v>
      </c>
      <c r="AJ612">
        <f t="shared" si="48"/>
        <v>1</v>
      </c>
      <c r="AK612">
        <f t="shared" si="49"/>
        <v>1</v>
      </c>
    </row>
    <row r="613" spans="1:37">
      <c r="A613">
        <v>9283</v>
      </c>
      <c r="B613" t="s">
        <v>71</v>
      </c>
      <c r="C613" t="s">
        <v>72</v>
      </c>
      <c r="D613" t="s">
        <v>6</v>
      </c>
      <c r="E613" s="1">
        <v>43190.361689814818</v>
      </c>
      <c r="F613" s="465">
        <v>43190.361689814818</v>
      </c>
      <c r="G613" s="464">
        <v>0.3611111111111111</v>
      </c>
      <c r="H613">
        <v>9.7166666666666686</v>
      </c>
      <c r="I613">
        <v>8</v>
      </c>
      <c r="J613" t="s">
        <v>129</v>
      </c>
      <c r="AF613">
        <f t="shared" si="44"/>
        <v>0</v>
      </c>
      <c r="AG613">
        <f t="shared" si="45"/>
        <v>0</v>
      </c>
      <c r="AH613">
        <f t="shared" si="46"/>
        <v>0</v>
      </c>
      <c r="AI613">
        <f t="shared" si="47"/>
        <v>1</v>
      </c>
      <c r="AJ613">
        <f t="shared" si="48"/>
        <v>1</v>
      </c>
      <c r="AK613">
        <f t="shared" si="49"/>
        <v>1</v>
      </c>
    </row>
    <row r="614" spans="1:37">
      <c r="A614">
        <v>9294</v>
      </c>
      <c r="B614" t="s">
        <v>71</v>
      </c>
      <c r="C614" t="s">
        <v>72</v>
      </c>
      <c r="D614" t="s">
        <v>5</v>
      </c>
      <c r="E614" s="1">
        <v>43190.766122685185</v>
      </c>
      <c r="F614" s="465">
        <v>43190.766122685185</v>
      </c>
      <c r="G614" s="464">
        <v>0.76597222222222217</v>
      </c>
      <c r="H614" t="s">
        <v>129</v>
      </c>
      <c r="I614" t="s">
        <v>129</v>
      </c>
      <c r="J614" t="s">
        <v>129</v>
      </c>
      <c r="AF614">
        <f t="shared" si="44"/>
        <v>0</v>
      </c>
      <c r="AG614">
        <f t="shared" si="45"/>
        <v>0</v>
      </c>
      <c r="AH614">
        <f t="shared" si="46"/>
        <v>0</v>
      </c>
      <c r="AI614">
        <f t="shared" si="47"/>
        <v>1</v>
      </c>
      <c r="AJ614">
        <f t="shared" si="48"/>
        <v>1</v>
      </c>
      <c r="AK614">
        <f t="shared" si="49"/>
        <v>1</v>
      </c>
    </row>
    <row r="615" spans="1:37">
      <c r="A615">
        <v>8494</v>
      </c>
      <c r="B615" t="s">
        <v>88</v>
      </c>
      <c r="C615" t="s">
        <v>88</v>
      </c>
      <c r="D615" t="s">
        <v>6</v>
      </c>
      <c r="E615" s="1">
        <v>43160.368009259262</v>
      </c>
      <c r="F615" s="465">
        <v>43160.368009259262</v>
      </c>
      <c r="G615" s="464">
        <v>0.36736111111111108</v>
      </c>
      <c r="H615">
        <v>9.6833333333333336</v>
      </c>
      <c r="I615">
        <v>8</v>
      </c>
      <c r="J615" t="s">
        <v>129</v>
      </c>
      <c r="AF615">
        <f t="shared" si="44"/>
        <v>0</v>
      </c>
      <c r="AG615">
        <f t="shared" si="45"/>
        <v>0</v>
      </c>
      <c r="AH615">
        <f t="shared" si="46"/>
        <v>0</v>
      </c>
      <c r="AI615">
        <f t="shared" si="47"/>
        <v>1</v>
      </c>
      <c r="AJ615">
        <f t="shared" si="48"/>
        <v>1</v>
      </c>
      <c r="AK615">
        <f t="shared" si="49"/>
        <v>1</v>
      </c>
    </row>
    <row r="616" spans="1:37">
      <c r="A616">
        <v>8505</v>
      </c>
      <c r="B616" t="s">
        <v>88</v>
      </c>
      <c r="C616" t="s">
        <v>88</v>
      </c>
      <c r="D616" t="s">
        <v>5</v>
      </c>
      <c r="E616" s="1">
        <v>43160.771053240744</v>
      </c>
      <c r="F616" s="465">
        <v>43160.771053240744</v>
      </c>
      <c r="G616" s="464">
        <v>0.77083333333333337</v>
      </c>
      <c r="H616" t="s">
        <v>129</v>
      </c>
      <c r="I616" t="s">
        <v>129</v>
      </c>
      <c r="J616" t="s">
        <v>129</v>
      </c>
      <c r="AF616">
        <f t="shared" si="44"/>
        <v>0</v>
      </c>
      <c r="AG616">
        <f t="shared" si="45"/>
        <v>0</v>
      </c>
      <c r="AH616">
        <f t="shared" si="46"/>
        <v>0</v>
      </c>
      <c r="AI616">
        <f t="shared" si="47"/>
        <v>1</v>
      </c>
      <c r="AJ616">
        <f t="shared" si="48"/>
        <v>1</v>
      </c>
      <c r="AK616">
        <f t="shared" si="49"/>
        <v>1</v>
      </c>
    </row>
    <row r="617" spans="1:37">
      <c r="A617">
        <v>8527</v>
      </c>
      <c r="B617" t="s">
        <v>88</v>
      </c>
      <c r="C617" t="s">
        <v>88</v>
      </c>
      <c r="D617" t="s">
        <v>6</v>
      </c>
      <c r="E617" s="1">
        <v>43161.369259259256</v>
      </c>
      <c r="F617" s="465">
        <v>43161.369259259256</v>
      </c>
      <c r="G617" s="464">
        <v>0.36874999999999997</v>
      </c>
      <c r="H617">
        <v>9.5500000000000007</v>
      </c>
      <c r="I617">
        <v>8</v>
      </c>
      <c r="J617" t="s">
        <v>129</v>
      </c>
      <c r="AF617">
        <f t="shared" si="44"/>
        <v>0</v>
      </c>
      <c r="AG617">
        <f t="shared" si="45"/>
        <v>0</v>
      </c>
      <c r="AH617">
        <f t="shared" si="46"/>
        <v>0</v>
      </c>
      <c r="AI617">
        <f t="shared" si="47"/>
        <v>1</v>
      </c>
      <c r="AJ617">
        <f t="shared" si="48"/>
        <v>1</v>
      </c>
      <c r="AK617">
        <f t="shared" si="49"/>
        <v>1</v>
      </c>
    </row>
    <row r="618" spans="1:37">
      <c r="A618">
        <v>8535</v>
      </c>
      <c r="B618" t="s">
        <v>88</v>
      </c>
      <c r="C618" t="s">
        <v>88</v>
      </c>
      <c r="D618" t="s">
        <v>5</v>
      </c>
      <c r="E618" s="1">
        <v>43161.767060185186</v>
      </c>
      <c r="F618" s="465">
        <v>43161.767060185186</v>
      </c>
      <c r="G618" s="464">
        <v>0.76666666666666661</v>
      </c>
      <c r="H618" t="s">
        <v>129</v>
      </c>
      <c r="I618" t="s">
        <v>129</v>
      </c>
      <c r="J618" t="s">
        <v>129</v>
      </c>
      <c r="AF618">
        <f t="shared" si="44"/>
        <v>0</v>
      </c>
      <c r="AG618">
        <f t="shared" si="45"/>
        <v>0</v>
      </c>
      <c r="AH618">
        <f t="shared" si="46"/>
        <v>0</v>
      </c>
      <c r="AI618">
        <f t="shared" si="47"/>
        <v>1</v>
      </c>
      <c r="AJ618">
        <f t="shared" si="48"/>
        <v>1</v>
      </c>
      <c r="AK618">
        <f t="shared" si="49"/>
        <v>1</v>
      </c>
    </row>
    <row r="619" spans="1:37">
      <c r="A619">
        <v>8568</v>
      </c>
      <c r="B619" t="s">
        <v>88</v>
      </c>
      <c r="C619" t="s">
        <v>88</v>
      </c>
      <c r="D619" t="s">
        <v>6</v>
      </c>
      <c r="E619" s="1">
        <v>43164.550879629627</v>
      </c>
      <c r="F619" s="465">
        <v>43164.550879629627</v>
      </c>
      <c r="G619" s="464">
        <v>0.55069444444444449</v>
      </c>
      <c r="H619">
        <v>5.1333333333333311</v>
      </c>
      <c r="I619">
        <v>3.6333333333333311</v>
      </c>
      <c r="J619">
        <v>4.3666666666666689</v>
      </c>
      <c r="AF619">
        <f t="shared" si="44"/>
        <v>0</v>
      </c>
      <c r="AG619">
        <f t="shared" si="45"/>
        <v>0</v>
      </c>
      <c r="AH619">
        <f t="shared" si="46"/>
        <v>0</v>
      </c>
      <c r="AI619">
        <f t="shared" si="47"/>
        <v>1</v>
      </c>
      <c r="AJ619">
        <f t="shared" si="48"/>
        <v>1</v>
      </c>
      <c r="AK619">
        <f t="shared" si="49"/>
        <v>1</v>
      </c>
    </row>
    <row r="620" spans="1:37">
      <c r="A620">
        <v>8575</v>
      </c>
      <c r="B620" t="s">
        <v>89</v>
      </c>
      <c r="C620" t="s">
        <v>88</v>
      </c>
      <c r="D620" t="s">
        <v>5</v>
      </c>
      <c r="E620" s="1">
        <v>43164.765069444446</v>
      </c>
      <c r="F620" s="465">
        <v>43164.765069444446</v>
      </c>
      <c r="G620" s="464">
        <v>0.76458333333333339</v>
      </c>
      <c r="H620" t="s">
        <v>129</v>
      </c>
      <c r="I620" t="s">
        <v>129</v>
      </c>
      <c r="J620" t="s">
        <v>129</v>
      </c>
      <c r="AF620">
        <f t="shared" si="44"/>
        <v>0</v>
      </c>
      <c r="AG620">
        <f t="shared" si="45"/>
        <v>0</v>
      </c>
      <c r="AH620">
        <f t="shared" si="46"/>
        <v>0</v>
      </c>
      <c r="AI620">
        <f t="shared" si="47"/>
        <v>1</v>
      </c>
      <c r="AJ620">
        <f t="shared" si="48"/>
        <v>1</v>
      </c>
      <c r="AK620">
        <f t="shared" si="49"/>
        <v>1</v>
      </c>
    </row>
    <row r="621" spans="1:37">
      <c r="A621">
        <v>8601</v>
      </c>
      <c r="B621" t="s">
        <v>88</v>
      </c>
      <c r="C621" t="s">
        <v>88</v>
      </c>
      <c r="D621" t="s">
        <v>6</v>
      </c>
      <c r="E621" s="1">
        <v>43165.369756944441</v>
      </c>
      <c r="F621" s="465">
        <v>43165.369756944441</v>
      </c>
      <c r="G621" s="464">
        <v>0.36944444444444446</v>
      </c>
      <c r="H621">
        <v>9.6833333333333336</v>
      </c>
      <c r="I621">
        <v>8</v>
      </c>
      <c r="J621" t="s">
        <v>129</v>
      </c>
      <c r="AF621">
        <f t="shared" si="44"/>
        <v>0</v>
      </c>
      <c r="AG621">
        <f t="shared" si="45"/>
        <v>0</v>
      </c>
      <c r="AH621">
        <f t="shared" si="46"/>
        <v>0</v>
      </c>
      <c r="AI621">
        <f t="shared" si="47"/>
        <v>1</v>
      </c>
      <c r="AJ621">
        <f t="shared" si="48"/>
        <v>1</v>
      </c>
      <c r="AK621">
        <f t="shared" si="49"/>
        <v>1</v>
      </c>
    </row>
    <row r="622" spans="1:37">
      <c r="A622">
        <v>8610</v>
      </c>
      <c r="B622" t="s">
        <v>89</v>
      </c>
      <c r="C622" t="s">
        <v>88</v>
      </c>
      <c r="D622" t="s">
        <v>5</v>
      </c>
      <c r="E622" s="1">
        <v>43165.773113425923</v>
      </c>
      <c r="F622" s="465">
        <v>43165.773113425923</v>
      </c>
      <c r="G622" s="464">
        <v>0.7729166666666667</v>
      </c>
      <c r="H622" t="s">
        <v>129</v>
      </c>
      <c r="I622" t="s">
        <v>129</v>
      </c>
      <c r="J622" t="s">
        <v>129</v>
      </c>
      <c r="AF622">
        <f t="shared" si="44"/>
        <v>0</v>
      </c>
      <c r="AG622">
        <f t="shared" si="45"/>
        <v>0</v>
      </c>
      <c r="AH622">
        <f t="shared" si="46"/>
        <v>0</v>
      </c>
      <c r="AI622">
        <f t="shared" si="47"/>
        <v>1</v>
      </c>
      <c r="AJ622">
        <f t="shared" si="48"/>
        <v>1</v>
      </c>
      <c r="AK622">
        <f t="shared" si="49"/>
        <v>1</v>
      </c>
    </row>
    <row r="623" spans="1:37">
      <c r="A623">
        <v>8611</v>
      </c>
      <c r="B623" t="s">
        <v>89</v>
      </c>
      <c r="C623" t="s">
        <v>88</v>
      </c>
      <c r="D623" t="s">
        <v>7</v>
      </c>
      <c r="E623" s="1">
        <v>43165.773194444446</v>
      </c>
      <c r="F623" s="465">
        <v>43165.773194444446</v>
      </c>
      <c r="G623" s="464">
        <v>0.7729166666666667</v>
      </c>
      <c r="H623" t="s">
        <v>129</v>
      </c>
      <c r="I623" t="s">
        <v>129</v>
      </c>
      <c r="J623" t="s">
        <v>129</v>
      </c>
      <c r="K623">
        <v>0.2166666666666659</v>
      </c>
      <c r="M623">
        <v>0.2166666666666659</v>
      </c>
      <c r="N623">
        <v>0</v>
      </c>
      <c r="AF623">
        <f t="shared" si="44"/>
        <v>0</v>
      </c>
      <c r="AG623">
        <f t="shared" si="45"/>
        <v>0</v>
      </c>
      <c r="AH623">
        <f t="shared" si="46"/>
        <v>0</v>
      </c>
      <c r="AI623">
        <f t="shared" si="47"/>
        <v>0</v>
      </c>
      <c r="AJ623">
        <f t="shared" si="48"/>
        <v>1</v>
      </c>
      <c r="AK623">
        <f t="shared" si="49"/>
        <v>0</v>
      </c>
    </row>
    <row r="624" spans="1:37">
      <c r="A624">
        <v>8616</v>
      </c>
      <c r="B624" t="s">
        <v>89</v>
      </c>
      <c r="C624" t="s">
        <v>88</v>
      </c>
      <c r="D624" t="s">
        <v>8</v>
      </c>
      <c r="E624" s="1">
        <v>43165.78229166667</v>
      </c>
      <c r="F624" s="465">
        <v>43165.78229166667</v>
      </c>
      <c r="G624" s="464">
        <v>0.78194444444444444</v>
      </c>
      <c r="H624" t="s">
        <v>129</v>
      </c>
      <c r="I624" t="s">
        <v>129</v>
      </c>
      <c r="J624" t="s">
        <v>129</v>
      </c>
      <c r="AF624">
        <f t="shared" si="44"/>
        <v>0</v>
      </c>
      <c r="AG624">
        <f t="shared" si="45"/>
        <v>0</v>
      </c>
      <c r="AH624">
        <f t="shared" si="46"/>
        <v>0</v>
      </c>
      <c r="AI624">
        <f t="shared" si="47"/>
        <v>1</v>
      </c>
      <c r="AJ624">
        <f t="shared" si="48"/>
        <v>1</v>
      </c>
      <c r="AK624">
        <f t="shared" si="49"/>
        <v>1</v>
      </c>
    </row>
    <row r="625" spans="1:37">
      <c r="A625">
        <v>8631</v>
      </c>
      <c r="B625" t="s">
        <v>88</v>
      </c>
      <c r="C625" t="s">
        <v>88</v>
      </c>
      <c r="D625" t="s">
        <v>6</v>
      </c>
      <c r="E625" s="1">
        <v>43166.367650462962</v>
      </c>
      <c r="F625" s="465">
        <v>43166.367650462962</v>
      </c>
      <c r="G625" s="464">
        <v>0.36736111111111108</v>
      </c>
      <c r="H625">
        <v>9.6666666666666679</v>
      </c>
      <c r="I625">
        <v>8</v>
      </c>
      <c r="J625" t="s">
        <v>129</v>
      </c>
      <c r="AF625">
        <f t="shared" si="44"/>
        <v>0</v>
      </c>
      <c r="AG625">
        <f t="shared" si="45"/>
        <v>0</v>
      </c>
      <c r="AH625">
        <f t="shared" si="46"/>
        <v>0</v>
      </c>
      <c r="AI625">
        <f t="shared" si="47"/>
        <v>1</v>
      </c>
      <c r="AJ625">
        <f t="shared" si="48"/>
        <v>1</v>
      </c>
      <c r="AK625">
        <f t="shared" si="49"/>
        <v>1</v>
      </c>
    </row>
    <row r="626" spans="1:37">
      <c r="A626">
        <v>8641</v>
      </c>
      <c r="B626" t="s">
        <v>89</v>
      </c>
      <c r="C626" t="s">
        <v>88</v>
      </c>
      <c r="D626" t="s">
        <v>5</v>
      </c>
      <c r="E626" s="1">
        <v>43166.770243055558</v>
      </c>
      <c r="F626" s="465">
        <v>43166.770243055558</v>
      </c>
      <c r="G626" s="464">
        <v>0.77013888888888893</v>
      </c>
      <c r="H626" t="s">
        <v>129</v>
      </c>
      <c r="I626" t="s">
        <v>129</v>
      </c>
      <c r="J626" t="s">
        <v>129</v>
      </c>
      <c r="AF626">
        <f t="shared" si="44"/>
        <v>0</v>
      </c>
      <c r="AG626">
        <f t="shared" si="45"/>
        <v>0</v>
      </c>
      <c r="AH626">
        <f t="shared" si="46"/>
        <v>0</v>
      </c>
      <c r="AI626">
        <f t="shared" si="47"/>
        <v>1</v>
      </c>
      <c r="AJ626">
        <f t="shared" si="48"/>
        <v>1</v>
      </c>
      <c r="AK626">
        <f t="shared" si="49"/>
        <v>1</v>
      </c>
    </row>
    <row r="627" spans="1:37">
      <c r="A627">
        <v>8645</v>
      </c>
      <c r="B627" t="s">
        <v>89</v>
      </c>
      <c r="C627" t="s">
        <v>88</v>
      </c>
      <c r="D627" t="s">
        <v>7</v>
      </c>
      <c r="E627" s="1">
        <v>43166.770949074074</v>
      </c>
      <c r="F627" s="465">
        <v>43166.770949074074</v>
      </c>
      <c r="G627" s="464">
        <v>0.77083333333333337</v>
      </c>
      <c r="H627" t="s">
        <v>129</v>
      </c>
      <c r="I627" t="s">
        <v>129</v>
      </c>
      <c r="J627" t="s">
        <v>129</v>
      </c>
      <c r="K627">
        <v>0.66666666666666696</v>
      </c>
      <c r="M627">
        <v>0.66666666666666696</v>
      </c>
      <c r="N627">
        <v>0</v>
      </c>
      <c r="AF627">
        <f t="shared" si="44"/>
        <v>0</v>
      </c>
      <c r="AG627">
        <f t="shared" si="45"/>
        <v>0</v>
      </c>
      <c r="AH627">
        <f t="shared" si="46"/>
        <v>0</v>
      </c>
      <c r="AI627">
        <f t="shared" si="47"/>
        <v>0</v>
      </c>
      <c r="AJ627">
        <f t="shared" si="48"/>
        <v>1</v>
      </c>
      <c r="AK627">
        <f t="shared" si="49"/>
        <v>0</v>
      </c>
    </row>
    <row r="628" spans="1:37">
      <c r="A628">
        <v>8653</v>
      </c>
      <c r="B628" t="s">
        <v>89</v>
      </c>
      <c r="C628" t="s">
        <v>88</v>
      </c>
      <c r="D628" t="s">
        <v>8</v>
      </c>
      <c r="E628" s="1">
        <v>43166.798622685186</v>
      </c>
      <c r="F628" s="465">
        <v>43166.798622685186</v>
      </c>
      <c r="G628" s="464">
        <v>0.79861111111111116</v>
      </c>
      <c r="H628" t="s">
        <v>129</v>
      </c>
      <c r="I628" t="s">
        <v>129</v>
      </c>
      <c r="J628" t="s">
        <v>129</v>
      </c>
      <c r="AF628">
        <f t="shared" si="44"/>
        <v>0</v>
      </c>
      <c r="AG628">
        <f t="shared" si="45"/>
        <v>0</v>
      </c>
      <c r="AH628">
        <f t="shared" si="46"/>
        <v>0</v>
      </c>
      <c r="AI628">
        <f t="shared" si="47"/>
        <v>1</v>
      </c>
      <c r="AJ628">
        <f t="shared" si="48"/>
        <v>1</v>
      </c>
      <c r="AK628">
        <f t="shared" si="49"/>
        <v>1</v>
      </c>
    </row>
    <row r="629" spans="1:37">
      <c r="A629">
        <v>8669</v>
      </c>
      <c r="B629" t="s">
        <v>88</v>
      </c>
      <c r="C629" t="s">
        <v>88</v>
      </c>
      <c r="D629" t="s">
        <v>6</v>
      </c>
      <c r="E629" s="1">
        <v>43167.369953703703</v>
      </c>
      <c r="F629" s="465">
        <v>43167.369953703703</v>
      </c>
      <c r="G629" s="464">
        <v>0.36944444444444446</v>
      </c>
      <c r="H629">
        <v>9.533333333333335</v>
      </c>
      <c r="I629">
        <v>8</v>
      </c>
      <c r="J629" t="s">
        <v>129</v>
      </c>
      <c r="AF629">
        <f t="shared" si="44"/>
        <v>0</v>
      </c>
      <c r="AG629">
        <f t="shared" si="45"/>
        <v>0</v>
      </c>
      <c r="AH629">
        <f t="shared" si="46"/>
        <v>0</v>
      </c>
      <c r="AI629">
        <f t="shared" si="47"/>
        <v>1</v>
      </c>
      <c r="AJ629">
        <f t="shared" si="48"/>
        <v>1</v>
      </c>
      <c r="AK629">
        <f t="shared" si="49"/>
        <v>1</v>
      </c>
    </row>
    <row r="630" spans="1:37">
      <c r="A630">
        <v>8674</v>
      </c>
      <c r="B630" t="s">
        <v>89</v>
      </c>
      <c r="C630" t="s">
        <v>88</v>
      </c>
      <c r="D630" t="s">
        <v>5</v>
      </c>
      <c r="E630" s="1">
        <v>43167.76667824074</v>
      </c>
      <c r="F630" s="465">
        <v>43167.76667824074</v>
      </c>
      <c r="G630" s="464">
        <v>0.76666666666666661</v>
      </c>
      <c r="H630" t="s">
        <v>129</v>
      </c>
      <c r="I630" t="s">
        <v>129</v>
      </c>
      <c r="J630" t="s">
        <v>129</v>
      </c>
      <c r="AF630">
        <f t="shared" si="44"/>
        <v>0</v>
      </c>
      <c r="AG630">
        <f t="shared" si="45"/>
        <v>0</v>
      </c>
      <c r="AH630">
        <f t="shared" si="46"/>
        <v>0</v>
      </c>
      <c r="AI630">
        <f t="shared" si="47"/>
        <v>1</v>
      </c>
      <c r="AJ630">
        <f t="shared" si="48"/>
        <v>1</v>
      </c>
      <c r="AK630">
        <f t="shared" si="49"/>
        <v>1</v>
      </c>
    </row>
    <row r="631" spans="1:37">
      <c r="A631">
        <v>8697</v>
      </c>
      <c r="B631" t="s">
        <v>88</v>
      </c>
      <c r="C631" t="s">
        <v>88</v>
      </c>
      <c r="D631" t="s">
        <v>6</v>
      </c>
      <c r="E631" s="1">
        <v>43168.36922453704</v>
      </c>
      <c r="F631" s="465">
        <v>43168.36922453704</v>
      </c>
      <c r="G631" s="464">
        <v>0.36874999999999997</v>
      </c>
      <c r="H631">
        <v>9.8000000000000007</v>
      </c>
      <c r="I631">
        <v>8</v>
      </c>
      <c r="J631" t="s">
        <v>129</v>
      </c>
      <c r="AF631">
        <f t="shared" si="44"/>
        <v>0</v>
      </c>
      <c r="AG631">
        <f t="shared" si="45"/>
        <v>0</v>
      </c>
      <c r="AH631">
        <f t="shared" si="46"/>
        <v>0</v>
      </c>
      <c r="AI631">
        <f t="shared" si="47"/>
        <v>1</v>
      </c>
      <c r="AJ631">
        <f t="shared" si="48"/>
        <v>1</v>
      </c>
      <c r="AK631">
        <f t="shared" si="49"/>
        <v>1</v>
      </c>
    </row>
    <row r="632" spans="1:37">
      <c r="A632">
        <v>8713</v>
      </c>
      <c r="B632" t="s">
        <v>88</v>
      </c>
      <c r="C632" t="s">
        <v>88</v>
      </c>
      <c r="D632" t="s">
        <v>5</v>
      </c>
      <c r="E632" s="1">
        <v>43168.777488425927</v>
      </c>
      <c r="F632" s="465">
        <v>43168.777488425927</v>
      </c>
      <c r="G632" s="464">
        <v>0.77708333333333324</v>
      </c>
      <c r="H632" t="s">
        <v>129</v>
      </c>
      <c r="I632" t="s">
        <v>129</v>
      </c>
      <c r="J632" t="s">
        <v>129</v>
      </c>
      <c r="AF632">
        <f t="shared" si="44"/>
        <v>0</v>
      </c>
      <c r="AG632">
        <f t="shared" si="45"/>
        <v>0</v>
      </c>
      <c r="AH632">
        <f t="shared" si="46"/>
        <v>0</v>
      </c>
      <c r="AI632">
        <f t="shared" si="47"/>
        <v>1</v>
      </c>
      <c r="AJ632">
        <f t="shared" si="48"/>
        <v>1</v>
      </c>
      <c r="AK632">
        <f t="shared" si="49"/>
        <v>1</v>
      </c>
    </row>
    <row r="633" spans="1:37">
      <c r="A633">
        <v>8745</v>
      </c>
      <c r="B633" t="s">
        <v>88</v>
      </c>
      <c r="C633" t="s">
        <v>88</v>
      </c>
      <c r="D633" t="s">
        <v>7</v>
      </c>
      <c r="E633" s="1">
        <v>43170.653912037036</v>
      </c>
      <c r="F633" s="465">
        <v>43170.653912037036</v>
      </c>
      <c r="G633" s="464">
        <v>0.65347222222222223</v>
      </c>
      <c r="H633" t="s">
        <v>129</v>
      </c>
      <c r="I633" t="s">
        <v>129</v>
      </c>
      <c r="J633" t="s">
        <v>129</v>
      </c>
      <c r="K633">
        <v>3.1999999999999993</v>
      </c>
      <c r="M633">
        <v>2</v>
      </c>
      <c r="N633">
        <v>1.1999999999999993</v>
      </c>
      <c r="AF633">
        <f t="shared" si="44"/>
        <v>0</v>
      </c>
      <c r="AG633">
        <f t="shared" si="45"/>
        <v>0</v>
      </c>
      <c r="AH633">
        <f t="shared" si="46"/>
        <v>0</v>
      </c>
      <c r="AI633">
        <f t="shared" si="47"/>
        <v>0</v>
      </c>
      <c r="AJ633">
        <f t="shared" si="48"/>
        <v>1</v>
      </c>
      <c r="AK633">
        <f t="shared" si="49"/>
        <v>0</v>
      </c>
    </row>
    <row r="634" spans="1:37">
      <c r="A634">
        <v>8758</v>
      </c>
      <c r="B634" t="s">
        <v>88</v>
      </c>
      <c r="C634" t="s">
        <v>88</v>
      </c>
      <c r="D634" t="s">
        <v>8</v>
      </c>
      <c r="E634" s="1">
        <v>43170.787361111114</v>
      </c>
      <c r="F634" s="465">
        <v>43170.787361111114</v>
      </c>
      <c r="G634" s="464">
        <v>0.78680555555555554</v>
      </c>
      <c r="H634" t="s">
        <v>129</v>
      </c>
      <c r="I634" t="s">
        <v>129</v>
      </c>
      <c r="J634" t="s">
        <v>129</v>
      </c>
      <c r="AF634">
        <f t="shared" si="44"/>
        <v>0</v>
      </c>
      <c r="AG634">
        <f t="shared" si="45"/>
        <v>0</v>
      </c>
      <c r="AH634">
        <f t="shared" si="46"/>
        <v>0</v>
      </c>
      <c r="AI634">
        <f t="shared" si="47"/>
        <v>1</v>
      </c>
      <c r="AJ634">
        <f t="shared" si="48"/>
        <v>1</v>
      </c>
      <c r="AK634">
        <f t="shared" si="49"/>
        <v>1</v>
      </c>
    </row>
    <row r="635" spans="1:37">
      <c r="A635">
        <v>8768</v>
      </c>
      <c r="B635" t="s">
        <v>88</v>
      </c>
      <c r="C635" t="s">
        <v>88</v>
      </c>
      <c r="D635" t="s">
        <v>6</v>
      </c>
      <c r="E635" s="1">
        <v>43171.371006944442</v>
      </c>
      <c r="F635" s="465">
        <v>43171.371006944442</v>
      </c>
      <c r="G635" s="464">
        <v>0.37083333333333335</v>
      </c>
      <c r="H635">
        <v>9.6000000000000014</v>
      </c>
      <c r="I635">
        <v>8</v>
      </c>
      <c r="J635" t="s">
        <v>129</v>
      </c>
      <c r="AF635">
        <f t="shared" si="44"/>
        <v>0</v>
      </c>
      <c r="AG635">
        <f t="shared" si="45"/>
        <v>0</v>
      </c>
      <c r="AH635">
        <f t="shared" si="46"/>
        <v>0</v>
      </c>
      <c r="AI635">
        <f t="shared" si="47"/>
        <v>1</v>
      </c>
      <c r="AJ635">
        <f t="shared" si="48"/>
        <v>1</v>
      </c>
      <c r="AK635">
        <f t="shared" si="49"/>
        <v>1</v>
      </c>
    </row>
    <row r="636" spans="1:37">
      <c r="A636">
        <v>8781</v>
      </c>
      <c r="B636" t="s">
        <v>89</v>
      </c>
      <c r="C636" t="s">
        <v>88</v>
      </c>
      <c r="D636" t="s">
        <v>5</v>
      </c>
      <c r="E636" s="1">
        <v>43171.771099537036</v>
      </c>
      <c r="F636" s="465">
        <v>43171.771099537036</v>
      </c>
      <c r="G636" s="464">
        <v>0.77083333333333337</v>
      </c>
      <c r="H636" t="s">
        <v>129</v>
      </c>
      <c r="I636" t="s">
        <v>129</v>
      </c>
      <c r="J636" t="s">
        <v>129</v>
      </c>
      <c r="AF636">
        <f t="shared" si="44"/>
        <v>0</v>
      </c>
      <c r="AG636">
        <f t="shared" si="45"/>
        <v>0</v>
      </c>
      <c r="AH636">
        <f t="shared" si="46"/>
        <v>0</v>
      </c>
      <c r="AI636">
        <f t="shared" si="47"/>
        <v>1</v>
      </c>
      <c r="AJ636">
        <f t="shared" si="48"/>
        <v>1</v>
      </c>
      <c r="AK636">
        <f t="shared" si="49"/>
        <v>1</v>
      </c>
    </row>
    <row r="637" spans="1:37">
      <c r="A637">
        <v>8782</v>
      </c>
      <c r="B637" t="s">
        <v>89</v>
      </c>
      <c r="C637" t="s">
        <v>88</v>
      </c>
      <c r="D637" t="s">
        <v>7</v>
      </c>
      <c r="E637" s="1">
        <v>43171.771180555559</v>
      </c>
      <c r="F637" s="465">
        <v>43171.771180555559</v>
      </c>
      <c r="G637" s="464">
        <v>0.77083333333333337</v>
      </c>
      <c r="H637" t="s">
        <v>129</v>
      </c>
      <c r="I637" t="s">
        <v>129</v>
      </c>
      <c r="J637" t="s">
        <v>129</v>
      </c>
      <c r="K637">
        <v>0.79999999999999982</v>
      </c>
      <c r="M637">
        <v>0.79999999999999982</v>
      </c>
      <c r="N637">
        <v>0</v>
      </c>
      <c r="AF637">
        <f t="shared" si="44"/>
        <v>0</v>
      </c>
      <c r="AG637">
        <f t="shared" si="45"/>
        <v>0</v>
      </c>
      <c r="AH637">
        <f t="shared" si="46"/>
        <v>0</v>
      </c>
      <c r="AI637">
        <f t="shared" si="47"/>
        <v>0</v>
      </c>
      <c r="AJ637">
        <f t="shared" si="48"/>
        <v>1</v>
      </c>
      <c r="AK637">
        <f t="shared" si="49"/>
        <v>0</v>
      </c>
    </row>
    <row r="638" spans="1:37">
      <c r="A638">
        <v>8791</v>
      </c>
      <c r="B638" t="s">
        <v>89</v>
      </c>
      <c r="C638" t="s">
        <v>88</v>
      </c>
      <c r="D638" t="s">
        <v>8</v>
      </c>
      <c r="E638" s="1">
        <v>43171.804340277777</v>
      </c>
      <c r="F638" s="465">
        <v>43171.804340277777</v>
      </c>
      <c r="G638" s="464">
        <v>0.8041666666666667</v>
      </c>
      <c r="H638" t="s">
        <v>129</v>
      </c>
      <c r="I638" t="s">
        <v>129</v>
      </c>
      <c r="J638" t="s">
        <v>129</v>
      </c>
      <c r="AF638">
        <f t="shared" si="44"/>
        <v>0</v>
      </c>
      <c r="AG638">
        <f t="shared" si="45"/>
        <v>0</v>
      </c>
      <c r="AH638">
        <f t="shared" si="46"/>
        <v>0</v>
      </c>
      <c r="AI638">
        <f t="shared" si="47"/>
        <v>1</v>
      </c>
      <c r="AJ638">
        <f t="shared" si="48"/>
        <v>1</v>
      </c>
      <c r="AK638">
        <f t="shared" si="49"/>
        <v>1</v>
      </c>
    </row>
    <row r="639" spans="1:37">
      <c r="A639">
        <v>8809</v>
      </c>
      <c r="B639" t="s">
        <v>88</v>
      </c>
      <c r="C639" t="s">
        <v>88</v>
      </c>
      <c r="D639" t="s">
        <v>6</v>
      </c>
      <c r="E639" s="1">
        <v>43172.36991898148</v>
      </c>
      <c r="F639" s="465">
        <v>43172.36991898148</v>
      </c>
      <c r="G639" s="464">
        <v>0.36944444444444446</v>
      </c>
      <c r="H639">
        <v>9.65</v>
      </c>
      <c r="I639">
        <v>8</v>
      </c>
      <c r="J639" t="s">
        <v>129</v>
      </c>
      <c r="AF639">
        <f t="shared" si="44"/>
        <v>0</v>
      </c>
      <c r="AG639">
        <f t="shared" si="45"/>
        <v>0</v>
      </c>
      <c r="AH639">
        <f t="shared" si="46"/>
        <v>0</v>
      </c>
      <c r="AI639">
        <f t="shared" si="47"/>
        <v>1</v>
      </c>
      <c r="AJ639">
        <f t="shared" si="48"/>
        <v>1</v>
      </c>
      <c r="AK639">
        <f t="shared" si="49"/>
        <v>1</v>
      </c>
    </row>
    <row r="640" spans="1:37">
      <c r="A640">
        <v>8814</v>
      </c>
      <c r="B640" t="s">
        <v>89</v>
      </c>
      <c r="C640" t="s">
        <v>88</v>
      </c>
      <c r="D640" t="s">
        <v>5</v>
      </c>
      <c r="E640" s="1">
        <v>43172.771678240744</v>
      </c>
      <c r="F640" s="465">
        <v>43172.771678240744</v>
      </c>
      <c r="G640" s="464">
        <v>0.7715277777777777</v>
      </c>
      <c r="H640" t="s">
        <v>129</v>
      </c>
      <c r="I640" t="s">
        <v>129</v>
      </c>
      <c r="J640" t="s">
        <v>129</v>
      </c>
      <c r="AF640">
        <f t="shared" si="44"/>
        <v>0</v>
      </c>
      <c r="AG640">
        <f t="shared" si="45"/>
        <v>0</v>
      </c>
      <c r="AH640">
        <f t="shared" si="46"/>
        <v>0</v>
      </c>
      <c r="AI640">
        <f t="shared" si="47"/>
        <v>1</v>
      </c>
      <c r="AJ640">
        <f t="shared" si="48"/>
        <v>1</v>
      </c>
      <c r="AK640">
        <f t="shared" si="49"/>
        <v>1</v>
      </c>
    </row>
    <row r="641" spans="1:37">
      <c r="A641">
        <v>8815</v>
      </c>
      <c r="B641" t="s">
        <v>89</v>
      </c>
      <c r="C641" t="s">
        <v>88</v>
      </c>
      <c r="D641" t="s">
        <v>7</v>
      </c>
      <c r="E641" s="1">
        <v>43172.771886574075</v>
      </c>
      <c r="F641" s="465">
        <v>43172.771886574075</v>
      </c>
      <c r="G641" s="464">
        <v>0.7715277777777777</v>
      </c>
      <c r="H641" t="s">
        <v>129</v>
      </c>
      <c r="I641" t="s">
        <v>129</v>
      </c>
      <c r="J641" t="s">
        <v>129</v>
      </c>
      <c r="K641">
        <v>1.5499999999999998</v>
      </c>
      <c r="M641">
        <v>1.5499999999999998</v>
      </c>
      <c r="N641">
        <v>0</v>
      </c>
      <c r="AF641">
        <f t="shared" si="44"/>
        <v>0</v>
      </c>
      <c r="AG641">
        <f t="shared" si="45"/>
        <v>0</v>
      </c>
      <c r="AH641">
        <f t="shared" si="46"/>
        <v>0</v>
      </c>
      <c r="AI641">
        <f t="shared" si="47"/>
        <v>0</v>
      </c>
      <c r="AJ641">
        <f t="shared" si="48"/>
        <v>1</v>
      </c>
      <c r="AK641">
        <f t="shared" si="49"/>
        <v>0</v>
      </c>
    </row>
    <row r="642" spans="1:37">
      <c r="A642">
        <v>8828</v>
      </c>
      <c r="B642" t="s">
        <v>89</v>
      </c>
      <c r="C642" t="s">
        <v>88</v>
      </c>
      <c r="D642" t="s">
        <v>8</v>
      </c>
      <c r="E642" s="1">
        <v>43172.836226851854</v>
      </c>
      <c r="F642" s="465">
        <v>43172.836226851854</v>
      </c>
      <c r="G642" s="464">
        <v>0.83611111111111114</v>
      </c>
      <c r="H642" t="s">
        <v>129</v>
      </c>
      <c r="I642" t="s">
        <v>129</v>
      </c>
      <c r="J642" t="s">
        <v>129</v>
      </c>
    </row>
    <row r="643" spans="1:37">
      <c r="A643">
        <v>8843</v>
      </c>
      <c r="B643" t="s">
        <v>88</v>
      </c>
      <c r="C643" t="s">
        <v>88</v>
      </c>
      <c r="D643" t="s">
        <v>6</v>
      </c>
      <c r="E643" s="1">
        <v>43173.371018518519</v>
      </c>
      <c r="F643" s="465">
        <v>43173.371018518519</v>
      </c>
      <c r="G643" s="464">
        <v>0.37083333333333335</v>
      </c>
      <c r="H643">
        <v>9.6166666666666671</v>
      </c>
      <c r="I643">
        <v>8</v>
      </c>
      <c r="J643" t="s">
        <v>129</v>
      </c>
    </row>
    <row r="644" spans="1:37">
      <c r="A644">
        <v>8852</v>
      </c>
      <c r="B644" t="s">
        <v>89</v>
      </c>
      <c r="C644" t="s">
        <v>88</v>
      </c>
      <c r="D644" t="s">
        <v>5</v>
      </c>
      <c r="E644" s="1">
        <v>43173.77175925926</v>
      </c>
      <c r="F644" s="465">
        <v>43173.77175925926</v>
      </c>
      <c r="G644" s="464">
        <v>0.7715277777777777</v>
      </c>
      <c r="H644" t="s">
        <v>129</v>
      </c>
      <c r="I644" t="s">
        <v>129</v>
      </c>
      <c r="J644" t="s">
        <v>129</v>
      </c>
    </row>
    <row r="645" spans="1:37">
      <c r="A645">
        <v>8855</v>
      </c>
      <c r="B645" t="s">
        <v>89</v>
      </c>
      <c r="C645" t="s">
        <v>88</v>
      </c>
      <c r="D645" t="s">
        <v>7</v>
      </c>
      <c r="E645" s="1">
        <v>43173.771898148145</v>
      </c>
      <c r="F645" s="465">
        <v>43173.771898148145</v>
      </c>
      <c r="G645" s="464">
        <v>0.7715277777777777</v>
      </c>
      <c r="H645" t="s">
        <v>129</v>
      </c>
      <c r="I645" t="s">
        <v>129</v>
      </c>
      <c r="J645" t="s">
        <v>129</v>
      </c>
      <c r="K645">
        <v>2.166666666666667</v>
      </c>
      <c r="M645">
        <v>2</v>
      </c>
      <c r="N645">
        <v>0.16666666666666696</v>
      </c>
    </row>
    <row r="646" spans="1:37">
      <c r="A646">
        <v>8866</v>
      </c>
      <c r="B646" t="s">
        <v>89</v>
      </c>
      <c r="C646" t="s">
        <v>88</v>
      </c>
      <c r="D646" t="s">
        <v>8</v>
      </c>
      <c r="E646" s="1">
        <v>43173.861967592595</v>
      </c>
      <c r="F646" s="465">
        <v>43173.861967592595</v>
      </c>
      <c r="G646" s="464">
        <v>0.8618055555555556</v>
      </c>
      <c r="H646" t="s">
        <v>129</v>
      </c>
      <c r="I646" t="s">
        <v>129</v>
      </c>
      <c r="J646" t="s">
        <v>129</v>
      </c>
    </row>
    <row r="647" spans="1:37">
      <c r="A647">
        <v>8879</v>
      </c>
      <c r="B647" t="s">
        <v>88</v>
      </c>
      <c r="C647" t="s">
        <v>88</v>
      </c>
      <c r="D647" t="s">
        <v>6</v>
      </c>
      <c r="E647" s="1">
        <v>43174.371828703705</v>
      </c>
      <c r="F647" s="465">
        <v>43174.371828703705</v>
      </c>
      <c r="G647" s="464">
        <v>0.37152777777777773</v>
      </c>
      <c r="H647">
        <v>9.75</v>
      </c>
      <c r="I647">
        <v>8</v>
      </c>
      <c r="J647" t="s">
        <v>129</v>
      </c>
    </row>
    <row r="648" spans="1:37">
      <c r="A648">
        <v>8897</v>
      </c>
      <c r="B648" t="s">
        <v>89</v>
      </c>
      <c r="C648" t="s">
        <v>88</v>
      </c>
      <c r="D648" t="s">
        <v>5</v>
      </c>
      <c r="E648" s="1">
        <v>43174.777789351851</v>
      </c>
      <c r="F648" s="465">
        <v>43174.777789351851</v>
      </c>
      <c r="G648" s="464">
        <v>0.77777777777777779</v>
      </c>
      <c r="H648" t="s">
        <v>129</v>
      </c>
      <c r="I648" t="s">
        <v>129</v>
      </c>
      <c r="J648" t="s">
        <v>129</v>
      </c>
    </row>
    <row r="649" spans="1:37">
      <c r="A649">
        <v>8913</v>
      </c>
      <c r="B649" t="s">
        <v>88</v>
      </c>
      <c r="C649" t="s">
        <v>88</v>
      </c>
      <c r="D649" t="s">
        <v>6</v>
      </c>
      <c r="E649" s="1">
        <v>43175.367476851854</v>
      </c>
      <c r="F649" s="465">
        <v>43175.367476851854</v>
      </c>
      <c r="G649" s="464">
        <v>0.36736111111111108</v>
      </c>
      <c r="H649">
        <v>10.166666666666664</v>
      </c>
      <c r="I649">
        <v>8</v>
      </c>
      <c r="J649" t="s">
        <v>129</v>
      </c>
    </row>
    <row r="650" spans="1:37">
      <c r="A650">
        <v>8932</v>
      </c>
      <c r="B650" t="s">
        <v>89</v>
      </c>
      <c r="C650" t="s">
        <v>88</v>
      </c>
      <c r="D650" t="s">
        <v>5</v>
      </c>
      <c r="E650" s="1">
        <v>43175.791076388887</v>
      </c>
      <c r="F650" s="465">
        <v>43175.791076388887</v>
      </c>
      <c r="G650" s="464">
        <v>0.7909722222222223</v>
      </c>
      <c r="H650" t="s">
        <v>129</v>
      </c>
      <c r="I650" t="s">
        <v>129</v>
      </c>
      <c r="J650" t="s">
        <v>129</v>
      </c>
    </row>
    <row r="651" spans="1:37">
      <c r="A651">
        <v>8978</v>
      </c>
      <c r="B651" t="s">
        <v>88</v>
      </c>
      <c r="C651" t="s">
        <v>88</v>
      </c>
      <c r="D651" t="s">
        <v>6</v>
      </c>
      <c r="E651" s="1">
        <v>43178.369305555556</v>
      </c>
      <c r="F651" s="465">
        <v>43178.369305555556</v>
      </c>
      <c r="G651" s="464">
        <v>0.36874999999999997</v>
      </c>
      <c r="H651">
        <v>9.533333333333335</v>
      </c>
      <c r="I651">
        <v>8</v>
      </c>
      <c r="J651" t="s">
        <v>129</v>
      </c>
    </row>
    <row r="652" spans="1:37">
      <c r="A652">
        <v>8985</v>
      </c>
      <c r="B652" t="s">
        <v>88</v>
      </c>
      <c r="C652" t="s">
        <v>88</v>
      </c>
      <c r="D652" t="s">
        <v>5</v>
      </c>
      <c r="E652" s="1">
        <v>43178.766215277778</v>
      </c>
      <c r="F652" s="465">
        <v>43178.766215277778</v>
      </c>
      <c r="G652" s="464">
        <v>0.76597222222222217</v>
      </c>
      <c r="H652" t="s">
        <v>129</v>
      </c>
      <c r="I652" t="s">
        <v>129</v>
      </c>
      <c r="J652" t="s">
        <v>129</v>
      </c>
    </row>
    <row r="653" spans="1:37">
      <c r="A653">
        <v>8994</v>
      </c>
      <c r="B653" t="s">
        <v>88</v>
      </c>
      <c r="C653" t="s">
        <v>88</v>
      </c>
      <c r="D653" t="s">
        <v>7</v>
      </c>
      <c r="E653" s="1">
        <v>43178.780497685184</v>
      </c>
      <c r="F653" s="465">
        <v>43178.780497685184</v>
      </c>
      <c r="G653" s="464">
        <v>0.77986111111111101</v>
      </c>
      <c r="H653" t="s">
        <v>129</v>
      </c>
      <c r="I653" t="s">
        <v>129</v>
      </c>
      <c r="J653" t="s">
        <v>129</v>
      </c>
      <c r="K653">
        <v>1.7166666666666659</v>
      </c>
      <c r="M653">
        <v>1.7166666666666659</v>
      </c>
      <c r="N653">
        <v>0</v>
      </c>
    </row>
    <row r="654" spans="1:37">
      <c r="A654">
        <v>8999</v>
      </c>
      <c r="B654" t="s">
        <v>89</v>
      </c>
      <c r="C654" t="s">
        <v>88</v>
      </c>
      <c r="D654" t="s">
        <v>8</v>
      </c>
      <c r="E654" s="1">
        <v>43178.851469907408</v>
      </c>
      <c r="F654" s="465">
        <v>43178.851469907408</v>
      </c>
      <c r="G654" s="464">
        <v>0.85138888888888886</v>
      </c>
      <c r="H654" t="s">
        <v>129</v>
      </c>
      <c r="I654" t="s">
        <v>129</v>
      </c>
      <c r="J654" t="s">
        <v>129</v>
      </c>
    </row>
    <row r="655" spans="1:37">
      <c r="A655">
        <v>9016</v>
      </c>
      <c r="B655" t="s">
        <v>88</v>
      </c>
      <c r="C655" t="s">
        <v>88</v>
      </c>
      <c r="D655" t="s">
        <v>6</v>
      </c>
      <c r="E655" s="1">
        <v>43179.37054398148</v>
      </c>
      <c r="F655" s="465">
        <v>43179.37054398148</v>
      </c>
      <c r="G655" s="464">
        <v>0.37013888888888885</v>
      </c>
      <c r="H655">
        <v>9.6333333333333329</v>
      </c>
      <c r="I655">
        <v>8</v>
      </c>
      <c r="J655" t="s">
        <v>129</v>
      </c>
    </row>
    <row r="656" spans="1:37">
      <c r="A656">
        <v>9031</v>
      </c>
      <c r="B656" t="s">
        <v>89</v>
      </c>
      <c r="C656" t="s">
        <v>88</v>
      </c>
      <c r="D656" t="s">
        <v>5</v>
      </c>
      <c r="E656" s="1">
        <v>43179.771666666667</v>
      </c>
      <c r="F656" s="465">
        <v>43179.771666666667</v>
      </c>
      <c r="G656" s="464">
        <v>0.7715277777777777</v>
      </c>
      <c r="H656" t="s">
        <v>129</v>
      </c>
      <c r="I656" t="s">
        <v>129</v>
      </c>
      <c r="J656" t="s">
        <v>129</v>
      </c>
    </row>
    <row r="657" spans="1:14">
      <c r="A657">
        <v>9032</v>
      </c>
      <c r="B657" t="s">
        <v>89</v>
      </c>
      <c r="C657" t="s">
        <v>88</v>
      </c>
      <c r="D657" t="s">
        <v>7</v>
      </c>
      <c r="E657" s="1">
        <v>43179.771701388891</v>
      </c>
      <c r="F657" s="465">
        <v>43179.771701388891</v>
      </c>
      <c r="G657" s="464">
        <v>0.7715277777777777</v>
      </c>
      <c r="H657" t="s">
        <v>129</v>
      </c>
      <c r="I657" t="s">
        <v>129</v>
      </c>
      <c r="J657" t="s">
        <v>129</v>
      </c>
      <c r="K657">
        <v>0.39999999999999858</v>
      </c>
      <c r="M657">
        <v>0.39999999999999858</v>
      </c>
      <c r="N657">
        <v>0</v>
      </c>
    </row>
    <row r="658" spans="1:14">
      <c r="A658">
        <v>9036</v>
      </c>
      <c r="B658" t="s">
        <v>89</v>
      </c>
      <c r="C658" t="s">
        <v>88</v>
      </c>
      <c r="D658" t="s">
        <v>8</v>
      </c>
      <c r="E658" s="1">
        <v>43179.788703703707</v>
      </c>
      <c r="F658" s="465">
        <v>43179.788703703707</v>
      </c>
      <c r="G658" s="464">
        <v>0.78819444444444453</v>
      </c>
      <c r="H658" t="s">
        <v>129</v>
      </c>
      <c r="I658" t="s">
        <v>129</v>
      </c>
      <c r="J658" t="s">
        <v>129</v>
      </c>
    </row>
    <row r="659" spans="1:14">
      <c r="A659">
        <v>9053</v>
      </c>
      <c r="B659" t="s">
        <v>88</v>
      </c>
      <c r="C659" t="s">
        <v>88</v>
      </c>
      <c r="D659" t="s">
        <v>6</v>
      </c>
      <c r="E659" s="1">
        <v>43180.370289351849</v>
      </c>
      <c r="F659" s="465">
        <v>43180.370289351849</v>
      </c>
      <c r="G659" s="464">
        <v>0.37013888888888885</v>
      </c>
      <c r="H659">
        <v>9.8666666666666671</v>
      </c>
      <c r="I659">
        <v>8</v>
      </c>
      <c r="J659" t="s">
        <v>129</v>
      </c>
    </row>
    <row r="660" spans="1:14">
      <c r="A660">
        <v>9069</v>
      </c>
      <c r="B660" t="s">
        <v>88</v>
      </c>
      <c r="C660" t="s">
        <v>88</v>
      </c>
      <c r="D660" t="s">
        <v>5</v>
      </c>
      <c r="E660" s="1">
        <v>43180.781828703701</v>
      </c>
      <c r="F660" s="465">
        <v>43180.781828703701</v>
      </c>
      <c r="G660" s="464">
        <v>0.78125</v>
      </c>
      <c r="H660" t="s">
        <v>129</v>
      </c>
      <c r="I660" t="s">
        <v>129</v>
      </c>
      <c r="J660" t="s">
        <v>129</v>
      </c>
    </row>
    <row r="661" spans="1:14">
      <c r="A661">
        <v>9088</v>
      </c>
      <c r="B661" t="s">
        <v>88</v>
      </c>
      <c r="C661" t="s">
        <v>88</v>
      </c>
      <c r="D661" t="s">
        <v>6</v>
      </c>
      <c r="E661" s="1">
        <v>43181.370983796296</v>
      </c>
      <c r="F661" s="465">
        <v>43181.370983796296</v>
      </c>
      <c r="G661" s="464">
        <v>0.37083333333333335</v>
      </c>
      <c r="H661">
        <v>9.6000000000000014</v>
      </c>
      <c r="I661">
        <v>8</v>
      </c>
      <c r="J661" t="s">
        <v>129</v>
      </c>
    </row>
    <row r="662" spans="1:14">
      <c r="A662">
        <v>9099</v>
      </c>
      <c r="B662" t="s">
        <v>89</v>
      </c>
      <c r="C662" t="s">
        <v>88</v>
      </c>
      <c r="D662" t="s">
        <v>5</v>
      </c>
      <c r="E662" s="1">
        <v>43181.770856481482</v>
      </c>
      <c r="F662" s="465">
        <v>43181.770856481482</v>
      </c>
      <c r="G662" s="464">
        <v>0.77083333333333337</v>
      </c>
      <c r="H662" t="s">
        <v>129</v>
      </c>
      <c r="I662" t="s">
        <v>129</v>
      </c>
      <c r="J662" t="s">
        <v>129</v>
      </c>
    </row>
    <row r="663" spans="1:14">
      <c r="A663">
        <v>9102</v>
      </c>
      <c r="B663" t="s">
        <v>89</v>
      </c>
      <c r="C663" t="s">
        <v>88</v>
      </c>
      <c r="D663" t="s">
        <v>7</v>
      </c>
      <c r="E663" s="1">
        <v>43181.791145833333</v>
      </c>
      <c r="F663" s="465">
        <v>43181.791145833333</v>
      </c>
      <c r="G663" s="464">
        <v>0.7909722222222223</v>
      </c>
      <c r="H663" t="s">
        <v>129</v>
      </c>
      <c r="I663" t="s">
        <v>129</v>
      </c>
      <c r="J663" t="s">
        <v>129</v>
      </c>
      <c r="K663">
        <v>3.3000000000000016</v>
      </c>
      <c r="M663">
        <v>2</v>
      </c>
      <c r="N663">
        <v>1.3000000000000016</v>
      </c>
    </row>
    <row r="664" spans="1:14">
      <c r="A664">
        <v>9111</v>
      </c>
      <c r="B664" t="s">
        <v>88</v>
      </c>
      <c r="C664" t="s">
        <v>88</v>
      </c>
      <c r="D664" t="s">
        <v>8</v>
      </c>
      <c r="E664" s="1">
        <v>43181.928819444445</v>
      </c>
      <c r="F664" s="465">
        <v>43181.928819444445</v>
      </c>
      <c r="G664" s="464">
        <v>0.92847222222222225</v>
      </c>
      <c r="H664" t="s">
        <v>129</v>
      </c>
      <c r="I664" t="s">
        <v>129</v>
      </c>
      <c r="J664" t="s">
        <v>129</v>
      </c>
    </row>
    <row r="665" spans="1:14">
      <c r="A665">
        <v>9123</v>
      </c>
      <c r="B665" t="s">
        <v>88</v>
      </c>
      <c r="C665" t="s">
        <v>88</v>
      </c>
      <c r="D665" t="s">
        <v>6</v>
      </c>
      <c r="E665" s="1">
        <v>43182.372719907406</v>
      </c>
      <c r="F665" s="465">
        <v>43182.372719907406</v>
      </c>
      <c r="G665" s="464">
        <v>0.37222222222222223</v>
      </c>
      <c r="H665">
        <v>9.5166666666666675</v>
      </c>
      <c r="I665">
        <v>8</v>
      </c>
      <c r="J665" t="s">
        <v>129</v>
      </c>
    </row>
    <row r="666" spans="1:14">
      <c r="A666">
        <v>9132</v>
      </c>
      <c r="B666" t="s">
        <v>88</v>
      </c>
      <c r="C666" t="s">
        <v>88</v>
      </c>
      <c r="D666" t="s">
        <v>5</v>
      </c>
      <c r="E666" s="1">
        <v>43182.769293981481</v>
      </c>
      <c r="F666" s="465">
        <v>43182.769293981481</v>
      </c>
      <c r="G666" s="464">
        <v>0.76874999999999993</v>
      </c>
      <c r="H666" t="s">
        <v>129</v>
      </c>
      <c r="I666" t="s">
        <v>129</v>
      </c>
      <c r="J666" t="s">
        <v>129</v>
      </c>
    </row>
    <row r="667" spans="1:14">
      <c r="A667">
        <v>9141</v>
      </c>
      <c r="B667" t="s">
        <v>88</v>
      </c>
      <c r="C667" t="s">
        <v>88</v>
      </c>
      <c r="D667" t="s">
        <v>6</v>
      </c>
      <c r="E667" s="1">
        <v>43185.368750000001</v>
      </c>
      <c r="F667" s="465">
        <v>43185.368750000001</v>
      </c>
      <c r="G667" s="464">
        <v>0.36874999999999997</v>
      </c>
      <c r="H667">
        <v>9.8333333333333321</v>
      </c>
      <c r="I667">
        <v>8</v>
      </c>
      <c r="J667" t="s">
        <v>129</v>
      </c>
    </row>
    <row r="668" spans="1:14">
      <c r="A668">
        <v>9154</v>
      </c>
      <c r="B668" t="s">
        <v>89</v>
      </c>
      <c r="C668" t="s">
        <v>88</v>
      </c>
      <c r="D668" t="s">
        <v>5</v>
      </c>
      <c r="E668" s="1">
        <v>43185.778981481482</v>
      </c>
      <c r="F668" s="465">
        <v>43185.778981481482</v>
      </c>
      <c r="G668" s="464">
        <v>0.77847222222222223</v>
      </c>
      <c r="H668" t="s">
        <v>129</v>
      </c>
      <c r="I668" t="s">
        <v>129</v>
      </c>
      <c r="J668" t="s">
        <v>129</v>
      </c>
    </row>
    <row r="669" spans="1:14">
      <c r="A669">
        <v>9168</v>
      </c>
      <c r="B669" t="s">
        <v>88</v>
      </c>
      <c r="C669" t="s">
        <v>88</v>
      </c>
      <c r="D669" t="s">
        <v>6</v>
      </c>
      <c r="E669" s="1">
        <v>43186.369687500002</v>
      </c>
      <c r="F669" s="465">
        <v>43186.369687500002</v>
      </c>
      <c r="G669" s="464">
        <v>0.36944444444444446</v>
      </c>
      <c r="H669">
        <v>9.966666666666665</v>
      </c>
      <c r="I669">
        <v>8</v>
      </c>
      <c r="J669" t="s">
        <v>129</v>
      </c>
    </row>
    <row r="670" spans="1:14">
      <c r="A670">
        <v>9182</v>
      </c>
      <c r="B670" t="s">
        <v>88</v>
      </c>
      <c r="C670" t="s">
        <v>88</v>
      </c>
      <c r="D670" t="s">
        <v>5</v>
      </c>
      <c r="E670" s="1">
        <v>43186.785162037035</v>
      </c>
      <c r="F670" s="465">
        <v>43186.785162037035</v>
      </c>
      <c r="G670" s="464">
        <v>0.78472222222222221</v>
      </c>
      <c r="H670" t="s">
        <v>129</v>
      </c>
      <c r="I670" t="s">
        <v>129</v>
      </c>
      <c r="J670" t="s">
        <v>129</v>
      </c>
    </row>
    <row r="671" spans="1:14">
      <c r="A671">
        <v>9196</v>
      </c>
      <c r="B671" t="s">
        <v>88</v>
      </c>
      <c r="C671" t="s">
        <v>88</v>
      </c>
      <c r="D671" t="s">
        <v>6</v>
      </c>
      <c r="E671" s="1">
        <v>43187.365277777775</v>
      </c>
      <c r="F671" s="465">
        <v>43187.365277777775</v>
      </c>
      <c r="G671" s="464">
        <v>0.36527777777777781</v>
      </c>
      <c r="H671">
        <v>9.6666666666666679</v>
      </c>
      <c r="I671">
        <v>8</v>
      </c>
      <c r="J671" t="s">
        <v>129</v>
      </c>
    </row>
    <row r="672" spans="1:14">
      <c r="A672">
        <v>9202</v>
      </c>
      <c r="B672" t="s">
        <v>89</v>
      </c>
      <c r="C672" t="s">
        <v>88</v>
      </c>
      <c r="D672" t="s">
        <v>5</v>
      </c>
      <c r="E672" s="1">
        <v>43187.768645833334</v>
      </c>
      <c r="F672" s="465">
        <v>43187.768645833334</v>
      </c>
      <c r="G672" s="464">
        <v>0.7680555555555556</v>
      </c>
      <c r="H672" t="s">
        <v>129</v>
      </c>
      <c r="I672" t="s">
        <v>129</v>
      </c>
      <c r="J672" t="s">
        <v>129</v>
      </c>
    </row>
    <row r="673" spans="1:10">
      <c r="A673">
        <v>9232</v>
      </c>
      <c r="B673" t="s">
        <v>88</v>
      </c>
      <c r="C673" t="s">
        <v>88</v>
      </c>
      <c r="D673" t="s">
        <v>6</v>
      </c>
      <c r="E673" s="1">
        <v>43188.369687500002</v>
      </c>
      <c r="F673" s="465">
        <v>43188.369687500002</v>
      </c>
      <c r="G673" s="464">
        <v>0.36944444444444446</v>
      </c>
      <c r="H673">
        <v>9.8833333333333329</v>
      </c>
      <c r="I673">
        <v>8</v>
      </c>
      <c r="J673" t="s">
        <v>129</v>
      </c>
    </row>
    <row r="674" spans="1:10">
      <c r="A674">
        <v>9249</v>
      </c>
      <c r="B674" t="s">
        <v>88</v>
      </c>
      <c r="C674" t="s">
        <v>88</v>
      </c>
      <c r="D674" t="s">
        <v>5</v>
      </c>
      <c r="E674" s="1">
        <v>43188.781307870369</v>
      </c>
      <c r="F674" s="465">
        <v>43188.781307870369</v>
      </c>
      <c r="G674" s="464">
        <v>0.78125</v>
      </c>
      <c r="H674" t="s">
        <v>129</v>
      </c>
      <c r="I674" t="s">
        <v>129</v>
      </c>
      <c r="J674" t="s">
        <v>129</v>
      </c>
    </row>
    <row r="675" spans="1:10">
      <c r="A675">
        <v>9264</v>
      </c>
      <c r="B675" t="s">
        <v>88</v>
      </c>
      <c r="C675" t="s">
        <v>88</v>
      </c>
      <c r="D675" t="s">
        <v>6</v>
      </c>
      <c r="E675" s="1">
        <v>43189.369467592594</v>
      </c>
      <c r="F675" s="465">
        <v>43189.369467592594</v>
      </c>
      <c r="G675" s="464">
        <v>0.36944444444444446</v>
      </c>
      <c r="H675">
        <v>9.7333333333333343</v>
      </c>
      <c r="I675">
        <v>8</v>
      </c>
      <c r="J675" t="s">
        <v>129</v>
      </c>
    </row>
    <row r="676" spans="1:10">
      <c r="A676">
        <v>9275</v>
      </c>
      <c r="B676" t="s">
        <v>88</v>
      </c>
      <c r="C676" t="s">
        <v>88</v>
      </c>
      <c r="D676" t="s">
        <v>5</v>
      </c>
      <c r="E676" s="1">
        <v>43189.775196759256</v>
      </c>
      <c r="F676" s="465">
        <v>43189.775196759256</v>
      </c>
      <c r="G676" s="464">
        <v>0.77500000000000002</v>
      </c>
      <c r="H676" t="s">
        <v>129</v>
      </c>
      <c r="I676" t="s">
        <v>129</v>
      </c>
      <c r="J676" t="s">
        <v>129</v>
      </c>
    </row>
    <row r="677" spans="1:10">
      <c r="A677">
        <v>9289</v>
      </c>
      <c r="B677" t="s">
        <v>88</v>
      </c>
      <c r="C677" t="s">
        <v>88</v>
      </c>
      <c r="D677" t="s">
        <v>6</v>
      </c>
      <c r="E677" s="1">
        <v>43190.368402777778</v>
      </c>
      <c r="F677" s="465">
        <v>43190.368402777778</v>
      </c>
      <c r="G677" s="464">
        <v>0.36805555555555558</v>
      </c>
      <c r="H677">
        <v>9.75</v>
      </c>
      <c r="I677">
        <v>8</v>
      </c>
      <c r="J677" t="s">
        <v>129</v>
      </c>
    </row>
    <row r="678" spans="1:10">
      <c r="A678">
        <v>9301</v>
      </c>
      <c r="B678" t="s">
        <v>88</v>
      </c>
      <c r="C678" t="s">
        <v>88</v>
      </c>
      <c r="D678" t="s">
        <v>5</v>
      </c>
      <c r="E678" s="1">
        <v>43190.774594907409</v>
      </c>
      <c r="F678" s="465">
        <v>43190.774594907409</v>
      </c>
      <c r="G678" s="464">
        <v>0.77430555555555547</v>
      </c>
      <c r="H678" t="s">
        <v>129</v>
      </c>
      <c r="I678" t="s">
        <v>129</v>
      </c>
      <c r="J678" t="s">
        <v>129</v>
      </c>
    </row>
    <row r="679" spans="1:10">
      <c r="A679">
        <v>8566</v>
      </c>
      <c r="B679" t="s">
        <v>12</v>
      </c>
      <c r="C679" t="s">
        <v>12</v>
      </c>
      <c r="D679" t="s">
        <v>6</v>
      </c>
      <c r="E679" s="1">
        <v>43164.380509259259</v>
      </c>
      <c r="F679" s="465">
        <v>43164.380509259259</v>
      </c>
      <c r="G679" s="464">
        <v>0.37986111111111115</v>
      </c>
      <c r="H679">
        <v>4.5</v>
      </c>
      <c r="I679">
        <v>3</v>
      </c>
      <c r="J679">
        <v>5</v>
      </c>
    </row>
    <row r="680" spans="1:10">
      <c r="A680">
        <v>8569</v>
      </c>
      <c r="B680" t="s">
        <v>12</v>
      </c>
      <c r="C680" t="s">
        <v>12</v>
      </c>
      <c r="D680" t="s">
        <v>5</v>
      </c>
      <c r="E680" s="1">
        <v>43164.567743055559</v>
      </c>
      <c r="F680" s="465">
        <v>43164.567743055559</v>
      </c>
      <c r="G680" s="464">
        <v>0.56736111111111109</v>
      </c>
      <c r="H680" t="s">
        <v>129</v>
      </c>
      <c r="I680" t="s">
        <v>129</v>
      </c>
      <c r="J680" t="s">
        <v>129</v>
      </c>
    </row>
    <row r="681" spans="1:10">
      <c r="A681">
        <v>8667</v>
      </c>
      <c r="B681" t="s">
        <v>12</v>
      </c>
      <c r="C681" t="s">
        <v>12</v>
      </c>
      <c r="D681" t="s">
        <v>6</v>
      </c>
      <c r="E681" s="1">
        <v>43167.368321759262</v>
      </c>
      <c r="F681" s="465">
        <v>43167.368321759262</v>
      </c>
      <c r="G681" s="464">
        <v>0.36805555555555558</v>
      </c>
      <c r="H681">
        <v>3.1666666666666661</v>
      </c>
      <c r="I681">
        <v>1.6666666666666661</v>
      </c>
      <c r="J681">
        <v>6.3333333333333339</v>
      </c>
    </row>
    <row r="682" spans="1:10">
      <c r="A682">
        <v>8569</v>
      </c>
      <c r="B682" t="s">
        <v>12</v>
      </c>
      <c r="C682" t="s">
        <v>12</v>
      </c>
      <c r="D682" t="s">
        <v>5</v>
      </c>
      <c r="E682" s="1">
        <v>43167.500381944446</v>
      </c>
      <c r="F682" s="465">
        <v>43167.500381944446</v>
      </c>
      <c r="G682" s="464">
        <v>0.5</v>
      </c>
      <c r="H682" t="s">
        <v>129</v>
      </c>
      <c r="I682" t="s">
        <v>129</v>
      </c>
      <c r="J682" t="s">
        <v>129</v>
      </c>
    </row>
    <row r="683" spans="1:10">
      <c r="A683">
        <v>8766</v>
      </c>
      <c r="B683" t="s">
        <v>12</v>
      </c>
      <c r="C683" t="s">
        <v>12</v>
      </c>
      <c r="D683" t="s">
        <v>6</v>
      </c>
      <c r="E683" s="1">
        <v>43171.370115740741</v>
      </c>
      <c r="F683" s="465">
        <v>43171.370115740741</v>
      </c>
      <c r="G683" s="464">
        <v>0.36944444444444446</v>
      </c>
      <c r="H683">
        <v>3.1333333333333329</v>
      </c>
      <c r="I683">
        <v>1.6333333333333329</v>
      </c>
      <c r="J683">
        <v>6.3666666666666671</v>
      </c>
    </row>
    <row r="684" spans="1:10">
      <c r="A684">
        <v>8569</v>
      </c>
      <c r="B684" t="s">
        <v>12</v>
      </c>
      <c r="C684" t="s">
        <v>12</v>
      </c>
      <c r="D684" t="s">
        <v>5</v>
      </c>
      <c r="E684" s="1">
        <v>43171.500381944446</v>
      </c>
      <c r="F684" s="465">
        <v>43171.500381944446</v>
      </c>
      <c r="G684" s="464">
        <v>0.5</v>
      </c>
      <c r="H684" t="s">
        <v>129</v>
      </c>
      <c r="I684" t="s">
        <v>129</v>
      </c>
      <c r="J684" t="s">
        <v>129</v>
      </c>
    </row>
    <row r="685" spans="1:10">
      <c r="A685">
        <v>9318</v>
      </c>
      <c r="B685" t="s">
        <v>12</v>
      </c>
      <c r="C685" t="s">
        <v>12</v>
      </c>
      <c r="D685" t="s">
        <v>6</v>
      </c>
      <c r="E685" s="1">
        <v>43192.367175925923</v>
      </c>
      <c r="F685" s="465">
        <v>43192.367175925923</v>
      </c>
      <c r="G685" s="464">
        <v>0.3666666666666667</v>
      </c>
      <c r="H685">
        <v>9.25</v>
      </c>
      <c r="I685">
        <v>7.75</v>
      </c>
      <c r="J685">
        <v>0.25</v>
      </c>
    </row>
    <row r="686" spans="1:10">
      <c r="A686">
        <v>9324</v>
      </c>
      <c r="B686" t="s">
        <v>12</v>
      </c>
      <c r="C686" t="s">
        <v>12</v>
      </c>
      <c r="D686" t="s">
        <v>5</v>
      </c>
      <c r="E686" s="1">
        <v>43192.752314814818</v>
      </c>
      <c r="F686" s="465">
        <v>43192.752314814818</v>
      </c>
      <c r="G686" s="464">
        <v>0.75208333333333333</v>
      </c>
      <c r="H686" t="s">
        <v>129</v>
      </c>
      <c r="I686" t="s">
        <v>129</v>
      </c>
      <c r="J686" t="s">
        <v>129</v>
      </c>
    </row>
    <row r="687" spans="1:10" s="421" customFormat="1">
      <c r="A687" s="421">
        <v>8492</v>
      </c>
      <c r="B687" s="421" t="s">
        <v>15</v>
      </c>
      <c r="C687" s="421" t="s">
        <v>15</v>
      </c>
      <c r="D687" s="421" t="s">
        <v>6</v>
      </c>
      <c r="E687" s="466">
        <v>43160.364583333336</v>
      </c>
      <c r="F687" s="467">
        <v>43160.364583333336</v>
      </c>
      <c r="G687" s="468">
        <v>0.36458333333333331</v>
      </c>
      <c r="H687" s="421">
        <v>10.083333333333334</v>
      </c>
      <c r="I687" s="421">
        <v>8</v>
      </c>
      <c r="J687" s="421" t="s">
        <v>129</v>
      </c>
    </row>
    <row r="688" spans="1:10">
      <c r="A688">
        <v>8506</v>
      </c>
      <c r="B688" t="s">
        <v>15</v>
      </c>
      <c r="C688" t="s">
        <v>15</v>
      </c>
      <c r="D688" t="s">
        <v>5</v>
      </c>
      <c r="E688" s="1">
        <v>43160.78497685185</v>
      </c>
      <c r="F688" s="465">
        <v>43160.78497685185</v>
      </c>
      <c r="G688" s="464">
        <v>0.78472222222222221</v>
      </c>
      <c r="H688" t="s">
        <v>129</v>
      </c>
      <c r="I688" t="s">
        <v>129</v>
      </c>
      <c r="J688" t="s">
        <v>129</v>
      </c>
    </row>
    <row r="689" spans="1:14">
      <c r="A689">
        <v>8507</v>
      </c>
      <c r="B689" t="s">
        <v>15</v>
      </c>
      <c r="C689" t="s">
        <v>15</v>
      </c>
      <c r="D689" t="s">
        <v>7</v>
      </c>
      <c r="E689" s="1">
        <v>43160.78502314815</v>
      </c>
      <c r="F689" s="465">
        <v>43160.78502314815</v>
      </c>
      <c r="G689" s="464">
        <v>0.78472222222222221</v>
      </c>
      <c r="H689" t="s">
        <v>129</v>
      </c>
      <c r="I689" t="s">
        <v>129</v>
      </c>
      <c r="J689" t="s">
        <v>129</v>
      </c>
      <c r="K689">
        <v>0.89999999999999947</v>
      </c>
      <c r="M689">
        <v>0.89999999999999947</v>
      </c>
      <c r="N689">
        <v>0</v>
      </c>
    </row>
    <row r="690" spans="1:14">
      <c r="A690">
        <v>8516</v>
      </c>
      <c r="B690" t="s">
        <v>15</v>
      </c>
      <c r="C690" t="s">
        <v>15</v>
      </c>
      <c r="D690" t="s">
        <v>8</v>
      </c>
      <c r="E690" s="1">
        <v>43160.822743055556</v>
      </c>
      <c r="F690" s="465">
        <v>43160.822743055556</v>
      </c>
      <c r="G690" s="464">
        <v>0.8222222222222223</v>
      </c>
      <c r="H690" t="s">
        <v>129</v>
      </c>
      <c r="I690" t="s">
        <v>129</v>
      </c>
      <c r="J690" t="s">
        <v>129</v>
      </c>
    </row>
    <row r="691" spans="1:14">
      <c r="A691">
        <v>8524</v>
      </c>
      <c r="B691" t="s">
        <v>15</v>
      </c>
      <c r="C691" t="s">
        <v>15</v>
      </c>
      <c r="D691" t="s">
        <v>6</v>
      </c>
      <c r="E691" s="1">
        <v>43161.365011574075</v>
      </c>
      <c r="F691" s="465">
        <v>43161.365011574075</v>
      </c>
      <c r="G691" s="464">
        <v>0.36458333333333331</v>
      </c>
      <c r="H691">
        <v>9.8166666666666682</v>
      </c>
      <c r="I691">
        <v>8</v>
      </c>
      <c r="J691" t="s">
        <v>129</v>
      </c>
    </row>
    <row r="692" spans="1:14">
      <c r="A692">
        <v>8538</v>
      </c>
      <c r="B692" t="s">
        <v>15</v>
      </c>
      <c r="C692" t="s">
        <v>15</v>
      </c>
      <c r="D692" t="s">
        <v>5</v>
      </c>
      <c r="E692" s="1">
        <v>43161.773622685185</v>
      </c>
      <c r="F692" s="465">
        <v>43161.773622685185</v>
      </c>
      <c r="G692" s="464">
        <v>0.77361111111111114</v>
      </c>
      <c r="H692" t="s">
        <v>129</v>
      </c>
      <c r="I692" t="s">
        <v>129</v>
      </c>
      <c r="J692" t="s">
        <v>129</v>
      </c>
    </row>
    <row r="693" spans="1:14">
      <c r="A693">
        <v>8539</v>
      </c>
      <c r="B693" t="s">
        <v>15</v>
      </c>
      <c r="C693" t="s">
        <v>15</v>
      </c>
      <c r="D693" t="s">
        <v>7</v>
      </c>
      <c r="E693" s="1">
        <v>43161.773668981485</v>
      </c>
      <c r="F693" s="465">
        <v>43161.773668981485</v>
      </c>
      <c r="G693" s="464">
        <v>0.77361111111111114</v>
      </c>
      <c r="H693" t="s">
        <v>129</v>
      </c>
      <c r="I693" t="s">
        <v>129</v>
      </c>
      <c r="J693" t="s">
        <v>129</v>
      </c>
      <c r="K693">
        <v>1.216666666666665</v>
      </c>
      <c r="M693">
        <v>1.216666666666665</v>
      </c>
      <c r="N693">
        <v>0</v>
      </c>
    </row>
    <row r="694" spans="1:14">
      <c r="A694">
        <v>8544</v>
      </c>
      <c r="B694" t="s">
        <v>15</v>
      </c>
      <c r="C694" t="s">
        <v>15</v>
      </c>
      <c r="D694" t="s">
        <v>8</v>
      </c>
      <c r="E694" s="1">
        <v>43161.824756944443</v>
      </c>
      <c r="F694" s="465">
        <v>43161.824756944443</v>
      </c>
      <c r="G694" s="464">
        <v>0.82430555555555562</v>
      </c>
      <c r="H694" t="s">
        <v>129</v>
      </c>
      <c r="I694" t="s">
        <v>129</v>
      </c>
      <c r="J694" t="s">
        <v>129</v>
      </c>
    </row>
    <row r="695" spans="1:14">
      <c r="A695">
        <v>8561</v>
      </c>
      <c r="B695" t="s">
        <v>15</v>
      </c>
      <c r="C695" t="s">
        <v>15</v>
      </c>
      <c r="D695" t="s">
        <v>6</v>
      </c>
      <c r="E695" s="1">
        <v>43164.36478009259</v>
      </c>
      <c r="F695" s="465">
        <v>43164.36478009259</v>
      </c>
      <c r="G695" s="464">
        <v>0.36458333333333331</v>
      </c>
      <c r="H695">
        <v>9.5333333333333332</v>
      </c>
      <c r="I695">
        <v>8</v>
      </c>
      <c r="J695" t="s">
        <v>129</v>
      </c>
    </row>
    <row r="696" spans="1:14">
      <c r="A696">
        <v>8574</v>
      </c>
      <c r="B696" t="s">
        <v>15</v>
      </c>
      <c r="C696" t="s">
        <v>15</v>
      </c>
      <c r="D696" t="s">
        <v>5</v>
      </c>
      <c r="E696" s="1">
        <v>43164.762280092589</v>
      </c>
      <c r="F696" s="465">
        <v>43164.762280092589</v>
      </c>
      <c r="G696" s="464">
        <v>0.76180555555555562</v>
      </c>
      <c r="H696" t="s">
        <v>129</v>
      </c>
      <c r="I696" t="s">
        <v>129</v>
      </c>
      <c r="J696" t="s">
        <v>129</v>
      </c>
    </row>
    <row r="697" spans="1:14">
      <c r="A697">
        <v>8584</v>
      </c>
      <c r="B697" t="s">
        <v>15</v>
      </c>
      <c r="C697" t="s">
        <v>15</v>
      </c>
      <c r="D697" t="s">
        <v>7</v>
      </c>
      <c r="E697" s="1">
        <v>43164.801041666666</v>
      </c>
      <c r="F697" s="465">
        <v>43164.801041666666</v>
      </c>
      <c r="G697" s="464">
        <v>0.80069444444444438</v>
      </c>
      <c r="H697" t="s">
        <v>129</v>
      </c>
      <c r="I697" t="s">
        <v>129</v>
      </c>
      <c r="J697" t="s">
        <v>129</v>
      </c>
      <c r="K697">
        <v>3.1166666666666663</v>
      </c>
      <c r="M697">
        <v>2</v>
      </c>
      <c r="N697">
        <v>1.1166666666666663</v>
      </c>
    </row>
    <row r="698" spans="1:14">
      <c r="A698">
        <v>8590</v>
      </c>
      <c r="B698" t="s">
        <v>15</v>
      </c>
      <c r="C698" t="s">
        <v>15</v>
      </c>
      <c r="D698" t="s">
        <v>8</v>
      </c>
      <c r="E698" s="1">
        <v>43164.930856481478</v>
      </c>
      <c r="F698" s="465">
        <v>43164.930856481478</v>
      </c>
      <c r="G698" s="464">
        <v>0.93055555555555547</v>
      </c>
      <c r="H698" t="s">
        <v>129</v>
      </c>
      <c r="I698" t="s">
        <v>129</v>
      </c>
      <c r="J698" t="s">
        <v>129</v>
      </c>
    </row>
    <row r="699" spans="1:14">
      <c r="A699">
        <v>8599</v>
      </c>
      <c r="B699" t="s">
        <v>15</v>
      </c>
      <c r="C699" t="s">
        <v>15</v>
      </c>
      <c r="D699" t="s">
        <v>6</v>
      </c>
      <c r="E699" s="1">
        <v>43165.369502314818</v>
      </c>
      <c r="F699" s="465">
        <v>43165.369502314818</v>
      </c>
      <c r="G699" s="464">
        <v>0.36944444444444446</v>
      </c>
      <c r="H699">
        <v>9.466666666666665</v>
      </c>
      <c r="I699">
        <v>7.966666666666665</v>
      </c>
      <c r="J699">
        <v>3.3333333333334991E-2</v>
      </c>
    </row>
    <row r="700" spans="1:14">
      <c r="A700">
        <v>8606</v>
      </c>
      <c r="B700" t="s">
        <v>15</v>
      </c>
      <c r="C700" t="s">
        <v>15</v>
      </c>
      <c r="D700" t="s">
        <v>5</v>
      </c>
      <c r="E700" s="1">
        <v>43165.764062499999</v>
      </c>
      <c r="F700" s="465">
        <v>43165.764062499999</v>
      </c>
      <c r="G700" s="464">
        <v>0.76388888888888884</v>
      </c>
      <c r="H700" t="s">
        <v>129</v>
      </c>
      <c r="I700" t="s">
        <v>129</v>
      </c>
      <c r="J700" t="s">
        <v>129</v>
      </c>
    </row>
    <row r="701" spans="1:14">
      <c r="A701">
        <v>8619</v>
      </c>
      <c r="B701" t="s">
        <v>15</v>
      </c>
      <c r="C701" t="s">
        <v>15</v>
      </c>
      <c r="D701" t="s">
        <v>7</v>
      </c>
      <c r="E701" s="1">
        <v>43165.788055555553</v>
      </c>
      <c r="F701" s="465">
        <v>43165.788055555553</v>
      </c>
      <c r="G701" s="464">
        <v>0.78749999999999998</v>
      </c>
      <c r="H701" t="s">
        <v>129</v>
      </c>
      <c r="I701" t="s">
        <v>129</v>
      </c>
      <c r="J701" t="s">
        <v>129</v>
      </c>
      <c r="K701">
        <v>2.6666666666666679</v>
      </c>
      <c r="M701">
        <v>2</v>
      </c>
      <c r="N701">
        <v>0.66666666666666785</v>
      </c>
    </row>
    <row r="702" spans="1:14">
      <c r="A702">
        <v>8622</v>
      </c>
      <c r="B702" t="s">
        <v>15</v>
      </c>
      <c r="C702" t="s">
        <v>15</v>
      </c>
      <c r="D702" t="s">
        <v>8</v>
      </c>
      <c r="E702" s="1">
        <v>43165.899189814816</v>
      </c>
      <c r="F702" s="465">
        <v>43165.899189814816</v>
      </c>
      <c r="G702" s="464">
        <v>0.89861111111111114</v>
      </c>
      <c r="H702" t="s">
        <v>129</v>
      </c>
      <c r="I702" t="s">
        <v>129</v>
      </c>
      <c r="J702" t="s">
        <v>129</v>
      </c>
    </row>
    <row r="703" spans="1:14">
      <c r="A703">
        <v>8634</v>
      </c>
      <c r="B703" t="s">
        <v>15</v>
      </c>
      <c r="C703" t="s">
        <v>15</v>
      </c>
      <c r="D703" t="s">
        <v>6</v>
      </c>
      <c r="E703" s="1">
        <v>43166.371666666666</v>
      </c>
      <c r="F703" s="465">
        <v>43166.371666666666</v>
      </c>
      <c r="G703" s="464">
        <v>0.37152777777777773</v>
      </c>
      <c r="H703">
        <v>9.5666666666666664</v>
      </c>
      <c r="I703">
        <v>8</v>
      </c>
      <c r="J703" t="s">
        <v>129</v>
      </c>
    </row>
    <row r="704" spans="1:14">
      <c r="A704">
        <v>8644</v>
      </c>
      <c r="B704" t="s">
        <v>15</v>
      </c>
      <c r="C704" t="s">
        <v>15</v>
      </c>
      <c r="D704" t="s">
        <v>5</v>
      </c>
      <c r="E704" s="1">
        <v>43166.770613425928</v>
      </c>
      <c r="F704" s="465">
        <v>43166.770613425928</v>
      </c>
      <c r="G704" s="464">
        <v>0.77013888888888893</v>
      </c>
      <c r="H704" t="s">
        <v>129</v>
      </c>
      <c r="I704" t="s">
        <v>129</v>
      </c>
      <c r="J704" t="s">
        <v>129</v>
      </c>
    </row>
    <row r="705" spans="1:14">
      <c r="A705">
        <v>8665</v>
      </c>
      <c r="B705" t="s">
        <v>15</v>
      </c>
      <c r="C705" t="s">
        <v>15</v>
      </c>
      <c r="D705" t="s">
        <v>6</v>
      </c>
      <c r="E705" s="1">
        <v>43167.364722222221</v>
      </c>
      <c r="F705" s="465">
        <v>43167.364722222221</v>
      </c>
      <c r="G705" s="464">
        <v>0.36458333333333331</v>
      </c>
      <c r="H705">
        <v>9.6500000000000021</v>
      </c>
      <c r="I705">
        <v>8</v>
      </c>
      <c r="J705" t="s">
        <v>129</v>
      </c>
    </row>
    <row r="706" spans="1:14">
      <c r="A706">
        <v>8675</v>
      </c>
      <c r="B706" t="s">
        <v>15</v>
      </c>
      <c r="C706" t="s">
        <v>15</v>
      </c>
      <c r="D706" t="s">
        <v>5</v>
      </c>
      <c r="E706" s="1">
        <v>43167.766863425924</v>
      </c>
      <c r="F706" s="465">
        <v>43167.766863425924</v>
      </c>
      <c r="G706" s="464">
        <v>0.76666666666666661</v>
      </c>
      <c r="H706" t="s">
        <v>129</v>
      </c>
      <c r="I706" t="s">
        <v>129</v>
      </c>
      <c r="J706" t="s">
        <v>129</v>
      </c>
    </row>
    <row r="707" spans="1:14">
      <c r="A707">
        <v>8696</v>
      </c>
      <c r="B707" t="s">
        <v>15</v>
      </c>
      <c r="C707" t="s">
        <v>15</v>
      </c>
      <c r="D707" t="s">
        <v>6</v>
      </c>
      <c r="E707" s="1">
        <v>43168.367430555554</v>
      </c>
      <c r="F707" s="465">
        <v>43168.367430555554</v>
      </c>
      <c r="G707" s="464">
        <v>0.36736111111111108</v>
      </c>
      <c r="H707">
        <v>9.6833333333333336</v>
      </c>
      <c r="I707">
        <v>8</v>
      </c>
      <c r="J707" t="s">
        <v>129</v>
      </c>
    </row>
    <row r="708" spans="1:14">
      <c r="A708">
        <v>8707</v>
      </c>
      <c r="B708" t="s">
        <v>95</v>
      </c>
      <c r="C708" t="s">
        <v>15</v>
      </c>
      <c r="D708" t="s">
        <v>5</v>
      </c>
      <c r="E708" s="1">
        <v>43168.771111111113</v>
      </c>
      <c r="F708" s="465">
        <v>43168.771111111113</v>
      </c>
      <c r="G708" s="464">
        <v>0.77083333333333337</v>
      </c>
      <c r="H708" t="s">
        <v>129</v>
      </c>
      <c r="I708" t="s">
        <v>129</v>
      </c>
      <c r="J708" t="s">
        <v>129</v>
      </c>
    </row>
    <row r="709" spans="1:14">
      <c r="A709">
        <v>8708</v>
      </c>
      <c r="B709" t="s">
        <v>95</v>
      </c>
      <c r="C709" t="s">
        <v>15</v>
      </c>
      <c r="D709" t="s">
        <v>7</v>
      </c>
      <c r="E709" s="1">
        <v>43168.771145833336</v>
      </c>
      <c r="F709" s="465">
        <v>43168.771145833336</v>
      </c>
      <c r="G709" s="464">
        <v>0.77083333333333337</v>
      </c>
      <c r="H709" t="s">
        <v>129</v>
      </c>
      <c r="I709" t="s">
        <v>129</v>
      </c>
      <c r="J709" t="s">
        <v>129</v>
      </c>
      <c r="K709">
        <v>0.33333333333333215</v>
      </c>
      <c r="M709">
        <v>0.33333333333333215</v>
      </c>
      <c r="N709">
        <v>0</v>
      </c>
    </row>
    <row r="710" spans="1:14">
      <c r="A710">
        <v>8714</v>
      </c>
      <c r="B710" t="s">
        <v>15</v>
      </c>
      <c r="C710" t="s">
        <v>15</v>
      </c>
      <c r="D710" t="s">
        <v>8</v>
      </c>
      <c r="E710" s="1">
        <v>43168.785324074073</v>
      </c>
      <c r="F710" s="465">
        <v>43168.785324074073</v>
      </c>
      <c r="G710" s="464">
        <v>0.78472222222222221</v>
      </c>
      <c r="H710" t="s">
        <v>129</v>
      </c>
      <c r="I710" t="s">
        <v>129</v>
      </c>
      <c r="J710" t="s">
        <v>129</v>
      </c>
    </row>
    <row r="711" spans="1:14">
      <c r="A711">
        <v>8732</v>
      </c>
      <c r="B711" t="s">
        <v>95</v>
      </c>
      <c r="C711" t="s">
        <v>15</v>
      </c>
      <c r="D711" t="s">
        <v>7</v>
      </c>
      <c r="E711" s="1">
        <v>43170.436840277776</v>
      </c>
      <c r="F711" s="465">
        <v>43170.436840277776</v>
      </c>
      <c r="G711" s="464">
        <v>0.4368055555555555</v>
      </c>
      <c r="H711" t="s">
        <v>129</v>
      </c>
      <c r="I711" t="s">
        <v>129</v>
      </c>
      <c r="J711" t="s">
        <v>129</v>
      </c>
      <c r="K711">
        <v>2.7000000000000011</v>
      </c>
      <c r="M711">
        <v>2</v>
      </c>
      <c r="N711">
        <v>5.6833333333333327</v>
      </c>
    </row>
    <row r="712" spans="1:14">
      <c r="A712">
        <v>8736</v>
      </c>
      <c r="B712" t="s">
        <v>15</v>
      </c>
      <c r="C712" t="s">
        <v>15</v>
      </c>
      <c r="D712" t="s">
        <v>8</v>
      </c>
      <c r="E712" s="1">
        <v>43170.549791666665</v>
      </c>
      <c r="F712" s="465">
        <v>43170.549791666665</v>
      </c>
      <c r="G712" s="464">
        <v>0.5493055555555556</v>
      </c>
      <c r="H712" t="s">
        <v>129</v>
      </c>
      <c r="I712" t="s">
        <v>129</v>
      </c>
      <c r="J712" t="s">
        <v>129</v>
      </c>
    </row>
    <row r="713" spans="1:14">
      <c r="A713">
        <v>8743</v>
      </c>
      <c r="B713" t="s">
        <v>15</v>
      </c>
      <c r="C713" t="s">
        <v>15</v>
      </c>
      <c r="D713" t="s">
        <v>7</v>
      </c>
      <c r="E713" s="1">
        <v>43170.584976851853</v>
      </c>
      <c r="F713" s="465">
        <v>43170.584976851853</v>
      </c>
      <c r="G713" s="464">
        <v>0.58472222222222225</v>
      </c>
      <c r="H713" t="s">
        <v>129</v>
      </c>
      <c r="I713" t="s">
        <v>129</v>
      </c>
      <c r="J713" t="s">
        <v>129</v>
      </c>
      <c r="K713">
        <v>3.9833333333333325</v>
      </c>
    </row>
    <row r="714" spans="1:14">
      <c r="A714">
        <v>8750</v>
      </c>
      <c r="B714" t="s">
        <v>15</v>
      </c>
      <c r="C714" t="s">
        <v>15</v>
      </c>
      <c r="D714" t="s">
        <v>8</v>
      </c>
      <c r="E714" s="1">
        <v>43170.751134259262</v>
      </c>
      <c r="F714" s="465">
        <v>43170.751134259262</v>
      </c>
      <c r="G714" s="464">
        <v>0.75069444444444444</v>
      </c>
      <c r="H714" t="s">
        <v>129</v>
      </c>
      <c r="I714" t="s">
        <v>129</v>
      </c>
      <c r="J714" t="s">
        <v>129</v>
      </c>
    </row>
    <row r="715" spans="1:14">
      <c r="A715">
        <v>8751</v>
      </c>
      <c r="B715" t="s">
        <v>15</v>
      </c>
      <c r="C715" t="s">
        <v>15</v>
      </c>
      <c r="D715" t="s">
        <v>7</v>
      </c>
      <c r="E715" s="1">
        <v>43170.751192129632</v>
      </c>
      <c r="F715" s="465">
        <v>43170.751192129632</v>
      </c>
      <c r="G715" s="464">
        <v>0.75069444444444444</v>
      </c>
      <c r="H715" t="s">
        <v>129</v>
      </c>
      <c r="I715" t="s">
        <v>129</v>
      </c>
      <c r="J715" t="s">
        <v>129</v>
      </c>
      <c r="K715">
        <v>0.99999999999999911</v>
      </c>
    </row>
    <row r="716" spans="1:14">
      <c r="A716">
        <v>8759</v>
      </c>
      <c r="B716" t="s">
        <v>15</v>
      </c>
      <c r="C716" t="s">
        <v>15</v>
      </c>
      <c r="D716" t="s">
        <v>8</v>
      </c>
      <c r="E716" s="1">
        <v>43170.792662037034</v>
      </c>
      <c r="F716" s="465">
        <v>43170.792662037034</v>
      </c>
      <c r="G716" s="464">
        <v>0.79236111111111107</v>
      </c>
      <c r="H716" t="s">
        <v>129</v>
      </c>
      <c r="I716" t="s">
        <v>129</v>
      </c>
      <c r="J716" t="s">
        <v>129</v>
      </c>
    </row>
    <row r="717" spans="1:14">
      <c r="A717">
        <v>8765</v>
      </c>
      <c r="B717" t="s">
        <v>15</v>
      </c>
      <c r="C717" t="s">
        <v>15</v>
      </c>
      <c r="D717" t="s">
        <v>6</v>
      </c>
      <c r="E717" s="1">
        <v>43171.369097222225</v>
      </c>
      <c r="F717" s="465">
        <v>43171.369097222225</v>
      </c>
      <c r="G717" s="464">
        <v>0.36874999999999997</v>
      </c>
      <c r="H717">
        <v>9.6333333333333329</v>
      </c>
      <c r="I717">
        <v>8</v>
      </c>
      <c r="J717" t="s">
        <v>129</v>
      </c>
    </row>
    <row r="718" spans="1:14">
      <c r="A718">
        <v>8779</v>
      </c>
      <c r="B718" t="s">
        <v>15</v>
      </c>
      <c r="C718" t="s">
        <v>15</v>
      </c>
      <c r="D718" t="s">
        <v>5</v>
      </c>
      <c r="E718" s="1">
        <v>43171.770277777781</v>
      </c>
      <c r="F718" s="465">
        <v>43171.770277777781</v>
      </c>
      <c r="G718" s="464">
        <v>0.77013888888888893</v>
      </c>
      <c r="H718" t="s">
        <v>129</v>
      </c>
      <c r="I718" t="s">
        <v>129</v>
      </c>
      <c r="J718" t="s">
        <v>129</v>
      </c>
    </row>
    <row r="719" spans="1:14">
      <c r="A719">
        <v>8807</v>
      </c>
      <c r="B719" t="s">
        <v>95</v>
      </c>
      <c r="C719" t="s">
        <v>15</v>
      </c>
      <c r="D719" t="s">
        <v>6</v>
      </c>
      <c r="E719" s="1">
        <v>43172.369039351855</v>
      </c>
      <c r="F719" s="465">
        <v>43172.369039351855</v>
      </c>
      <c r="G719" s="464">
        <v>0.36874999999999997</v>
      </c>
      <c r="H719">
        <v>9.6000000000000014</v>
      </c>
      <c r="I719">
        <v>8</v>
      </c>
      <c r="J719" t="s">
        <v>129</v>
      </c>
    </row>
    <row r="720" spans="1:14">
      <c r="A720">
        <v>8812</v>
      </c>
      <c r="B720" t="s">
        <v>15</v>
      </c>
      <c r="C720" t="s">
        <v>15</v>
      </c>
      <c r="D720" t="s">
        <v>5</v>
      </c>
      <c r="E720" s="1">
        <v>43172.76935185185</v>
      </c>
      <c r="F720" s="465">
        <v>43172.76935185185</v>
      </c>
      <c r="G720" s="464">
        <v>0.76874999999999993</v>
      </c>
      <c r="H720" t="s">
        <v>129</v>
      </c>
      <c r="I720" t="s">
        <v>129</v>
      </c>
      <c r="J720" t="s">
        <v>129</v>
      </c>
    </row>
    <row r="721" spans="1:14">
      <c r="A721">
        <v>8813</v>
      </c>
      <c r="B721" t="s">
        <v>15</v>
      </c>
      <c r="C721" t="s">
        <v>15</v>
      </c>
      <c r="D721" t="s">
        <v>7</v>
      </c>
      <c r="E721" s="1">
        <v>43172.770925925928</v>
      </c>
      <c r="F721" s="465">
        <v>43172.770925925928</v>
      </c>
      <c r="G721" s="464">
        <v>0.77083333333333337</v>
      </c>
      <c r="H721" t="s">
        <v>129</v>
      </c>
      <c r="I721" t="s">
        <v>129</v>
      </c>
      <c r="J721" t="s">
        <v>129</v>
      </c>
      <c r="K721">
        <v>2.2166666666666668</v>
      </c>
      <c r="M721">
        <v>2</v>
      </c>
      <c r="N721">
        <v>0.21666666666666679</v>
      </c>
    </row>
    <row r="722" spans="1:14">
      <c r="A722">
        <v>8830</v>
      </c>
      <c r="B722" t="s">
        <v>15</v>
      </c>
      <c r="C722" t="s">
        <v>15</v>
      </c>
      <c r="D722" t="s">
        <v>8</v>
      </c>
      <c r="E722" s="1">
        <v>43172.863553240742</v>
      </c>
      <c r="F722" s="465">
        <v>43172.863553240742</v>
      </c>
      <c r="G722" s="464">
        <v>0.86319444444444438</v>
      </c>
      <c r="H722" t="s">
        <v>129</v>
      </c>
      <c r="I722" t="s">
        <v>129</v>
      </c>
      <c r="J722" t="s">
        <v>129</v>
      </c>
    </row>
    <row r="723" spans="1:14">
      <c r="A723">
        <v>8842</v>
      </c>
      <c r="B723" t="s">
        <v>15</v>
      </c>
      <c r="C723" t="s">
        <v>15</v>
      </c>
      <c r="D723" t="s">
        <v>6</v>
      </c>
      <c r="E723" s="1">
        <v>43173.369479166664</v>
      </c>
      <c r="F723" s="465">
        <v>43173.369479166664</v>
      </c>
      <c r="G723" s="464">
        <v>0.36944444444444446</v>
      </c>
      <c r="H723">
        <v>9.5500000000000007</v>
      </c>
      <c r="I723">
        <v>8</v>
      </c>
      <c r="J723" t="s">
        <v>129</v>
      </c>
    </row>
    <row r="724" spans="1:14">
      <c r="A724">
        <v>8849</v>
      </c>
      <c r="B724" t="s">
        <v>15</v>
      </c>
      <c r="C724" t="s">
        <v>15</v>
      </c>
      <c r="D724" t="s">
        <v>5</v>
      </c>
      <c r="E724" s="1">
        <v>43173.76798611111</v>
      </c>
      <c r="F724" s="465">
        <v>43173.76798611111</v>
      </c>
      <c r="G724" s="464">
        <v>0.76736111111111116</v>
      </c>
      <c r="H724" t="s">
        <v>129</v>
      </c>
      <c r="I724" t="s">
        <v>129</v>
      </c>
      <c r="J724" t="s">
        <v>129</v>
      </c>
    </row>
    <row r="725" spans="1:14">
      <c r="A725">
        <v>8856</v>
      </c>
      <c r="B725" t="s">
        <v>15</v>
      </c>
      <c r="C725" t="s">
        <v>15</v>
      </c>
      <c r="D725" t="s">
        <v>7</v>
      </c>
      <c r="E725" s="1">
        <v>43173.772187499999</v>
      </c>
      <c r="F725" s="465">
        <v>43173.772187499999</v>
      </c>
      <c r="G725" s="464">
        <v>0.7715277777777777</v>
      </c>
      <c r="H725" t="s">
        <v>129</v>
      </c>
      <c r="I725" t="s">
        <v>129</v>
      </c>
      <c r="J725" t="s">
        <v>129</v>
      </c>
      <c r="K725">
        <v>1.4500000000000002</v>
      </c>
      <c r="M725">
        <v>2</v>
      </c>
      <c r="N725">
        <v>0.4833333333333325</v>
      </c>
    </row>
    <row r="726" spans="1:14">
      <c r="A726">
        <v>8860</v>
      </c>
      <c r="B726" t="s">
        <v>15</v>
      </c>
      <c r="C726" t="s">
        <v>15</v>
      </c>
      <c r="D726" t="s">
        <v>8</v>
      </c>
      <c r="E726" s="1">
        <v>43173.832083333335</v>
      </c>
      <c r="F726" s="465">
        <v>43173.832083333335</v>
      </c>
      <c r="G726" s="464">
        <v>0.83194444444444438</v>
      </c>
      <c r="H726" t="s">
        <v>129</v>
      </c>
      <c r="I726" t="s">
        <v>129</v>
      </c>
      <c r="J726" t="s">
        <v>129</v>
      </c>
    </row>
    <row r="727" spans="1:14">
      <c r="A727">
        <v>8861</v>
      </c>
      <c r="B727" t="s">
        <v>15</v>
      </c>
      <c r="C727" t="s">
        <v>15</v>
      </c>
      <c r="D727" t="s">
        <v>7</v>
      </c>
      <c r="E727" s="1">
        <v>43173.838993055557</v>
      </c>
      <c r="F727" s="465">
        <v>43173.838993055557</v>
      </c>
      <c r="G727" s="464">
        <v>0.83888888888888891</v>
      </c>
      <c r="H727" t="s">
        <v>129</v>
      </c>
      <c r="I727" t="s">
        <v>129</v>
      </c>
      <c r="J727" t="s">
        <v>129</v>
      </c>
      <c r="K727">
        <v>1.0333333333333323</v>
      </c>
    </row>
    <row r="728" spans="1:14">
      <c r="A728">
        <v>8870</v>
      </c>
      <c r="B728" t="s">
        <v>15</v>
      </c>
      <c r="C728" t="s">
        <v>15</v>
      </c>
      <c r="D728" t="s">
        <v>8</v>
      </c>
      <c r="E728" s="1">
        <v>43173.882060185184</v>
      </c>
      <c r="F728" s="465">
        <v>43173.882060185184</v>
      </c>
      <c r="G728" s="464">
        <v>0.88194444444444453</v>
      </c>
      <c r="H728" t="s">
        <v>129</v>
      </c>
      <c r="I728" t="s">
        <v>129</v>
      </c>
      <c r="J728" t="s">
        <v>129</v>
      </c>
    </row>
    <row r="729" spans="1:14">
      <c r="A729">
        <v>8877</v>
      </c>
      <c r="B729" t="s">
        <v>95</v>
      </c>
      <c r="C729" t="s">
        <v>15</v>
      </c>
      <c r="D729" t="s">
        <v>6</v>
      </c>
      <c r="E729" s="1">
        <v>43174.369270833333</v>
      </c>
      <c r="F729" s="465">
        <v>43174.369270833333</v>
      </c>
      <c r="G729" s="464">
        <v>0.36874999999999997</v>
      </c>
      <c r="H729">
        <v>9.65</v>
      </c>
      <c r="I729">
        <v>8</v>
      </c>
      <c r="J729" t="s">
        <v>129</v>
      </c>
    </row>
    <row r="730" spans="1:14">
      <c r="A730">
        <v>8887</v>
      </c>
      <c r="B730" t="s">
        <v>15</v>
      </c>
      <c r="C730" t="s">
        <v>15</v>
      </c>
      <c r="D730" t="s">
        <v>5</v>
      </c>
      <c r="E730" s="1">
        <v>43174.771319444444</v>
      </c>
      <c r="F730" s="465">
        <v>43174.771319444444</v>
      </c>
      <c r="G730" s="464">
        <v>0.77083333333333337</v>
      </c>
      <c r="H730" t="s">
        <v>129</v>
      </c>
      <c r="I730" t="s">
        <v>129</v>
      </c>
      <c r="J730" t="s">
        <v>129</v>
      </c>
    </row>
    <row r="731" spans="1:14">
      <c r="A731">
        <v>8888</v>
      </c>
      <c r="B731" t="s">
        <v>15</v>
      </c>
      <c r="C731" t="s">
        <v>15</v>
      </c>
      <c r="D731" t="s">
        <v>7</v>
      </c>
      <c r="E731" s="1">
        <v>43174.771354166667</v>
      </c>
      <c r="F731" s="465">
        <v>43174.771354166667</v>
      </c>
      <c r="G731" s="464">
        <v>0.77083333333333337</v>
      </c>
      <c r="H731" t="s">
        <v>129</v>
      </c>
      <c r="I731" t="s">
        <v>129</v>
      </c>
      <c r="J731" t="s">
        <v>129</v>
      </c>
      <c r="K731">
        <v>2.2166666666666668</v>
      </c>
      <c r="M731">
        <v>2</v>
      </c>
      <c r="N731">
        <v>0.21666666666666679</v>
      </c>
    </row>
    <row r="732" spans="1:14">
      <c r="A732">
        <v>8902</v>
      </c>
      <c r="B732" t="s">
        <v>15</v>
      </c>
      <c r="C732" t="s">
        <v>15</v>
      </c>
      <c r="D732" t="s">
        <v>8</v>
      </c>
      <c r="E732" s="1">
        <v>43174.863692129627</v>
      </c>
      <c r="F732" s="465">
        <v>43174.863692129627</v>
      </c>
      <c r="G732" s="464">
        <v>0.86319444444444438</v>
      </c>
      <c r="H732" t="s">
        <v>129</v>
      </c>
      <c r="I732" t="s">
        <v>129</v>
      </c>
      <c r="J732" t="s">
        <v>129</v>
      </c>
    </row>
    <row r="733" spans="1:14">
      <c r="A733">
        <v>8906</v>
      </c>
      <c r="B733" t="s">
        <v>15</v>
      </c>
      <c r="C733" t="s">
        <v>15</v>
      </c>
      <c r="D733" t="s">
        <v>6</v>
      </c>
      <c r="E733" s="1">
        <v>43175.331493055557</v>
      </c>
      <c r="F733" s="465">
        <v>43175.331493055557</v>
      </c>
      <c r="G733" s="464">
        <v>0.33124999999999999</v>
      </c>
      <c r="H733">
        <v>10.399999999999999</v>
      </c>
      <c r="I733">
        <v>8</v>
      </c>
      <c r="J733" t="s">
        <v>129</v>
      </c>
    </row>
    <row r="734" spans="1:14">
      <c r="A734">
        <v>8918</v>
      </c>
      <c r="B734" t="s">
        <v>95</v>
      </c>
      <c r="C734" t="s">
        <v>15</v>
      </c>
      <c r="D734" t="s">
        <v>5</v>
      </c>
      <c r="E734" s="1">
        <v>43175.764872685184</v>
      </c>
      <c r="F734" s="465">
        <v>43175.764872685184</v>
      </c>
      <c r="G734" s="464">
        <v>0.76458333333333339</v>
      </c>
      <c r="H734" t="s">
        <v>129</v>
      </c>
      <c r="I734" t="s">
        <v>129</v>
      </c>
      <c r="J734" t="s">
        <v>129</v>
      </c>
    </row>
    <row r="735" spans="1:14">
      <c r="A735">
        <v>8960</v>
      </c>
      <c r="B735" t="s">
        <v>15</v>
      </c>
      <c r="C735" t="s">
        <v>15</v>
      </c>
      <c r="D735" t="s">
        <v>7</v>
      </c>
      <c r="E735" s="1">
        <v>43176.582395833335</v>
      </c>
      <c r="F735" s="465">
        <v>43176.582395833335</v>
      </c>
      <c r="G735" s="464">
        <v>0.58194444444444449</v>
      </c>
      <c r="H735" t="s">
        <v>129</v>
      </c>
      <c r="I735" t="s">
        <v>129</v>
      </c>
      <c r="J735" t="s">
        <v>129</v>
      </c>
      <c r="K735">
        <v>3.8666666666666663</v>
      </c>
      <c r="M735">
        <v>2</v>
      </c>
      <c r="N735">
        <v>4</v>
      </c>
    </row>
    <row r="736" spans="1:14">
      <c r="A736">
        <v>8969</v>
      </c>
      <c r="B736" t="s">
        <v>15</v>
      </c>
      <c r="C736" t="s">
        <v>15</v>
      </c>
      <c r="D736" t="s">
        <v>8</v>
      </c>
      <c r="E736" s="1">
        <v>43176.743437500001</v>
      </c>
      <c r="F736" s="465">
        <v>43176.743437500001</v>
      </c>
      <c r="G736" s="464">
        <v>0.74305555555555547</v>
      </c>
      <c r="H736" t="s">
        <v>129</v>
      </c>
      <c r="I736" t="s">
        <v>129</v>
      </c>
      <c r="J736" t="s">
        <v>129</v>
      </c>
    </row>
    <row r="737" spans="1:14">
      <c r="A737">
        <v>8970</v>
      </c>
      <c r="B737" t="s">
        <v>15</v>
      </c>
      <c r="C737" t="s">
        <v>15</v>
      </c>
      <c r="D737" t="s">
        <v>7</v>
      </c>
      <c r="E737" s="1">
        <v>43176.743495370371</v>
      </c>
      <c r="F737" s="465">
        <v>43176.743495370371</v>
      </c>
      <c r="G737" s="464">
        <v>0.74305555555555547</v>
      </c>
      <c r="H737" t="s">
        <v>129</v>
      </c>
      <c r="I737" t="s">
        <v>129</v>
      </c>
      <c r="J737" t="s">
        <v>129</v>
      </c>
      <c r="K737">
        <v>2.1333333333333337</v>
      </c>
    </row>
    <row r="738" spans="1:14">
      <c r="A738">
        <v>8971</v>
      </c>
      <c r="B738" t="s">
        <v>15</v>
      </c>
      <c r="C738" t="s">
        <v>15</v>
      </c>
      <c r="D738" t="s">
        <v>8</v>
      </c>
      <c r="E738" s="1">
        <v>43176.832384259258</v>
      </c>
      <c r="F738" s="465">
        <v>43176.832384259258</v>
      </c>
      <c r="G738" s="464">
        <v>0.83194444444444438</v>
      </c>
      <c r="H738" t="s">
        <v>129</v>
      </c>
      <c r="I738" t="s">
        <v>129</v>
      </c>
      <c r="J738" t="s">
        <v>129</v>
      </c>
    </row>
    <row r="739" spans="1:14">
      <c r="A739">
        <v>8982</v>
      </c>
      <c r="B739" t="s">
        <v>95</v>
      </c>
      <c r="C739" t="s">
        <v>15</v>
      </c>
      <c r="D739" t="s">
        <v>6</v>
      </c>
      <c r="E739" s="1">
        <v>43178.430451388886</v>
      </c>
      <c r="F739" s="465">
        <v>43178.430451388886</v>
      </c>
      <c r="G739" s="464">
        <v>0.42986111111111108</v>
      </c>
      <c r="H739">
        <v>7.966666666666665</v>
      </c>
      <c r="I739">
        <v>6.466666666666665</v>
      </c>
      <c r="J739">
        <v>1.533333333333335</v>
      </c>
    </row>
    <row r="740" spans="1:14">
      <c r="A740">
        <v>8983</v>
      </c>
      <c r="B740" t="s">
        <v>15</v>
      </c>
      <c r="C740" t="s">
        <v>15</v>
      </c>
      <c r="D740" t="s">
        <v>5</v>
      </c>
      <c r="E740" s="1">
        <v>43178.762141203704</v>
      </c>
      <c r="F740" s="465">
        <v>43178.762141203704</v>
      </c>
      <c r="G740" s="464">
        <v>0.76180555555555562</v>
      </c>
      <c r="H740" t="s">
        <v>129</v>
      </c>
      <c r="I740" t="s">
        <v>129</v>
      </c>
      <c r="J740" t="s">
        <v>129</v>
      </c>
    </row>
    <row r="741" spans="1:14">
      <c r="A741">
        <v>8995</v>
      </c>
      <c r="B741" t="s">
        <v>15</v>
      </c>
      <c r="C741" t="s">
        <v>15</v>
      </c>
      <c r="D741" t="s">
        <v>7</v>
      </c>
      <c r="E741" s="1">
        <v>43178.792187500003</v>
      </c>
      <c r="F741" s="465">
        <v>43178.792187500003</v>
      </c>
      <c r="G741" s="464">
        <v>0.79166666666666663</v>
      </c>
      <c r="H741" t="s">
        <v>129</v>
      </c>
      <c r="I741" t="s">
        <v>129</v>
      </c>
      <c r="J741" t="s">
        <v>129</v>
      </c>
      <c r="K741">
        <v>1.7500000000000018</v>
      </c>
      <c r="M741">
        <v>1.7500000000000018</v>
      </c>
      <c r="N741">
        <v>0</v>
      </c>
    </row>
    <row r="742" spans="1:14">
      <c r="A742">
        <v>9002</v>
      </c>
      <c r="B742" t="s">
        <v>15</v>
      </c>
      <c r="C742" t="s">
        <v>15</v>
      </c>
      <c r="D742" t="s">
        <v>8</v>
      </c>
      <c r="E742" s="1">
        <v>43178.864652777775</v>
      </c>
      <c r="F742" s="465">
        <v>43178.864652777775</v>
      </c>
      <c r="G742" s="464">
        <v>0.86458333333333337</v>
      </c>
      <c r="H742" t="s">
        <v>129</v>
      </c>
      <c r="I742" t="s">
        <v>129</v>
      </c>
      <c r="J742" t="s">
        <v>129</v>
      </c>
    </row>
    <row r="743" spans="1:14">
      <c r="A743">
        <v>9013</v>
      </c>
      <c r="B743" t="s">
        <v>15</v>
      </c>
      <c r="C743" t="s">
        <v>15</v>
      </c>
      <c r="D743" t="s">
        <v>6</v>
      </c>
      <c r="E743" s="1">
        <v>43179.367002314815</v>
      </c>
      <c r="F743" s="465">
        <v>43179.367002314815</v>
      </c>
      <c r="G743" s="464">
        <v>0.3666666666666667</v>
      </c>
      <c r="H743">
        <v>9.6166666666666689</v>
      </c>
      <c r="I743">
        <v>8</v>
      </c>
      <c r="J743" t="s">
        <v>129</v>
      </c>
    </row>
    <row r="744" spans="1:14">
      <c r="A744">
        <v>9023</v>
      </c>
      <c r="B744" t="s">
        <v>15</v>
      </c>
      <c r="C744" t="s">
        <v>15</v>
      </c>
      <c r="D744" t="s">
        <v>5</v>
      </c>
      <c r="E744" s="1">
        <v>43179.767951388887</v>
      </c>
      <c r="F744" s="465">
        <v>43179.767951388887</v>
      </c>
      <c r="G744" s="464">
        <v>0.76736111111111116</v>
      </c>
      <c r="H744" t="s">
        <v>129</v>
      </c>
      <c r="I744" t="s">
        <v>129</v>
      </c>
      <c r="J744" t="s">
        <v>129</v>
      </c>
    </row>
    <row r="745" spans="1:14">
      <c r="A745">
        <v>9048</v>
      </c>
      <c r="B745" t="s">
        <v>15</v>
      </c>
      <c r="C745" t="s">
        <v>15</v>
      </c>
      <c r="D745" t="s">
        <v>6</v>
      </c>
      <c r="E745" s="1">
        <v>43180.367048611108</v>
      </c>
      <c r="F745" s="465">
        <v>43180.367048611108</v>
      </c>
      <c r="G745" s="464">
        <v>0.3666666666666667</v>
      </c>
      <c r="H745">
        <v>9.6833333333333353</v>
      </c>
      <c r="I745">
        <v>8</v>
      </c>
      <c r="J745" t="s">
        <v>129</v>
      </c>
    </row>
    <row r="746" spans="1:14">
      <c r="A746">
        <v>9059</v>
      </c>
      <c r="B746" t="s">
        <v>15</v>
      </c>
      <c r="C746" t="s">
        <v>15</v>
      </c>
      <c r="D746" t="s">
        <v>5</v>
      </c>
      <c r="E746" s="1">
        <v>43180.770208333335</v>
      </c>
      <c r="F746" s="465">
        <v>43180.770208333335</v>
      </c>
      <c r="G746" s="464">
        <v>0.77013888888888893</v>
      </c>
      <c r="H746" t="s">
        <v>129</v>
      </c>
      <c r="I746" t="s">
        <v>129</v>
      </c>
      <c r="J746" t="s">
        <v>129</v>
      </c>
    </row>
    <row r="747" spans="1:14">
      <c r="A747">
        <v>9062</v>
      </c>
      <c r="B747" t="s">
        <v>15</v>
      </c>
      <c r="C747" t="s">
        <v>15</v>
      </c>
      <c r="D747" t="s">
        <v>7</v>
      </c>
      <c r="E747" s="1">
        <v>43180.770879629628</v>
      </c>
      <c r="F747" s="465">
        <v>43180.770879629628</v>
      </c>
      <c r="G747" s="464">
        <v>0.77083333333333337</v>
      </c>
      <c r="H747" t="s">
        <v>129</v>
      </c>
      <c r="I747" t="s">
        <v>129</v>
      </c>
      <c r="J747" t="s">
        <v>129</v>
      </c>
      <c r="K747">
        <v>1.1499999999999986</v>
      </c>
      <c r="M747">
        <v>1.1499999999999986</v>
      </c>
      <c r="N747">
        <v>0</v>
      </c>
    </row>
    <row r="748" spans="1:14">
      <c r="A748">
        <v>9076</v>
      </c>
      <c r="B748" t="s">
        <v>15</v>
      </c>
      <c r="C748" t="s">
        <v>15</v>
      </c>
      <c r="D748" t="s">
        <v>8</v>
      </c>
      <c r="E748" s="1">
        <v>43180.819282407407</v>
      </c>
      <c r="F748" s="465">
        <v>43180.819282407407</v>
      </c>
      <c r="G748" s="464">
        <v>0.81874999999999998</v>
      </c>
      <c r="H748" t="s">
        <v>129</v>
      </c>
      <c r="I748" t="s">
        <v>129</v>
      </c>
      <c r="J748" t="s">
        <v>129</v>
      </c>
    </row>
    <row r="749" spans="1:14">
      <c r="A749">
        <v>9083</v>
      </c>
      <c r="B749" t="s">
        <v>15</v>
      </c>
      <c r="C749" t="s">
        <v>15</v>
      </c>
      <c r="D749" t="s">
        <v>6</v>
      </c>
      <c r="E749" s="1">
        <v>43181.36409722222</v>
      </c>
      <c r="F749" s="465">
        <v>43181.36409722222</v>
      </c>
      <c r="G749" s="464">
        <v>0.36388888888888887</v>
      </c>
      <c r="H749">
        <v>9.5333333333333332</v>
      </c>
      <c r="I749">
        <v>8</v>
      </c>
      <c r="J749" t="s">
        <v>129</v>
      </c>
    </row>
    <row r="750" spans="1:14">
      <c r="A750">
        <v>9092</v>
      </c>
      <c r="B750" t="s">
        <v>15</v>
      </c>
      <c r="C750" t="s">
        <v>15</v>
      </c>
      <c r="D750" t="s">
        <v>5</v>
      </c>
      <c r="E750" s="1">
        <v>43181.761145833334</v>
      </c>
      <c r="F750" s="465">
        <v>43181.761145833334</v>
      </c>
      <c r="G750" s="464">
        <v>0.76111111111111107</v>
      </c>
      <c r="H750" t="s">
        <v>129</v>
      </c>
      <c r="I750" t="s">
        <v>129</v>
      </c>
      <c r="J750" t="s">
        <v>129</v>
      </c>
    </row>
    <row r="751" spans="1:14">
      <c r="A751">
        <v>9105</v>
      </c>
      <c r="B751" t="s">
        <v>15</v>
      </c>
      <c r="C751" t="s">
        <v>15</v>
      </c>
      <c r="D751" t="s">
        <v>7</v>
      </c>
      <c r="E751" s="1">
        <v>43181.797777777778</v>
      </c>
      <c r="F751" s="465">
        <v>43181.797777777778</v>
      </c>
      <c r="G751" s="464">
        <v>0.79722222222222217</v>
      </c>
      <c r="H751" t="s">
        <v>129</v>
      </c>
      <c r="I751" t="s">
        <v>129</v>
      </c>
      <c r="J751" t="s">
        <v>129</v>
      </c>
      <c r="K751">
        <v>3.8</v>
      </c>
      <c r="M751">
        <v>2</v>
      </c>
      <c r="N751">
        <v>1.7999999999999998</v>
      </c>
    </row>
    <row r="752" spans="1:14">
      <c r="A752">
        <v>9115</v>
      </c>
      <c r="B752" t="s">
        <v>15</v>
      </c>
      <c r="C752" t="s">
        <v>15</v>
      </c>
      <c r="D752" t="s">
        <v>8</v>
      </c>
      <c r="E752" s="1">
        <v>43181.95579861111</v>
      </c>
      <c r="F752" s="465">
        <v>43181.95579861111</v>
      </c>
      <c r="G752" s="464">
        <v>0.9555555555555556</v>
      </c>
      <c r="H752" t="s">
        <v>129</v>
      </c>
      <c r="I752" t="s">
        <v>129</v>
      </c>
      <c r="J752" t="s">
        <v>129</v>
      </c>
    </row>
    <row r="753" spans="1:14">
      <c r="A753">
        <v>9119</v>
      </c>
      <c r="B753" t="s">
        <v>15</v>
      </c>
      <c r="C753" t="s">
        <v>15</v>
      </c>
      <c r="D753" t="s">
        <v>6</v>
      </c>
      <c r="E753" s="1">
        <v>43182.364560185182</v>
      </c>
      <c r="F753" s="465">
        <v>43182.364560185182</v>
      </c>
      <c r="G753" s="464">
        <v>0.36388888888888887</v>
      </c>
      <c r="H753">
        <v>10.050000000000001</v>
      </c>
      <c r="I753">
        <v>8</v>
      </c>
      <c r="J753" t="s">
        <v>129</v>
      </c>
    </row>
    <row r="754" spans="1:14">
      <c r="A754">
        <v>9136</v>
      </c>
      <c r="B754" t="s">
        <v>15</v>
      </c>
      <c r="C754" t="s">
        <v>15</v>
      </c>
      <c r="D754" t="s">
        <v>5</v>
      </c>
      <c r="E754" s="1">
        <v>43182.782997685186</v>
      </c>
      <c r="F754" s="465">
        <v>43182.782997685186</v>
      </c>
      <c r="G754" s="464">
        <v>0.78263888888888899</v>
      </c>
      <c r="H754" t="s">
        <v>129</v>
      </c>
      <c r="I754" t="s">
        <v>129</v>
      </c>
      <c r="J754" t="s">
        <v>129</v>
      </c>
    </row>
    <row r="755" spans="1:14">
      <c r="A755">
        <v>9143</v>
      </c>
      <c r="B755" t="s">
        <v>15</v>
      </c>
      <c r="C755" t="s">
        <v>15</v>
      </c>
      <c r="D755" t="s">
        <v>6</v>
      </c>
      <c r="E755" s="1">
        <v>43185.371342592596</v>
      </c>
      <c r="F755" s="465">
        <v>43185.371342592596</v>
      </c>
      <c r="G755" s="464">
        <v>0.37083333333333335</v>
      </c>
      <c r="H755">
        <v>9.6000000000000014</v>
      </c>
      <c r="I755">
        <v>8</v>
      </c>
      <c r="J755" t="s">
        <v>129</v>
      </c>
    </row>
    <row r="756" spans="1:14">
      <c r="A756">
        <v>9151</v>
      </c>
      <c r="B756" t="s">
        <v>15</v>
      </c>
      <c r="C756" t="s">
        <v>15</v>
      </c>
      <c r="D756" t="s">
        <v>5</v>
      </c>
      <c r="E756" s="1">
        <v>43185.771157407406</v>
      </c>
      <c r="F756" s="465">
        <v>43185.771157407406</v>
      </c>
      <c r="G756" s="464">
        <v>0.77083333333333337</v>
      </c>
      <c r="H756" t="s">
        <v>129</v>
      </c>
      <c r="I756" t="s">
        <v>129</v>
      </c>
      <c r="J756" t="s">
        <v>129</v>
      </c>
    </row>
    <row r="757" spans="1:14">
      <c r="A757">
        <v>9167</v>
      </c>
      <c r="B757" t="s">
        <v>15</v>
      </c>
      <c r="C757" t="s">
        <v>15</v>
      </c>
      <c r="D757" t="s">
        <v>6</v>
      </c>
      <c r="E757" s="1">
        <v>43186.367314814815</v>
      </c>
      <c r="F757" s="465">
        <v>43186.367314814815</v>
      </c>
      <c r="G757" s="464">
        <v>0.3666666666666667</v>
      </c>
      <c r="H757">
        <v>9.6000000000000014</v>
      </c>
      <c r="I757">
        <v>8</v>
      </c>
      <c r="J757" t="s">
        <v>129</v>
      </c>
    </row>
    <row r="758" spans="1:14">
      <c r="A758">
        <v>9171</v>
      </c>
      <c r="B758" t="s">
        <v>15</v>
      </c>
      <c r="C758" t="s">
        <v>15</v>
      </c>
      <c r="D758" t="s">
        <v>5</v>
      </c>
      <c r="E758" s="1">
        <v>43186.767210648148</v>
      </c>
      <c r="F758" s="465">
        <v>43186.767210648148</v>
      </c>
      <c r="G758" s="464">
        <v>0.76666666666666661</v>
      </c>
      <c r="H758" t="s">
        <v>129</v>
      </c>
      <c r="I758" t="s">
        <v>129</v>
      </c>
      <c r="J758" t="s">
        <v>129</v>
      </c>
    </row>
    <row r="759" spans="1:14">
      <c r="A759">
        <v>9172</v>
      </c>
      <c r="B759" t="s">
        <v>15</v>
      </c>
      <c r="C759" t="s">
        <v>15</v>
      </c>
      <c r="D759" t="s">
        <v>7</v>
      </c>
      <c r="E759" s="1">
        <v>43186.770891203705</v>
      </c>
      <c r="F759" s="465">
        <v>43186.770891203705</v>
      </c>
      <c r="G759" s="464">
        <v>0.77083333333333337</v>
      </c>
      <c r="H759" t="s">
        <v>129</v>
      </c>
      <c r="I759" t="s">
        <v>129</v>
      </c>
      <c r="J759" t="s">
        <v>129</v>
      </c>
      <c r="K759">
        <v>6.666666666666643E-2</v>
      </c>
      <c r="M759">
        <v>1.5499999999999998</v>
      </c>
      <c r="N759">
        <v>0</v>
      </c>
    </row>
    <row r="760" spans="1:14">
      <c r="A760">
        <v>9178</v>
      </c>
      <c r="B760" t="s">
        <v>15</v>
      </c>
      <c r="C760" t="s">
        <v>15</v>
      </c>
      <c r="D760" t="s">
        <v>8</v>
      </c>
      <c r="E760" s="1">
        <v>43186.773726851854</v>
      </c>
      <c r="F760" s="465">
        <v>43186.773726851854</v>
      </c>
      <c r="G760" s="464">
        <v>0.77361111111111114</v>
      </c>
      <c r="H760" t="s">
        <v>129</v>
      </c>
      <c r="I760" t="s">
        <v>129</v>
      </c>
      <c r="J760" t="s">
        <v>129</v>
      </c>
    </row>
    <row r="761" spans="1:14">
      <c r="A761">
        <v>9186</v>
      </c>
      <c r="B761" t="s">
        <v>15</v>
      </c>
      <c r="C761" t="s">
        <v>15</v>
      </c>
      <c r="D761" t="s">
        <v>7</v>
      </c>
      <c r="E761" s="1">
        <v>43186.834930555553</v>
      </c>
      <c r="F761" s="465">
        <v>43186.834930555553</v>
      </c>
      <c r="G761" s="464">
        <v>0.83472222222222225</v>
      </c>
      <c r="H761" t="s">
        <v>129</v>
      </c>
      <c r="I761" t="s">
        <v>129</v>
      </c>
      <c r="J761" t="s">
        <v>129</v>
      </c>
      <c r="K761">
        <v>1.4833333333333334</v>
      </c>
    </row>
    <row r="762" spans="1:14">
      <c r="A762">
        <v>9188</v>
      </c>
      <c r="B762" t="s">
        <v>15</v>
      </c>
      <c r="C762" t="s">
        <v>15</v>
      </c>
      <c r="D762" t="s">
        <v>8</v>
      </c>
      <c r="E762" s="1">
        <v>43186.896597222221</v>
      </c>
      <c r="F762" s="465">
        <v>43186.896597222221</v>
      </c>
      <c r="G762" s="464">
        <v>0.8965277777777777</v>
      </c>
      <c r="H762" t="s">
        <v>129</v>
      </c>
      <c r="I762" t="s">
        <v>129</v>
      </c>
      <c r="J762" t="s">
        <v>129</v>
      </c>
    </row>
    <row r="763" spans="1:14">
      <c r="A763">
        <v>9194</v>
      </c>
      <c r="B763" t="s">
        <v>15</v>
      </c>
      <c r="C763" t="s">
        <v>15</v>
      </c>
      <c r="D763" t="s">
        <v>6</v>
      </c>
      <c r="E763" s="1">
        <v>43187.364560185182</v>
      </c>
      <c r="F763" s="465">
        <v>43187.364560185182</v>
      </c>
      <c r="G763" s="464">
        <v>0.36388888888888887</v>
      </c>
      <c r="H763">
        <v>9.7333333333333343</v>
      </c>
      <c r="I763">
        <v>8</v>
      </c>
      <c r="J763" t="s">
        <v>129</v>
      </c>
    </row>
    <row r="764" spans="1:14">
      <c r="A764">
        <v>9203</v>
      </c>
      <c r="B764" t="s">
        <v>15</v>
      </c>
      <c r="C764" t="s">
        <v>15</v>
      </c>
      <c r="D764" t="s">
        <v>5</v>
      </c>
      <c r="E764" s="1">
        <v>43187.769456018519</v>
      </c>
      <c r="F764" s="465">
        <v>43187.769456018519</v>
      </c>
      <c r="G764" s="464">
        <v>0.76944444444444438</v>
      </c>
      <c r="H764" t="s">
        <v>129</v>
      </c>
      <c r="I764" t="s">
        <v>129</v>
      </c>
      <c r="J764" t="s">
        <v>129</v>
      </c>
    </row>
    <row r="765" spans="1:14">
      <c r="A765">
        <v>9204</v>
      </c>
      <c r="B765" t="s">
        <v>15</v>
      </c>
      <c r="C765" t="s">
        <v>15</v>
      </c>
      <c r="D765" t="s">
        <v>7</v>
      </c>
      <c r="E765" s="1">
        <v>43187.770844907405</v>
      </c>
      <c r="F765" s="465">
        <v>43187.770844907405</v>
      </c>
      <c r="G765" s="464">
        <v>0.77083333333333337</v>
      </c>
      <c r="H765" t="s">
        <v>129</v>
      </c>
      <c r="I765" t="s">
        <v>129</v>
      </c>
      <c r="J765" t="s">
        <v>129</v>
      </c>
      <c r="K765">
        <v>0.39999999999999858</v>
      </c>
      <c r="M765">
        <v>0.39999999999999858</v>
      </c>
      <c r="N765">
        <v>0</v>
      </c>
    </row>
    <row r="766" spans="1:14">
      <c r="A766">
        <v>9217</v>
      </c>
      <c r="B766" t="s">
        <v>15</v>
      </c>
      <c r="C766" t="s">
        <v>15</v>
      </c>
      <c r="D766" t="s">
        <v>8</v>
      </c>
      <c r="E766" s="1">
        <v>43187.787708333337</v>
      </c>
      <c r="F766" s="465">
        <v>43187.787708333337</v>
      </c>
      <c r="G766" s="464">
        <v>0.78749999999999998</v>
      </c>
      <c r="H766" t="s">
        <v>129</v>
      </c>
      <c r="I766" t="s">
        <v>129</v>
      </c>
      <c r="J766" t="s">
        <v>129</v>
      </c>
    </row>
    <row r="767" spans="1:14">
      <c r="A767">
        <v>9231</v>
      </c>
      <c r="B767" t="s">
        <v>15</v>
      </c>
      <c r="C767" t="s">
        <v>15</v>
      </c>
      <c r="D767" t="s">
        <v>6</v>
      </c>
      <c r="E767" s="1">
        <v>43188.369293981479</v>
      </c>
      <c r="F767" s="465">
        <v>43188.369293981479</v>
      </c>
      <c r="G767" s="464">
        <v>0.36874999999999997</v>
      </c>
      <c r="H767">
        <v>9.533333333333335</v>
      </c>
      <c r="I767">
        <v>8</v>
      </c>
      <c r="J767" t="s">
        <v>129</v>
      </c>
    </row>
    <row r="768" spans="1:14">
      <c r="A768">
        <v>9238</v>
      </c>
      <c r="B768" t="s">
        <v>15</v>
      </c>
      <c r="C768" t="s">
        <v>15</v>
      </c>
      <c r="D768" t="s">
        <v>5</v>
      </c>
      <c r="E768" s="1">
        <v>43188.766377314816</v>
      </c>
      <c r="F768" s="465">
        <v>43188.766377314816</v>
      </c>
      <c r="G768" s="464">
        <v>0.76597222222222217</v>
      </c>
      <c r="H768" t="s">
        <v>129</v>
      </c>
      <c r="I768" t="s">
        <v>129</v>
      </c>
      <c r="J768" t="s">
        <v>129</v>
      </c>
    </row>
    <row r="769" spans="1:14">
      <c r="A769">
        <v>9250</v>
      </c>
      <c r="B769" t="s">
        <v>15</v>
      </c>
      <c r="C769" t="s">
        <v>15</v>
      </c>
      <c r="D769" t="s">
        <v>7</v>
      </c>
      <c r="E769" s="1">
        <v>43188.792314814818</v>
      </c>
      <c r="F769" s="465">
        <v>43188.792314814818</v>
      </c>
      <c r="G769" s="464">
        <v>0.79166666666666663</v>
      </c>
      <c r="H769" t="s">
        <v>129</v>
      </c>
      <c r="I769" t="s">
        <v>129</v>
      </c>
      <c r="J769" t="s">
        <v>129</v>
      </c>
      <c r="K769">
        <v>1.3833333333333337</v>
      </c>
      <c r="M769">
        <v>1.3833333333333337</v>
      </c>
      <c r="N769">
        <v>0</v>
      </c>
    </row>
    <row r="770" spans="1:14">
      <c r="A770">
        <v>9257</v>
      </c>
      <c r="B770" t="s">
        <v>15</v>
      </c>
      <c r="C770" t="s">
        <v>15</v>
      </c>
      <c r="D770" t="s">
        <v>8</v>
      </c>
      <c r="E770" s="1">
        <v>43188.84951388889</v>
      </c>
      <c r="F770" s="465">
        <v>43188.84951388889</v>
      </c>
      <c r="G770" s="464">
        <v>0.84930555555555554</v>
      </c>
      <c r="H770" t="s">
        <v>129</v>
      </c>
      <c r="I770" t="s">
        <v>129</v>
      </c>
      <c r="J770" t="s">
        <v>129</v>
      </c>
    </row>
    <row r="771" spans="1:14">
      <c r="A771">
        <v>9288</v>
      </c>
      <c r="B771" t="s">
        <v>15</v>
      </c>
      <c r="C771" t="s">
        <v>15</v>
      </c>
      <c r="D771" t="s">
        <v>6</v>
      </c>
      <c r="E771" s="1">
        <v>43189.354444444441</v>
      </c>
      <c r="F771" s="465">
        <v>43189.354444444441</v>
      </c>
      <c r="G771" s="464">
        <v>0.35416666666666669</v>
      </c>
      <c r="H771">
        <v>10</v>
      </c>
      <c r="I771">
        <v>8</v>
      </c>
      <c r="J771" t="s">
        <v>129</v>
      </c>
    </row>
    <row r="772" spans="1:14">
      <c r="A772">
        <v>9296</v>
      </c>
      <c r="B772" t="s">
        <v>15</v>
      </c>
      <c r="C772" t="s">
        <v>15</v>
      </c>
      <c r="D772" t="s">
        <v>5</v>
      </c>
      <c r="E772" s="1">
        <v>43189.771064814813</v>
      </c>
      <c r="F772" s="465">
        <v>43189.771064814813</v>
      </c>
      <c r="G772" s="464">
        <v>0.77083333333333337</v>
      </c>
      <c r="H772" t="s">
        <v>129</v>
      </c>
      <c r="I772" t="s">
        <v>129</v>
      </c>
      <c r="J772" t="s">
        <v>129</v>
      </c>
    </row>
    <row r="773" spans="1:14">
      <c r="A773">
        <v>9288</v>
      </c>
      <c r="B773" t="s">
        <v>15</v>
      </c>
      <c r="C773" t="s">
        <v>15</v>
      </c>
      <c r="D773" t="s">
        <v>6</v>
      </c>
      <c r="E773" s="1">
        <v>43190.366944444446</v>
      </c>
      <c r="F773" s="465">
        <v>43190.366944444446</v>
      </c>
      <c r="G773" s="464">
        <v>0.3666666666666667</v>
      </c>
      <c r="H773">
        <v>9.6833333333333353</v>
      </c>
      <c r="I773">
        <v>8</v>
      </c>
      <c r="J773" t="s">
        <v>129</v>
      </c>
    </row>
    <row r="774" spans="1:14">
      <c r="A774">
        <v>9296</v>
      </c>
      <c r="B774" t="s">
        <v>15</v>
      </c>
      <c r="C774" t="s">
        <v>15</v>
      </c>
      <c r="D774" t="s">
        <v>5</v>
      </c>
      <c r="E774" s="1">
        <v>43190.770370370374</v>
      </c>
      <c r="F774" s="465">
        <v>43190.770370370374</v>
      </c>
      <c r="G774" s="464">
        <v>0.77013888888888893</v>
      </c>
      <c r="H774" t="s">
        <v>129</v>
      </c>
      <c r="I774" t="s">
        <v>129</v>
      </c>
      <c r="J774" t="s">
        <v>129</v>
      </c>
    </row>
    <row r="775" spans="1:14">
      <c r="A775">
        <v>9299</v>
      </c>
      <c r="B775" t="s">
        <v>15</v>
      </c>
      <c r="C775" t="s">
        <v>15</v>
      </c>
      <c r="D775" t="s">
        <v>7</v>
      </c>
      <c r="E775" s="1">
        <v>43190.770833333336</v>
      </c>
      <c r="F775" s="465">
        <v>43190.770833333336</v>
      </c>
      <c r="G775" s="464">
        <v>0.77083333333333337</v>
      </c>
      <c r="H775" t="s">
        <v>129</v>
      </c>
      <c r="I775" t="s">
        <v>129</v>
      </c>
      <c r="J775" t="s">
        <v>129</v>
      </c>
      <c r="K775">
        <v>0.39999999999999858</v>
      </c>
      <c r="M775">
        <v>0.39999999999999858</v>
      </c>
      <c r="N775">
        <v>0</v>
      </c>
    </row>
    <row r="776" spans="1:14">
      <c r="A776">
        <v>9303</v>
      </c>
      <c r="B776" t="s">
        <v>15</v>
      </c>
      <c r="C776" t="s">
        <v>15</v>
      </c>
      <c r="D776" t="s">
        <v>8</v>
      </c>
      <c r="E776" s="1">
        <v>43190.788101851853</v>
      </c>
      <c r="F776" s="465">
        <v>43190.788101851853</v>
      </c>
      <c r="G776" s="464">
        <v>0.78749999999999998</v>
      </c>
      <c r="H776" t="s">
        <v>129</v>
      </c>
      <c r="I776" t="s">
        <v>129</v>
      </c>
      <c r="J776" t="s">
        <v>129</v>
      </c>
    </row>
    <row r="777" spans="1:14">
      <c r="A777">
        <v>8529</v>
      </c>
      <c r="B777" t="s">
        <v>90</v>
      </c>
      <c r="C777" t="s">
        <v>90</v>
      </c>
      <c r="D777" t="s">
        <v>6</v>
      </c>
      <c r="E777" s="1">
        <v>43161.372106481482</v>
      </c>
      <c r="F777" s="465">
        <v>43161.372106481482</v>
      </c>
      <c r="G777" s="464">
        <v>0.37152777777777773</v>
      </c>
      <c r="H777">
        <v>3.2166666666666659</v>
      </c>
      <c r="I777">
        <v>1.7166666666666659</v>
      </c>
      <c r="J777">
        <v>6.2833333333333341</v>
      </c>
    </row>
    <row r="778" spans="1:14">
      <c r="A778">
        <v>8531</v>
      </c>
      <c r="B778" t="s">
        <v>90</v>
      </c>
      <c r="C778" t="s">
        <v>90</v>
      </c>
      <c r="D778" t="s">
        <v>5</v>
      </c>
      <c r="E778" s="1">
        <v>43161.505891203706</v>
      </c>
      <c r="F778" s="465">
        <v>43161.505891203706</v>
      </c>
      <c r="G778" s="464">
        <v>0.50555555555555554</v>
      </c>
      <c r="H778" t="s">
        <v>129</v>
      </c>
      <c r="I778" t="s">
        <v>129</v>
      </c>
      <c r="J778" t="s">
        <v>129</v>
      </c>
    </row>
    <row r="779" spans="1:14">
      <c r="A779">
        <v>8558</v>
      </c>
      <c r="B779" t="s">
        <v>90</v>
      </c>
      <c r="C779" t="s">
        <v>90</v>
      </c>
      <c r="D779" t="s">
        <v>6</v>
      </c>
      <c r="E779" s="1">
        <v>43164.362858796296</v>
      </c>
      <c r="F779" s="465">
        <v>43164.362858796296</v>
      </c>
      <c r="G779" s="464">
        <v>0.36249999999999999</v>
      </c>
      <c r="H779">
        <v>11.433333333333334</v>
      </c>
      <c r="I779">
        <v>8</v>
      </c>
      <c r="J779" t="s">
        <v>129</v>
      </c>
    </row>
    <row r="780" spans="1:14">
      <c r="A780">
        <v>8587</v>
      </c>
      <c r="B780" t="s">
        <v>90</v>
      </c>
      <c r="C780" t="s">
        <v>90</v>
      </c>
      <c r="D780" t="s">
        <v>5</v>
      </c>
      <c r="E780" s="1">
        <v>43164.83898148148</v>
      </c>
      <c r="F780" s="465">
        <v>43164.83898148148</v>
      </c>
      <c r="G780" s="464">
        <v>0.83888888888888891</v>
      </c>
      <c r="H780" t="s">
        <v>129</v>
      </c>
      <c r="I780" t="s">
        <v>129</v>
      </c>
      <c r="J780" t="s">
        <v>129</v>
      </c>
    </row>
    <row r="781" spans="1:14">
      <c r="A781">
        <v>8638</v>
      </c>
      <c r="B781" t="s">
        <v>90</v>
      </c>
      <c r="C781" t="s">
        <v>90</v>
      </c>
      <c r="D781" t="s">
        <v>6</v>
      </c>
      <c r="E781" s="1">
        <v>43166.650659722225</v>
      </c>
      <c r="F781" s="465">
        <v>43166.650659722225</v>
      </c>
      <c r="G781" s="464">
        <v>0.65</v>
      </c>
      <c r="H781">
        <v>5.1333333333333337</v>
      </c>
      <c r="I781">
        <v>3.6333333333333337</v>
      </c>
      <c r="J781">
        <v>4.3666666666666663</v>
      </c>
    </row>
    <row r="782" spans="1:14">
      <c r="A782">
        <v>8658</v>
      </c>
      <c r="B782" t="s">
        <v>90</v>
      </c>
      <c r="C782" t="s">
        <v>90</v>
      </c>
      <c r="D782" t="s">
        <v>5</v>
      </c>
      <c r="E782" s="1">
        <v>43166.864432870374</v>
      </c>
      <c r="F782" s="465">
        <v>43166.864432870374</v>
      </c>
      <c r="G782" s="464">
        <v>0.86388888888888893</v>
      </c>
      <c r="H782" t="s">
        <v>129</v>
      </c>
      <c r="I782" t="s">
        <v>129</v>
      </c>
      <c r="J782" t="s">
        <v>129</v>
      </c>
    </row>
    <row r="783" spans="1:14">
      <c r="A783">
        <v>8698</v>
      </c>
      <c r="B783" t="s">
        <v>90</v>
      </c>
      <c r="C783" t="s">
        <v>90</v>
      </c>
      <c r="D783" t="s">
        <v>6</v>
      </c>
      <c r="E783" s="1">
        <v>43168.369363425925</v>
      </c>
      <c r="F783" s="465">
        <v>43168.369363425925</v>
      </c>
      <c r="G783" s="464">
        <v>0.36874999999999997</v>
      </c>
      <c r="H783">
        <v>3.3166666666666655</v>
      </c>
      <c r="I783">
        <v>1.8166666666666655</v>
      </c>
      <c r="J783">
        <v>6.1833333333333345</v>
      </c>
    </row>
    <row r="784" spans="1:14">
      <c r="A784">
        <v>8703</v>
      </c>
      <c r="B784" t="s">
        <v>90</v>
      </c>
      <c r="C784" t="s">
        <v>90</v>
      </c>
      <c r="D784" t="s">
        <v>5</v>
      </c>
      <c r="E784" s="1">
        <v>43168.507569444446</v>
      </c>
      <c r="F784" s="465">
        <v>43168.507569444446</v>
      </c>
      <c r="G784" s="464">
        <v>0.50694444444444442</v>
      </c>
      <c r="H784" t="s">
        <v>129</v>
      </c>
      <c r="I784" t="s">
        <v>129</v>
      </c>
      <c r="J784" t="s">
        <v>129</v>
      </c>
    </row>
    <row r="785" spans="1:14">
      <c r="A785">
        <v>8719</v>
      </c>
      <c r="B785" t="s">
        <v>90</v>
      </c>
      <c r="C785" t="s">
        <v>90</v>
      </c>
      <c r="D785" t="s">
        <v>7</v>
      </c>
      <c r="E785" s="1">
        <v>43169.41810185185</v>
      </c>
      <c r="F785" s="465">
        <v>43169.41810185185</v>
      </c>
      <c r="G785" s="464">
        <v>0.41805555555555557</v>
      </c>
      <c r="H785" t="s">
        <v>129</v>
      </c>
      <c r="I785" t="s">
        <v>129</v>
      </c>
      <c r="J785" t="s">
        <v>129</v>
      </c>
      <c r="K785">
        <v>2.433333333333334</v>
      </c>
      <c r="M785">
        <v>2</v>
      </c>
      <c r="N785">
        <v>0.43333333333333401</v>
      </c>
    </row>
    <row r="786" spans="1:14">
      <c r="A786">
        <v>8723</v>
      </c>
      <c r="B786" t="s">
        <v>90</v>
      </c>
      <c r="C786" t="s">
        <v>90</v>
      </c>
      <c r="D786" t="s">
        <v>8</v>
      </c>
      <c r="E786" s="1">
        <v>43169.51972222222</v>
      </c>
      <c r="F786" s="465">
        <v>43169.51972222222</v>
      </c>
      <c r="G786" s="464">
        <v>0.51944444444444449</v>
      </c>
      <c r="H786" t="s">
        <v>129</v>
      </c>
      <c r="I786" t="s">
        <v>129</v>
      </c>
      <c r="J786" t="s">
        <v>129</v>
      </c>
    </row>
    <row r="787" spans="1:14">
      <c r="A787">
        <v>8771</v>
      </c>
      <c r="B787" t="s">
        <v>90</v>
      </c>
      <c r="C787" t="s">
        <v>90</v>
      </c>
      <c r="D787" t="s">
        <v>6</v>
      </c>
      <c r="E787" s="1">
        <v>43171.375775462962</v>
      </c>
      <c r="F787" s="465">
        <v>43171.375775462962</v>
      </c>
      <c r="G787" s="464">
        <v>0.3756944444444445</v>
      </c>
      <c r="H787">
        <v>9.85</v>
      </c>
      <c r="I787">
        <v>8</v>
      </c>
      <c r="J787" t="s">
        <v>129</v>
      </c>
    </row>
    <row r="788" spans="1:14">
      <c r="A788">
        <v>8787</v>
      </c>
      <c r="B788" t="s">
        <v>90</v>
      </c>
      <c r="C788" t="s">
        <v>90</v>
      </c>
      <c r="D788" t="s">
        <v>5</v>
      </c>
      <c r="E788" s="1">
        <v>43171.786782407406</v>
      </c>
      <c r="F788" s="465">
        <v>43171.786782407406</v>
      </c>
      <c r="G788" s="464">
        <v>0.78611111111111109</v>
      </c>
      <c r="H788" t="s">
        <v>129</v>
      </c>
      <c r="I788" t="s">
        <v>129</v>
      </c>
      <c r="J788" t="s">
        <v>129</v>
      </c>
    </row>
    <row r="789" spans="1:14">
      <c r="A789">
        <v>8848</v>
      </c>
      <c r="B789" t="s">
        <v>103</v>
      </c>
      <c r="C789" t="s">
        <v>90</v>
      </c>
      <c r="D789" t="s">
        <v>6</v>
      </c>
      <c r="E789" s="1">
        <v>43173.715868055559</v>
      </c>
      <c r="F789" s="465">
        <v>43173.715868055559</v>
      </c>
      <c r="G789" s="464">
        <v>0.71527777777777779</v>
      </c>
      <c r="H789">
        <v>3.4333333333333318</v>
      </c>
      <c r="I789">
        <v>1.9333333333333318</v>
      </c>
      <c r="J789">
        <v>6.0666666666666682</v>
      </c>
    </row>
    <row r="790" spans="1:14">
      <c r="A790">
        <v>8865</v>
      </c>
      <c r="B790" t="s">
        <v>90</v>
      </c>
      <c r="C790" t="s">
        <v>90</v>
      </c>
      <c r="D790" t="s">
        <v>5</v>
      </c>
      <c r="E790" s="1">
        <v>43173.858969907407</v>
      </c>
      <c r="F790" s="465">
        <v>43173.858969907407</v>
      </c>
      <c r="G790" s="464">
        <v>0.85833333333333339</v>
      </c>
      <c r="H790" t="s">
        <v>129</v>
      </c>
      <c r="I790" t="s">
        <v>129</v>
      </c>
      <c r="J790" t="s">
        <v>129</v>
      </c>
    </row>
    <row r="791" spans="1:14">
      <c r="A791">
        <v>8911</v>
      </c>
      <c r="B791" t="s">
        <v>90</v>
      </c>
      <c r="C791" t="s">
        <v>90</v>
      </c>
      <c r="D791" t="s">
        <v>6</v>
      </c>
      <c r="E791" s="1">
        <v>43175.36445601852</v>
      </c>
      <c r="F791" s="465">
        <v>43175.36445601852</v>
      </c>
      <c r="G791" s="464">
        <v>0.36388888888888887</v>
      </c>
      <c r="H791">
        <v>3.2500000000000004</v>
      </c>
      <c r="I791">
        <v>1.7500000000000004</v>
      </c>
      <c r="J791">
        <v>6.25</v>
      </c>
    </row>
    <row r="792" spans="1:14">
      <c r="A792">
        <v>8917</v>
      </c>
      <c r="B792" t="s">
        <v>90</v>
      </c>
      <c r="C792" t="s">
        <v>90</v>
      </c>
      <c r="D792" t="s">
        <v>5</v>
      </c>
      <c r="E792" s="1">
        <v>43175.499918981484</v>
      </c>
      <c r="F792" s="465">
        <v>43175.499918981484</v>
      </c>
      <c r="G792" s="464">
        <v>0.4993055555555555</v>
      </c>
      <c r="H792" t="s">
        <v>129</v>
      </c>
      <c r="I792" t="s">
        <v>129</v>
      </c>
      <c r="J792" t="s">
        <v>129</v>
      </c>
    </row>
    <row r="793" spans="1:14">
      <c r="A793">
        <v>8945</v>
      </c>
      <c r="B793" t="s">
        <v>90</v>
      </c>
      <c r="C793" t="s">
        <v>90</v>
      </c>
      <c r="D793" t="s">
        <v>6</v>
      </c>
      <c r="E793" s="1">
        <v>43176.426099537035</v>
      </c>
      <c r="F793" s="465">
        <v>43176.426099537035</v>
      </c>
      <c r="G793" s="464">
        <v>0.42569444444444443</v>
      </c>
      <c r="H793">
        <v>5.2333333333333343</v>
      </c>
      <c r="I793">
        <v>3.7333333333333343</v>
      </c>
      <c r="J793">
        <v>4.2666666666666657</v>
      </c>
    </row>
    <row r="794" spans="1:14">
      <c r="A794">
        <v>8963</v>
      </c>
      <c r="B794" t="s">
        <v>90</v>
      </c>
      <c r="C794" t="s">
        <v>90</v>
      </c>
      <c r="D794" t="s">
        <v>5</v>
      </c>
      <c r="E794" s="1">
        <v>43176.643912037034</v>
      </c>
      <c r="F794" s="465">
        <v>43176.643912037034</v>
      </c>
      <c r="G794" s="464">
        <v>0.64374999999999993</v>
      </c>
      <c r="H794" t="s">
        <v>129</v>
      </c>
      <c r="I794" t="s">
        <v>129</v>
      </c>
      <c r="J794" t="s">
        <v>129</v>
      </c>
    </row>
    <row r="795" spans="1:14">
      <c r="A795">
        <v>8981</v>
      </c>
      <c r="B795" t="s">
        <v>90</v>
      </c>
      <c r="C795" t="s">
        <v>90</v>
      </c>
      <c r="D795" t="s">
        <v>6</v>
      </c>
      <c r="E795" s="1">
        <v>43178.383750000001</v>
      </c>
      <c r="F795" s="465">
        <v>43178.383750000001</v>
      </c>
      <c r="G795" s="464">
        <v>0.3833333333333333</v>
      </c>
      <c r="H795">
        <v>11.816666666666666</v>
      </c>
      <c r="I795">
        <v>8</v>
      </c>
      <c r="J795" t="s">
        <v>129</v>
      </c>
    </row>
    <row r="796" spans="1:14">
      <c r="A796">
        <v>9005</v>
      </c>
      <c r="B796" t="s">
        <v>90</v>
      </c>
      <c r="C796" t="s">
        <v>90</v>
      </c>
      <c r="D796" t="s">
        <v>5</v>
      </c>
      <c r="E796" s="1">
        <v>43178.875960648147</v>
      </c>
      <c r="F796" s="465">
        <v>43178.875960648147</v>
      </c>
      <c r="G796" s="464">
        <v>0.87569444444444444</v>
      </c>
      <c r="H796" t="s">
        <v>129</v>
      </c>
      <c r="I796" t="s">
        <v>129</v>
      </c>
      <c r="J796" t="s">
        <v>129</v>
      </c>
    </row>
    <row r="797" spans="1:14">
      <c r="A797">
        <v>9020</v>
      </c>
      <c r="B797" t="s">
        <v>104</v>
      </c>
      <c r="C797" t="s">
        <v>90</v>
      </c>
      <c r="D797" t="s">
        <v>6</v>
      </c>
      <c r="E797" s="1">
        <v>43179.71974537037</v>
      </c>
      <c r="F797" s="465">
        <v>43179.71974537037</v>
      </c>
      <c r="G797" s="464">
        <v>0.71944444444444444</v>
      </c>
      <c r="H797">
        <v>2.6666666666666679</v>
      </c>
      <c r="I797">
        <v>1.1666666666666679</v>
      </c>
      <c r="J797">
        <v>6.8333333333333321</v>
      </c>
    </row>
    <row r="798" spans="1:14">
      <c r="A798">
        <v>9041</v>
      </c>
      <c r="B798" t="s">
        <v>90</v>
      </c>
      <c r="C798" t="s">
        <v>90</v>
      </c>
      <c r="D798" t="s">
        <v>5</v>
      </c>
      <c r="E798" s="1">
        <v>43179.830590277779</v>
      </c>
      <c r="F798" s="465">
        <v>43179.830590277779</v>
      </c>
      <c r="G798" s="464">
        <v>0.8305555555555556</v>
      </c>
      <c r="H798" t="s">
        <v>129</v>
      </c>
      <c r="I798" t="s">
        <v>129</v>
      </c>
      <c r="J798" t="s">
        <v>129</v>
      </c>
    </row>
    <row r="799" spans="1:14">
      <c r="A799">
        <v>9125</v>
      </c>
      <c r="B799" t="s">
        <v>90</v>
      </c>
      <c r="C799" t="s">
        <v>90</v>
      </c>
      <c r="D799" t="s">
        <v>6</v>
      </c>
      <c r="E799" s="1">
        <v>43182.377662037034</v>
      </c>
      <c r="F799" s="465">
        <v>43182.377662037034</v>
      </c>
      <c r="G799" s="464">
        <v>0.37708333333333338</v>
      </c>
      <c r="H799">
        <v>3.05</v>
      </c>
      <c r="I799">
        <v>1.5499999999999998</v>
      </c>
      <c r="J799">
        <v>6.45</v>
      </c>
    </row>
    <row r="800" spans="1:14">
      <c r="A800">
        <v>9127</v>
      </c>
      <c r="B800" t="s">
        <v>90</v>
      </c>
      <c r="C800" t="s">
        <v>90</v>
      </c>
      <c r="D800" t="s">
        <v>5</v>
      </c>
      <c r="E800" s="1">
        <v>43182.504259259258</v>
      </c>
      <c r="F800" s="465">
        <v>43182.504259259258</v>
      </c>
      <c r="G800" s="464">
        <v>0.50416666666666665</v>
      </c>
      <c r="H800" t="s">
        <v>129</v>
      </c>
      <c r="I800" t="s">
        <v>129</v>
      </c>
      <c r="J800" t="s">
        <v>129</v>
      </c>
    </row>
    <row r="801" spans="1:10">
      <c r="A801">
        <v>9145</v>
      </c>
      <c r="B801" t="s">
        <v>90</v>
      </c>
      <c r="C801" t="s">
        <v>90</v>
      </c>
      <c r="D801" t="s">
        <v>6</v>
      </c>
      <c r="E801" s="1">
        <v>43185.413958333331</v>
      </c>
      <c r="F801" s="465">
        <v>43185.413958333331</v>
      </c>
      <c r="G801" s="464">
        <v>0.41388888888888892</v>
      </c>
      <c r="H801">
        <v>10.783333333333335</v>
      </c>
      <c r="I801">
        <v>8</v>
      </c>
      <c r="J801" t="s">
        <v>129</v>
      </c>
    </row>
    <row r="802" spans="1:10">
      <c r="A802">
        <v>9162</v>
      </c>
      <c r="B802" t="s">
        <v>90</v>
      </c>
      <c r="C802" t="s">
        <v>90</v>
      </c>
      <c r="D802" t="s">
        <v>5</v>
      </c>
      <c r="E802" s="1">
        <v>43185.863530092596</v>
      </c>
      <c r="F802" s="465">
        <v>43185.863530092596</v>
      </c>
      <c r="G802" s="464">
        <v>0.86319444444444438</v>
      </c>
      <c r="H802" t="s">
        <v>129</v>
      </c>
      <c r="I802" t="s">
        <v>129</v>
      </c>
      <c r="J802" t="s">
        <v>129</v>
      </c>
    </row>
    <row r="803" spans="1:10">
      <c r="A803">
        <v>9200</v>
      </c>
      <c r="B803" t="s">
        <v>104</v>
      </c>
      <c r="C803" t="s">
        <v>90</v>
      </c>
      <c r="D803" t="s">
        <v>6</v>
      </c>
      <c r="E803" s="1">
        <v>43187.714548611111</v>
      </c>
      <c r="F803" s="465">
        <v>43187.714548611111</v>
      </c>
      <c r="G803" s="464">
        <v>0.71388888888888891</v>
      </c>
      <c r="H803">
        <v>3.6500000000000004</v>
      </c>
      <c r="I803">
        <v>2.1500000000000004</v>
      </c>
      <c r="J803">
        <v>5.85</v>
      </c>
    </row>
    <row r="804" spans="1:10">
      <c r="A804">
        <v>9221</v>
      </c>
      <c r="B804" t="s">
        <v>90</v>
      </c>
      <c r="C804" t="s">
        <v>90</v>
      </c>
      <c r="D804" t="s">
        <v>5</v>
      </c>
      <c r="E804" s="1">
        <v>43187.866053240738</v>
      </c>
      <c r="F804" s="465">
        <v>43187.866053240738</v>
      </c>
      <c r="G804" s="464">
        <v>0.86597222222222225</v>
      </c>
      <c r="H804" t="s">
        <v>129</v>
      </c>
      <c r="I804" t="s">
        <v>129</v>
      </c>
      <c r="J804" t="s">
        <v>129</v>
      </c>
    </row>
    <row r="805" spans="1:10">
      <c r="A805">
        <v>9265</v>
      </c>
      <c r="B805" t="s">
        <v>90</v>
      </c>
      <c r="C805" t="s">
        <v>90</v>
      </c>
      <c r="D805" t="s">
        <v>6</v>
      </c>
      <c r="E805" s="1">
        <v>43189.371296296296</v>
      </c>
      <c r="F805" s="465">
        <v>43189.371296296296</v>
      </c>
      <c r="G805" s="464">
        <v>0.37083333333333335</v>
      </c>
      <c r="H805">
        <v>3.1666666666666661</v>
      </c>
      <c r="I805">
        <v>1.6666666666666661</v>
      </c>
      <c r="J805">
        <v>6.3333333333333339</v>
      </c>
    </row>
    <row r="806" spans="1:10">
      <c r="A806">
        <v>9268</v>
      </c>
      <c r="B806" t="s">
        <v>90</v>
      </c>
      <c r="C806" t="s">
        <v>90</v>
      </c>
      <c r="D806" t="s">
        <v>5</v>
      </c>
      <c r="E806" s="1">
        <v>43189.503159722219</v>
      </c>
      <c r="F806" s="465">
        <v>43189.503159722219</v>
      </c>
      <c r="G806" s="464">
        <v>0.50277777777777777</v>
      </c>
      <c r="H806" t="s">
        <v>129</v>
      </c>
      <c r="I806" t="s">
        <v>129</v>
      </c>
      <c r="J806" t="s">
        <v>129</v>
      </c>
    </row>
    <row r="807" spans="1:10">
      <c r="A807">
        <v>9265</v>
      </c>
      <c r="B807" t="s">
        <v>90</v>
      </c>
      <c r="C807" t="s">
        <v>90</v>
      </c>
      <c r="D807" t="s">
        <v>6</v>
      </c>
      <c r="E807" s="1">
        <v>43190.396296296298</v>
      </c>
      <c r="F807" s="465">
        <v>43190.396296296298</v>
      </c>
      <c r="G807" s="464">
        <v>0.39583333333333331</v>
      </c>
      <c r="H807">
        <v>3.566666666666666</v>
      </c>
      <c r="I807">
        <v>2.066666666666666</v>
      </c>
      <c r="J807">
        <v>5.9333333333333336</v>
      </c>
    </row>
    <row r="808" spans="1:10">
      <c r="A808">
        <v>9268</v>
      </c>
      <c r="B808" t="s">
        <v>90</v>
      </c>
      <c r="C808" t="s">
        <v>90</v>
      </c>
      <c r="D808" t="s">
        <v>5</v>
      </c>
      <c r="E808" s="1">
        <v>43190.54482638889</v>
      </c>
      <c r="F808" s="465">
        <v>43190.54482638889</v>
      </c>
      <c r="G808" s="464">
        <v>0.5444444444444444</v>
      </c>
      <c r="H808" t="s">
        <v>129</v>
      </c>
      <c r="I808" t="s">
        <v>129</v>
      </c>
      <c r="J808" t="s">
        <v>129</v>
      </c>
    </row>
    <row r="809" spans="1:10">
      <c r="A809">
        <v>8497</v>
      </c>
      <c r="B809" t="s">
        <v>92</v>
      </c>
      <c r="C809" t="s">
        <v>91</v>
      </c>
      <c r="D809" t="s">
        <v>6</v>
      </c>
      <c r="E809" s="1">
        <v>43160.376539351855</v>
      </c>
      <c r="F809" s="465">
        <v>43160.376539351855</v>
      </c>
      <c r="G809" s="464">
        <v>0.37638888888888888</v>
      </c>
      <c r="H809">
        <v>9.2333333333333325</v>
      </c>
      <c r="I809">
        <v>7.7333333333333325</v>
      </c>
      <c r="J809">
        <v>0.2666666666666675</v>
      </c>
    </row>
    <row r="810" spans="1:10">
      <c r="A810">
        <v>8500</v>
      </c>
      <c r="B810" t="s">
        <v>91</v>
      </c>
      <c r="C810" t="s">
        <v>91</v>
      </c>
      <c r="D810" t="s">
        <v>5</v>
      </c>
      <c r="E810" s="1">
        <v>43160.761712962965</v>
      </c>
      <c r="F810" s="465">
        <v>43160.761712962965</v>
      </c>
      <c r="G810" s="464">
        <v>0.76111111111111107</v>
      </c>
      <c r="H810" t="s">
        <v>129</v>
      </c>
      <c r="I810" t="s">
        <v>129</v>
      </c>
      <c r="J810" t="s">
        <v>129</v>
      </c>
    </row>
    <row r="811" spans="1:10">
      <c r="A811">
        <v>8530</v>
      </c>
      <c r="B811" t="s">
        <v>91</v>
      </c>
      <c r="C811" t="s">
        <v>91</v>
      </c>
      <c r="D811" t="s">
        <v>6</v>
      </c>
      <c r="E811" s="1">
        <v>43161.382303240738</v>
      </c>
      <c r="F811" s="465">
        <v>43161.382303240738</v>
      </c>
      <c r="G811" s="464">
        <v>0.38194444444444442</v>
      </c>
      <c r="H811">
        <v>12.166666666666666</v>
      </c>
      <c r="I811">
        <v>8</v>
      </c>
      <c r="J811" t="s">
        <v>129</v>
      </c>
    </row>
    <row r="812" spans="1:10">
      <c r="A812">
        <v>8500</v>
      </c>
      <c r="B812" t="s">
        <v>91</v>
      </c>
      <c r="C812" t="s">
        <v>91</v>
      </c>
      <c r="D812" t="s">
        <v>5</v>
      </c>
      <c r="E812" s="1">
        <v>43161.889490740738</v>
      </c>
      <c r="F812" s="465">
        <v>43161.889490740738</v>
      </c>
      <c r="G812" s="464">
        <v>0.88888888888888884</v>
      </c>
      <c r="H812" t="s">
        <v>129</v>
      </c>
      <c r="I812" t="s">
        <v>129</v>
      </c>
      <c r="J812" t="s">
        <v>129</v>
      </c>
    </row>
    <row r="813" spans="1:10">
      <c r="A813">
        <v>8549</v>
      </c>
      <c r="B813" t="s">
        <v>92</v>
      </c>
      <c r="C813" t="s">
        <v>91</v>
      </c>
      <c r="D813" t="s">
        <v>6</v>
      </c>
      <c r="E813" s="1">
        <v>43162.486400462964</v>
      </c>
      <c r="F813" s="465">
        <v>43162.486400462964</v>
      </c>
      <c r="G813" s="464">
        <v>0.4861111111111111</v>
      </c>
      <c r="H813">
        <v>4.2166666666666668</v>
      </c>
      <c r="I813">
        <v>2.7166666666666668</v>
      </c>
      <c r="J813">
        <v>5.2833333333333332</v>
      </c>
    </row>
    <row r="814" spans="1:10">
      <c r="A814">
        <v>8552</v>
      </c>
      <c r="B814" t="s">
        <v>91</v>
      </c>
      <c r="C814" t="s">
        <v>91</v>
      </c>
      <c r="D814" t="s">
        <v>5</v>
      </c>
      <c r="E814" s="1">
        <v>43162.661828703705</v>
      </c>
      <c r="F814" s="465">
        <v>43162.661828703705</v>
      </c>
      <c r="G814" s="464">
        <v>0.66180555555555554</v>
      </c>
      <c r="H814" t="s">
        <v>129</v>
      </c>
      <c r="I814" t="s">
        <v>129</v>
      </c>
      <c r="J814" t="s">
        <v>129</v>
      </c>
    </row>
    <row r="815" spans="1:10">
      <c r="A815">
        <v>8553</v>
      </c>
      <c r="B815" t="s">
        <v>91</v>
      </c>
      <c r="C815" t="s">
        <v>91</v>
      </c>
      <c r="D815" t="s">
        <v>6</v>
      </c>
      <c r="E815" s="1">
        <v>43162.683321759258</v>
      </c>
      <c r="F815" s="465">
        <v>43162.683321759258</v>
      </c>
      <c r="G815" s="464">
        <v>0.68263888888888891</v>
      </c>
      <c r="H815">
        <v>5.15</v>
      </c>
      <c r="I815">
        <v>3.6500000000000004</v>
      </c>
      <c r="J815">
        <v>4.3499999999999996</v>
      </c>
    </row>
    <row r="816" spans="1:10">
      <c r="A816">
        <v>8555</v>
      </c>
      <c r="B816" t="s">
        <v>92</v>
      </c>
      <c r="C816" t="s">
        <v>91</v>
      </c>
      <c r="D816" t="s">
        <v>5</v>
      </c>
      <c r="E816" s="1">
        <v>43162.897245370368</v>
      </c>
      <c r="F816" s="465">
        <v>43162.897245370368</v>
      </c>
      <c r="G816" s="464">
        <v>0.89722222222222225</v>
      </c>
      <c r="H816" t="s">
        <v>129</v>
      </c>
      <c r="I816" t="s">
        <v>129</v>
      </c>
      <c r="J816" t="s">
        <v>129</v>
      </c>
    </row>
    <row r="817" spans="1:10">
      <c r="A817">
        <v>8563</v>
      </c>
      <c r="B817" t="s">
        <v>91</v>
      </c>
      <c r="C817" t="s">
        <v>91</v>
      </c>
      <c r="D817" t="s">
        <v>6</v>
      </c>
      <c r="E817" s="1">
        <v>43164.369537037041</v>
      </c>
      <c r="F817" s="465">
        <v>43164.369537037041</v>
      </c>
      <c r="G817" s="464">
        <v>0.36944444444444446</v>
      </c>
      <c r="H817">
        <v>13.733333333333333</v>
      </c>
      <c r="I817">
        <v>8</v>
      </c>
      <c r="J817" t="s">
        <v>129</v>
      </c>
    </row>
    <row r="818" spans="1:10">
      <c r="A818">
        <v>8593</v>
      </c>
      <c r="B818" t="s">
        <v>92</v>
      </c>
      <c r="C818" t="s">
        <v>91</v>
      </c>
      <c r="D818" t="s">
        <v>5</v>
      </c>
      <c r="E818" s="1">
        <v>43164.941701388889</v>
      </c>
      <c r="F818" s="465">
        <v>43164.941701388889</v>
      </c>
      <c r="G818" s="464">
        <v>0.94166666666666676</v>
      </c>
      <c r="H818" t="s">
        <v>129</v>
      </c>
      <c r="I818" t="s">
        <v>129</v>
      </c>
      <c r="J818" t="s">
        <v>129</v>
      </c>
    </row>
    <row r="819" spans="1:10">
      <c r="A819">
        <v>8603</v>
      </c>
      <c r="B819" t="s">
        <v>92</v>
      </c>
      <c r="C819" t="s">
        <v>91</v>
      </c>
      <c r="D819" t="s">
        <v>6</v>
      </c>
      <c r="E819" s="1">
        <v>43165.383159722223</v>
      </c>
      <c r="F819" s="465">
        <v>43165.383159722223</v>
      </c>
      <c r="G819" s="464">
        <v>0.38263888888888892</v>
      </c>
      <c r="H819">
        <v>9.0833333333333321</v>
      </c>
      <c r="I819">
        <v>7.5833333333333321</v>
      </c>
      <c r="J819">
        <v>0.41666666666666785</v>
      </c>
    </row>
    <row r="820" spans="1:10">
      <c r="A820">
        <v>8605</v>
      </c>
      <c r="B820" t="s">
        <v>96</v>
      </c>
      <c r="C820" t="s">
        <v>91</v>
      </c>
      <c r="D820" t="s">
        <v>5</v>
      </c>
      <c r="E820" s="1">
        <v>43165.761284722219</v>
      </c>
      <c r="F820" s="465">
        <v>43165.761284722219</v>
      </c>
      <c r="G820" s="464">
        <v>0.76111111111111107</v>
      </c>
      <c r="H820" t="s">
        <v>129</v>
      </c>
      <c r="I820" t="s">
        <v>129</v>
      </c>
      <c r="J820" t="s">
        <v>129</v>
      </c>
    </row>
    <row r="821" spans="1:10">
      <c r="A821">
        <v>8635</v>
      </c>
      <c r="B821" t="s">
        <v>96</v>
      </c>
      <c r="C821" t="s">
        <v>91</v>
      </c>
      <c r="D821" t="s">
        <v>6</v>
      </c>
      <c r="E821" s="1">
        <v>43166.399178240739</v>
      </c>
      <c r="F821" s="465">
        <v>43166.399178240739</v>
      </c>
      <c r="G821" s="464">
        <v>0.39861111111111108</v>
      </c>
      <c r="H821">
        <v>12.466666666666665</v>
      </c>
      <c r="I821">
        <v>8</v>
      </c>
      <c r="J821" t="s">
        <v>129</v>
      </c>
    </row>
    <row r="822" spans="1:10">
      <c r="A822">
        <v>8660</v>
      </c>
      <c r="B822" t="s">
        <v>92</v>
      </c>
      <c r="C822" t="s">
        <v>91</v>
      </c>
      <c r="D822" t="s">
        <v>5</v>
      </c>
      <c r="E822" s="1">
        <v>43166.918379629627</v>
      </c>
      <c r="F822" s="465">
        <v>43166.918379629627</v>
      </c>
      <c r="G822" s="464">
        <v>0.91805555555555562</v>
      </c>
      <c r="H822" t="s">
        <v>129</v>
      </c>
      <c r="I822" t="s">
        <v>129</v>
      </c>
      <c r="J822" t="s">
        <v>129</v>
      </c>
    </row>
    <row r="823" spans="1:10">
      <c r="A823">
        <v>8662</v>
      </c>
      <c r="B823" t="s">
        <v>91</v>
      </c>
      <c r="C823" t="s">
        <v>91</v>
      </c>
      <c r="D823" t="s">
        <v>6</v>
      </c>
      <c r="E823" s="1">
        <v>43167.357511574075</v>
      </c>
      <c r="F823" s="465">
        <v>43167.357511574075</v>
      </c>
      <c r="G823" s="464">
        <v>0.35694444444444445</v>
      </c>
      <c r="H823">
        <v>9.8500000000000014</v>
      </c>
      <c r="I823">
        <v>8</v>
      </c>
      <c r="J823" t="s">
        <v>129</v>
      </c>
    </row>
    <row r="824" spans="1:10">
      <c r="A824">
        <v>8676</v>
      </c>
      <c r="B824" t="s">
        <v>91</v>
      </c>
      <c r="C824" t="s">
        <v>91</v>
      </c>
      <c r="D824" t="s">
        <v>5</v>
      </c>
      <c r="E824" s="1">
        <v>43167.767939814818</v>
      </c>
      <c r="F824" s="465">
        <v>43167.767939814818</v>
      </c>
      <c r="G824" s="464">
        <v>0.76736111111111116</v>
      </c>
      <c r="H824" t="s">
        <v>129</v>
      </c>
      <c r="I824" t="s">
        <v>129</v>
      </c>
      <c r="J824" t="s">
        <v>129</v>
      </c>
    </row>
    <row r="825" spans="1:10">
      <c r="A825">
        <v>8702</v>
      </c>
      <c r="B825" t="s">
        <v>92</v>
      </c>
      <c r="C825" t="s">
        <v>91</v>
      </c>
      <c r="D825" t="s">
        <v>6</v>
      </c>
      <c r="E825" s="1">
        <v>43168.381712962961</v>
      </c>
      <c r="F825" s="465">
        <v>43168.381712962961</v>
      </c>
      <c r="G825" s="464">
        <v>0.38125000000000003</v>
      </c>
      <c r="H825">
        <v>12.149999999999999</v>
      </c>
      <c r="I825">
        <v>8</v>
      </c>
      <c r="J825" t="s">
        <v>129</v>
      </c>
    </row>
    <row r="826" spans="1:10">
      <c r="A826">
        <v>8716</v>
      </c>
      <c r="B826" t="s">
        <v>92</v>
      </c>
      <c r="C826" t="s">
        <v>91</v>
      </c>
      <c r="D826" t="s">
        <v>5</v>
      </c>
      <c r="E826" s="1">
        <v>43168.887557870374</v>
      </c>
      <c r="F826" s="465">
        <v>43168.887557870374</v>
      </c>
      <c r="G826" s="464">
        <v>0.88750000000000007</v>
      </c>
      <c r="H826" t="s">
        <v>129</v>
      </c>
      <c r="I826" t="s">
        <v>129</v>
      </c>
      <c r="J826" t="s">
        <v>129</v>
      </c>
    </row>
    <row r="827" spans="1:10">
      <c r="A827">
        <v>8731</v>
      </c>
      <c r="B827" t="s">
        <v>96</v>
      </c>
      <c r="C827" t="s">
        <v>91</v>
      </c>
      <c r="D827" t="s">
        <v>6</v>
      </c>
      <c r="E827" s="1">
        <v>43170.428483796299</v>
      </c>
      <c r="F827" s="465">
        <v>43170.428483796299</v>
      </c>
      <c r="G827" s="464">
        <v>0.4284722222222222</v>
      </c>
      <c r="H827">
        <v>3.183333333333334</v>
      </c>
      <c r="I827">
        <v>1.683333333333334</v>
      </c>
      <c r="J827">
        <v>6.3166666666666664</v>
      </c>
    </row>
    <row r="828" spans="1:10">
      <c r="A828">
        <v>8739</v>
      </c>
      <c r="B828" t="s">
        <v>91</v>
      </c>
      <c r="C828" t="s">
        <v>91</v>
      </c>
      <c r="D828" t="s">
        <v>5</v>
      </c>
      <c r="E828" s="1">
        <v>43170.561145833337</v>
      </c>
      <c r="F828" s="465">
        <v>43170.561145833337</v>
      </c>
      <c r="G828" s="464">
        <v>0.56111111111111112</v>
      </c>
      <c r="H828" t="s">
        <v>129</v>
      </c>
      <c r="I828" t="s">
        <v>129</v>
      </c>
      <c r="J828" t="s">
        <v>129</v>
      </c>
    </row>
    <row r="829" spans="1:10">
      <c r="A829">
        <v>8744</v>
      </c>
      <c r="B829" t="s">
        <v>92</v>
      </c>
      <c r="C829" t="s">
        <v>91</v>
      </c>
      <c r="D829" t="s">
        <v>6</v>
      </c>
      <c r="E829" s="1">
        <v>43170.604456018518</v>
      </c>
      <c r="F829" s="465">
        <v>43170.604456018518</v>
      </c>
      <c r="G829" s="464">
        <v>0.60416666666666663</v>
      </c>
      <c r="H829">
        <v>3.4333333333333345</v>
      </c>
      <c r="I829">
        <v>1.9333333333333345</v>
      </c>
      <c r="J829">
        <v>6.0666666666666655</v>
      </c>
    </row>
    <row r="830" spans="1:10">
      <c r="A830">
        <v>8747</v>
      </c>
      <c r="B830" t="s">
        <v>92</v>
      </c>
      <c r="C830" t="s">
        <v>91</v>
      </c>
      <c r="D830" t="s">
        <v>5</v>
      </c>
      <c r="E830" s="1">
        <v>43170.747303240743</v>
      </c>
      <c r="F830" s="465">
        <v>43170.747303240743</v>
      </c>
      <c r="G830" s="464">
        <v>0.74722222222222223</v>
      </c>
      <c r="H830" t="s">
        <v>129</v>
      </c>
      <c r="I830" t="s">
        <v>129</v>
      </c>
      <c r="J830" t="s">
        <v>129</v>
      </c>
    </row>
    <row r="831" spans="1:10">
      <c r="A831">
        <v>8748</v>
      </c>
      <c r="B831" t="s">
        <v>92</v>
      </c>
      <c r="C831" t="s">
        <v>91</v>
      </c>
      <c r="D831" t="s">
        <v>6</v>
      </c>
      <c r="E831" s="1">
        <v>43170.748113425929</v>
      </c>
      <c r="F831" s="465">
        <v>43170.748113425929</v>
      </c>
      <c r="G831" s="464">
        <v>0.74791666666666667</v>
      </c>
      <c r="H831">
        <v>1.1833333333333345</v>
      </c>
      <c r="I831">
        <v>-0.31666666666666554</v>
      </c>
      <c r="J831">
        <v>8.3166666666666664</v>
      </c>
    </row>
    <row r="832" spans="1:10">
      <c r="A832">
        <v>8760</v>
      </c>
      <c r="B832" t="s">
        <v>92</v>
      </c>
      <c r="C832" t="s">
        <v>91</v>
      </c>
      <c r="D832" t="s">
        <v>5</v>
      </c>
      <c r="E832" s="1">
        <v>43170.797407407408</v>
      </c>
      <c r="F832" s="465">
        <v>43170.797407407408</v>
      </c>
      <c r="G832" s="464">
        <v>0.79722222222222217</v>
      </c>
      <c r="H832" t="s">
        <v>129</v>
      </c>
      <c r="I832" t="s">
        <v>129</v>
      </c>
      <c r="J832" t="s">
        <v>129</v>
      </c>
    </row>
    <row r="833" spans="1:14">
      <c r="A833">
        <v>8772</v>
      </c>
      <c r="B833" t="s">
        <v>91</v>
      </c>
      <c r="C833" t="s">
        <v>91</v>
      </c>
      <c r="D833" t="s">
        <v>6</v>
      </c>
      <c r="E833" s="1">
        <v>43171.382048611114</v>
      </c>
      <c r="F833" s="465">
        <v>43171.382048611114</v>
      </c>
      <c r="G833" s="464">
        <v>0.38194444444444442</v>
      </c>
      <c r="H833">
        <v>12.766666666666666</v>
      </c>
      <c r="I833">
        <v>8</v>
      </c>
      <c r="J833" t="s">
        <v>129</v>
      </c>
    </row>
    <row r="834" spans="1:14">
      <c r="A834">
        <v>8798</v>
      </c>
      <c r="B834" t="s">
        <v>92</v>
      </c>
      <c r="C834" t="s">
        <v>91</v>
      </c>
      <c r="D834" t="s">
        <v>5</v>
      </c>
      <c r="E834" s="1">
        <v>43171.914039351854</v>
      </c>
      <c r="F834" s="465">
        <v>43171.914039351854</v>
      </c>
      <c r="G834" s="464">
        <v>0.91388888888888886</v>
      </c>
      <c r="H834" t="s">
        <v>129</v>
      </c>
      <c r="I834" t="s">
        <v>129</v>
      </c>
      <c r="J834" t="s">
        <v>129</v>
      </c>
    </row>
    <row r="835" spans="1:14">
      <c r="A835">
        <v>8806</v>
      </c>
      <c r="B835" t="s">
        <v>96</v>
      </c>
      <c r="C835" t="s">
        <v>91</v>
      </c>
      <c r="D835" t="s">
        <v>6</v>
      </c>
      <c r="E835" s="1">
        <v>43172.368321759262</v>
      </c>
      <c r="F835" s="465">
        <v>43172.368321759262</v>
      </c>
      <c r="G835" s="464">
        <v>0.36805555555555558</v>
      </c>
      <c r="H835">
        <v>9.7166666666666668</v>
      </c>
      <c r="I835">
        <v>8</v>
      </c>
      <c r="J835" t="s">
        <v>129</v>
      </c>
    </row>
    <row r="836" spans="1:14">
      <c r="A836">
        <v>8823</v>
      </c>
      <c r="B836" t="s">
        <v>91</v>
      </c>
      <c r="C836" t="s">
        <v>91</v>
      </c>
      <c r="D836" t="s">
        <v>5</v>
      </c>
      <c r="E836" s="1">
        <v>43172.773449074077</v>
      </c>
      <c r="F836" s="465">
        <v>43172.773449074077</v>
      </c>
      <c r="G836" s="464">
        <v>0.7729166666666667</v>
      </c>
      <c r="H836" t="s">
        <v>129</v>
      </c>
      <c r="I836" t="s">
        <v>129</v>
      </c>
      <c r="J836" t="s">
        <v>129</v>
      </c>
    </row>
    <row r="837" spans="1:14">
      <c r="A837">
        <v>8845</v>
      </c>
      <c r="B837" t="s">
        <v>91</v>
      </c>
      <c r="C837" t="s">
        <v>91</v>
      </c>
      <c r="D837" t="s">
        <v>6</v>
      </c>
      <c r="E837" s="1">
        <v>43173.372731481482</v>
      </c>
      <c r="F837" s="465">
        <v>43173.372731481482</v>
      </c>
      <c r="G837" s="464">
        <v>0.37222222222222223</v>
      </c>
      <c r="H837">
        <v>12.1</v>
      </c>
      <c r="I837">
        <v>8</v>
      </c>
      <c r="J837" t="s">
        <v>129</v>
      </c>
    </row>
    <row r="838" spans="1:14">
      <c r="A838">
        <v>8869</v>
      </c>
      <c r="B838" t="s">
        <v>91</v>
      </c>
      <c r="C838" t="s">
        <v>91</v>
      </c>
      <c r="D838" t="s">
        <v>5</v>
      </c>
      <c r="E838" s="1">
        <v>43173.876458333332</v>
      </c>
      <c r="F838" s="465">
        <v>43173.876458333332</v>
      </c>
      <c r="G838" s="464">
        <v>0.87638888888888899</v>
      </c>
      <c r="H838" t="s">
        <v>129</v>
      </c>
      <c r="I838" t="s">
        <v>129</v>
      </c>
      <c r="J838" t="s">
        <v>129</v>
      </c>
    </row>
    <row r="839" spans="1:14">
      <c r="A839">
        <v>8881</v>
      </c>
      <c r="B839" t="s">
        <v>96</v>
      </c>
      <c r="C839" t="s">
        <v>91</v>
      </c>
      <c r="D839" t="s">
        <v>6</v>
      </c>
      <c r="E839" s="1">
        <v>43174.379340277781</v>
      </c>
      <c r="F839" s="465">
        <v>43174.379340277781</v>
      </c>
      <c r="G839" s="464">
        <v>0.37916666666666665</v>
      </c>
      <c r="H839">
        <v>9.5</v>
      </c>
      <c r="I839">
        <v>8</v>
      </c>
      <c r="J839" t="s">
        <v>129</v>
      </c>
    </row>
    <row r="840" spans="1:14">
      <c r="A840">
        <v>8895</v>
      </c>
      <c r="B840" t="s">
        <v>91</v>
      </c>
      <c r="C840" t="s">
        <v>91</v>
      </c>
      <c r="D840" t="s">
        <v>5</v>
      </c>
      <c r="E840" s="1">
        <v>43174.775312500002</v>
      </c>
      <c r="F840" s="465">
        <v>43174.775312500002</v>
      </c>
      <c r="G840" s="464">
        <v>0.77500000000000002</v>
      </c>
      <c r="H840" t="s">
        <v>129</v>
      </c>
      <c r="I840" t="s">
        <v>129</v>
      </c>
      <c r="J840" t="s">
        <v>129</v>
      </c>
    </row>
    <row r="841" spans="1:14">
      <c r="A841">
        <v>8916</v>
      </c>
      <c r="B841" t="s">
        <v>91</v>
      </c>
      <c r="C841" t="s">
        <v>91</v>
      </c>
      <c r="D841" t="s">
        <v>6</v>
      </c>
      <c r="E841" s="1">
        <v>43175.389456018522</v>
      </c>
      <c r="F841" s="465">
        <v>43175.389456018522</v>
      </c>
      <c r="G841" s="464">
        <v>0.3888888888888889</v>
      </c>
      <c r="H841">
        <v>12.516666666666666</v>
      </c>
      <c r="I841">
        <v>8</v>
      </c>
      <c r="J841" t="s">
        <v>129</v>
      </c>
    </row>
    <row r="842" spans="1:14">
      <c r="A842">
        <v>8941</v>
      </c>
      <c r="B842" t="s">
        <v>96</v>
      </c>
      <c r="C842" t="s">
        <v>91</v>
      </c>
      <c r="D842" t="s">
        <v>5</v>
      </c>
      <c r="E842" s="1">
        <v>43175.910613425927</v>
      </c>
      <c r="F842" s="465">
        <v>43175.910613425927</v>
      </c>
      <c r="G842" s="464">
        <v>0.91041666666666676</v>
      </c>
      <c r="H842" t="s">
        <v>129</v>
      </c>
      <c r="I842" t="s">
        <v>129</v>
      </c>
      <c r="J842" t="s">
        <v>129</v>
      </c>
    </row>
    <row r="843" spans="1:14">
      <c r="A843">
        <v>8950</v>
      </c>
      <c r="B843" t="s">
        <v>96</v>
      </c>
      <c r="C843" t="s">
        <v>91</v>
      </c>
      <c r="D843" t="s">
        <v>6</v>
      </c>
      <c r="E843" s="1">
        <v>43176.471851851849</v>
      </c>
      <c r="F843" s="465">
        <v>43176.471851851849</v>
      </c>
      <c r="G843" s="464">
        <v>0.47152777777777777</v>
      </c>
      <c r="H843">
        <v>8.7666666666666675</v>
      </c>
      <c r="I843">
        <v>7.2666666666666675</v>
      </c>
      <c r="J843">
        <v>0.7333333333333325</v>
      </c>
    </row>
    <row r="844" spans="1:14">
      <c r="A844">
        <v>8972</v>
      </c>
      <c r="B844" t="s">
        <v>96</v>
      </c>
      <c r="C844" t="s">
        <v>91</v>
      </c>
      <c r="D844" t="s">
        <v>5</v>
      </c>
      <c r="E844" s="1">
        <v>43176.836921296293</v>
      </c>
      <c r="F844" s="465">
        <v>43176.836921296293</v>
      </c>
      <c r="G844" s="464">
        <v>0.83680555555555547</v>
      </c>
      <c r="H844" t="s">
        <v>129</v>
      </c>
      <c r="I844" t="s">
        <v>129</v>
      </c>
      <c r="J844" t="s">
        <v>129</v>
      </c>
    </row>
    <row r="845" spans="1:14">
      <c r="A845">
        <v>8977</v>
      </c>
      <c r="B845" t="s">
        <v>91</v>
      </c>
      <c r="C845" t="s">
        <v>91</v>
      </c>
      <c r="D845" t="s">
        <v>6</v>
      </c>
      <c r="E845" s="1">
        <v>43178.368078703701</v>
      </c>
      <c r="F845" s="465">
        <v>43178.368078703701</v>
      </c>
      <c r="G845" s="464">
        <v>0.36805555555555558</v>
      </c>
      <c r="H845">
        <v>9.6333333333333329</v>
      </c>
      <c r="I845">
        <v>8</v>
      </c>
      <c r="J845" t="s">
        <v>129</v>
      </c>
    </row>
    <row r="846" spans="1:14">
      <c r="A846">
        <v>8992</v>
      </c>
      <c r="B846" t="s">
        <v>92</v>
      </c>
      <c r="C846" t="s">
        <v>91</v>
      </c>
      <c r="D846" t="s">
        <v>5</v>
      </c>
      <c r="E846" s="1">
        <v>43178.770011574074</v>
      </c>
      <c r="F846" s="465">
        <v>43178.770011574074</v>
      </c>
      <c r="G846" s="464">
        <v>0.76944444444444438</v>
      </c>
      <c r="H846" t="s">
        <v>129</v>
      </c>
      <c r="I846" t="s">
        <v>129</v>
      </c>
      <c r="J846" t="s">
        <v>129</v>
      </c>
    </row>
    <row r="847" spans="1:14">
      <c r="A847">
        <v>8993</v>
      </c>
      <c r="B847" t="s">
        <v>92</v>
      </c>
      <c r="C847" t="s">
        <v>91</v>
      </c>
      <c r="D847" t="s">
        <v>7</v>
      </c>
      <c r="E847" s="1">
        <v>43178.770069444443</v>
      </c>
      <c r="F847" s="465">
        <v>43178.770069444443</v>
      </c>
      <c r="G847" s="464">
        <v>0.76944444444444438</v>
      </c>
      <c r="H847" t="s">
        <v>129</v>
      </c>
      <c r="I847" t="s">
        <v>129</v>
      </c>
      <c r="J847" t="s">
        <v>129</v>
      </c>
      <c r="K847">
        <v>2.3666666666666663</v>
      </c>
      <c r="M847">
        <v>2</v>
      </c>
      <c r="N847">
        <v>0.36666666666666625</v>
      </c>
    </row>
    <row r="848" spans="1:14">
      <c r="A848">
        <v>9004</v>
      </c>
      <c r="B848" t="s">
        <v>91</v>
      </c>
      <c r="C848" t="s">
        <v>91</v>
      </c>
      <c r="D848" t="s">
        <v>8</v>
      </c>
      <c r="E848" s="1">
        <v>43178.868437500001</v>
      </c>
      <c r="F848" s="465">
        <v>43178.868437500001</v>
      </c>
      <c r="G848" s="464">
        <v>0.86805555555555547</v>
      </c>
      <c r="H848" t="s">
        <v>129</v>
      </c>
      <c r="I848" t="s">
        <v>129</v>
      </c>
      <c r="J848" t="s">
        <v>129</v>
      </c>
    </row>
    <row r="849" spans="1:11">
      <c r="A849">
        <v>9017</v>
      </c>
      <c r="B849" t="s">
        <v>91</v>
      </c>
      <c r="C849" t="s">
        <v>91</v>
      </c>
      <c r="D849" t="s">
        <v>6</v>
      </c>
      <c r="E849" s="1">
        <v>43179.37332175926</v>
      </c>
      <c r="F849" s="465">
        <v>43179.37332175926</v>
      </c>
      <c r="G849" s="464">
        <v>0.37291666666666662</v>
      </c>
      <c r="H849">
        <v>9.3166666666666664</v>
      </c>
      <c r="I849">
        <v>7.8166666666666664</v>
      </c>
      <c r="J849">
        <v>0.18333333333333357</v>
      </c>
    </row>
    <row r="850" spans="1:11">
      <c r="A850">
        <v>9021</v>
      </c>
      <c r="B850" t="s">
        <v>96</v>
      </c>
      <c r="C850" t="s">
        <v>91</v>
      </c>
      <c r="D850" t="s">
        <v>5</v>
      </c>
      <c r="E850" s="1">
        <v>43179.76152777778</v>
      </c>
      <c r="F850" s="465">
        <v>43179.76152777778</v>
      </c>
      <c r="G850" s="464">
        <v>0.76111111111111107</v>
      </c>
      <c r="H850" t="s">
        <v>129</v>
      </c>
      <c r="I850" t="s">
        <v>129</v>
      </c>
      <c r="J850" t="s">
        <v>129</v>
      </c>
    </row>
    <row r="851" spans="1:11">
      <c r="A851">
        <v>9054</v>
      </c>
      <c r="B851" t="s">
        <v>96</v>
      </c>
      <c r="C851" t="s">
        <v>91</v>
      </c>
      <c r="D851" t="s">
        <v>6</v>
      </c>
      <c r="E851" s="1">
        <v>43180.375254629631</v>
      </c>
      <c r="F851" s="465">
        <v>43180.375254629631</v>
      </c>
      <c r="G851" s="464">
        <v>0.375</v>
      </c>
      <c r="H851">
        <v>10.033333333333331</v>
      </c>
      <c r="I851">
        <v>8</v>
      </c>
      <c r="J851" t="s">
        <v>129</v>
      </c>
    </row>
    <row r="852" spans="1:11">
      <c r="A852">
        <v>9071</v>
      </c>
      <c r="B852" t="s">
        <v>91</v>
      </c>
      <c r="C852" t="s">
        <v>91</v>
      </c>
      <c r="D852" t="s">
        <v>5</v>
      </c>
      <c r="E852" s="1">
        <v>43180.79347222222</v>
      </c>
      <c r="F852" s="465">
        <v>43180.79347222222</v>
      </c>
      <c r="G852" s="464">
        <v>0.79305555555555562</v>
      </c>
      <c r="H852" t="s">
        <v>129</v>
      </c>
      <c r="I852" t="s">
        <v>129</v>
      </c>
      <c r="J852" t="s">
        <v>129</v>
      </c>
    </row>
    <row r="853" spans="1:11">
      <c r="A853">
        <v>9075</v>
      </c>
      <c r="B853" t="s">
        <v>92</v>
      </c>
      <c r="C853" t="s">
        <v>91</v>
      </c>
      <c r="D853" t="s">
        <v>7</v>
      </c>
      <c r="E853" s="1">
        <v>43180.817465277774</v>
      </c>
      <c r="F853" s="465">
        <v>43180.817465277774</v>
      </c>
      <c r="G853" s="464">
        <v>0.81736111111111109</v>
      </c>
      <c r="H853" t="s">
        <v>129</v>
      </c>
      <c r="I853" t="s">
        <v>129</v>
      </c>
      <c r="J853" t="s">
        <v>129</v>
      </c>
      <c r="K853">
        <v>1.8333333333333348</v>
      </c>
    </row>
    <row r="854" spans="1:11">
      <c r="A854">
        <v>9080</v>
      </c>
      <c r="B854" t="s">
        <v>92</v>
      </c>
      <c r="C854" t="s">
        <v>91</v>
      </c>
      <c r="D854" t="s">
        <v>8</v>
      </c>
      <c r="E854" s="1">
        <v>43180.893796296295</v>
      </c>
      <c r="F854" s="465">
        <v>43180.893796296295</v>
      </c>
      <c r="G854" s="464">
        <v>0.89374999999999993</v>
      </c>
    </row>
  </sheetData>
  <phoneticPr fontId="18" type="noConversion"/>
  <conditionalFormatting sqref="AE1:AK1048576 AL409:AL571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>
    <pageSetUpPr fitToPage="1"/>
  </sheetPr>
  <dimension ref="A1:U129"/>
  <sheetViews>
    <sheetView workbookViewId="0">
      <selection activeCell="F7" sqref="F7"/>
    </sheetView>
  </sheetViews>
  <sheetFormatPr defaultColWidth="9" defaultRowHeight="16.5" outlineLevelCol="1"/>
  <cols>
    <col min="1" max="1" width="5.625" style="335" customWidth="1" outlineLevel="1"/>
    <col min="2" max="2" width="6.875" style="335" customWidth="1" outlineLevel="1"/>
    <col min="3" max="3" width="6.5" style="336" customWidth="1" outlineLevel="1"/>
    <col min="4" max="4" width="10.125" style="336" customWidth="1"/>
    <col min="5" max="5" width="15.125" style="336" customWidth="1"/>
    <col min="6" max="6" width="6.125" style="378" customWidth="1"/>
    <col min="7" max="7" width="8.625" style="381" customWidth="1" outlineLevel="1"/>
    <col min="8" max="8" width="11.125" style="382" customWidth="1" outlineLevel="1"/>
    <col min="9" max="9" width="10.125" style="383" customWidth="1"/>
    <col min="10" max="10" width="9" style="383" customWidth="1"/>
    <col min="11" max="11" width="8.375" style="384" customWidth="1" outlineLevel="1"/>
    <col min="12" max="12" width="8" style="384" customWidth="1"/>
    <col min="13" max="13" width="10.5" style="384" customWidth="1"/>
    <col min="14" max="14" width="10.125" style="384" customWidth="1"/>
    <col min="15" max="15" width="14.375" style="385" customWidth="1"/>
    <col min="16" max="17" width="9" style="346"/>
    <col min="18" max="18" width="2.5" style="346" customWidth="1"/>
    <col min="19" max="19" width="9" style="346"/>
    <col min="20" max="20" width="3" style="335" customWidth="1"/>
    <col min="21" max="21" width="7.5" style="335" customWidth="1"/>
    <col min="22" max="16384" width="9" style="335"/>
  </cols>
  <sheetData>
    <row r="1" spans="1:21" s="324" customFormat="1" ht="28.5" thickBot="1">
      <c r="C1" s="325"/>
      <c r="D1" s="326"/>
      <c r="E1" s="326"/>
      <c r="F1" s="327"/>
      <c r="G1" s="328"/>
      <c r="H1" s="329"/>
      <c r="I1" s="330" t="str">
        <f>B59</f>
        <v>my</v>
      </c>
      <c r="J1" s="331" t="s">
        <v>30</v>
      </c>
      <c r="K1" s="332"/>
      <c r="L1" s="332"/>
      <c r="M1" s="332"/>
      <c r="N1" s="332"/>
      <c r="O1" s="333"/>
      <c r="P1" s="334"/>
      <c r="Q1" s="334"/>
      <c r="R1" s="334"/>
      <c r="S1" s="334"/>
    </row>
    <row r="2" spans="1:21">
      <c r="D2" s="337" t="s">
        <v>75</v>
      </c>
      <c r="E2" s="338">
        <v>23</v>
      </c>
      <c r="F2" s="339" t="s">
        <v>76</v>
      </c>
      <c r="G2" s="340"/>
      <c r="H2" s="340"/>
      <c r="I2" s="341"/>
      <c r="J2" s="341" t="s">
        <v>35</v>
      </c>
      <c r="K2" s="342"/>
      <c r="L2" s="343" t="s">
        <v>21</v>
      </c>
      <c r="M2" s="344" t="s">
        <v>18</v>
      </c>
      <c r="N2" s="344" t="s">
        <v>19</v>
      </c>
      <c r="O2" s="345" t="s">
        <v>28</v>
      </c>
    </row>
    <row r="3" spans="1:21" ht="17.25" thickBot="1">
      <c r="D3" s="347" t="s">
        <v>77</v>
      </c>
      <c r="E3" s="348">
        <v>800</v>
      </c>
      <c r="F3" s="349"/>
      <c r="G3" s="350"/>
      <c r="H3" s="350"/>
      <c r="I3" s="351"/>
      <c r="J3" s="352">
        <f>D5+E5</f>
        <v>0</v>
      </c>
      <c r="K3" s="353">
        <f>SUM(K7:K150)</f>
        <v>86.733333333333334</v>
      </c>
      <c r="L3" s="53">
        <f>J3</f>
        <v>0</v>
      </c>
      <c r="M3" s="53">
        <f>M6-J3</f>
        <v>49.333333333333329</v>
      </c>
      <c r="N3" s="53">
        <f>N6</f>
        <v>37.31666666666667</v>
      </c>
      <c r="O3" s="354"/>
    </row>
    <row r="4" spans="1:21">
      <c r="D4" s="355" t="s">
        <v>44</v>
      </c>
      <c r="E4" s="356" t="s">
        <v>45</v>
      </c>
      <c r="F4" s="356" t="s">
        <v>47</v>
      </c>
      <c r="G4" s="357"/>
      <c r="H4" s="357"/>
      <c r="I4" s="358" t="s">
        <v>34</v>
      </c>
      <c r="J4" s="358" t="s">
        <v>26</v>
      </c>
      <c r="K4" s="358"/>
      <c r="L4" s="358" t="s">
        <v>13</v>
      </c>
      <c r="M4" s="358" t="s">
        <v>13</v>
      </c>
      <c r="N4" s="358" t="s">
        <v>13</v>
      </c>
      <c r="O4" s="359"/>
      <c r="Q4" s="360" t="s">
        <v>24</v>
      </c>
      <c r="R4" s="346" t="s">
        <v>31</v>
      </c>
      <c r="S4" s="360" t="s">
        <v>26</v>
      </c>
      <c r="T4" s="361" t="s">
        <v>32</v>
      </c>
      <c r="U4" s="362">
        <f>I6+J6</f>
        <v>184</v>
      </c>
    </row>
    <row r="5" spans="1:21">
      <c r="D5" s="401">
        <v>0</v>
      </c>
      <c r="E5" s="363">
        <v>0</v>
      </c>
      <c r="F5" s="363">
        <v>1</v>
      </c>
      <c r="G5" s="364"/>
      <c r="H5" s="364"/>
      <c r="I5" s="365" t="s">
        <v>48</v>
      </c>
      <c r="J5" s="365" t="s">
        <v>48</v>
      </c>
      <c r="K5" s="365" t="s">
        <v>17</v>
      </c>
      <c r="L5" s="365" t="s">
        <v>21</v>
      </c>
      <c r="M5" s="365" t="s">
        <v>18</v>
      </c>
      <c r="N5" s="365" t="s">
        <v>19</v>
      </c>
      <c r="O5" s="366"/>
      <c r="Q5" s="346" t="s">
        <v>41</v>
      </c>
      <c r="S5" s="367">
        <f>(L6+M6+N6)/160</f>
        <v>0.54156250000000006</v>
      </c>
    </row>
    <row r="6" spans="1:21" ht="17.25" thickBot="1">
      <c r="A6" s="335" t="s">
        <v>0</v>
      </c>
      <c r="B6" s="335" t="s">
        <v>1</v>
      </c>
      <c r="C6" s="336" t="s">
        <v>2</v>
      </c>
      <c r="D6" s="368" t="s">
        <v>3</v>
      </c>
      <c r="E6" s="369" t="s">
        <v>4</v>
      </c>
      <c r="F6" s="370"/>
      <c r="G6" s="371"/>
      <c r="H6" s="369" t="s">
        <v>23</v>
      </c>
      <c r="I6" s="372">
        <f>SUM(I7:I1500)</f>
        <v>183</v>
      </c>
      <c r="J6" s="372">
        <f t="shared" ref="J6:N6" si="0">SUM(J7:J1500)</f>
        <v>1</v>
      </c>
      <c r="K6" s="372">
        <f t="shared" si="0"/>
        <v>86.733333333333334</v>
      </c>
      <c r="L6" s="372">
        <f t="shared" si="0"/>
        <v>0</v>
      </c>
      <c r="M6" s="372">
        <f t="shared" si="0"/>
        <v>49.333333333333329</v>
      </c>
      <c r="N6" s="372">
        <f t="shared" si="0"/>
        <v>37.31666666666667</v>
      </c>
      <c r="O6" s="373"/>
      <c r="Q6" s="374"/>
    </row>
    <row r="7" spans="1:21" s="130" customFormat="1">
      <c r="A7" s="140">
        <v>8496</v>
      </c>
      <c r="B7" s="140" t="s">
        <v>63</v>
      </c>
      <c r="C7" s="140" t="s">
        <v>63</v>
      </c>
      <c r="D7" s="143" t="s">
        <v>6</v>
      </c>
      <c r="E7" s="144">
        <v>43160.373043981483</v>
      </c>
      <c r="F7" s="89">
        <f t="shared" ref="F7" si="1">E7</f>
        <v>43160.373043981483</v>
      </c>
      <c r="G7" s="90" t="str">
        <f>HOUR(E7)&amp;":"&amp;MINUTE(E7)</f>
        <v>8:57</v>
      </c>
      <c r="H7" s="91">
        <f>IF(D7="上班",(G8-G7)*24,"-")</f>
        <v>9.8833333333333346</v>
      </c>
      <c r="I7" s="92">
        <f>IF(D7="上班",IF(H7-1.5&gt;8,8,H7-1.5),"-")</f>
        <v>8</v>
      </c>
      <c r="J7" s="92" t="str">
        <f>IF(I7&lt;8,8-I7,"-")</f>
        <v>-</v>
      </c>
      <c r="K7" s="93">
        <f>IF(D7="加班",(G8-G7)*24,0)</f>
        <v>0</v>
      </c>
      <c r="L7" s="93"/>
      <c r="M7" s="94">
        <f>IF(K7&gt;2,2,K7)</f>
        <v>0</v>
      </c>
      <c r="N7" s="94">
        <f t="shared" ref="N7" si="2">IF(K7&gt;2,K7-2,0)</f>
        <v>0</v>
      </c>
      <c r="O7" s="95"/>
      <c r="P7" s="346"/>
      <c r="Q7" s="374"/>
      <c r="R7" s="149"/>
      <c r="S7" s="149"/>
    </row>
    <row r="8" spans="1:21" s="130" customFormat="1">
      <c r="A8" s="140">
        <v>8508</v>
      </c>
      <c r="B8" s="140" t="s">
        <v>63</v>
      </c>
      <c r="C8" s="140" t="s">
        <v>63</v>
      </c>
      <c r="D8" s="143" t="s">
        <v>5</v>
      </c>
      <c r="E8" s="144">
        <v>43160.785138888888</v>
      </c>
      <c r="F8" s="89">
        <f t="shared" ref="F8:F71" si="3">E8</f>
        <v>43160.785138888888</v>
      </c>
      <c r="G8" s="90" t="str">
        <f t="shared" ref="G8:G71" si="4">HOUR(E8)&amp;":"&amp;MINUTE(E8)</f>
        <v>18:50</v>
      </c>
      <c r="H8" s="91" t="str">
        <f t="shared" ref="H8:H71" si="5">IF(D8="上班",(G9-G8)*24,"-")</f>
        <v>-</v>
      </c>
      <c r="I8" s="92" t="str">
        <f t="shared" ref="I8:I71" si="6">IF(D8="上班",IF(H8-1.5&gt;8,8,H8-1.5),"-")</f>
        <v>-</v>
      </c>
      <c r="J8" s="92" t="str">
        <f>IF(I8&lt;8,8-I8,"-")</f>
        <v>-</v>
      </c>
      <c r="K8" s="93">
        <f t="shared" ref="K8:K71" si="7">IF(D8="加班",(G9-G8)*24,0)</f>
        <v>0</v>
      </c>
      <c r="L8" s="93"/>
      <c r="M8" s="94">
        <f t="shared" ref="M8:M71" si="8">IF(K8&gt;2,2,K8)</f>
        <v>0</v>
      </c>
      <c r="N8" s="94">
        <f t="shared" ref="N8:N71" si="9">IF(K8&gt;2,K8-2,0)</f>
        <v>0</v>
      </c>
      <c r="O8" s="95"/>
      <c r="P8" s="346"/>
      <c r="Q8" s="374"/>
      <c r="R8" s="149"/>
      <c r="S8" s="149"/>
    </row>
    <row r="9" spans="1:21" s="378" customFormat="1">
      <c r="A9" s="140">
        <v>8510</v>
      </c>
      <c r="B9" s="140" t="s">
        <v>63</v>
      </c>
      <c r="C9" s="140" t="s">
        <v>63</v>
      </c>
      <c r="D9" s="143" t="s">
        <v>7</v>
      </c>
      <c r="E9" s="144">
        <v>43160.785150462965</v>
      </c>
      <c r="F9" s="89">
        <f t="shared" si="3"/>
        <v>43160.785150462965</v>
      </c>
      <c r="G9" s="90" t="str">
        <f t="shared" si="4"/>
        <v>18:50</v>
      </c>
      <c r="H9" s="91" t="str">
        <f t="shared" si="5"/>
        <v>-</v>
      </c>
      <c r="I9" s="92" t="str">
        <f t="shared" si="6"/>
        <v>-</v>
      </c>
      <c r="J9" s="92" t="str">
        <f t="shared" ref="J9:J71" si="10">IF(I9&lt;8,8-I9,"-")</f>
        <v>-</v>
      </c>
      <c r="K9" s="93">
        <f t="shared" si="7"/>
        <v>2.5666666666666655</v>
      </c>
      <c r="L9" s="93"/>
      <c r="M9" s="94">
        <f t="shared" si="8"/>
        <v>2</v>
      </c>
      <c r="N9" s="94">
        <f t="shared" si="9"/>
        <v>0.56666666666666554</v>
      </c>
      <c r="O9" s="95"/>
      <c r="P9" s="346"/>
      <c r="Q9" s="374"/>
      <c r="R9" s="377"/>
      <c r="S9" s="377"/>
    </row>
    <row r="10" spans="1:21" s="63" customFormat="1">
      <c r="A10" s="140">
        <v>8519</v>
      </c>
      <c r="B10" s="140" t="s">
        <v>63</v>
      </c>
      <c r="C10" s="140" t="s">
        <v>63</v>
      </c>
      <c r="D10" s="143" t="s">
        <v>8</v>
      </c>
      <c r="E10" s="144">
        <v>43160.891759259262</v>
      </c>
      <c r="F10" s="89">
        <f t="shared" si="3"/>
        <v>43160.891759259262</v>
      </c>
      <c r="G10" s="90" t="str">
        <f t="shared" si="4"/>
        <v>21:24</v>
      </c>
      <c r="H10" s="91" t="str">
        <f t="shared" si="5"/>
        <v>-</v>
      </c>
      <c r="I10" s="92" t="str">
        <f t="shared" si="6"/>
        <v>-</v>
      </c>
      <c r="J10" s="92" t="str">
        <f t="shared" si="10"/>
        <v>-</v>
      </c>
      <c r="K10" s="93">
        <f t="shared" si="7"/>
        <v>0</v>
      </c>
      <c r="L10" s="93"/>
      <c r="M10" s="94">
        <f t="shared" si="8"/>
        <v>0</v>
      </c>
      <c r="N10" s="94">
        <f t="shared" si="9"/>
        <v>0</v>
      </c>
      <c r="O10" s="95"/>
      <c r="P10" s="346"/>
      <c r="Q10" s="374"/>
      <c r="R10" s="18"/>
      <c r="S10" s="18"/>
    </row>
    <row r="11" spans="1:21" s="63" customFormat="1">
      <c r="A11" s="140">
        <v>8526</v>
      </c>
      <c r="B11" s="140" t="s">
        <v>63</v>
      </c>
      <c r="C11" s="140" t="s">
        <v>63</v>
      </c>
      <c r="D11" s="143" t="s">
        <v>6</v>
      </c>
      <c r="E11" s="144">
        <v>43161.368634259263</v>
      </c>
      <c r="F11" s="89">
        <f t="shared" si="3"/>
        <v>43161.368634259263</v>
      </c>
      <c r="G11" s="90" t="str">
        <f t="shared" si="4"/>
        <v>8:50</v>
      </c>
      <c r="H11" s="91">
        <f t="shared" si="5"/>
        <v>10.333333333333334</v>
      </c>
      <c r="I11" s="92">
        <f t="shared" si="6"/>
        <v>8</v>
      </c>
      <c r="J11" s="92" t="str">
        <f t="shared" si="10"/>
        <v>-</v>
      </c>
      <c r="K11" s="93">
        <f t="shared" si="7"/>
        <v>0</v>
      </c>
      <c r="L11" s="93"/>
      <c r="M11" s="94">
        <f t="shared" si="8"/>
        <v>0</v>
      </c>
      <c r="N11" s="94">
        <f t="shared" si="9"/>
        <v>0</v>
      </c>
      <c r="O11" s="95"/>
      <c r="P11" s="346"/>
      <c r="Q11" s="374"/>
      <c r="R11" s="18"/>
      <c r="S11" s="18"/>
    </row>
    <row r="12" spans="1:21" s="378" customFormat="1">
      <c r="A12" s="140">
        <v>8541</v>
      </c>
      <c r="B12" s="140" t="s">
        <v>79</v>
      </c>
      <c r="C12" s="140" t="s">
        <v>63</v>
      </c>
      <c r="D12" s="143" t="s">
        <v>5</v>
      </c>
      <c r="E12" s="144">
        <v>43161.799074074072</v>
      </c>
      <c r="F12" s="89">
        <f t="shared" si="3"/>
        <v>43161.799074074072</v>
      </c>
      <c r="G12" s="90" t="str">
        <f t="shared" si="4"/>
        <v>19:10</v>
      </c>
      <c r="H12" s="91" t="str">
        <f t="shared" si="5"/>
        <v>-</v>
      </c>
      <c r="I12" s="92" t="str">
        <f t="shared" si="6"/>
        <v>-</v>
      </c>
      <c r="J12" s="92" t="str">
        <f t="shared" si="10"/>
        <v>-</v>
      </c>
      <c r="K12" s="93">
        <f t="shared" si="7"/>
        <v>0</v>
      </c>
      <c r="L12" s="93"/>
      <c r="M12" s="94">
        <f t="shared" si="8"/>
        <v>0</v>
      </c>
      <c r="N12" s="94">
        <f t="shared" si="9"/>
        <v>0</v>
      </c>
      <c r="O12" s="95"/>
      <c r="P12" s="346"/>
      <c r="Q12" s="374"/>
      <c r="R12" s="377"/>
      <c r="S12" s="377"/>
    </row>
    <row r="13" spans="1:21" s="16" customFormat="1">
      <c r="A13" s="140">
        <v>8542</v>
      </c>
      <c r="B13" s="140" t="s">
        <v>79</v>
      </c>
      <c r="C13" s="140" t="s">
        <v>63</v>
      </c>
      <c r="D13" s="143" t="s">
        <v>108</v>
      </c>
      <c r="E13" s="144">
        <v>43161.799120370371</v>
      </c>
      <c r="F13" s="89">
        <f t="shared" si="3"/>
        <v>43161.799120370371</v>
      </c>
      <c r="G13" s="90" t="str">
        <f t="shared" si="4"/>
        <v>19:10</v>
      </c>
      <c r="H13" s="91" t="str">
        <f t="shared" si="5"/>
        <v>-</v>
      </c>
      <c r="I13" s="92" t="str">
        <f t="shared" si="6"/>
        <v>-</v>
      </c>
      <c r="J13" s="92" t="str">
        <f t="shared" si="10"/>
        <v>-</v>
      </c>
      <c r="K13" s="93">
        <f t="shared" si="7"/>
        <v>2.0833333333333313</v>
      </c>
      <c r="L13" s="93"/>
      <c r="M13" s="94">
        <f t="shared" si="8"/>
        <v>2</v>
      </c>
      <c r="N13" s="94">
        <f t="shared" si="9"/>
        <v>8.3333333333331261E-2</v>
      </c>
      <c r="O13" s="95"/>
      <c r="P13" s="137"/>
      <c r="Q13" s="404"/>
      <c r="R13" s="137"/>
      <c r="S13" s="137"/>
    </row>
    <row r="14" spans="1:21" s="16" customFormat="1">
      <c r="A14" s="140">
        <v>8546</v>
      </c>
      <c r="B14" s="140" t="s">
        <v>63</v>
      </c>
      <c r="C14" s="140" t="s">
        <v>63</v>
      </c>
      <c r="D14" s="143" t="s">
        <v>8</v>
      </c>
      <c r="E14" s="144">
        <v>43161.885972222219</v>
      </c>
      <c r="F14" s="89">
        <f t="shared" si="3"/>
        <v>43161.885972222219</v>
      </c>
      <c r="G14" s="90" t="str">
        <f t="shared" si="4"/>
        <v>21:15</v>
      </c>
      <c r="H14" s="91" t="str">
        <f t="shared" si="5"/>
        <v>-</v>
      </c>
      <c r="I14" s="92" t="str">
        <f t="shared" si="6"/>
        <v>-</v>
      </c>
      <c r="J14" s="92" t="str">
        <f t="shared" si="10"/>
        <v>-</v>
      </c>
      <c r="K14" s="93">
        <f t="shared" si="7"/>
        <v>0</v>
      </c>
      <c r="L14" s="93"/>
      <c r="M14" s="94">
        <f t="shared" si="8"/>
        <v>0</v>
      </c>
      <c r="N14" s="94">
        <f t="shared" si="9"/>
        <v>0</v>
      </c>
      <c r="O14" s="95"/>
      <c r="P14" s="137"/>
      <c r="Q14" s="404"/>
      <c r="R14" s="137"/>
      <c r="S14" s="137"/>
    </row>
    <row r="15" spans="1:21" s="16" customFormat="1">
      <c r="A15" s="140">
        <v>8562</v>
      </c>
      <c r="B15" s="140" t="s">
        <v>63</v>
      </c>
      <c r="C15" s="140" t="s">
        <v>63</v>
      </c>
      <c r="D15" s="143" t="s">
        <v>6</v>
      </c>
      <c r="E15" s="144">
        <v>43164.3671875</v>
      </c>
      <c r="F15" s="89">
        <f t="shared" si="3"/>
        <v>43164.3671875</v>
      </c>
      <c r="G15" s="90" t="str">
        <f t="shared" si="4"/>
        <v>8:48</v>
      </c>
      <c r="H15" s="91">
        <f t="shared" si="5"/>
        <v>9.716666666666665</v>
      </c>
      <c r="I15" s="92">
        <f t="shared" si="6"/>
        <v>8</v>
      </c>
      <c r="J15" s="92" t="str">
        <f t="shared" si="10"/>
        <v>-</v>
      </c>
      <c r="K15" s="93">
        <f t="shared" si="7"/>
        <v>0</v>
      </c>
      <c r="L15" s="93"/>
      <c r="M15" s="94">
        <f t="shared" si="8"/>
        <v>0</v>
      </c>
      <c r="N15" s="94">
        <f t="shared" si="9"/>
        <v>0</v>
      </c>
      <c r="O15" s="95"/>
      <c r="P15" s="137"/>
      <c r="Q15" s="404"/>
      <c r="R15" s="137"/>
      <c r="S15" s="137"/>
    </row>
    <row r="16" spans="1:21" s="16" customFormat="1">
      <c r="A16" s="140">
        <v>8577</v>
      </c>
      <c r="B16" s="140" t="s">
        <v>63</v>
      </c>
      <c r="C16" s="140" t="s">
        <v>63</v>
      </c>
      <c r="D16" s="143" t="s">
        <v>5</v>
      </c>
      <c r="E16" s="144">
        <v>43164.771631944444</v>
      </c>
      <c r="F16" s="89">
        <f t="shared" si="3"/>
        <v>43164.771631944444</v>
      </c>
      <c r="G16" s="90" t="str">
        <f t="shared" si="4"/>
        <v>18:31</v>
      </c>
      <c r="H16" s="91" t="str">
        <f t="shared" si="5"/>
        <v>-</v>
      </c>
      <c r="I16" s="92" t="str">
        <f t="shared" si="6"/>
        <v>-</v>
      </c>
      <c r="J16" s="92" t="str">
        <f t="shared" si="10"/>
        <v>-</v>
      </c>
      <c r="K16" s="93">
        <f t="shared" si="7"/>
        <v>0</v>
      </c>
      <c r="L16" s="93"/>
      <c r="M16" s="94">
        <f t="shared" si="8"/>
        <v>0</v>
      </c>
      <c r="N16" s="94">
        <f t="shared" si="9"/>
        <v>0</v>
      </c>
      <c r="O16" s="95"/>
      <c r="P16" s="137"/>
      <c r="Q16" s="404"/>
      <c r="R16" s="137"/>
      <c r="S16" s="137"/>
    </row>
    <row r="17" spans="1:19" s="378" customFormat="1">
      <c r="A17" s="140">
        <v>8578</v>
      </c>
      <c r="B17" s="140" t="s">
        <v>63</v>
      </c>
      <c r="C17" s="140" t="s">
        <v>63</v>
      </c>
      <c r="D17" s="143" t="s">
        <v>7</v>
      </c>
      <c r="E17" s="144">
        <v>43164.771643518521</v>
      </c>
      <c r="F17" s="89">
        <f t="shared" si="3"/>
        <v>43164.771643518521</v>
      </c>
      <c r="G17" s="90" t="str">
        <f t="shared" si="4"/>
        <v>18:31</v>
      </c>
      <c r="H17" s="91" t="str">
        <f t="shared" si="5"/>
        <v>-</v>
      </c>
      <c r="I17" s="92" t="str">
        <f t="shared" si="6"/>
        <v>-</v>
      </c>
      <c r="J17" s="92" t="str">
        <f t="shared" si="10"/>
        <v>-</v>
      </c>
      <c r="K17" s="93">
        <f t="shared" si="7"/>
        <v>3.9666666666666686</v>
      </c>
      <c r="L17" s="93"/>
      <c r="M17" s="94">
        <f t="shared" si="8"/>
        <v>2</v>
      </c>
      <c r="N17" s="94">
        <f t="shared" si="9"/>
        <v>1.9666666666666686</v>
      </c>
      <c r="O17" s="95"/>
      <c r="P17" s="346"/>
      <c r="Q17" s="374"/>
      <c r="R17" s="377"/>
      <c r="S17" s="377"/>
    </row>
    <row r="18" spans="1:19" s="378" customFormat="1">
      <c r="A18" s="140">
        <v>8591</v>
      </c>
      <c r="B18" s="140" t="s">
        <v>63</v>
      </c>
      <c r="C18" s="140" t="s">
        <v>63</v>
      </c>
      <c r="D18" s="143" t="s">
        <v>8</v>
      </c>
      <c r="E18" s="144">
        <v>43164.936956018515</v>
      </c>
      <c r="F18" s="89">
        <f t="shared" si="3"/>
        <v>43164.936956018515</v>
      </c>
      <c r="G18" s="90" t="str">
        <f t="shared" si="4"/>
        <v>22:29</v>
      </c>
      <c r="H18" s="91" t="str">
        <f t="shared" si="5"/>
        <v>-</v>
      </c>
      <c r="I18" s="92" t="str">
        <f t="shared" si="6"/>
        <v>-</v>
      </c>
      <c r="J18" s="92" t="str">
        <f t="shared" si="10"/>
        <v>-</v>
      </c>
      <c r="K18" s="93">
        <f t="shared" si="7"/>
        <v>0</v>
      </c>
      <c r="L18" s="93"/>
      <c r="M18" s="94">
        <f t="shared" si="8"/>
        <v>0</v>
      </c>
      <c r="N18" s="94">
        <f t="shared" si="9"/>
        <v>0</v>
      </c>
      <c r="O18" s="95"/>
      <c r="P18" s="346"/>
      <c r="Q18" s="374"/>
      <c r="R18" s="377"/>
      <c r="S18" s="377"/>
    </row>
    <row r="19" spans="1:19" s="378" customFormat="1">
      <c r="A19" s="140">
        <v>8602</v>
      </c>
      <c r="B19" s="140" t="s">
        <v>63</v>
      </c>
      <c r="C19" s="140" t="s">
        <v>63</v>
      </c>
      <c r="D19" s="143" t="s">
        <v>6</v>
      </c>
      <c r="E19" s="144">
        <v>43165.372662037036</v>
      </c>
      <c r="F19" s="89">
        <f t="shared" si="3"/>
        <v>43165.372662037036</v>
      </c>
      <c r="G19" s="90" t="str">
        <f t="shared" si="4"/>
        <v>8:56</v>
      </c>
      <c r="H19" s="91">
        <f t="shared" si="5"/>
        <v>9.6833333333333336</v>
      </c>
      <c r="I19" s="92">
        <f t="shared" si="6"/>
        <v>8</v>
      </c>
      <c r="J19" s="92" t="str">
        <f t="shared" si="10"/>
        <v>-</v>
      </c>
      <c r="K19" s="93">
        <f t="shared" si="7"/>
        <v>0</v>
      </c>
      <c r="L19" s="93"/>
      <c r="M19" s="94">
        <f t="shared" si="8"/>
        <v>0</v>
      </c>
      <c r="N19" s="94">
        <f t="shared" si="9"/>
        <v>0</v>
      </c>
      <c r="O19" s="95"/>
      <c r="P19" s="346"/>
      <c r="Q19" s="374"/>
      <c r="R19" s="377"/>
      <c r="S19" s="377"/>
    </row>
    <row r="20" spans="1:19" s="378" customFormat="1">
      <c r="A20" s="140">
        <v>8612</v>
      </c>
      <c r="B20" s="140" t="s">
        <v>63</v>
      </c>
      <c r="C20" s="140" t="s">
        <v>63</v>
      </c>
      <c r="D20" s="143" t="s">
        <v>5</v>
      </c>
      <c r="E20" s="144">
        <v>43165.77616898148</v>
      </c>
      <c r="F20" s="89">
        <f t="shared" si="3"/>
        <v>43165.77616898148</v>
      </c>
      <c r="G20" s="90" t="str">
        <f t="shared" si="4"/>
        <v>18:37</v>
      </c>
      <c r="H20" s="91" t="str">
        <f t="shared" si="5"/>
        <v>-</v>
      </c>
      <c r="I20" s="92" t="str">
        <f t="shared" si="6"/>
        <v>-</v>
      </c>
      <c r="J20" s="92" t="str">
        <f t="shared" si="10"/>
        <v>-</v>
      </c>
      <c r="K20" s="93">
        <f t="shared" si="7"/>
        <v>0</v>
      </c>
      <c r="L20" s="93"/>
      <c r="M20" s="94">
        <f t="shared" si="8"/>
        <v>0</v>
      </c>
      <c r="N20" s="94">
        <f t="shared" si="9"/>
        <v>0</v>
      </c>
      <c r="O20" s="95"/>
      <c r="P20" s="346"/>
      <c r="Q20" s="374"/>
      <c r="R20" s="377"/>
      <c r="S20" s="377"/>
    </row>
    <row r="21" spans="1:19" s="378" customFormat="1">
      <c r="A21" s="140">
        <v>8613</v>
      </c>
      <c r="B21" s="140" t="s">
        <v>63</v>
      </c>
      <c r="C21" s="140" t="s">
        <v>63</v>
      </c>
      <c r="D21" s="143" t="s">
        <v>7</v>
      </c>
      <c r="E21" s="144">
        <v>43165.776180555556</v>
      </c>
      <c r="F21" s="89">
        <f t="shared" si="3"/>
        <v>43165.776180555556</v>
      </c>
      <c r="G21" s="90" t="str">
        <f t="shared" si="4"/>
        <v>18:37</v>
      </c>
      <c r="H21" s="91" t="str">
        <f t="shared" si="5"/>
        <v>-</v>
      </c>
      <c r="I21" s="92" t="str">
        <f t="shared" si="6"/>
        <v>-</v>
      </c>
      <c r="J21" s="92" t="str">
        <f t="shared" si="10"/>
        <v>-</v>
      </c>
      <c r="K21" s="93">
        <f t="shared" si="7"/>
        <v>3.8666666666666663</v>
      </c>
      <c r="L21" s="93"/>
      <c r="M21" s="94">
        <f t="shared" si="8"/>
        <v>2</v>
      </c>
      <c r="N21" s="94">
        <f t="shared" si="9"/>
        <v>1.8666666666666663</v>
      </c>
      <c r="O21" s="95"/>
      <c r="P21" s="346"/>
      <c r="Q21" s="374"/>
      <c r="R21" s="377"/>
      <c r="S21" s="377"/>
    </row>
    <row r="22" spans="1:19" s="378" customFormat="1">
      <c r="A22" s="140">
        <v>8625</v>
      </c>
      <c r="B22" s="140" t="s">
        <v>63</v>
      </c>
      <c r="C22" s="140" t="s">
        <v>63</v>
      </c>
      <c r="D22" s="143" t="s">
        <v>8</v>
      </c>
      <c r="E22" s="144">
        <v>43165.936967592592</v>
      </c>
      <c r="F22" s="89">
        <f t="shared" si="3"/>
        <v>43165.936967592592</v>
      </c>
      <c r="G22" s="90" t="str">
        <f t="shared" si="4"/>
        <v>22:29</v>
      </c>
      <c r="H22" s="91" t="str">
        <f t="shared" si="5"/>
        <v>-</v>
      </c>
      <c r="I22" s="92" t="str">
        <f t="shared" si="6"/>
        <v>-</v>
      </c>
      <c r="J22" s="92" t="str">
        <f t="shared" si="10"/>
        <v>-</v>
      </c>
      <c r="K22" s="93">
        <f t="shared" si="7"/>
        <v>0</v>
      </c>
      <c r="L22" s="93"/>
      <c r="M22" s="94">
        <f t="shared" si="8"/>
        <v>0</v>
      </c>
      <c r="N22" s="94">
        <f t="shared" si="9"/>
        <v>0</v>
      </c>
      <c r="O22" s="95"/>
      <c r="P22" s="346"/>
      <c r="Q22" s="374"/>
      <c r="R22" s="377"/>
      <c r="S22" s="377"/>
    </row>
    <row r="23" spans="1:19" s="378" customFormat="1">
      <c r="A23" s="140">
        <v>8630</v>
      </c>
      <c r="B23" s="140" t="s">
        <v>63</v>
      </c>
      <c r="C23" s="140" t="s">
        <v>63</v>
      </c>
      <c r="D23" s="143" t="s">
        <v>6</v>
      </c>
      <c r="E23" s="144">
        <v>43166.367060185185</v>
      </c>
      <c r="F23" s="89">
        <f t="shared" si="3"/>
        <v>43166.367060185185</v>
      </c>
      <c r="G23" s="90" t="str">
        <f t="shared" si="4"/>
        <v>8:48</v>
      </c>
      <c r="H23" s="91">
        <f t="shared" si="5"/>
        <v>10.116666666666667</v>
      </c>
      <c r="I23" s="92">
        <f t="shared" si="6"/>
        <v>8</v>
      </c>
      <c r="J23" s="92" t="str">
        <f t="shared" si="10"/>
        <v>-</v>
      </c>
      <c r="K23" s="93">
        <f t="shared" si="7"/>
        <v>0</v>
      </c>
      <c r="L23" s="93"/>
      <c r="M23" s="94">
        <f t="shared" si="8"/>
        <v>0</v>
      </c>
      <c r="N23" s="94">
        <f t="shared" si="9"/>
        <v>0</v>
      </c>
      <c r="O23" s="95"/>
      <c r="P23" s="346"/>
      <c r="Q23" s="374"/>
      <c r="R23" s="377"/>
      <c r="S23" s="377"/>
    </row>
    <row r="24" spans="1:19" s="378" customFormat="1">
      <c r="A24" s="140">
        <v>8651</v>
      </c>
      <c r="B24" s="140" t="s">
        <v>63</v>
      </c>
      <c r="C24" s="140" t="s">
        <v>63</v>
      </c>
      <c r="D24" s="143" t="s">
        <v>5</v>
      </c>
      <c r="E24" s="144">
        <v>43166.788541666669</v>
      </c>
      <c r="F24" s="89">
        <f t="shared" si="3"/>
        <v>43166.788541666669</v>
      </c>
      <c r="G24" s="90" t="str">
        <f t="shared" si="4"/>
        <v>18:55</v>
      </c>
      <c r="H24" s="91" t="str">
        <f t="shared" si="5"/>
        <v>-</v>
      </c>
      <c r="I24" s="92" t="str">
        <f t="shared" si="6"/>
        <v>-</v>
      </c>
      <c r="J24" s="92" t="str">
        <f t="shared" si="10"/>
        <v>-</v>
      </c>
      <c r="K24" s="93">
        <f t="shared" si="7"/>
        <v>0</v>
      </c>
      <c r="L24" s="93"/>
      <c r="M24" s="94">
        <f t="shared" si="8"/>
        <v>0</v>
      </c>
      <c r="N24" s="94">
        <f t="shared" si="9"/>
        <v>0</v>
      </c>
      <c r="O24" s="95"/>
      <c r="P24" s="346"/>
      <c r="Q24" s="374"/>
      <c r="R24" s="377"/>
      <c r="S24" s="377"/>
    </row>
    <row r="25" spans="1:19" s="378" customFormat="1">
      <c r="A25" s="140">
        <v>8652</v>
      </c>
      <c r="B25" s="140" t="s">
        <v>63</v>
      </c>
      <c r="C25" s="140" t="s">
        <v>63</v>
      </c>
      <c r="D25" s="143" t="s">
        <v>7</v>
      </c>
      <c r="E25" s="144">
        <v>43166.788564814815</v>
      </c>
      <c r="F25" s="89">
        <f t="shared" si="3"/>
        <v>43166.788564814815</v>
      </c>
      <c r="G25" s="90" t="str">
        <f t="shared" si="4"/>
        <v>18:55</v>
      </c>
      <c r="H25" s="91" t="str">
        <f t="shared" si="5"/>
        <v>-</v>
      </c>
      <c r="I25" s="92" t="str">
        <f t="shared" si="6"/>
        <v>-</v>
      </c>
      <c r="J25" s="92" t="str">
        <f t="shared" si="10"/>
        <v>-</v>
      </c>
      <c r="K25" s="93">
        <f t="shared" si="7"/>
        <v>3.1833333333333327</v>
      </c>
      <c r="L25" s="93"/>
      <c r="M25" s="94">
        <f t="shared" si="8"/>
        <v>2</v>
      </c>
      <c r="N25" s="94">
        <f t="shared" si="9"/>
        <v>1.1833333333333327</v>
      </c>
      <c r="O25" s="95"/>
      <c r="P25" s="346"/>
      <c r="Q25" s="374"/>
      <c r="R25" s="377"/>
      <c r="S25" s="377"/>
    </row>
    <row r="26" spans="1:19" s="378" customFormat="1">
      <c r="A26" s="140">
        <v>8661</v>
      </c>
      <c r="B26" s="140" t="s">
        <v>63</v>
      </c>
      <c r="C26" s="140" t="s">
        <v>63</v>
      </c>
      <c r="D26" s="143" t="s">
        <v>8</v>
      </c>
      <c r="E26" s="144">
        <v>43166.921157407407</v>
      </c>
      <c r="F26" s="89">
        <f t="shared" si="3"/>
        <v>43166.921157407407</v>
      </c>
      <c r="G26" s="90" t="str">
        <f t="shared" si="4"/>
        <v>22:6</v>
      </c>
      <c r="H26" s="91" t="str">
        <f t="shared" si="5"/>
        <v>-</v>
      </c>
      <c r="I26" s="92" t="str">
        <f t="shared" si="6"/>
        <v>-</v>
      </c>
      <c r="J26" s="92" t="str">
        <f t="shared" si="10"/>
        <v>-</v>
      </c>
      <c r="K26" s="93">
        <f t="shared" si="7"/>
        <v>0</v>
      </c>
      <c r="L26" s="93"/>
      <c r="M26" s="94">
        <f t="shared" si="8"/>
        <v>0</v>
      </c>
      <c r="N26" s="94">
        <f t="shared" si="9"/>
        <v>0</v>
      </c>
      <c r="O26" s="95"/>
      <c r="P26" s="346"/>
      <c r="Q26" s="374"/>
      <c r="R26" s="377"/>
      <c r="S26" s="377"/>
    </row>
    <row r="27" spans="1:19" s="378" customFormat="1">
      <c r="A27" s="140">
        <v>8672</v>
      </c>
      <c r="B27" s="140" t="s">
        <v>63</v>
      </c>
      <c r="C27" s="140" t="s">
        <v>63</v>
      </c>
      <c r="D27" s="143" t="s">
        <v>6</v>
      </c>
      <c r="E27" s="144">
        <v>43167.371944444443</v>
      </c>
      <c r="F27" s="89">
        <f t="shared" si="3"/>
        <v>43167.371944444443</v>
      </c>
      <c r="G27" s="90" t="str">
        <f t="shared" si="4"/>
        <v>8:55</v>
      </c>
      <c r="H27" s="91">
        <f t="shared" si="5"/>
        <v>9.6500000000000021</v>
      </c>
      <c r="I27" s="92">
        <f t="shared" si="6"/>
        <v>8</v>
      </c>
      <c r="J27" s="92" t="str">
        <f t="shared" si="10"/>
        <v>-</v>
      </c>
      <c r="K27" s="93">
        <f t="shared" si="7"/>
        <v>0</v>
      </c>
      <c r="L27" s="93"/>
      <c r="M27" s="94">
        <f t="shared" si="8"/>
        <v>0</v>
      </c>
      <c r="N27" s="94">
        <f t="shared" si="9"/>
        <v>0</v>
      </c>
      <c r="O27" s="95"/>
      <c r="P27" s="346"/>
      <c r="Q27" s="374"/>
      <c r="R27" s="377"/>
      <c r="S27" s="377"/>
    </row>
    <row r="28" spans="1:19" s="378" customFormat="1">
      <c r="A28" s="140">
        <v>8679</v>
      </c>
      <c r="B28" s="140" t="s">
        <v>63</v>
      </c>
      <c r="C28" s="140" t="s">
        <v>63</v>
      </c>
      <c r="D28" s="143" t="s">
        <v>5</v>
      </c>
      <c r="E28" s="144">
        <v>43167.773773148147</v>
      </c>
      <c r="F28" s="89">
        <f t="shared" si="3"/>
        <v>43167.773773148147</v>
      </c>
      <c r="G28" s="90" t="str">
        <f t="shared" si="4"/>
        <v>18:34</v>
      </c>
      <c r="H28" s="91" t="str">
        <f t="shared" si="5"/>
        <v>-</v>
      </c>
      <c r="I28" s="92" t="str">
        <f t="shared" si="6"/>
        <v>-</v>
      </c>
      <c r="J28" s="92" t="str">
        <f t="shared" si="10"/>
        <v>-</v>
      </c>
      <c r="K28" s="93">
        <f t="shared" si="7"/>
        <v>0</v>
      </c>
      <c r="L28" s="93"/>
      <c r="M28" s="94">
        <f t="shared" si="8"/>
        <v>0</v>
      </c>
      <c r="N28" s="94">
        <f t="shared" si="9"/>
        <v>0</v>
      </c>
      <c r="O28" s="95"/>
      <c r="P28" s="346"/>
      <c r="Q28" s="374"/>
      <c r="R28" s="377"/>
      <c r="S28" s="377"/>
    </row>
    <row r="29" spans="1:19" s="378" customFormat="1">
      <c r="A29" s="140">
        <v>8680</v>
      </c>
      <c r="B29" s="140" t="s">
        <v>63</v>
      </c>
      <c r="C29" s="140" t="s">
        <v>63</v>
      </c>
      <c r="D29" s="143" t="s">
        <v>7</v>
      </c>
      <c r="E29" s="144">
        <v>43167.773796296293</v>
      </c>
      <c r="F29" s="89">
        <f t="shared" si="3"/>
        <v>43167.773796296293</v>
      </c>
      <c r="G29" s="90" t="str">
        <f t="shared" si="4"/>
        <v>18:34</v>
      </c>
      <c r="H29" s="91" t="str">
        <f t="shared" si="5"/>
        <v>-</v>
      </c>
      <c r="I29" s="92" t="str">
        <f t="shared" si="6"/>
        <v>-</v>
      </c>
      <c r="J29" s="92" t="str">
        <f t="shared" si="10"/>
        <v>-</v>
      </c>
      <c r="K29" s="93">
        <f t="shared" si="7"/>
        <v>2.6999999999999984</v>
      </c>
      <c r="L29" s="93"/>
      <c r="M29" s="94">
        <f t="shared" si="8"/>
        <v>2</v>
      </c>
      <c r="N29" s="94">
        <f t="shared" si="9"/>
        <v>0.6999999999999984</v>
      </c>
      <c r="O29" s="95"/>
      <c r="P29" s="346"/>
      <c r="Q29" s="374"/>
      <c r="R29" s="377"/>
      <c r="S29" s="377"/>
    </row>
    <row r="30" spans="1:19" s="378" customFormat="1">
      <c r="A30" s="140">
        <v>8691</v>
      </c>
      <c r="B30" s="140" t="s">
        <v>63</v>
      </c>
      <c r="C30" s="140" t="s">
        <v>63</v>
      </c>
      <c r="D30" s="143" t="s">
        <v>8</v>
      </c>
      <c r="E30" s="144">
        <v>43167.886759259258</v>
      </c>
      <c r="F30" s="89">
        <f t="shared" si="3"/>
        <v>43167.886759259258</v>
      </c>
      <c r="G30" s="90" t="str">
        <f t="shared" si="4"/>
        <v>21:16</v>
      </c>
      <c r="H30" s="91" t="str">
        <f t="shared" si="5"/>
        <v>-</v>
      </c>
      <c r="I30" s="92" t="str">
        <f t="shared" si="6"/>
        <v>-</v>
      </c>
      <c r="J30" s="92" t="str">
        <f t="shared" si="10"/>
        <v>-</v>
      </c>
      <c r="K30" s="93">
        <f t="shared" si="7"/>
        <v>0</v>
      </c>
      <c r="L30" s="93"/>
      <c r="M30" s="94">
        <f t="shared" si="8"/>
        <v>0</v>
      </c>
      <c r="N30" s="94">
        <f t="shared" si="9"/>
        <v>0</v>
      </c>
      <c r="O30" s="95"/>
      <c r="P30" s="346"/>
      <c r="Q30" s="374"/>
      <c r="R30" s="377"/>
      <c r="S30" s="377"/>
    </row>
    <row r="31" spans="1:19" s="420" customFormat="1">
      <c r="A31" s="408">
        <v>8701</v>
      </c>
      <c r="B31" s="408" t="s">
        <v>63</v>
      </c>
      <c r="C31" s="408" t="s">
        <v>63</v>
      </c>
      <c r="D31" s="409" t="s">
        <v>6</v>
      </c>
      <c r="E31" s="410">
        <v>43168.377453703702</v>
      </c>
      <c r="F31" s="411">
        <f t="shared" si="3"/>
        <v>43168.377453703702</v>
      </c>
      <c r="G31" s="412" t="str">
        <f t="shared" si="4"/>
        <v>9:3</v>
      </c>
      <c r="H31" s="413">
        <f t="shared" si="5"/>
        <v>9.4499999999999993</v>
      </c>
      <c r="I31" s="414">
        <f>8-J31</f>
        <v>7.5</v>
      </c>
      <c r="J31" s="414">
        <v>0.5</v>
      </c>
      <c r="K31" s="415">
        <f t="shared" si="7"/>
        <v>0</v>
      </c>
      <c r="L31" s="415"/>
      <c r="M31" s="416">
        <f t="shared" si="8"/>
        <v>0</v>
      </c>
      <c r="N31" s="416">
        <f t="shared" si="9"/>
        <v>0</v>
      </c>
      <c r="O31" s="417" t="s">
        <v>116</v>
      </c>
      <c r="P31" s="418"/>
      <c r="Q31" s="419"/>
    </row>
    <row r="32" spans="1:19" s="378" customFormat="1">
      <c r="A32" s="140">
        <v>8711</v>
      </c>
      <c r="B32" s="140" t="s">
        <v>79</v>
      </c>
      <c r="C32" s="140" t="s">
        <v>63</v>
      </c>
      <c r="D32" s="143" t="s">
        <v>5</v>
      </c>
      <c r="E32" s="144">
        <v>43168.771481481483</v>
      </c>
      <c r="F32" s="89">
        <f t="shared" si="3"/>
        <v>43168.771481481483</v>
      </c>
      <c r="G32" s="90" t="str">
        <f t="shared" si="4"/>
        <v>18:30</v>
      </c>
      <c r="H32" s="91" t="str">
        <f t="shared" si="5"/>
        <v>-</v>
      </c>
      <c r="I32" s="92" t="str">
        <f t="shared" si="6"/>
        <v>-</v>
      </c>
      <c r="J32" s="92" t="str">
        <f t="shared" si="10"/>
        <v>-</v>
      </c>
      <c r="K32" s="93">
        <f t="shared" si="7"/>
        <v>0</v>
      </c>
      <c r="L32" s="93"/>
      <c r="M32" s="94">
        <f t="shared" si="8"/>
        <v>0</v>
      </c>
      <c r="N32" s="94">
        <f t="shared" si="9"/>
        <v>0</v>
      </c>
      <c r="O32" s="95"/>
      <c r="P32" s="346"/>
      <c r="Q32" s="374"/>
      <c r="R32" s="377"/>
      <c r="S32" s="377"/>
    </row>
    <row r="33" spans="1:19" s="378" customFormat="1">
      <c r="A33" s="140">
        <v>8712</v>
      </c>
      <c r="B33" s="140" t="s">
        <v>79</v>
      </c>
      <c r="C33" s="140" t="s">
        <v>63</v>
      </c>
      <c r="D33" s="143" t="s">
        <v>7</v>
      </c>
      <c r="E33" s="144">
        <v>43168.771562499998</v>
      </c>
      <c r="F33" s="89">
        <f t="shared" si="3"/>
        <v>43168.771562499998</v>
      </c>
      <c r="G33" s="90" t="str">
        <f t="shared" si="4"/>
        <v>18:31</v>
      </c>
      <c r="H33" s="91" t="str">
        <f t="shared" si="5"/>
        <v>-</v>
      </c>
      <c r="I33" s="92" t="str">
        <f t="shared" si="6"/>
        <v>-</v>
      </c>
      <c r="J33" s="92" t="str">
        <f t="shared" si="10"/>
        <v>-</v>
      </c>
      <c r="K33" s="93">
        <f t="shared" si="7"/>
        <v>3.5166666666666702</v>
      </c>
      <c r="L33" s="93"/>
      <c r="M33" s="94">
        <f t="shared" si="8"/>
        <v>2</v>
      </c>
      <c r="N33" s="94">
        <f t="shared" si="9"/>
        <v>1.5166666666666702</v>
      </c>
      <c r="O33" s="95"/>
      <c r="P33" s="346"/>
      <c r="Q33" s="374"/>
      <c r="R33" s="377"/>
      <c r="S33" s="377"/>
    </row>
    <row r="34" spans="1:19" s="378" customFormat="1">
      <c r="A34" s="140">
        <v>8717</v>
      </c>
      <c r="B34" s="140" t="s">
        <v>63</v>
      </c>
      <c r="C34" s="140" t="s">
        <v>63</v>
      </c>
      <c r="D34" s="143" t="s">
        <v>8</v>
      </c>
      <c r="E34" s="144">
        <v>43168.918483796297</v>
      </c>
      <c r="F34" s="89">
        <f t="shared" si="3"/>
        <v>43168.918483796297</v>
      </c>
      <c r="G34" s="90" t="str">
        <f t="shared" si="4"/>
        <v>22:2</v>
      </c>
      <c r="H34" s="91" t="str">
        <f t="shared" si="5"/>
        <v>-</v>
      </c>
      <c r="I34" s="92" t="str">
        <f t="shared" si="6"/>
        <v>-</v>
      </c>
      <c r="J34" s="92" t="str">
        <f t="shared" si="10"/>
        <v>-</v>
      </c>
      <c r="K34" s="93">
        <f t="shared" si="7"/>
        <v>0</v>
      </c>
      <c r="L34" s="93"/>
      <c r="M34" s="94">
        <f t="shared" si="8"/>
        <v>0</v>
      </c>
      <c r="N34" s="94">
        <f t="shared" si="9"/>
        <v>0</v>
      </c>
      <c r="O34" s="95"/>
      <c r="P34" s="346"/>
      <c r="Q34" s="374"/>
      <c r="R34" s="377"/>
      <c r="S34" s="377"/>
    </row>
    <row r="35" spans="1:19" s="380" customFormat="1">
      <c r="A35" s="140">
        <v>8722</v>
      </c>
      <c r="B35" s="140" t="s">
        <v>63</v>
      </c>
      <c r="C35" s="140" t="s">
        <v>63</v>
      </c>
      <c r="D35" s="143" t="s">
        <v>7</v>
      </c>
      <c r="E35" s="144">
        <v>43169.459178240744</v>
      </c>
      <c r="F35" s="89">
        <f t="shared" si="3"/>
        <v>43169.459178240744</v>
      </c>
      <c r="G35" s="90" t="str">
        <f t="shared" si="4"/>
        <v>11:1</v>
      </c>
      <c r="H35" s="91" t="str">
        <f t="shared" si="5"/>
        <v>-</v>
      </c>
      <c r="I35" s="92" t="str">
        <f t="shared" si="6"/>
        <v>-</v>
      </c>
      <c r="J35" s="92" t="str">
        <f t="shared" si="10"/>
        <v>-</v>
      </c>
      <c r="K35" s="93">
        <f t="shared" si="7"/>
        <v>3.4166666666666652</v>
      </c>
      <c r="L35" s="93"/>
      <c r="M35" s="94">
        <f t="shared" si="8"/>
        <v>2</v>
      </c>
      <c r="N35" s="94">
        <f t="shared" si="9"/>
        <v>1.4166666666666652</v>
      </c>
      <c r="O35" s="95"/>
      <c r="P35" s="346"/>
      <c r="Q35" s="374"/>
      <c r="R35" s="379"/>
      <c r="S35" s="379"/>
    </row>
    <row r="36" spans="1:19">
      <c r="A36" s="140">
        <v>8725</v>
      </c>
      <c r="B36" s="140" t="s">
        <v>63</v>
      </c>
      <c r="C36" s="140" t="s">
        <v>63</v>
      </c>
      <c r="D36" s="143" t="s">
        <v>8</v>
      </c>
      <c r="E36" s="144">
        <v>43169.601655092592</v>
      </c>
      <c r="F36" s="89">
        <f t="shared" si="3"/>
        <v>43169.601655092592</v>
      </c>
      <c r="G36" s="90" t="str">
        <f t="shared" si="4"/>
        <v>14:26</v>
      </c>
      <c r="H36" s="91" t="str">
        <f t="shared" si="5"/>
        <v>-</v>
      </c>
      <c r="I36" s="92" t="str">
        <f t="shared" si="6"/>
        <v>-</v>
      </c>
      <c r="J36" s="92" t="str">
        <f t="shared" si="10"/>
        <v>-</v>
      </c>
      <c r="K36" s="93">
        <f t="shared" si="7"/>
        <v>0</v>
      </c>
      <c r="L36" s="93"/>
      <c r="M36" s="94">
        <f t="shared" si="8"/>
        <v>0</v>
      </c>
      <c r="N36" s="94">
        <f t="shared" si="9"/>
        <v>0</v>
      </c>
      <c r="O36" s="95"/>
      <c r="Q36" s="374"/>
    </row>
    <row r="37" spans="1:19" s="378" customFormat="1">
      <c r="A37" s="140">
        <v>8726</v>
      </c>
      <c r="B37" s="140" t="s">
        <v>63</v>
      </c>
      <c r="C37" s="140" t="s">
        <v>63</v>
      </c>
      <c r="D37" s="143" t="s">
        <v>7</v>
      </c>
      <c r="E37" s="144">
        <v>43169.601712962962</v>
      </c>
      <c r="F37" s="89">
        <f t="shared" si="3"/>
        <v>43169.601712962962</v>
      </c>
      <c r="G37" s="90" t="str">
        <f t="shared" si="4"/>
        <v>14:26</v>
      </c>
      <c r="H37" s="91" t="str">
        <f t="shared" si="5"/>
        <v>-</v>
      </c>
      <c r="I37" s="92" t="str">
        <f t="shared" si="6"/>
        <v>-</v>
      </c>
      <c r="J37" s="92" t="str">
        <f t="shared" si="10"/>
        <v>-</v>
      </c>
      <c r="K37" s="93">
        <f t="shared" si="7"/>
        <v>2.2333333333333361</v>
      </c>
      <c r="L37" s="93"/>
      <c r="M37" s="94">
        <v>0</v>
      </c>
      <c r="N37" s="94">
        <f>K37</f>
        <v>2.2333333333333361</v>
      </c>
      <c r="O37" s="95"/>
      <c r="P37" s="346"/>
      <c r="Q37" s="374"/>
      <c r="R37" s="377"/>
      <c r="S37" s="377"/>
    </row>
    <row r="38" spans="1:19" s="63" customFormat="1">
      <c r="A38" s="140">
        <v>8727</v>
      </c>
      <c r="B38" s="140" t="s">
        <v>63</v>
      </c>
      <c r="C38" s="140" t="s">
        <v>63</v>
      </c>
      <c r="D38" s="143" t="s">
        <v>8</v>
      </c>
      <c r="E38" s="144">
        <v>43169.694780092592</v>
      </c>
      <c r="F38" s="89">
        <f t="shared" si="3"/>
        <v>43169.694780092592</v>
      </c>
      <c r="G38" s="90" t="str">
        <f t="shared" si="4"/>
        <v>16:40</v>
      </c>
      <c r="H38" s="91" t="str">
        <f t="shared" si="5"/>
        <v>-</v>
      </c>
      <c r="I38" s="92" t="str">
        <f t="shared" si="6"/>
        <v>-</v>
      </c>
      <c r="J38" s="92" t="str">
        <f t="shared" si="10"/>
        <v>-</v>
      </c>
      <c r="K38" s="93">
        <f t="shared" si="7"/>
        <v>0</v>
      </c>
      <c r="L38" s="93"/>
      <c r="M38" s="94">
        <f t="shared" si="8"/>
        <v>0</v>
      </c>
      <c r="N38" s="94">
        <f t="shared" si="9"/>
        <v>0</v>
      </c>
      <c r="O38" s="95"/>
      <c r="P38" s="346"/>
      <c r="Q38" s="374"/>
      <c r="R38" s="18"/>
      <c r="S38" s="18"/>
    </row>
    <row r="39" spans="1:19" s="16" customFormat="1">
      <c r="A39" s="140">
        <v>8733</v>
      </c>
      <c r="B39" s="140" t="s">
        <v>63</v>
      </c>
      <c r="C39" s="140" t="s">
        <v>63</v>
      </c>
      <c r="D39" s="143" t="s">
        <v>7</v>
      </c>
      <c r="E39" s="144">
        <v>43170.465104166666</v>
      </c>
      <c r="F39" s="89">
        <f t="shared" si="3"/>
        <v>43170.465104166666</v>
      </c>
      <c r="G39" s="90" t="str">
        <f t="shared" si="4"/>
        <v>11:9</v>
      </c>
      <c r="H39" s="91" t="str">
        <f t="shared" si="5"/>
        <v>-</v>
      </c>
      <c r="I39" s="92" t="str">
        <f t="shared" si="6"/>
        <v>-</v>
      </c>
      <c r="J39" s="92" t="str">
        <f t="shared" si="10"/>
        <v>-</v>
      </c>
      <c r="K39" s="93">
        <f t="shared" si="7"/>
        <v>2.0333333333333341</v>
      </c>
      <c r="L39" s="93"/>
      <c r="M39" s="94">
        <f t="shared" si="8"/>
        <v>2</v>
      </c>
      <c r="N39" s="94">
        <f t="shared" si="9"/>
        <v>3.3333333333334103E-2</v>
      </c>
      <c r="O39" s="95"/>
      <c r="P39" s="137"/>
      <c r="Q39" s="404"/>
    </row>
    <row r="40" spans="1:19" s="16" customFormat="1">
      <c r="A40" s="140">
        <v>8737</v>
      </c>
      <c r="B40" s="140" t="s">
        <v>63</v>
      </c>
      <c r="C40" s="140" t="s">
        <v>63</v>
      </c>
      <c r="D40" s="143" t="s">
        <v>8</v>
      </c>
      <c r="E40" s="144">
        <v>43170.549849537034</v>
      </c>
      <c r="F40" s="89">
        <f t="shared" si="3"/>
        <v>43170.549849537034</v>
      </c>
      <c r="G40" s="90" t="str">
        <f t="shared" si="4"/>
        <v>13:11</v>
      </c>
      <c r="H40" s="91" t="str">
        <f t="shared" si="5"/>
        <v>-</v>
      </c>
      <c r="I40" s="92" t="str">
        <f t="shared" si="6"/>
        <v>-</v>
      </c>
      <c r="J40" s="92" t="str">
        <f t="shared" si="10"/>
        <v>-</v>
      </c>
      <c r="K40" s="93">
        <f t="shared" si="7"/>
        <v>0</v>
      </c>
      <c r="L40" s="93"/>
      <c r="M40" s="94">
        <f t="shared" si="8"/>
        <v>0</v>
      </c>
      <c r="N40" s="94">
        <f t="shared" si="9"/>
        <v>0</v>
      </c>
      <c r="O40" s="95"/>
      <c r="P40" s="137"/>
      <c r="Q40" s="404"/>
    </row>
    <row r="41" spans="1:19" s="376" customFormat="1">
      <c r="A41" s="140">
        <v>8742</v>
      </c>
      <c r="B41" s="140" t="s">
        <v>63</v>
      </c>
      <c r="C41" s="140" t="s">
        <v>63</v>
      </c>
      <c r="D41" s="143" t="s">
        <v>7</v>
      </c>
      <c r="E41" s="144">
        <v>43170.581793981481</v>
      </c>
      <c r="F41" s="89">
        <f t="shared" si="3"/>
        <v>43170.581793981481</v>
      </c>
      <c r="G41" s="90" t="str">
        <f t="shared" si="4"/>
        <v>13:57</v>
      </c>
      <c r="H41" s="91" t="str">
        <f t="shared" si="5"/>
        <v>-</v>
      </c>
      <c r="I41" s="92" t="str">
        <f t="shared" si="6"/>
        <v>-</v>
      </c>
      <c r="J41" s="92" t="str">
        <f t="shared" si="10"/>
        <v>-</v>
      </c>
      <c r="K41" s="93">
        <f t="shared" si="7"/>
        <v>4.0833333333333375</v>
      </c>
      <c r="L41" s="93"/>
      <c r="M41" s="94">
        <v>0</v>
      </c>
      <c r="N41" s="94">
        <v>4</v>
      </c>
      <c r="O41" s="95"/>
      <c r="P41" s="346"/>
      <c r="Q41" s="374"/>
      <c r="R41" s="375"/>
      <c r="S41" s="375"/>
    </row>
    <row r="42" spans="1:19" s="63" customFormat="1">
      <c r="A42" s="140">
        <v>8753</v>
      </c>
      <c r="B42" s="140" t="s">
        <v>63</v>
      </c>
      <c r="C42" s="140" t="s">
        <v>63</v>
      </c>
      <c r="D42" s="143" t="s">
        <v>8</v>
      </c>
      <c r="E42" s="144">
        <v>43170.751388888886</v>
      </c>
      <c r="F42" s="89">
        <f t="shared" si="3"/>
        <v>43170.751388888886</v>
      </c>
      <c r="G42" s="90" t="str">
        <f t="shared" si="4"/>
        <v>18:2</v>
      </c>
      <c r="H42" s="91" t="str">
        <f t="shared" si="5"/>
        <v>-</v>
      </c>
      <c r="I42" s="92" t="str">
        <f t="shared" si="6"/>
        <v>-</v>
      </c>
      <c r="J42" s="92" t="str">
        <f t="shared" si="10"/>
        <v>-</v>
      </c>
      <c r="K42" s="93">
        <f t="shared" si="7"/>
        <v>0</v>
      </c>
      <c r="L42" s="93"/>
      <c r="M42" s="94">
        <f t="shared" si="8"/>
        <v>0</v>
      </c>
      <c r="N42" s="94">
        <f t="shared" si="9"/>
        <v>0</v>
      </c>
      <c r="O42" s="95"/>
      <c r="P42" s="346"/>
      <c r="Q42" s="374"/>
      <c r="R42" s="18"/>
      <c r="S42" s="18"/>
    </row>
    <row r="43" spans="1:19" s="63" customFormat="1">
      <c r="A43" s="140">
        <v>8755</v>
      </c>
      <c r="B43" s="140" t="s">
        <v>63</v>
      </c>
      <c r="C43" s="140" t="s">
        <v>63</v>
      </c>
      <c r="D43" s="143" t="s">
        <v>7</v>
      </c>
      <c r="E43" s="144">
        <v>43170.751435185186</v>
      </c>
      <c r="F43" s="89">
        <f t="shared" si="3"/>
        <v>43170.751435185186</v>
      </c>
      <c r="G43" s="90" t="str">
        <f t="shared" si="4"/>
        <v>18:2</v>
      </c>
      <c r="H43" s="91" t="str">
        <f t="shared" si="5"/>
        <v>-</v>
      </c>
      <c r="I43" s="92" t="str">
        <f t="shared" si="6"/>
        <v>-</v>
      </c>
      <c r="J43" s="92" t="str">
        <f t="shared" si="10"/>
        <v>-</v>
      </c>
      <c r="K43" s="93">
        <f t="shared" si="7"/>
        <v>0.79999999999999716</v>
      </c>
      <c r="L43" s="93"/>
      <c r="M43" s="94">
        <v>0</v>
      </c>
      <c r="N43" s="94">
        <f>K43</f>
        <v>0.79999999999999716</v>
      </c>
      <c r="O43" s="95"/>
      <c r="P43" s="346"/>
      <c r="Q43" s="374"/>
      <c r="R43" s="18"/>
      <c r="S43" s="18"/>
    </row>
    <row r="44" spans="1:19" s="376" customFormat="1">
      <c r="A44" s="140">
        <v>8757</v>
      </c>
      <c r="B44" s="140" t="s">
        <v>79</v>
      </c>
      <c r="C44" s="140" t="s">
        <v>63</v>
      </c>
      <c r="D44" s="143" t="s">
        <v>8</v>
      </c>
      <c r="E44" s="144">
        <v>43170.785185185188</v>
      </c>
      <c r="F44" s="89">
        <f t="shared" si="3"/>
        <v>43170.785185185188</v>
      </c>
      <c r="G44" s="90" t="str">
        <f t="shared" si="4"/>
        <v>18:50</v>
      </c>
      <c r="H44" s="91" t="str">
        <f t="shared" si="5"/>
        <v>-</v>
      </c>
      <c r="I44" s="92" t="str">
        <f t="shared" si="6"/>
        <v>-</v>
      </c>
      <c r="J44" s="92" t="str">
        <f t="shared" si="10"/>
        <v>-</v>
      </c>
      <c r="K44" s="93">
        <f t="shared" si="7"/>
        <v>0</v>
      </c>
      <c r="L44" s="93"/>
      <c r="M44" s="94">
        <f t="shared" si="8"/>
        <v>0</v>
      </c>
      <c r="N44" s="94">
        <f t="shared" si="9"/>
        <v>0</v>
      </c>
      <c r="O44" s="95"/>
      <c r="P44" s="346"/>
      <c r="Q44" s="374"/>
      <c r="R44" s="375"/>
      <c r="S44" s="375"/>
    </row>
    <row r="45" spans="1:19" s="380" customFormat="1">
      <c r="A45" s="140">
        <v>8770</v>
      </c>
      <c r="B45" s="140" t="s">
        <v>63</v>
      </c>
      <c r="C45" s="140" t="s">
        <v>63</v>
      </c>
      <c r="D45" s="143" t="s">
        <v>6</v>
      </c>
      <c r="E45" s="144">
        <v>43171.373472222222</v>
      </c>
      <c r="F45" s="89">
        <f t="shared" si="3"/>
        <v>43171.373472222222</v>
      </c>
      <c r="G45" s="90" t="str">
        <f t="shared" si="4"/>
        <v>8:57</v>
      </c>
      <c r="H45" s="91">
        <f t="shared" si="5"/>
        <v>9.6833333333333353</v>
      </c>
      <c r="I45" s="92">
        <f t="shared" si="6"/>
        <v>8</v>
      </c>
      <c r="J45" s="92" t="str">
        <f t="shared" si="10"/>
        <v>-</v>
      </c>
      <c r="K45" s="93">
        <f t="shared" si="7"/>
        <v>0</v>
      </c>
      <c r="L45" s="93"/>
      <c r="M45" s="94">
        <f t="shared" si="8"/>
        <v>0</v>
      </c>
      <c r="N45" s="94">
        <f t="shared" si="9"/>
        <v>0</v>
      </c>
      <c r="O45" s="95"/>
      <c r="P45" s="346"/>
      <c r="Q45" s="374"/>
      <c r="R45" s="379"/>
      <c r="S45" s="379"/>
    </row>
    <row r="46" spans="1:19">
      <c r="A46" s="140">
        <v>8784</v>
      </c>
      <c r="B46" s="140" t="s">
        <v>63</v>
      </c>
      <c r="C46" s="140" t="s">
        <v>63</v>
      </c>
      <c r="D46" s="143" t="s">
        <v>5</v>
      </c>
      <c r="E46" s="144">
        <v>43171.776643518519</v>
      </c>
      <c r="F46" s="89">
        <f t="shared" si="3"/>
        <v>43171.776643518519</v>
      </c>
      <c r="G46" s="90" t="str">
        <f t="shared" si="4"/>
        <v>18:38</v>
      </c>
      <c r="H46" s="91" t="str">
        <f t="shared" si="5"/>
        <v>-</v>
      </c>
      <c r="I46" s="92" t="str">
        <f t="shared" si="6"/>
        <v>-</v>
      </c>
      <c r="J46" s="92" t="str">
        <f t="shared" si="10"/>
        <v>-</v>
      </c>
      <c r="K46" s="93">
        <f t="shared" si="7"/>
        <v>0</v>
      </c>
      <c r="L46" s="93"/>
      <c r="M46" s="94">
        <f t="shared" si="8"/>
        <v>0</v>
      </c>
      <c r="N46" s="94">
        <f t="shared" si="9"/>
        <v>0</v>
      </c>
      <c r="O46" s="95"/>
      <c r="Q46" s="374"/>
    </row>
    <row r="47" spans="1:19" s="376" customFormat="1">
      <c r="A47" s="140">
        <v>8785</v>
      </c>
      <c r="B47" s="140" t="s">
        <v>63</v>
      </c>
      <c r="C47" s="140" t="s">
        <v>63</v>
      </c>
      <c r="D47" s="143" t="s">
        <v>7</v>
      </c>
      <c r="E47" s="144">
        <v>43171.776655092595</v>
      </c>
      <c r="F47" s="89">
        <f t="shared" si="3"/>
        <v>43171.776655092595</v>
      </c>
      <c r="G47" s="90" t="str">
        <f t="shared" si="4"/>
        <v>18:38</v>
      </c>
      <c r="H47" s="91" t="str">
        <f t="shared" si="5"/>
        <v>-</v>
      </c>
      <c r="I47" s="92" t="str">
        <f t="shared" si="6"/>
        <v>-</v>
      </c>
      <c r="J47" s="92" t="str">
        <f t="shared" si="10"/>
        <v>-</v>
      </c>
      <c r="K47" s="93">
        <f t="shared" si="7"/>
        <v>0.46666666666666767</v>
      </c>
      <c r="L47" s="93"/>
      <c r="M47" s="94">
        <v>0</v>
      </c>
      <c r="N47" s="94">
        <f>K47</f>
        <v>0.46666666666666767</v>
      </c>
      <c r="O47" s="95"/>
      <c r="P47" s="346"/>
      <c r="Q47" s="374"/>
      <c r="R47" s="375"/>
      <c r="S47" s="375"/>
    </row>
    <row r="48" spans="1:19" s="376" customFormat="1">
      <c r="A48" s="140">
        <v>8788</v>
      </c>
      <c r="B48" s="140" t="s">
        <v>63</v>
      </c>
      <c r="C48" s="140" t="s">
        <v>63</v>
      </c>
      <c r="D48" s="143" t="s">
        <v>8</v>
      </c>
      <c r="E48" s="144">
        <v>43171.796215277776</v>
      </c>
      <c r="F48" s="89">
        <f t="shared" si="3"/>
        <v>43171.796215277776</v>
      </c>
      <c r="G48" s="90" t="str">
        <f t="shared" si="4"/>
        <v>19:6</v>
      </c>
      <c r="H48" s="91" t="str">
        <f t="shared" si="5"/>
        <v>-</v>
      </c>
      <c r="I48" s="92" t="str">
        <f t="shared" si="6"/>
        <v>-</v>
      </c>
      <c r="J48" s="92" t="str">
        <f t="shared" si="10"/>
        <v>-</v>
      </c>
      <c r="K48" s="93">
        <f t="shared" si="7"/>
        <v>0</v>
      </c>
      <c r="L48" s="93"/>
      <c r="M48" s="94">
        <f t="shared" si="8"/>
        <v>0</v>
      </c>
      <c r="N48" s="94">
        <f t="shared" si="9"/>
        <v>0</v>
      </c>
      <c r="O48" s="95"/>
      <c r="P48" s="346"/>
      <c r="Q48" s="374"/>
      <c r="R48" s="375"/>
      <c r="S48" s="375"/>
    </row>
    <row r="49" spans="1:19" s="376" customFormat="1">
      <c r="A49" s="140">
        <v>8792</v>
      </c>
      <c r="B49" s="140" t="s">
        <v>79</v>
      </c>
      <c r="C49" s="140" t="s">
        <v>63</v>
      </c>
      <c r="D49" s="143" t="s">
        <v>7</v>
      </c>
      <c r="E49" s="144">
        <v>43171.828460648147</v>
      </c>
      <c r="F49" s="89">
        <f t="shared" si="3"/>
        <v>43171.828460648147</v>
      </c>
      <c r="G49" s="90" t="str">
        <f t="shared" si="4"/>
        <v>19:52</v>
      </c>
      <c r="H49" s="91" t="str">
        <f t="shared" si="5"/>
        <v>-</v>
      </c>
      <c r="I49" s="92" t="str">
        <f t="shared" si="6"/>
        <v>-</v>
      </c>
      <c r="J49" s="92" t="str">
        <f t="shared" si="10"/>
        <v>-</v>
      </c>
      <c r="K49" s="93">
        <f t="shared" si="7"/>
        <v>2.0833333333333313</v>
      </c>
      <c r="L49" s="93"/>
      <c r="M49" s="94">
        <f t="shared" si="8"/>
        <v>2</v>
      </c>
      <c r="N49" s="94">
        <f t="shared" si="9"/>
        <v>8.3333333333331261E-2</v>
      </c>
      <c r="O49" s="95"/>
      <c r="P49" s="346"/>
      <c r="Q49" s="374"/>
      <c r="R49" s="375"/>
      <c r="S49" s="375"/>
    </row>
    <row r="50" spans="1:19" s="63" customFormat="1">
      <c r="A50" s="140">
        <v>8799</v>
      </c>
      <c r="B50" s="140" t="s">
        <v>63</v>
      </c>
      <c r="C50" s="140" t="s">
        <v>63</v>
      </c>
      <c r="D50" s="143" t="s">
        <v>8</v>
      </c>
      <c r="E50" s="144">
        <v>43171.914884259262</v>
      </c>
      <c r="F50" s="89">
        <f t="shared" si="3"/>
        <v>43171.914884259262</v>
      </c>
      <c r="G50" s="90" t="str">
        <f t="shared" si="4"/>
        <v>21:57</v>
      </c>
      <c r="H50" s="91" t="str">
        <f t="shared" si="5"/>
        <v>-</v>
      </c>
      <c r="I50" s="92" t="str">
        <f t="shared" si="6"/>
        <v>-</v>
      </c>
      <c r="J50" s="92" t="str">
        <f t="shared" si="10"/>
        <v>-</v>
      </c>
      <c r="K50" s="93">
        <f t="shared" si="7"/>
        <v>0</v>
      </c>
      <c r="L50" s="93"/>
      <c r="M50" s="94">
        <f t="shared" si="8"/>
        <v>0</v>
      </c>
      <c r="N50" s="94">
        <f t="shared" si="9"/>
        <v>0</v>
      </c>
      <c r="O50" s="95"/>
      <c r="P50" s="18"/>
      <c r="Q50" s="395"/>
      <c r="R50" s="18"/>
      <c r="S50" s="18"/>
    </row>
    <row r="51" spans="1:19" s="137" customFormat="1">
      <c r="A51" s="140">
        <v>8803</v>
      </c>
      <c r="B51" s="140" t="s">
        <v>79</v>
      </c>
      <c r="C51" s="140" t="s">
        <v>63</v>
      </c>
      <c r="D51" s="143" t="s">
        <v>6</v>
      </c>
      <c r="E51" s="144">
        <v>43172.363738425927</v>
      </c>
      <c r="F51" s="89">
        <f t="shared" si="3"/>
        <v>43172.363738425927</v>
      </c>
      <c r="G51" s="90" t="str">
        <f t="shared" si="4"/>
        <v>8:43</v>
      </c>
      <c r="H51" s="91">
        <f t="shared" si="5"/>
        <v>10.016666666666667</v>
      </c>
      <c r="I51" s="92">
        <f t="shared" si="6"/>
        <v>8</v>
      </c>
      <c r="J51" s="92" t="str">
        <f t="shared" si="10"/>
        <v>-</v>
      </c>
      <c r="K51" s="93">
        <f t="shared" si="7"/>
        <v>0</v>
      </c>
      <c r="L51" s="93"/>
      <c r="M51" s="94">
        <f t="shared" si="8"/>
        <v>0</v>
      </c>
      <c r="N51" s="94">
        <f t="shared" si="9"/>
        <v>0</v>
      </c>
      <c r="O51" s="95"/>
      <c r="Q51" s="404"/>
    </row>
    <row r="52" spans="1:19" s="137" customFormat="1">
      <c r="A52" s="140">
        <v>8825</v>
      </c>
      <c r="B52" s="140" t="s">
        <v>63</v>
      </c>
      <c r="C52" s="140" t="s">
        <v>63</v>
      </c>
      <c r="D52" s="143" t="s">
        <v>5</v>
      </c>
      <c r="E52" s="144">
        <v>43172.781076388892</v>
      </c>
      <c r="F52" s="89">
        <f t="shared" si="3"/>
        <v>43172.781076388892</v>
      </c>
      <c r="G52" s="90" t="str">
        <f t="shared" si="4"/>
        <v>18:44</v>
      </c>
      <c r="H52" s="91" t="str">
        <f t="shared" si="5"/>
        <v>-</v>
      </c>
      <c r="I52" s="92" t="str">
        <f t="shared" si="6"/>
        <v>-</v>
      </c>
      <c r="J52" s="92" t="str">
        <f t="shared" si="10"/>
        <v>-</v>
      </c>
      <c r="K52" s="93">
        <f t="shared" si="7"/>
        <v>0</v>
      </c>
      <c r="L52" s="93"/>
      <c r="M52" s="94">
        <f t="shared" si="8"/>
        <v>0</v>
      </c>
      <c r="N52" s="94">
        <f t="shared" si="9"/>
        <v>0</v>
      </c>
      <c r="O52" s="95"/>
      <c r="Q52" s="404"/>
    </row>
    <row r="53" spans="1:19" s="137" customFormat="1">
      <c r="A53" s="140">
        <v>8826</v>
      </c>
      <c r="B53" s="140" t="s">
        <v>63</v>
      </c>
      <c r="C53" s="140" t="s">
        <v>63</v>
      </c>
      <c r="D53" s="143" t="s">
        <v>7</v>
      </c>
      <c r="E53" s="144">
        <v>43172.781099537038</v>
      </c>
      <c r="F53" s="89">
        <f t="shared" si="3"/>
        <v>43172.781099537038</v>
      </c>
      <c r="G53" s="90" t="str">
        <f t="shared" si="4"/>
        <v>18:44</v>
      </c>
      <c r="H53" s="91" t="str">
        <f t="shared" si="5"/>
        <v>-</v>
      </c>
      <c r="I53" s="92" t="str">
        <f t="shared" si="6"/>
        <v>-</v>
      </c>
      <c r="J53" s="92" t="str">
        <f t="shared" si="10"/>
        <v>-</v>
      </c>
      <c r="K53" s="93">
        <f t="shared" si="7"/>
        <v>3.0166666666666666</v>
      </c>
      <c r="L53" s="93"/>
      <c r="M53" s="94">
        <f t="shared" si="8"/>
        <v>2</v>
      </c>
      <c r="N53" s="94">
        <f t="shared" si="9"/>
        <v>1.0166666666666666</v>
      </c>
      <c r="O53" s="95"/>
      <c r="Q53" s="404"/>
    </row>
    <row r="54" spans="1:19" s="137" customFormat="1">
      <c r="A54" s="140">
        <v>8834</v>
      </c>
      <c r="B54" s="140" t="s">
        <v>63</v>
      </c>
      <c r="C54" s="140" t="s">
        <v>63</v>
      </c>
      <c r="D54" s="143" t="s">
        <v>8</v>
      </c>
      <c r="E54" s="144">
        <v>43172.906770833331</v>
      </c>
      <c r="F54" s="89">
        <f t="shared" si="3"/>
        <v>43172.906770833331</v>
      </c>
      <c r="G54" s="90" t="str">
        <f t="shared" si="4"/>
        <v>21:45</v>
      </c>
      <c r="H54" s="91" t="str">
        <f t="shared" si="5"/>
        <v>-</v>
      </c>
      <c r="I54" s="92" t="str">
        <f t="shared" si="6"/>
        <v>-</v>
      </c>
      <c r="J54" s="92" t="str">
        <f t="shared" si="10"/>
        <v>-</v>
      </c>
      <c r="K54" s="93">
        <f t="shared" si="7"/>
        <v>0</v>
      </c>
      <c r="L54" s="93"/>
      <c r="M54" s="94">
        <f t="shared" si="8"/>
        <v>0</v>
      </c>
      <c r="N54" s="94">
        <f t="shared" si="9"/>
        <v>0</v>
      </c>
      <c r="O54" s="95"/>
      <c r="Q54" s="404"/>
    </row>
    <row r="55" spans="1:19" s="137" customFormat="1">
      <c r="A55" s="140">
        <v>8840</v>
      </c>
      <c r="B55" s="140" t="s">
        <v>63</v>
      </c>
      <c r="C55" s="140" t="s">
        <v>63</v>
      </c>
      <c r="D55" s="143" t="s">
        <v>6</v>
      </c>
      <c r="E55" s="144">
        <v>43173.363900462966</v>
      </c>
      <c r="F55" s="89">
        <f t="shared" si="3"/>
        <v>43173.363900462966</v>
      </c>
      <c r="G55" s="90" t="str">
        <f t="shared" si="4"/>
        <v>8:44</v>
      </c>
      <c r="H55" s="91">
        <f t="shared" si="5"/>
        <v>10.016666666666667</v>
      </c>
      <c r="I55" s="92">
        <f t="shared" si="6"/>
        <v>8</v>
      </c>
      <c r="J55" s="92" t="str">
        <f t="shared" si="10"/>
        <v>-</v>
      </c>
      <c r="K55" s="93">
        <f t="shared" si="7"/>
        <v>0</v>
      </c>
      <c r="L55" s="93"/>
      <c r="M55" s="94">
        <f t="shared" si="8"/>
        <v>0</v>
      </c>
      <c r="N55" s="94">
        <f t="shared" si="9"/>
        <v>0</v>
      </c>
      <c r="O55" s="95"/>
      <c r="Q55" s="404"/>
    </row>
    <row r="56" spans="1:19" s="137" customFormat="1">
      <c r="A56" s="140">
        <v>8858</v>
      </c>
      <c r="B56" s="140" t="s">
        <v>63</v>
      </c>
      <c r="C56" s="140" t="s">
        <v>63</v>
      </c>
      <c r="D56" s="143" t="s">
        <v>5</v>
      </c>
      <c r="E56" s="144">
        <v>43173.781793981485</v>
      </c>
      <c r="F56" s="89">
        <f t="shared" si="3"/>
        <v>43173.781793981485</v>
      </c>
      <c r="G56" s="90" t="str">
        <f t="shared" si="4"/>
        <v>18:45</v>
      </c>
      <c r="H56" s="91" t="str">
        <f t="shared" si="5"/>
        <v>-</v>
      </c>
      <c r="I56" s="92" t="str">
        <f t="shared" si="6"/>
        <v>-</v>
      </c>
      <c r="J56" s="92" t="str">
        <f t="shared" si="10"/>
        <v>-</v>
      </c>
      <c r="K56" s="93">
        <f t="shared" si="7"/>
        <v>0</v>
      </c>
      <c r="L56" s="93"/>
      <c r="M56" s="94">
        <f t="shared" si="8"/>
        <v>0</v>
      </c>
      <c r="N56" s="94">
        <f t="shared" si="9"/>
        <v>0</v>
      </c>
      <c r="O56" s="95"/>
      <c r="Q56" s="404"/>
    </row>
    <row r="57" spans="1:19" s="63" customFormat="1">
      <c r="A57" s="140">
        <v>8859</v>
      </c>
      <c r="B57" s="140" t="s">
        <v>63</v>
      </c>
      <c r="C57" s="140" t="s">
        <v>63</v>
      </c>
      <c r="D57" s="143" t="s">
        <v>7</v>
      </c>
      <c r="E57" s="144">
        <v>43173.781805555554</v>
      </c>
      <c r="F57" s="89">
        <f t="shared" si="3"/>
        <v>43173.781805555554</v>
      </c>
      <c r="G57" s="90" t="str">
        <f t="shared" si="4"/>
        <v>18:45</v>
      </c>
      <c r="H57" s="91" t="str">
        <f t="shared" si="5"/>
        <v>-</v>
      </c>
      <c r="I57" s="92" t="str">
        <f t="shared" si="6"/>
        <v>-</v>
      </c>
      <c r="J57" s="92" t="str">
        <f t="shared" si="10"/>
        <v>-</v>
      </c>
      <c r="K57" s="93">
        <f t="shared" si="7"/>
        <v>2.7833333333333341</v>
      </c>
      <c r="L57" s="93"/>
      <c r="M57" s="94">
        <f t="shared" si="8"/>
        <v>2</v>
      </c>
      <c r="N57" s="94">
        <f t="shared" si="9"/>
        <v>0.7833333333333341</v>
      </c>
      <c r="O57" s="95"/>
      <c r="P57" s="18"/>
      <c r="Q57" s="395"/>
      <c r="R57" s="18"/>
      <c r="S57" s="18"/>
    </row>
    <row r="58" spans="1:19">
      <c r="A58" s="140">
        <v>8871</v>
      </c>
      <c r="B58" s="140" t="s">
        <v>63</v>
      </c>
      <c r="C58" s="140" t="s">
        <v>63</v>
      </c>
      <c r="D58" s="143" t="s">
        <v>8</v>
      </c>
      <c r="E58" s="144">
        <v>43173.897604166668</v>
      </c>
      <c r="F58" s="89">
        <f t="shared" si="3"/>
        <v>43173.897604166668</v>
      </c>
      <c r="G58" s="90" t="str">
        <f t="shared" si="4"/>
        <v>21:32</v>
      </c>
      <c r="H58" s="91" t="str">
        <f t="shared" si="5"/>
        <v>-</v>
      </c>
      <c r="I58" s="92" t="str">
        <f t="shared" si="6"/>
        <v>-</v>
      </c>
      <c r="J58" s="92" t="str">
        <f t="shared" si="10"/>
        <v>-</v>
      </c>
      <c r="K58" s="93">
        <f t="shared" si="7"/>
        <v>0</v>
      </c>
      <c r="L58" s="93"/>
      <c r="M58" s="94">
        <f t="shared" si="8"/>
        <v>0</v>
      </c>
      <c r="N58" s="94">
        <f t="shared" si="9"/>
        <v>0</v>
      </c>
      <c r="O58" s="95"/>
      <c r="Q58" s="374"/>
    </row>
    <row r="59" spans="1:19" s="380" customFormat="1">
      <c r="A59" s="140">
        <v>8880</v>
      </c>
      <c r="B59" s="140" t="s">
        <v>63</v>
      </c>
      <c r="C59" s="140" t="s">
        <v>63</v>
      </c>
      <c r="D59" s="143" t="s">
        <v>6</v>
      </c>
      <c r="E59" s="144">
        <v>43174.37332175926</v>
      </c>
      <c r="F59" s="89">
        <f t="shared" si="3"/>
        <v>43174.37332175926</v>
      </c>
      <c r="G59" s="90" t="str">
        <f t="shared" si="4"/>
        <v>8:57</v>
      </c>
      <c r="H59" s="91">
        <f t="shared" si="5"/>
        <v>9.5833333333333357</v>
      </c>
      <c r="I59" s="92">
        <f t="shared" si="6"/>
        <v>8</v>
      </c>
      <c r="J59" s="92" t="str">
        <f t="shared" si="10"/>
        <v>-</v>
      </c>
      <c r="K59" s="93">
        <f t="shared" si="7"/>
        <v>0</v>
      </c>
      <c r="L59" s="93"/>
      <c r="M59" s="94">
        <f t="shared" si="8"/>
        <v>0</v>
      </c>
      <c r="N59" s="94">
        <f t="shared" si="9"/>
        <v>0</v>
      </c>
      <c r="O59" s="95"/>
      <c r="P59" s="346"/>
      <c r="Q59" s="374"/>
      <c r="R59" s="379"/>
      <c r="S59" s="379"/>
    </row>
    <row r="60" spans="1:19">
      <c r="A60" s="140">
        <v>8891</v>
      </c>
      <c r="B60" s="140" t="s">
        <v>63</v>
      </c>
      <c r="C60" s="140" t="s">
        <v>63</v>
      </c>
      <c r="D60" s="143" t="s">
        <v>5</v>
      </c>
      <c r="E60" s="144">
        <v>43174.772233796299</v>
      </c>
      <c r="F60" s="89">
        <f t="shared" si="3"/>
        <v>43174.772233796299</v>
      </c>
      <c r="G60" s="90" t="str">
        <f t="shared" si="4"/>
        <v>18:32</v>
      </c>
      <c r="H60" s="91" t="str">
        <f t="shared" si="5"/>
        <v>-</v>
      </c>
      <c r="I60" s="92" t="str">
        <f t="shared" si="6"/>
        <v>-</v>
      </c>
      <c r="J60" s="92" t="str">
        <f t="shared" si="10"/>
        <v>-</v>
      </c>
      <c r="K60" s="93">
        <f t="shared" si="7"/>
        <v>0</v>
      </c>
      <c r="L60" s="93"/>
      <c r="M60" s="94">
        <f t="shared" si="8"/>
        <v>0</v>
      </c>
      <c r="N60" s="94">
        <f t="shared" si="9"/>
        <v>0</v>
      </c>
      <c r="O60" s="95"/>
      <c r="Q60" s="374"/>
    </row>
    <row r="61" spans="1:19" s="376" customFormat="1">
      <c r="A61" s="140">
        <v>8892</v>
      </c>
      <c r="B61" s="140" t="s">
        <v>63</v>
      </c>
      <c r="C61" s="140" t="s">
        <v>63</v>
      </c>
      <c r="D61" s="143" t="s">
        <v>7</v>
      </c>
      <c r="E61" s="144">
        <v>43174.772280092591</v>
      </c>
      <c r="F61" s="89">
        <f t="shared" si="3"/>
        <v>43174.772280092591</v>
      </c>
      <c r="G61" s="90" t="str">
        <f t="shared" si="4"/>
        <v>18:32</v>
      </c>
      <c r="H61" s="91" t="str">
        <f t="shared" si="5"/>
        <v>-</v>
      </c>
      <c r="I61" s="92" t="str">
        <f t="shared" si="6"/>
        <v>-</v>
      </c>
      <c r="J61" s="92" t="str">
        <f t="shared" si="10"/>
        <v>-</v>
      </c>
      <c r="K61" s="93">
        <f t="shared" si="7"/>
        <v>3.4333333333333318</v>
      </c>
      <c r="L61" s="93"/>
      <c r="M61" s="94">
        <f t="shared" si="8"/>
        <v>2</v>
      </c>
      <c r="N61" s="94">
        <f t="shared" si="9"/>
        <v>1.4333333333333318</v>
      </c>
      <c r="O61" s="95"/>
      <c r="P61" s="346"/>
      <c r="Q61" s="374"/>
      <c r="R61" s="375"/>
      <c r="S61" s="375"/>
    </row>
    <row r="62" spans="1:19">
      <c r="A62" s="140">
        <v>8905</v>
      </c>
      <c r="B62" s="140" t="s">
        <v>63</v>
      </c>
      <c r="C62" s="140" t="s">
        <v>63</v>
      </c>
      <c r="D62" s="143" t="s">
        <v>8</v>
      </c>
      <c r="E62" s="144">
        <v>43174.915555555555</v>
      </c>
      <c r="F62" s="89">
        <f t="shared" si="3"/>
        <v>43174.915555555555</v>
      </c>
      <c r="G62" s="90" t="str">
        <f t="shared" si="4"/>
        <v>21:58</v>
      </c>
      <c r="H62" s="91" t="str">
        <f t="shared" si="5"/>
        <v>-</v>
      </c>
      <c r="I62" s="92" t="str">
        <f t="shared" si="6"/>
        <v>-</v>
      </c>
      <c r="J62" s="92" t="str">
        <f t="shared" si="10"/>
        <v>-</v>
      </c>
      <c r="K62" s="93">
        <f t="shared" si="7"/>
        <v>0</v>
      </c>
      <c r="L62" s="93"/>
      <c r="M62" s="94">
        <f t="shared" si="8"/>
        <v>0</v>
      </c>
      <c r="N62" s="94">
        <f t="shared" si="9"/>
        <v>0</v>
      </c>
      <c r="O62" s="95"/>
      <c r="Q62" s="374"/>
    </row>
    <row r="63" spans="1:19" s="16" customFormat="1">
      <c r="A63" s="140">
        <v>8915</v>
      </c>
      <c r="B63" s="140" t="s">
        <v>63</v>
      </c>
      <c r="C63" s="140" t="s">
        <v>63</v>
      </c>
      <c r="D63" s="143" t="s">
        <v>6</v>
      </c>
      <c r="E63" s="144">
        <v>43175.37158564815</v>
      </c>
      <c r="F63" s="89">
        <f t="shared" si="3"/>
        <v>43175.37158564815</v>
      </c>
      <c r="G63" s="90" t="str">
        <f t="shared" si="4"/>
        <v>8:55</v>
      </c>
      <c r="H63" s="91">
        <f t="shared" si="5"/>
        <v>9.6500000000000021</v>
      </c>
      <c r="I63" s="92">
        <f t="shared" si="6"/>
        <v>8</v>
      </c>
      <c r="J63" s="92" t="str">
        <f t="shared" si="10"/>
        <v>-</v>
      </c>
      <c r="K63" s="93">
        <f t="shared" si="7"/>
        <v>0</v>
      </c>
      <c r="L63" s="93"/>
      <c r="M63" s="94">
        <f t="shared" si="8"/>
        <v>0</v>
      </c>
      <c r="N63" s="94">
        <f t="shared" si="9"/>
        <v>0</v>
      </c>
      <c r="O63" s="95"/>
      <c r="P63" s="346"/>
      <c r="Q63" s="374"/>
      <c r="R63" s="137"/>
      <c r="S63" s="137"/>
    </row>
    <row r="64" spans="1:19">
      <c r="A64" s="140">
        <v>8925</v>
      </c>
      <c r="B64" s="140" t="s">
        <v>63</v>
      </c>
      <c r="C64" s="140" t="s">
        <v>63</v>
      </c>
      <c r="D64" s="143" t="s">
        <v>5</v>
      </c>
      <c r="E64" s="144">
        <v>43175.774097222224</v>
      </c>
      <c r="F64" s="89">
        <f t="shared" si="3"/>
        <v>43175.774097222224</v>
      </c>
      <c r="G64" s="90" t="str">
        <f t="shared" si="4"/>
        <v>18:34</v>
      </c>
      <c r="H64" s="91" t="str">
        <f t="shared" si="5"/>
        <v>-</v>
      </c>
      <c r="I64" s="92" t="str">
        <f t="shared" si="6"/>
        <v>-</v>
      </c>
      <c r="J64" s="92" t="str">
        <f t="shared" si="10"/>
        <v>-</v>
      </c>
      <c r="K64" s="93">
        <f t="shared" si="7"/>
        <v>0</v>
      </c>
      <c r="L64" s="93"/>
      <c r="M64" s="94">
        <f t="shared" si="8"/>
        <v>0</v>
      </c>
      <c r="N64" s="94">
        <f t="shared" si="9"/>
        <v>0</v>
      </c>
      <c r="O64" s="95"/>
      <c r="Q64" s="374"/>
    </row>
    <row r="65" spans="1:19" s="380" customFormat="1">
      <c r="A65" s="140">
        <v>8926</v>
      </c>
      <c r="B65" s="140" t="s">
        <v>63</v>
      </c>
      <c r="C65" s="140" t="s">
        <v>63</v>
      </c>
      <c r="D65" s="143" t="s">
        <v>7</v>
      </c>
      <c r="E65" s="144">
        <v>43175.774108796293</v>
      </c>
      <c r="F65" s="89">
        <f t="shared" si="3"/>
        <v>43175.774108796293</v>
      </c>
      <c r="G65" s="90" t="str">
        <f t="shared" si="4"/>
        <v>18:34</v>
      </c>
      <c r="H65" s="91" t="str">
        <f t="shared" si="5"/>
        <v>-</v>
      </c>
      <c r="I65" s="92" t="str">
        <f t="shared" si="6"/>
        <v>-</v>
      </c>
      <c r="J65" s="92" t="str">
        <f t="shared" si="10"/>
        <v>-</v>
      </c>
      <c r="K65" s="93">
        <f t="shared" si="7"/>
        <v>0.35000000000000142</v>
      </c>
      <c r="L65" s="93"/>
      <c r="M65" s="94">
        <f t="shared" si="8"/>
        <v>0.35000000000000142</v>
      </c>
      <c r="N65" s="94">
        <f t="shared" si="9"/>
        <v>0</v>
      </c>
      <c r="O65" s="95"/>
      <c r="P65" s="346"/>
      <c r="Q65" s="374"/>
      <c r="R65" s="379"/>
      <c r="S65" s="379"/>
    </row>
    <row r="66" spans="1:19">
      <c r="A66" s="140">
        <v>8931</v>
      </c>
      <c r="B66" s="140" t="s">
        <v>63</v>
      </c>
      <c r="C66" s="140" t="s">
        <v>63</v>
      </c>
      <c r="D66" s="143" t="s">
        <v>8</v>
      </c>
      <c r="E66" s="144">
        <v>43175.788819444446</v>
      </c>
      <c r="F66" s="89">
        <f t="shared" si="3"/>
        <v>43175.788819444446</v>
      </c>
      <c r="G66" s="90" t="str">
        <f t="shared" si="4"/>
        <v>18:55</v>
      </c>
      <c r="H66" s="91" t="str">
        <f t="shared" si="5"/>
        <v>-</v>
      </c>
      <c r="I66" s="92" t="str">
        <f t="shared" si="6"/>
        <v>-</v>
      </c>
      <c r="J66" s="92" t="str">
        <f t="shared" si="10"/>
        <v>-</v>
      </c>
      <c r="K66" s="93">
        <f t="shared" si="7"/>
        <v>0</v>
      </c>
      <c r="L66" s="93"/>
      <c r="M66" s="94">
        <f t="shared" si="8"/>
        <v>0</v>
      </c>
      <c r="N66" s="94">
        <f t="shared" si="9"/>
        <v>0</v>
      </c>
      <c r="O66" s="95"/>
      <c r="Q66" s="374"/>
    </row>
    <row r="67" spans="1:19" s="380" customFormat="1">
      <c r="A67" s="140">
        <v>8937</v>
      </c>
      <c r="B67" s="140" t="s">
        <v>63</v>
      </c>
      <c r="C67" s="140" t="s">
        <v>63</v>
      </c>
      <c r="D67" s="143" t="s">
        <v>7</v>
      </c>
      <c r="E67" s="144">
        <v>43175.827546296299</v>
      </c>
      <c r="F67" s="89">
        <f t="shared" si="3"/>
        <v>43175.827546296299</v>
      </c>
      <c r="G67" s="90" t="str">
        <f t="shared" si="4"/>
        <v>19:51</v>
      </c>
      <c r="H67" s="91" t="str">
        <f t="shared" si="5"/>
        <v>-</v>
      </c>
      <c r="I67" s="92" t="str">
        <f t="shared" si="6"/>
        <v>-</v>
      </c>
      <c r="J67" s="92" t="str">
        <f t="shared" si="10"/>
        <v>-</v>
      </c>
      <c r="K67" s="93">
        <f t="shared" si="7"/>
        <v>1.883333333333332</v>
      </c>
      <c r="L67" s="93"/>
      <c r="M67" s="94">
        <f t="shared" si="8"/>
        <v>1.883333333333332</v>
      </c>
      <c r="N67" s="94">
        <f t="shared" si="9"/>
        <v>0</v>
      </c>
      <c r="O67" s="95"/>
      <c r="P67" s="346"/>
      <c r="Q67" s="374"/>
      <c r="R67" s="379"/>
      <c r="S67" s="379"/>
    </row>
    <row r="68" spans="1:19" s="63" customFormat="1">
      <c r="A68" s="140">
        <v>8940</v>
      </c>
      <c r="B68" s="140" t="s">
        <v>63</v>
      </c>
      <c r="C68" s="140" t="s">
        <v>63</v>
      </c>
      <c r="D68" s="143" t="s">
        <v>8</v>
      </c>
      <c r="E68" s="144">
        <v>43175.906192129631</v>
      </c>
      <c r="F68" s="89">
        <f t="shared" si="3"/>
        <v>43175.906192129631</v>
      </c>
      <c r="G68" s="90" t="str">
        <f t="shared" si="4"/>
        <v>21:44</v>
      </c>
      <c r="H68" s="91" t="str">
        <f t="shared" si="5"/>
        <v>-</v>
      </c>
      <c r="I68" s="92" t="str">
        <f t="shared" si="6"/>
        <v>-</v>
      </c>
      <c r="J68" s="92" t="str">
        <f t="shared" si="10"/>
        <v>-</v>
      </c>
      <c r="K68" s="93">
        <f t="shared" si="7"/>
        <v>0</v>
      </c>
      <c r="L68" s="93"/>
      <c r="M68" s="94">
        <f t="shared" si="8"/>
        <v>0</v>
      </c>
      <c r="N68" s="94">
        <f t="shared" si="9"/>
        <v>0</v>
      </c>
      <c r="O68" s="95"/>
      <c r="P68" s="346"/>
      <c r="Q68" s="374"/>
      <c r="R68" s="18"/>
      <c r="S68" s="18"/>
    </row>
    <row r="69" spans="1:19" s="16" customFormat="1">
      <c r="A69" s="140">
        <v>8951</v>
      </c>
      <c r="B69" s="140" t="s">
        <v>63</v>
      </c>
      <c r="C69" s="140" t="s">
        <v>63</v>
      </c>
      <c r="D69" s="143" t="s">
        <v>7</v>
      </c>
      <c r="E69" s="144">
        <v>43176.501944444448</v>
      </c>
      <c r="F69" s="89">
        <f t="shared" si="3"/>
        <v>43176.501944444448</v>
      </c>
      <c r="G69" s="90" t="str">
        <f t="shared" si="4"/>
        <v>12:2</v>
      </c>
      <c r="H69" s="91" t="str">
        <f t="shared" si="5"/>
        <v>-</v>
      </c>
      <c r="I69" s="92" t="str">
        <f t="shared" si="6"/>
        <v>-</v>
      </c>
      <c r="J69" s="92" t="str">
        <f t="shared" si="10"/>
        <v>-</v>
      </c>
      <c r="K69" s="93">
        <f t="shared" si="7"/>
        <v>1.5666666666666664</v>
      </c>
      <c r="L69" s="93"/>
      <c r="M69" s="94">
        <v>0</v>
      </c>
      <c r="N69" s="94">
        <f>K69</f>
        <v>1.5666666666666664</v>
      </c>
      <c r="O69" s="95"/>
      <c r="P69" s="137"/>
      <c r="Q69" s="404"/>
      <c r="R69" s="137"/>
      <c r="S69" s="137"/>
    </row>
    <row r="70" spans="1:19" s="16" customFormat="1">
      <c r="A70" s="140">
        <v>8955</v>
      </c>
      <c r="B70" s="140" t="s">
        <v>63</v>
      </c>
      <c r="C70" s="140" t="s">
        <v>63</v>
      </c>
      <c r="D70" s="143" t="s">
        <v>8</v>
      </c>
      <c r="E70" s="144">
        <v>43176.56695601852</v>
      </c>
      <c r="F70" s="89">
        <f t="shared" si="3"/>
        <v>43176.56695601852</v>
      </c>
      <c r="G70" s="90" t="str">
        <f t="shared" si="4"/>
        <v>13:36</v>
      </c>
      <c r="H70" s="91" t="str">
        <f t="shared" si="5"/>
        <v>-</v>
      </c>
      <c r="I70" s="92" t="str">
        <f t="shared" si="6"/>
        <v>-</v>
      </c>
      <c r="J70" s="92" t="str">
        <f t="shared" si="10"/>
        <v>-</v>
      </c>
      <c r="K70" s="93">
        <f t="shared" si="7"/>
        <v>0</v>
      </c>
      <c r="L70" s="93"/>
      <c r="M70" s="94">
        <f t="shared" si="8"/>
        <v>0</v>
      </c>
      <c r="N70" s="94">
        <f t="shared" si="9"/>
        <v>0</v>
      </c>
      <c r="O70" s="95"/>
      <c r="P70" s="137"/>
      <c r="Q70" s="404"/>
      <c r="R70" s="137"/>
      <c r="S70" s="137"/>
    </row>
    <row r="71" spans="1:19" s="16" customFormat="1">
      <c r="A71" s="140">
        <v>8959</v>
      </c>
      <c r="B71" s="140" t="s">
        <v>63</v>
      </c>
      <c r="C71" s="140" t="s">
        <v>63</v>
      </c>
      <c r="D71" s="143" t="s">
        <v>7</v>
      </c>
      <c r="E71" s="144">
        <v>43176.57576388889</v>
      </c>
      <c r="F71" s="89">
        <f t="shared" si="3"/>
        <v>43176.57576388889</v>
      </c>
      <c r="G71" s="90" t="str">
        <f t="shared" si="4"/>
        <v>13:49</v>
      </c>
      <c r="H71" s="91" t="str">
        <f t="shared" si="5"/>
        <v>-</v>
      </c>
      <c r="I71" s="92" t="str">
        <f t="shared" si="6"/>
        <v>-</v>
      </c>
      <c r="J71" s="92" t="str">
        <f t="shared" si="10"/>
        <v>-</v>
      </c>
      <c r="K71" s="93">
        <f t="shared" si="7"/>
        <v>3.1999999999999993</v>
      </c>
      <c r="L71" s="93"/>
      <c r="M71" s="94">
        <f t="shared" si="8"/>
        <v>2</v>
      </c>
      <c r="N71" s="94">
        <f t="shared" si="9"/>
        <v>1.1999999999999993</v>
      </c>
      <c r="O71" s="95"/>
      <c r="P71" s="137"/>
      <c r="Q71" s="404"/>
      <c r="R71" s="137"/>
      <c r="S71" s="137"/>
    </row>
    <row r="72" spans="1:19" s="16" customFormat="1">
      <c r="A72" s="140">
        <v>8967</v>
      </c>
      <c r="B72" s="140" t="s">
        <v>63</v>
      </c>
      <c r="C72" s="140" t="s">
        <v>63</v>
      </c>
      <c r="D72" s="143" t="s">
        <v>8</v>
      </c>
      <c r="E72" s="144">
        <v>43176.709537037037</v>
      </c>
      <c r="F72" s="89">
        <f t="shared" ref="F72:F118" si="11">E72</f>
        <v>43176.709537037037</v>
      </c>
      <c r="G72" s="90" t="str">
        <f t="shared" ref="G72:G118" si="12">HOUR(E72)&amp;":"&amp;MINUTE(E72)</f>
        <v>17:1</v>
      </c>
      <c r="H72" s="91" t="str">
        <f t="shared" ref="H72:H118" si="13">IF(D72="上班",(G73-G72)*24,"-")</f>
        <v>-</v>
      </c>
      <c r="I72" s="92" t="str">
        <f t="shared" ref="I72:I118" si="14">IF(D72="上班",IF(H72-1.5&gt;8,8,H72-1.5),"-")</f>
        <v>-</v>
      </c>
      <c r="J72" s="92" t="str">
        <f t="shared" ref="J72:J118" si="15">IF(I72&lt;8,8-I72,"-")</f>
        <v>-</v>
      </c>
      <c r="K72" s="93">
        <f t="shared" ref="K72:K118" si="16">IF(D72="加班",(G73-G72)*24,0)</f>
        <v>0</v>
      </c>
      <c r="L72" s="93"/>
      <c r="M72" s="94">
        <f t="shared" ref="M72:M118" si="17">IF(K72&gt;2,2,K72)</f>
        <v>0</v>
      </c>
      <c r="N72" s="94">
        <f t="shared" ref="N72:N118" si="18">IF(K72&gt;2,K72-2,0)</f>
        <v>0</v>
      </c>
      <c r="O72" s="95"/>
      <c r="P72" s="137"/>
      <c r="Q72" s="404"/>
      <c r="R72" s="137"/>
      <c r="S72" s="137"/>
    </row>
    <row r="73" spans="1:19" s="16" customFormat="1">
      <c r="A73" s="140">
        <v>8968</v>
      </c>
      <c r="B73" s="140" t="s">
        <v>63</v>
      </c>
      <c r="C73" s="140" t="s">
        <v>63</v>
      </c>
      <c r="D73" s="143" t="s">
        <v>7</v>
      </c>
      <c r="E73" s="144">
        <v>43176.709548611114</v>
      </c>
      <c r="F73" s="89">
        <f t="shared" si="11"/>
        <v>43176.709548611114</v>
      </c>
      <c r="G73" s="90" t="str">
        <f t="shared" si="12"/>
        <v>17:1</v>
      </c>
      <c r="H73" s="91" t="str">
        <f t="shared" si="13"/>
        <v>-</v>
      </c>
      <c r="I73" s="92" t="str">
        <f t="shared" si="14"/>
        <v>-</v>
      </c>
      <c r="J73" s="92" t="str">
        <f t="shared" si="15"/>
        <v>-</v>
      </c>
      <c r="K73" s="93">
        <f t="shared" si="16"/>
        <v>3.1166666666666689</v>
      </c>
      <c r="L73" s="93"/>
      <c r="M73" s="94">
        <v>0</v>
      </c>
      <c r="N73" s="94">
        <f>K73</f>
        <v>3.1166666666666689</v>
      </c>
      <c r="O73" s="95"/>
      <c r="P73" s="137"/>
      <c r="Q73" s="404"/>
      <c r="R73" s="137"/>
      <c r="S73" s="137"/>
    </row>
    <row r="74" spans="1:19" s="16" customFormat="1">
      <c r="A74" s="140">
        <v>8973</v>
      </c>
      <c r="B74" s="140" t="s">
        <v>79</v>
      </c>
      <c r="C74" s="140" t="s">
        <v>63</v>
      </c>
      <c r="D74" s="143" t="s">
        <v>8</v>
      </c>
      <c r="E74" s="144">
        <v>43176.839062500003</v>
      </c>
      <c r="F74" s="89">
        <f t="shared" si="11"/>
        <v>43176.839062500003</v>
      </c>
      <c r="G74" s="90" t="str">
        <f t="shared" si="12"/>
        <v>20:8</v>
      </c>
      <c r="H74" s="91" t="str">
        <f t="shared" si="13"/>
        <v>-</v>
      </c>
      <c r="I74" s="92" t="str">
        <f t="shared" si="14"/>
        <v>-</v>
      </c>
      <c r="J74" s="92" t="str">
        <f t="shared" si="15"/>
        <v>-</v>
      </c>
      <c r="K74" s="93">
        <f t="shared" si="16"/>
        <v>0</v>
      </c>
      <c r="L74" s="93"/>
      <c r="M74" s="94">
        <f t="shared" si="17"/>
        <v>0</v>
      </c>
      <c r="N74" s="94">
        <f t="shared" si="18"/>
        <v>0</v>
      </c>
      <c r="O74" s="95"/>
      <c r="P74" s="137"/>
      <c r="Q74" s="404"/>
      <c r="R74" s="137"/>
      <c r="S74" s="137"/>
    </row>
    <row r="75" spans="1:19">
      <c r="A75" s="140">
        <v>8980</v>
      </c>
      <c r="B75" s="140" t="s">
        <v>63</v>
      </c>
      <c r="C75" s="140" t="s">
        <v>63</v>
      </c>
      <c r="D75" s="143" t="s">
        <v>6</v>
      </c>
      <c r="E75" s="144">
        <v>43178.371666666666</v>
      </c>
      <c r="F75" s="89">
        <f t="shared" si="11"/>
        <v>43178.371666666666</v>
      </c>
      <c r="G75" s="90" t="str">
        <f t="shared" si="12"/>
        <v>8:55</v>
      </c>
      <c r="H75" s="91">
        <f t="shared" si="13"/>
        <v>9.5000000000000018</v>
      </c>
      <c r="I75" s="92">
        <f t="shared" si="14"/>
        <v>8.0000000000000018</v>
      </c>
      <c r="J75" s="92" t="str">
        <f t="shared" si="15"/>
        <v>-</v>
      </c>
      <c r="K75" s="93">
        <f t="shared" si="16"/>
        <v>0</v>
      </c>
      <c r="L75" s="93"/>
      <c r="M75" s="94">
        <f t="shared" si="17"/>
        <v>0</v>
      </c>
      <c r="N75" s="94">
        <f t="shared" si="18"/>
        <v>0</v>
      </c>
      <c r="O75" s="95"/>
      <c r="Q75" s="374"/>
    </row>
    <row r="76" spans="1:19">
      <c r="A76" s="140">
        <v>8987</v>
      </c>
      <c r="B76" s="140" t="s">
        <v>63</v>
      </c>
      <c r="C76" s="140" t="s">
        <v>63</v>
      </c>
      <c r="D76" s="143" t="s">
        <v>5</v>
      </c>
      <c r="E76" s="144">
        <v>43178.767800925925</v>
      </c>
      <c r="F76" s="89">
        <f t="shared" si="11"/>
        <v>43178.767800925925</v>
      </c>
      <c r="G76" s="90" t="str">
        <f t="shared" si="12"/>
        <v>18:25</v>
      </c>
      <c r="H76" s="91" t="str">
        <f t="shared" si="13"/>
        <v>-</v>
      </c>
      <c r="I76" s="92" t="str">
        <f t="shared" si="14"/>
        <v>-</v>
      </c>
      <c r="J76" s="92" t="str">
        <f t="shared" si="15"/>
        <v>-</v>
      </c>
      <c r="K76" s="93">
        <f t="shared" si="16"/>
        <v>0</v>
      </c>
      <c r="L76" s="93"/>
      <c r="M76" s="94">
        <f t="shared" si="17"/>
        <v>0</v>
      </c>
      <c r="N76" s="94">
        <f t="shared" si="18"/>
        <v>0</v>
      </c>
      <c r="O76" s="95"/>
      <c r="Q76" s="374"/>
    </row>
    <row r="77" spans="1:19">
      <c r="A77" s="140">
        <v>8998</v>
      </c>
      <c r="B77" s="140" t="s">
        <v>63</v>
      </c>
      <c r="C77" s="140" t="s">
        <v>63</v>
      </c>
      <c r="D77" s="143" t="s">
        <v>7</v>
      </c>
      <c r="E77" s="144">
        <v>43178.794733796298</v>
      </c>
      <c r="F77" s="89">
        <f t="shared" si="11"/>
        <v>43178.794733796298</v>
      </c>
      <c r="G77" s="90" t="str">
        <f t="shared" si="12"/>
        <v>19:4</v>
      </c>
      <c r="H77" s="91" t="str">
        <f t="shared" si="13"/>
        <v>-</v>
      </c>
      <c r="I77" s="92" t="str">
        <f t="shared" si="14"/>
        <v>-</v>
      </c>
      <c r="J77" s="92" t="str">
        <f t="shared" si="15"/>
        <v>-</v>
      </c>
      <c r="K77" s="93">
        <f t="shared" si="16"/>
        <v>2.7833333333333368</v>
      </c>
      <c r="L77" s="93"/>
      <c r="M77" s="94">
        <f t="shared" si="17"/>
        <v>2</v>
      </c>
      <c r="N77" s="94">
        <f t="shared" si="18"/>
        <v>0.78333333333333677</v>
      </c>
      <c r="O77" s="95"/>
      <c r="Q77" s="374"/>
    </row>
    <row r="78" spans="1:19">
      <c r="A78" s="140">
        <v>9006</v>
      </c>
      <c r="B78" s="140" t="s">
        <v>63</v>
      </c>
      <c r="C78" s="140" t="s">
        <v>63</v>
      </c>
      <c r="D78" s="143" t="s">
        <v>8</v>
      </c>
      <c r="E78" s="144">
        <v>43178.910752314812</v>
      </c>
      <c r="F78" s="89">
        <f t="shared" si="11"/>
        <v>43178.910752314812</v>
      </c>
      <c r="G78" s="90" t="str">
        <f t="shared" si="12"/>
        <v>21:51</v>
      </c>
      <c r="H78" s="91" t="str">
        <f t="shared" si="13"/>
        <v>-</v>
      </c>
      <c r="I78" s="92" t="str">
        <f t="shared" si="14"/>
        <v>-</v>
      </c>
      <c r="J78" s="92" t="str">
        <f t="shared" si="15"/>
        <v>-</v>
      </c>
      <c r="K78" s="93">
        <f t="shared" si="16"/>
        <v>0</v>
      </c>
      <c r="L78" s="93"/>
      <c r="M78" s="94">
        <f t="shared" si="17"/>
        <v>0</v>
      </c>
      <c r="N78" s="94">
        <f t="shared" si="18"/>
        <v>0</v>
      </c>
      <c r="O78" s="95"/>
      <c r="Q78" s="374"/>
    </row>
    <row r="79" spans="1:19">
      <c r="A79" s="140">
        <v>9014</v>
      </c>
      <c r="B79" s="140" t="s">
        <v>79</v>
      </c>
      <c r="C79" s="140" t="s">
        <v>63</v>
      </c>
      <c r="D79" s="143" t="s">
        <v>6</v>
      </c>
      <c r="E79" s="144">
        <v>43179.368750000001</v>
      </c>
      <c r="F79" s="89">
        <f t="shared" si="11"/>
        <v>43179.368750000001</v>
      </c>
      <c r="G79" s="90" t="str">
        <f t="shared" si="12"/>
        <v>8:51</v>
      </c>
      <c r="H79" s="91">
        <f t="shared" si="13"/>
        <v>9.6333333333333346</v>
      </c>
      <c r="I79" s="92">
        <f t="shared" si="14"/>
        <v>8</v>
      </c>
      <c r="J79" s="92" t="str">
        <f t="shared" si="15"/>
        <v>-</v>
      </c>
      <c r="K79" s="93">
        <f t="shared" si="16"/>
        <v>0</v>
      </c>
      <c r="L79" s="93"/>
      <c r="M79" s="94">
        <f t="shared" si="17"/>
        <v>0</v>
      </c>
      <c r="N79" s="94">
        <f t="shared" si="18"/>
        <v>0</v>
      </c>
      <c r="O79" s="95"/>
      <c r="Q79" s="374"/>
    </row>
    <row r="80" spans="1:19">
      <c r="A80" s="140">
        <v>9029</v>
      </c>
      <c r="B80" s="140" t="s">
        <v>63</v>
      </c>
      <c r="C80" s="140" t="s">
        <v>63</v>
      </c>
      <c r="D80" s="143" t="s">
        <v>5</v>
      </c>
      <c r="E80" s="144">
        <v>43179.770729166667</v>
      </c>
      <c r="F80" s="89">
        <f t="shared" si="11"/>
        <v>43179.770729166667</v>
      </c>
      <c r="G80" s="90" t="str">
        <f t="shared" si="12"/>
        <v>18:29</v>
      </c>
      <c r="H80" s="91" t="str">
        <f t="shared" si="13"/>
        <v>-</v>
      </c>
      <c r="I80" s="92" t="str">
        <f t="shared" si="14"/>
        <v>-</v>
      </c>
      <c r="J80" s="92" t="str">
        <f t="shared" si="15"/>
        <v>-</v>
      </c>
      <c r="K80" s="93">
        <f t="shared" si="16"/>
        <v>0</v>
      </c>
      <c r="L80" s="93"/>
      <c r="M80" s="94">
        <f t="shared" si="17"/>
        <v>0</v>
      </c>
      <c r="N80" s="94">
        <f t="shared" si="18"/>
        <v>0</v>
      </c>
      <c r="O80" s="95"/>
    </row>
    <row r="81" spans="1:19">
      <c r="A81" s="140">
        <v>9035</v>
      </c>
      <c r="B81" s="140" t="s">
        <v>63</v>
      </c>
      <c r="C81" s="140" t="s">
        <v>63</v>
      </c>
      <c r="D81" s="143" t="s">
        <v>7</v>
      </c>
      <c r="E81" s="144">
        <v>43179.787592592591</v>
      </c>
      <c r="F81" s="89">
        <f t="shared" si="11"/>
        <v>43179.787592592591</v>
      </c>
      <c r="G81" s="90" t="str">
        <f t="shared" si="12"/>
        <v>18:54</v>
      </c>
      <c r="H81" s="91" t="str">
        <f t="shared" si="13"/>
        <v>-</v>
      </c>
      <c r="I81" s="92" t="str">
        <f t="shared" si="14"/>
        <v>-</v>
      </c>
      <c r="J81" s="92" t="str">
        <f t="shared" si="15"/>
        <v>-</v>
      </c>
      <c r="K81" s="93">
        <f t="shared" si="16"/>
        <v>2.5666666666666655</v>
      </c>
      <c r="L81" s="93"/>
      <c r="M81" s="94">
        <f t="shared" si="17"/>
        <v>2</v>
      </c>
      <c r="N81" s="94">
        <f t="shared" si="18"/>
        <v>0.56666666666666554</v>
      </c>
      <c r="O81" s="95"/>
    </row>
    <row r="82" spans="1:19">
      <c r="A82" s="140">
        <v>9045</v>
      </c>
      <c r="B82" s="140" t="s">
        <v>63</v>
      </c>
      <c r="C82" s="140" t="s">
        <v>63</v>
      </c>
      <c r="D82" s="143" t="s">
        <v>8</v>
      </c>
      <c r="E82" s="144">
        <v>43179.89508101852</v>
      </c>
      <c r="F82" s="89">
        <f t="shared" si="11"/>
        <v>43179.89508101852</v>
      </c>
      <c r="G82" s="90" t="str">
        <f t="shared" si="12"/>
        <v>21:28</v>
      </c>
      <c r="H82" s="91" t="str">
        <f t="shared" si="13"/>
        <v>-</v>
      </c>
      <c r="I82" s="92" t="str">
        <f t="shared" si="14"/>
        <v>-</v>
      </c>
      <c r="J82" s="92" t="str">
        <f t="shared" si="15"/>
        <v>-</v>
      </c>
      <c r="K82" s="93">
        <f t="shared" si="16"/>
        <v>0</v>
      </c>
      <c r="L82" s="93"/>
      <c r="M82" s="94">
        <f t="shared" si="17"/>
        <v>0</v>
      </c>
      <c r="N82" s="94">
        <f t="shared" si="18"/>
        <v>0</v>
      </c>
      <c r="O82" s="95"/>
    </row>
    <row r="83" spans="1:19" s="16" customFormat="1">
      <c r="A83" s="140">
        <v>9051</v>
      </c>
      <c r="B83" s="140" t="s">
        <v>63</v>
      </c>
      <c r="C83" s="140" t="s">
        <v>63</v>
      </c>
      <c r="D83" s="143" t="s">
        <v>6</v>
      </c>
      <c r="E83" s="144">
        <v>43180.368668981479</v>
      </c>
      <c r="F83" s="89">
        <f t="shared" si="11"/>
        <v>43180.368668981479</v>
      </c>
      <c r="G83" s="90" t="str">
        <f t="shared" si="12"/>
        <v>8:50</v>
      </c>
      <c r="H83" s="91">
        <f t="shared" si="13"/>
        <v>9.6666666666666679</v>
      </c>
      <c r="I83" s="92">
        <f t="shared" si="14"/>
        <v>8</v>
      </c>
      <c r="J83" s="92" t="str">
        <f t="shared" si="15"/>
        <v>-</v>
      </c>
      <c r="K83" s="93">
        <f t="shared" si="16"/>
        <v>0</v>
      </c>
      <c r="L83" s="93"/>
      <c r="M83" s="94">
        <f t="shared" si="17"/>
        <v>0</v>
      </c>
      <c r="N83" s="94">
        <f t="shared" si="18"/>
        <v>0</v>
      </c>
      <c r="O83" s="95"/>
      <c r="P83" s="137"/>
      <c r="Q83" s="137"/>
      <c r="R83" s="137"/>
      <c r="S83" s="137"/>
    </row>
    <row r="84" spans="1:19" s="16" customFormat="1">
      <c r="A84" s="140">
        <v>9061</v>
      </c>
      <c r="B84" s="140" t="s">
        <v>63</v>
      </c>
      <c r="C84" s="140" t="s">
        <v>63</v>
      </c>
      <c r="D84" s="143" t="s">
        <v>5</v>
      </c>
      <c r="E84" s="144">
        <v>43180.770833333336</v>
      </c>
      <c r="F84" s="89">
        <f t="shared" si="11"/>
        <v>43180.770833333336</v>
      </c>
      <c r="G84" s="90" t="str">
        <f t="shared" si="12"/>
        <v>18:30</v>
      </c>
      <c r="H84" s="91" t="str">
        <f t="shared" si="13"/>
        <v>-</v>
      </c>
      <c r="I84" s="92" t="str">
        <f t="shared" si="14"/>
        <v>-</v>
      </c>
      <c r="J84" s="92" t="str">
        <f t="shared" si="15"/>
        <v>-</v>
      </c>
      <c r="K84" s="93">
        <f t="shared" si="16"/>
        <v>0</v>
      </c>
      <c r="L84" s="93"/>
      <c r="M84" s="94">
        <f t="shared" si="17"/>
        <v>0</v>
      </c>
      <c r="N84" s="94">
        <f t="shared" si="18"/>
        <v>0</v>
      </c>
      <c r="O84" s="95"/>
      <c r="P84" s="137"/>
      <c r="Q84" s="137"/>
      <c r="R84" s="137"/>
      <c r="S84" s="137"/>
    </row>
    <row r="85" spans="1:19" s="16" customFormat="1">
      <c r="A85" s="140">
        <v>9063</v>
      </c>
      <c r="B85" s="140" t="s">
        <v>63</v>
      </c>
      <c r="C85" s="140" t="s">
        <v>63</v>
      </c>
      <c r="D85" s="143" t="s">
        <v>7</v>
      </c>
      <c r="E85" s="144">
        <v>43180.770914351851</v>
      </c>
      <c r="F85" s="89">
        <f t="shared" si="11"/>
        <v>43180.770914351851</v>
      </c>
      <c r="G85" s="90" t="str">
        <f t="shared" si="12"/>
        <v>18:30</v>
      </c>
      <c r="H85" s="91" t="str">
        <f t="shared" si="13"/>
        <v>-</v>
      </c>
      <c r="I85" s="92" t="str">
        <f t="shared" si="14"/>
        <v>-</v>
      </c>
      <c r="J85" s="92" t="str">
        <f t="shared" si="15"/>
        <v>-</v>
      </c>
      <c r="K85" s="93">
        <f t="shared" si="16"/>
        <v>0.5333333333333341</v>
      </c>
      <c r="L85" s="93"/>
      <c r="M85" s="94">
        <v>0</v>
      </c>
      <c r="N85" s="94">
        <f>K85</f>
        <v>0.5333333333333341</v>
      </c>
      <c r="O85" s="95"/>
      <c r="P85" s="137"/>
      <c r="Q85" s="137"/>
      <c r="R85" s="137"/>
      <c r="S85" s="137"/>
    </row>
    <row r="86" spans="1:19" s="16" customFormat="1">
      <c r="A86" s="140">
        <v>9072</v>
      </c>
      <c r="B86" s="140" t="s">
        <v>79</v>
      </c>
      <c r="C86" s="140" t="s">
        <v>63</v>
      </c>
      <c r="D86" s="143" t="s">
        <v>8</v>
      </c>
      <c r="E86" s="144">
        <v>43180.793495370373</v>
      </c>
      <c r="F86" s="89">
        <f t="shared" si="11"/>
        <v>43180.793495370373</v>
      </c>
      <c r="G86" s="90" t="str">
        <f t="shared" si="12"/>
        <v>19:2</v>
      </c>
      <c r="H86" s="91" t="str">
        <f t="shared" si="13"/>
        <v>-</v>
      </c>
      <c r="I86" s="92" t="str">
        <f t="shared" si="14"/>
        <v>-</v>
      </c>
      <c r="J86" s="92" t="str">
        <f t="shared" si="15"/>
        <v>-</v>
      </c>
      <c r="K86" s="93">
        <f t="shared" si="16"/>
        <v>0</v>
      </c>
      <c r="L86" s="93"/>
      <c r="M86" s="94">
        <f t="shared" si="17"/>
        <v>0</v>
      </c>
      <c r="N86" s="94">
        <f t="shared" si="18"/>
        <v>0</v>
      </c>
      <c r="O86" s="95"/>
      <c r="P86" s="137"/>
      <c r="Q86" s="137"/>
      <c r="R86" s="137"/>
      <c r="S86" s="137"/>
    </row>
    <row r="87" spans="1:19">
      <c r="A87">
        <v>9074</v>
      </c>
      <c r="B87" t="s">
        <v>79</v>
      </c>
      <c r="C87" t="s">
        <v>63</v>
      </c>
      <c r="D87" s="143" t="s">
        <v>7</v>
      </c>
      <c r="E87" s="144">
        <v>43180.813136574077</v>
      </c>
      <c r="F87" s="89">
        <f t="shared" si="11"/>
        <v>43180.813136574077</v>
      </c>
      <c r="G87" s="90" t="str">
        <f t="shared" si="12"/>
        <v>19:30</v>
      </c>
      <c r="H87" s="91" t="str">
        <f t="shared" si="13"/>
        <v>-</v>
      </c>
      <c r="I87" s="92" t="str">
        <f t="shared" si="14"/>
        <v>-</v>
      </c>
      <c r="J87" s="92" t="str">
        <f t="shared" si="15"/>
        <v>-</v>
      </c>
      <c r="K87" s="93">
        <f t="shared" si="16"/>
        <v>2.6833333333333345</v>
      </c>
      <c r="L87" s="93"/>
      <c r="M87" s="94">
        <f t="shared" si="17"/>
        <v>2</v>
      </c>
      <c r="N87" s="94">
        <f t="shared" si="18"/>
        <v>0.68333333333333446</v>
      </c>
      <c r="O87" s="95"/>
    </row>
    <row r="88" spans="1:19">
      <c r="A88">
        <v>9081</v>
      </c>
      <c r="B88" t="s">
        <v>63</v>
      </c>
      <c r="C88" t="s">
        <v>63</v>
      </c>
      <c r="D88" s="143" t="s">
        <v>8</v>
      </c>
      <c r="E88" s="144">
        <v>43180.924537037034</v>
      </c>
      <c r="F88" s="89">
        <f t="shared" si="11"/>
        <v>43180.924537037034</v>
      </c>
      <c r="G88" s="90" t="str">
        <f t="shared" si="12"/>
        <v>22:11</v>
      </c>
      <c r="H88" s="91" t="str">
        <f t="shared" si="13"/>
        <v>-</v>
      </c>
      <c r="I88" s="92" t="str">
        <f t="shared" si="14"/>
        <v>-</v>
      </c>
      <c r="J88" s="92" t="str">
        <f t="shared" si="15"/>
        <v>-</v>
      </c>
      <c r="K88" s="93">
        <f t="shared" si="16"/>
        <v>0</v>
      </c>
      <c r="L88" s="93"/>
      <c r="M88" s="94">
        <f t="shared" si="17"/>
        <v>0</v>
      </c>
      <c r="N88" s="94">
        <f t="shared" si="18"/>
        <v>0</v>
      </c>
      <c r="O88" s="95"/>
    </row>
    <row r="89" spans="1:19">
      <c r="A89">
        <v>9090</v>
      </c>
      <c r="B89" t="s">
        <v>79</v>
      </c>
      <c r="C89" t="s">
        <v>63</v>
      </c>
      <c r="D89" s="143" t="s">
        <v>6</v>
      </c>
      <c r="E89" s="144">
        <v>43181.37327546296</v>
      </c>
      <c r="F89" s="89">
        <f t="shared" si="11"/>
        <v>43181.37327546296</v>
      </c>
      <c r="G89" s="90" t="str">
        <f t="shared" si="12"/>
        <v>8:57</v>
      </c>
      <c r="H89" s="91">
        <f t="shared" si="13"/>
        <v>9.8000000000000007</v>
      </c>
      <c r="I89" s="92">
        <f t="shared" si="14"/>
        <v>8</v>
      </c>
      <c r="J89" s="92" t="str">
        <f t="shared" si="15"/>
        <v>-</v>
      </c>
      <c r="K89" s="93">
        <f t="shared" si="16"/>
        <v>0</v>
      </c>
      <c r="L89" s="93"/>
      <c r="M89" s="94">
        <f t="shared" si="17"/>
        <v>0</v>
      </c>
      <c r="N89" s="94">
        <f t="shared" si="18"/>
        <v>0</v>
      </c>
      <c r="O89" s="95"/>
    </row>
    <row r="90" spans="1:19">
      <c r="A90">
        <v>9100</v>
      </c>
      <c r="B90" t="s">
        <v>63</v>
      </c>
      <c r="C90" t="s">
        <v>63</v>
      </c>
      <c r="D90" s="143" t="s">
        <v>5</v>
      </c>
      <c r="E90" s="144">
        <v>43181.781655092593</v>
      </c>
      <c r="F90" s="89">
        <f t="shared" si="11"/>
        <v>43181.781655092593</v>
      </c>
      <c r="G90" s="90" t="str">
        <f t="shared" si="12"/>
        <v>18:45</v>
      </c>
      <c r="H90" s="91" t="str">
        <f t="shared" si="13"/>
        <v>-</v>
      </c>
      <c r="I90" s="92" t="str">
        <f t="shared" si="14"/>
        <v>-</v>
      </c>
      <c r="J90" s="92" t="str">
        <f t="shared" si="15"/>
        <v>-</v>
      </c>
      <c r="K90" s="93">
        <f t="shared" si="16"/>
        <v>0</v>
      </c>
      <c r="L90" s="93"/>
      <c r="M90" s="94">
        <f t="shared" si="17"/>
        <v>0</v>
      </c>
      <c r="N90" s="94">
        <f t="shared" si="18"/>
        <v>0</v>
      </c>
      <c r="O90" s="95"/>
    </row>
    <row r="91" spans="1:19">
      <c r="A91">
        <v>9107</v>
      </c>
      <c r="B91" t="s">
        <v>63</v>
      </c>
      <c r="C91" t="s">
        <v>63</v>
      </c>
      <c r="D91" s="143" t="s">
        <v>7</v>
      </c>
      <c r="E91" s="144">
        <v>43181.80777777778</v>
      </c>
      <c r="F91" s="89">
        <f t="shared" si="11"/>
        <v>43181.80777777778</v>
      </c>
      <c r="G91" s="90" t="str">
        <f t="shared" si="12"/>
        <v>19:23</v>
      </c>
      <c r="H91" s="91" t="str">
        <f t="shared" si="13"/>
        <v>-</v>
      </c>
      <c r="I91" s="92" t="str">
        <f t="shared" si="14"/>
        <v>-</v>
      </c>
      <c r="J91" s="92" t="str">
        <f t="shared" si="15"/>
        <v>-</v>
      </c>
      <c r="K91" s="93">
        <f t="shared" si="16"/>
        <v>3.6166666666666671</v>
      </c>
      <c r="L91" s="93"/>
      <c r="M91" s="94">
        <f t="shared" si="17"/>
        <v>2</v>
      </c>
      <c r="N91" s="94">
        <f t="shared" si="18"/>
        <v>1.6166666666666671</v>
      </c>
      <c r="O91" s="95"/>
    </row>
    <row r="92" spans="1:19">
      <c r="A92">
        <v>9116</v>
      </c>
      <c r="B92" t="s">
        <v>63</v>
      </c>
      <c r="C92" t="s">
        <v>63</v>
      </c>
      <c r="D92" s="143" t="s">
        <v>8</v>
      </c>
      <c r="E92" s="144">
        <v>43181.958391203705</v>
      </c>
      <c r="F92" s="89">
        <f t="shared" si="11"/>
        <v>43181.958391203705</v>
      </c>
      <c r="G92" s="90" t="str">
        <f t="shared" si="12"/>
        <v>23:0</v>
      </c>
      <c r="H92" s="91" t="str">
        <f t="shared" si="13"/>
        <v>-</v>
      </c>
      <c r="I92" s="92" t="str">
        <f t="shared" si="14"/>
        <v>-</v>
      </c>
      <c r="J92" s="92" t="str">
        <f t="shared" si="15"/>
        <v>-</v>
      </c>
      <c r="K92" s="93">
        <f t="shared" si="16"/>
        <v>0</v>
      </c>
      <c r="L92" s="93"/>
      <c r="M92" s="94">
        <f t="shared" si="17"/>
        <v>0</v>
      </c>
      <c r="N92" s="94">
        <f t="shared" si="18"/>
        <v>0</v>
      </c>
      <c r="O92" s="95"/>
    </row>
    <row r="93" spans="1:19" s="418" customFormat="1">
      <c r="A93" s="421">
        <v>9126</v>
      </c>
      <c r="B93" s="421" t="s">
        <v>63</v>
      </c>
      <c r="C93" s="421" t="s">
        <v>63</v>
      </c>
      <c r="D93" s="409" t="s">
        <v>6</v>
      </c>
      <c r="E93" s="410">
        <v>43182.382407407407</v>
      </c>
      <c r="F93" s="411">
        <f t="shared" si="11"/>
        <v>43182.382407407407</v>
      </c>
      <c r="G93" s="412" t="str">
        <f t="shared" si="12"/>
        <v>9:10</v>
      </c>
      <c r="H93" s="413">
        <f t="shared" si="13"/>
        <v>9.4000000000000021</v>
      </c>
      <c r="I93" s="414">
        <f>8-J93</f>
        <v>7.5</v>
      </c>
      <c r="J93" s="414">
        <v>0.5</v>
      </c>
      <c r="K93" s="415">
        <f t="shared" si="16"/>
        <v>0</v>
      </c>
      <c r="L93" s="415"/>
      <c r="M93" s="416">
        <f t="shared" si="17"/>
        <v>0</v>
      </c>
      <c r="N93" s="416">
        <f t="shared" si="18"/>
        <v>0</v>
      </c>
      <c r="O93" s="417" t="s">
        <v>116</v>
      </c>
    </row>
    <row r="94" spans="1:19">
      <c r="A94">
        <v>9135</v>
      </c>
      <c r="B94" t="s">
        <v>79</v>
      </c>
      <c r="C94" t="s">
        <v>63</v>
      </c>
      <c r="D94" s="143" t="s">
        <v>5</v>
      </c>
      <c r="E94" s="144">
        <v>43182.774178240739</v>
      </c>
      <c r="F94" s="89">
        <f t="shared" si="11"/>
        <v>43182.774178240739</v>
      </c>
      <c r="G94" s="90" t="str">
        <f t="shared" si="12"/>
        <v>18:34</v>
      </c>
      <c r="H94" s="91" t="str">
        <f t="shared" si="13"/>
        <v>-</v>
      </c>
      <c r="I94" s="92" t="str">
        <f t="shared" si="14"/>
        <v>-</v>
      </c>
      <c r="J94" s="92" t="str">
        <f t="shared" si="15"/>
        <v>-</v>
      </c>
      <c r="K94" s="93">
        <f t="shared" si="16"/>
        <v>0</v>
      </c>
      <c r="L94" s="93"/>
      <c r="M94" s="94">
        <f t="shared" si="17"/>
        <v>0</v>
      </c>
      <c r="N94" s="94">
        <f t="shared" si="18"/>
        <v>0</v>
      </c>
      <c r="O94" s="95"/>
    </row>
    <row r="95" spans="1:19">
      <c r="A95">
        <v>9144</v>
      </c>
      <c r="B95" t="s">
        <v>63</v>
      </c>
      <c r="C95" t="s">
        <v>63</v>
      </c>
      <c r="D95" s="143" t="s">
        <v>6</v>
      </c>
      <c r="E95" s="144">
        <v>43185.374988425923</v>
      </c>
      <c r="F95" s="89">
        <f t="shared" si="11"/>
        <v>43185.374988425923</v>
      </c>
      <c r="G95" s="90" t="str">
        <f t="shared" si="12"/>
        <v>8:59</v>
      </c>
      <c r="H95" s="91">
        <f t="shared" si="13"/>
        <v>9.5166666666666693</v>
      </c>
      <c r="I95" s="92">
        <f t="shared" si="14"/>
        <v>8</v>
      </c>
      <c r="J95" s="92" t="str">
        <f t="shared" si="15"/>
        <v>-</v>
      </c>
      <c r="K95" s="93">
        <f t="shared" si="16"/>
        <v>0</v>
      </c>
      <c r="L95" s="93"/>
      <c r="M95" s="94">
        <f t="shared" si="17"/>
        <v>0</v>
      </c>
      <c r="N95" s="94">
        <f t="shared" si="18"/>
        <v>0</v>
      </c>
      <c r="O95" s="95"/>
    </row>
    <row r="96" spans="1:19">
      <c r="A96">
        <v>9152</v>
      </c>
      <c r="B96" t="s">
        <v>63</v>
      </c>
      <c r="C96" t="s">
        <v>63</v>
      </c>
      <c r="D96" s="143" t="s">
        <v>5</v>
      </c>
      <c r="E96" s="144">
        <v>43185.771192129629</v>
      </c>
      <c r="F96" s="89">
        <f t="shared" si="11"/>
        <v>43185.771192129629</v>
      </c>
      <c r="G96" s="90" t="str">
        <f t="shared" si="12"/>
        <v>18:30</v>
      </c>
      <c r="H96" s="91" t="str">
        <f t="shared" si="13"/>
        <v>-</v>
      </c>
      <c r="I96" s="92" t="str">
        <f t="shared" si="14"/>
        <v>-</v>
      </c>
      <c r="J96" s="92" t="str">
        <f t="shared" si="15"/>
        <v>-</v>
      </c>
      <c r="K96" s="93">
        <f t="shared" si="16"/>
        <v>0</v>
      </c>
      <c r="L96" s="93"/>
      <c r="M96" s="94">
        <f t="shared" si="17"/>
        <v>0</v>
      </c>
      <c r="N96" s="94">
        <f t="shared" si="18"/>
        <v>0</v>
      </c>
      <c r="O96" s="95"/>
    </row>
    <row r="97" spans="1:19">
      <c r="A97">
        <v>9153</v>
      </c>
      <c r="B97" t="s">
        <v>63</v>
      </c>
      <c r="C97" t="s">
        <v>63</v>
      </c>
      <c r="D97" s="143" t="s">
        <v>7</v>
      </c>
      <c r="E97" s="144">
        <v>43185.771215277775</v>
      </c>
      <c r="F97" s="89">
        <f t="shared" si="11"/>
        <v>43185.771215277775</v>
      </c>
      <c r="G97" s="90" t="str">
        <f t="shared" si="12"/>
        <v>18:30</v>
      </c>
      <c r="H97" s="91" t="str">
        <f t="shared" si="13"/>
        <v>-</v>
      </c>
      <c r="I97" s="92" t="str">
        <f t="shared" si="14"/>
        <v>-</v>
      </c>
      <c r="J97" s="92" t="str">
        <f t="shared" si="15"/>
        <v>-</v>
      </c>
      <c r="K97" s="93">
        <f t="shared" si="16"/>
        <v>3.0833333333333304</v>
      </c>
      <c r="L97" s="93"/>
      <c r="M97" s="94">
        <f t="shared" si="17"/>
        <v>2</v>
      </c>
      <c r="N97" s="94">
        <f t="shared" si="18"/>
        <v>1.0833333333333304</v>
      </c>
      <c r="O97" s="95"/>
    </row>
    <row r="98" spans="1:19" s="63" customFormat="1">
      <c r="A98" s="63">
        <v>9189</v>
      </c>
      <c r="B98" s="63" t="s">
        <v>63</v>
      </c>
      <c r="C98" s="63" t="s">
        <v>63</v>
      </c>
      <c r="D98" s="181" t="s">
        <v>8</v>
      </c>
      <c r="E98" s="180">
        <v>43185.899918981479</v>
      </c>
      <c r="F98" s="135">
        <f t="shared" si="11"/>
        <v>43185.899918981479</v>
      </c>
      <c r="G98" s="67" t="str">
        <f t="shared" si="12"/>
        <v>21:35</v>
      </c>
      <c r="H98" s="64" t="str">
        <f t="shared" si="13"/>
        <v>-</v>
      </c>
      <c r="I98" s="66" t="str">
        <f t="shared" si="14"/>
        <v>-</v>
      </c>
      <c r="J98" s="66" t="str">
        <f t="shared" si="15"/>
        <v>-</v>
      </c>
      <c r="K98" s="68">
        <f t="shared" si="16"/>
        <v>0</v>
      </c>
      <c r="L98" s="68"/>
      <c r="M98" s="65">
        <f t="shared" si="17"/>
        <v>0</v>
      </c>
      <c r="N98" s="65">
        <f t="shared" si="18"/>
        <v>0</v>
      </c>
      <c r="O98" s="147" t="s">
        <v>115</v>
      </c>
      <c r="P98" s="18"/>
      <c r="Q98" s="18"/>
      <c r="R98" s="18"/>
      <c r="S98" s="18"/>
    </row>
    <row r="99" spans="1:19">
      <c r="A99">
        <v>9163</v>
      </c>
      <c r="B99" t="s">
        <v>79</v>
      </c>
      <c r="C99" t="s">
        <v>63</v>
      </c>
      <c r="D99" s="143" t="s">
        <v>6</v>
      </c>
      <c r="E99" s="144">
        <v>43186.3596412037</v>
      </c>
      <c r="F99" s="89">
        <f t="shared" si="11"/>
        <v>43186.3596412037</v>
      </c>
      <c r="G99" s="90" t="str">
        <f t="shared" si="12"/>
        <v>8:37</v>
      </c>
      <c r="H99" s="91">
        <f t="shared" si="13"/>
        <v>9.8833333333333346</v>
      </c>
      <c r="I99" s="92">
        <f t="shared" si="14"/>
        <v>8</v>
      </c>
      <c r="J99" s="92" t="str">
        <f t="shared" si="15"/>
        <v>-</v>
      </c>
      <c r="K99" s="93">
        <f t="shared" si="16"/>
        <v>0</v>
      </c>
      <c r="L99" s="93"/>
      <c r="M99" s="94">
        <f t="shared" si="17"/>
        <v>0</v>
      </c>
      <c r="N99" s="94">
        <f t="shared" si="18"/>
        <v>0</v>
      </c>
      <c r="O99" s="95"/>
    </row>
    <row r="100" spans="1:19">
      <c r="A100">
        <v>9173</v>
      </c>
      <c r="B100" t="s">
        <v>63</v>
      </c>
      <c r="C100" t="s">
        <v>63</v>
      </c>
      <c r="D100" s="143" t="s">
        <v>5</v>
      </c>
      <c r="E100" s="144">
        <v>43186.770949074074</v>
      </c>
      <c r="F100" s="89">
        <f t="shared" si="11"/>
        <v>43186.770949074074</v>
      </c>
      <c r="G100" s="90" t="str">
        <f t="shared" si="12"/>
        <v>18:30</v>
      </c>
      <c r="H100" s="91" t="str">
        <f t="shared" si="13"/>
        <v>-</v>
      </c>
      <c r="I100" s="92" t="str">
        <f t="shared" si="14"/>
        <v>-</v>
      </c>
      <c r="J100" s="92" t="str">
        <f t="shared" si="15"/>
        <v>-</v>
      </c>
      <c r="K100" s="93">
        <f t="shared" si="16"/>
        <v>0</v>
      </c>
      <c r="L100" s="93"/>
      <c r="M100" s="94">
        <f t="shared" si="17"/>
        <v>0</v>
      </c>
      <c r="N100" s="94">
        <f t="shared" si="18"/>
        <v>0</v>
      </c>
      <c r="O100" s="95"/>
    </row>
    <row r="101" spans="1:19" s="63" customFormat="1">
      <c r="A101" s="63">
        <v>9208</v>
      </c>
      <c r="B101" s="63" t="s">
        <v>63</v>
      </c>
      <c r="C101" s="63" t="s">
        <v>63</v>
      </c>
      <c r="D101" s="181" t="s">
        <v>7</v>
      </c>
      <c r="E101" s="180">
        <v>43186.77144675926</v>
      </c>
      <c r="F101" s="135">
        <f t="shared" si="11"/>
        <v>43186.77144675926</v>
      </c>
      <c r="G101" s="67" t="str">
        <f t="shared" si="12"/>
        <v>18:30</v>
      </c>
      <c r="H101" s="64" t="str">
        <f t="shared" si="13"/>
        <v>-</v>
      </c>
      <c r="I101" s="66" t="str">
        <f t="shared" si="14"/>
        <v>-</v>
      </c>
      <c r="J101" s="66" t="str">
        <f t="shared" si="15"/>
        <v>-</v>
      </c>
      <c r="K101" s="68">
        <f t="shared" si="16"/>
        <v>4.1833333333333318</v>
      </c>
      <c r="L101" s="68"/>
      <c r="M101" s="65">
        <f t="shared" si="17"/>
        <v>2</v>
      </c>
      <c r="N101" s="65">
        <f t="shared" si="18"/>
        <v>2.1833333333333318</v>
      </c>
      <c r="O101" s="147" t="s">
        <v>115</v>
      </c>
      <c r="P101" s="18"/>
      <c r="Q101" s="18"/>
      <c r="R101" s="18"/>
      <c r="S101" s="18"/>
    </row>
    <row r="102" spans="1:19">
      <c r="A102">
        <v>9189</v>
      </c>
      <c r="B102" t="s">
        <v>63</v>
      </c>
      <c r="C102" t="s">
        <v>63</v>
      </c>
      <c r="D102" s="143" t="s">
        <v>8</v>
      </c>
      <c r="E102" s="144">
        <v>43186.945752314816</v>
      </c>
      <c r="F102" s="89">
        <f t="shared" si="11"/>
        <v>43186.945752314816</v>
      </c>
      <c r="G102" s="90" t="str">
        <f t="shared" si="12"/>
        <v>22:41</v>
      </c>
      <c r="H102" s="91" t="str">
        <f t="shared" si="13"/>
        <v>-</v>
      </c>
      <c r="I102" s="92" t="str">
        <f t="shared" si="14"/>
        <v>-</v>
      </c>
      <c r="J102" s="92" t="str">
        <f t="shared" si="15"/>
        <v>-</v>
      </c>
      <c r="K102" s="93">
        <f t="shared" si="16"/>
        <v>0</v>
      </c>
      <c r="L102" s="93"/>
      <c r="M102" s="94">
        <f t="shared" si="17"/>
        <v>0</v>
      </c>
      <c r="N102" s="94">
        <f t="shared" si="18"/>
        <v>0</v>
      </c>
      <c r="O102" s="95"/>
    </row>
    <row r="103" spans="1:19">
      <c r="A103">
        <v>9197</v>
      </c>
      <c r="B103" t="s">
        <v>63</v>
      </c>
      <c r="C103" t="s">
        <v>63</v>
      </c>
      <c r="D103" s="143" t="s">
        <v>6</v>
      </c>
      <c r="E103" s="144">
        <v>43187.370706018519</v>
      </c>
      <c r="F103" s="89">
        <f t="shared" si="11"/>
        <v>43187.370706018519</v>
      </c>
      <c r="G103" s="90" t="str">
        <f t="shared" si="12"/>
        <v>8:53</v>
      </c>
      <c r="H103" s="91">
        <f t="shared" si="13"/>
        <v>9.6166666666666689</v>
      </c>
      <c r="I103" s="92">
        <f t="shared" si="14"/>
        <v>8</v>
      </c>
      <c r="J103" s="92" t="str">
        <f t="shared" si="15"/>
        <v>-</v>
      </c>
      <c r="K103" s="93">
        <f t="shared" si="16"/>
        <v>0</v>
      </c>
      <c r="L103" s="93"/>
      <c r="M103" s="94">
        <f t="shared" si="17"/>
        <v>0</v>
      </c>
      <c r="N103" s="94">
        <f t="shared" si="18"/>
        <v>0</v>
      </c>
      <c r="O103" s="95"/>
    </row>
    <row r="104" spans="1:19">
      <c r="A104">
        <v>9207</v>
      </c>
      <c r="B104" t="s">
        <v>63</v>
      </c>
      <c r="C104" t="s">
        <v>63</v>
      </c>
      <c r="D104" s="143" t="s">
        <v>5</v>
      </c>
      <c r="E104" s="144">
        <v>43187.771412037036</v>
      </c>
      <c r="F104" s="89">
        <f t="shared" si="11"/>
        <v>43187.771412037036</v>
      </c>
      <c r="G104" s="90" t="str">
        <f t="shared" si="12"/>
        <v>18:30</v>
      </c>
      <c r="H104" s="91" t="str">
        <f t="shared" si="13"/>
        <v>-</v>
      </c>
      <c r="I104" s="92" t="str">
        <f t="shared" si="14"/>
        <v>-</v>
      </c>
      <c r="J104" s="92" t="str">
        <f t="shared" si="15"/>
        <v>-</v>
      </c>
      <c r="K104" s="93">
        <f t="shared" si="16"/>
        <v>0</v>
      </c>
      <c r="L104" s="93"/>
      <c r="M104" s="94">
        <f t="shared" si="17"/>
        <v>0</v>
      </c>
      <c r="N104" s="94">
        <f t="shared" si="18"/>
        <v>0</v>
      </c>
      <c r="O104" s="95"/>
    </row>
    <row r="105" spans="1:19">
      <c r="A105">
        <v>9208</v>
      </c>
      <c r="B105" t="s">
        <v>63</v>
      </c>
      <c r="C105" t="s">
        <v>63</v>
      </c>
      <c r="D105" s="143" t="s">
        <v>7</v>
      </c>
      <c r="E105" s="144">
        <v>43187.77144675926</v>
      </c>
      <c r="F105" s="89">
        <f t="shared" si="11"/>
        <v>43187.77144675926</v>
      </c>
      <c r="G105" s="90" t="str">
        <f t="shared" si="12"/>
        <v>18:30</v>
      </c>
      <c r="H105" s="91" t="str">
        <f t="shared" si="13"/>
        <v>-</v>
      </c>
      <c r="I105" s="92" t="str">
        <f t="shared" si="14"/>
        <v>-</v>
      </c>
      <c r="J105" s="92" t="str">
        <f t="shared" si="15"/>
        <v>-</v>
      </c>
      <c r="K105" s="93">
        <f t="shared" si="16"/>
        <v>4.7499999999999991</v>
      </c>
      <c r="L105" s="93"/>
      <c r="M105" s="94">
        <f t="shared" si="17"/>
        <v>2</v>
      </c>
      <c r="N105" s="94">
        <f t="shared" si="18"/>
        <v>2.7499999999999991</v>
      </c>
      <c r="O105" s="95"/>
    </row>
    <row r="106" spans="1:19">
      <c r="A106">
        <v>9226</v>
      </c>
      <c r="B106" t="s">
        <v>63</v>
      </c>
      <c r="C106" t="s">
        <v>63</v>
      </c>
      <c r="D106" s="143" t="s">
        <v>8</v>
      </c>
      <c r="E106" s="144">
        <v>43187.969224537039</v>
      </c>
      <c r="F106" s="89">
        <f t="shared" si="11"/>
        <v>43187.969224537039</v>
      </c>
      <c r="G106" s="90" t="str">
        <f t="shared" si="12"/>
        <v>23:15</v>
      </c>
      <c r="H106" s="91" t="str">
        <f t="shared" si="13"/>
        <v>-</v>
      </c>
      <c r="I106" s="92" t="str">
        <f t="shared" si="14"/>
        <v>-</v>
      </c>
      <c r="J106" s="92" t="str">
        <f t="shared" si="15"/>
        <v>-</v>
      </c>
      <c r="K106" s="93">
        <f t="shared" si="16"/>
        <v>0</v>
      </c>
      <c r="L106" s="93"/>
      <c r="M106" s="94">
        <f t="shared" si="17"/>
        <v>0</v>
      </c>
      <c r="N106" s="94">
        <f t="shared" si="18"/>
        <v>0</v>
      </c>
      <c r="O106" s="95"/>
    </row>
    <row r="107" spans="1:19">
      <c r="A107">
        <v>9235</v>
      </c>
      <c r="B107" t="s">
        <v>63</v>
      </c>
      <c r="C107" t="s">
        <v>63</v>
      </c>
      <c r="D107" s="143" t="s">
        <v>6</v>
      </c>
      <c r="E107" s="144">
        <v>43188.372858796298</v>
      </c>
      <c r="F107" s="89">
        <f t="shared" si="11"/>
        <v>43188.372858796298</v>
      </c>
      <c r="G107" s="90" t="str">
        <f t="shared" si="12"/>
        <v>8:56</v>
      </c>
      <c r="H107" s="91">
        <f t="shared" si="13"/>
        <v>9.7333333333333343</v>
      </c>
      <c r="I107" s="92">
        <f t="shared" si="14"/>
        <v>8</v>
      </c>
      <c r="J107" s="92" t="str">
        <f t="shared" si="15"/>
        <v>-</v>
      </c>
      <c r="K107" s="93">
        <f t="shared" si="16"/>
        <v>0</v>
      </c>
      <c r="L107" s="93"/>
      <c r="M107" s="94">
        <f t="shared" si="17"/>
        <v>0</v>
      </c>
      <c r="N107" s="94">
        <f t="shared" si="18"/>
        <v>0</v>
      </c>
      <c r="O107" s="95"/>
    </row>
    <row r="108" spans="1:19">
      <c r="A108">
        <v>9247</v>
      </c>
      <c r="B108" t="s">
        <v>63</v>
      </c>
      <c r="C108" t="s">
        <v>63</v>
      </c>
      <c r="D108" s="143" t="s">
        <v>5</v>
      </c>
      <c r="E108" s="144">
        <v>43188.778402777774</v>
      </c>
      <c r="F108" s="89">
        <f t="shared" si="11"/>
        <v>43188.778402777774</v>
      </c>
      <c r="G108" s="90" t="str">
        <f t="shared" si="12"/>
        <v>18:40</v>
      </c>
      <c r="H108" s="91" t="str">
        <f t="shared" si="13"/>
        <v>-</v>
      </c>
      <c r="I108" s="92" t="str">
        <f t="shared" si="14"/>
        <v>-</v>
      </c>
      <c r="J108" s="92" t="str">
        <f t="shared" si="15"/>
        <v>-</v>
      </c>
      <c r="K108" s="93">
        <f t="shared" si="16"/>
        <v>0</v>
      </c>
      <c r="L108" s="93"/>
      <c r="M108" s="94">
        <f t="shared" si="17"/>
        <v>0</v>
      </c>
      <c r="N108" s="94">
        <f t="shared" si="18"/>
        <v>0</v>
      </c>
      <c r="O108" s="95"/>
    </row>
    <row r="109" spans="1:19">
      <c r="A109">
        <v>9248</v>
      </c>
      <c r="B109" t="s">
        <v>63</v>
      </c>
      <c r="C109" t="s">
        <v>63</v>
      </c>
      <c r="D109" s="143" t="s">
        <v>7</v>
      </c>
      <c r="E109" s="144">
        <v>43188.778414351851</v>
      </c>
      <c r="F109" s="89">
        <f t="shared" si="11"/>
        <v>43188.778414351851</v>
      </c>
      <c r="G109" s="90" t="str">
        <f t="shared" si="12"/>
        <v>18:40</v>
      </c>
      <c r="H109" s="91" t="str">
        <f t="shared" si="13"/>
        <v>-</v>
      </c>
      <c r="I109" s="92" t="str">
        <f t="shared" si="14"/>
        <v>-</v>
      </c>
      <c r="J109" s="92" t="str">
        <f t="shared" si="15"/>
        <v>-</v>
      </c>
      <c r="K109" s="93">
        <f t="shared" si="16"/>
        <v>1.4000000000000004</v>
      </c>
      <c r="L109" s="93"/>
      <c r="M109" s="94">
        <f t="shared" si="17"/>
        <v>1.4000000000000004</v>
      </c>
      <c r="N109" s="94">
        <f t="shared" si="18"/>
        <v>0</v>
      </c>
      <c r="O109" s="95"/>
    </row>
    <row r="110" spans="1:19">
      <c r="A110">
        <v>9255</v>
      </c>
      <c r="B110" t="s">
        <v>63</v>
      </c>
      <c r="C110" t="s">
        <v>63</v>
      </c>
      <c r="D110" s="143" t="s">
        <v>8</v>
      </c>
      <c r="E110" s="144">
        <v>43188.8362037037</v>
      </c>
      <c r="F110" s="89">
        <f t="shared" si="11"/>
        <v>43188.8362037037</v>
      </c>
      <c r="G110" s="90" t="str">
        <f t="shared" si="12"/>
        <v>20:4</v>
      </c>
      <c r="H110" s="91" t="str">
        <f t="shared" si="13"/>
        <v>-</v>
      </c>
      <c r="I110" s="92" t="str">
        <f t="shared" si="14"/>
        <v>-</v>
      </c>
      <c r="J110" s="92" t="str">
        <f t="shared" si="15"/>
        <v>-</v>
      </c>
      <c r="K110" s="93">
        <f t="shared" si="16"/>
        <v>0</v>
      </c>
      <c r="L110" s="93"/>
      <c r="M110" s="94">
        <f t="shared" si="17"/>
        <v>0</v>
      </c>
      <c r="N110" s="94">
        <f t="shared" si="18"/>
        <v>0</v>
      </c>
      <c r="O110" s="95"/>
    </row>
    <row r="111" spans="1:19">
      <c r="A111">
        <v>9266</v>
      </c>
      <c r="B111" t="s">
        <v>79</v>
      </c>
      <c r="C111" t="s">
        <v>63</v>
      </c>
      <c r="D111" s="143" t="s">
        <v>6</v>
      </c>
      <c r="E111" s="144">
        <v>43189.371331018519</v>
      </c>
      <c r="F111" s="89">
        <f t="shared" si="11"/>
        <v>43189.371331018519</v>
      </c>
      <c r="G111" s="90" t="str">
        <f t="shared" si="12"/>
        <v>8:54</v>
      </c>
      <c r="H111" s="91">
        <f t="shared" si="13"/>
        <v>9.7166666666666668</v>
      </c>
      <c r="I111" s="92">
        <f t="shared" si="14"/>
        <v>8</v>
      </c>
      <c r="J111" s="92" t="str">
        <f t="shared" si="15"/>
        <v>-</v>
      </c>
      <c r="K111" s="93">
        <f t="shared" si="16"/>
        <v>0</v>
      </c>
      <c r="L111" s="93"/>
      <c r="M111" s="94">
        <f t="shared" si="17"/>
        <v>0</v>
      </c>
      <c r="N111" s="94">
        <f t="shared" si="18"/>
        <v>0</v>
      </c>
      <c r="O111" s="95"/>
    </row>
    <row r="112" spans="1:19">
      <c r="A112">
        <v>9277</v>
      </c>
      <c r="B112" t="s">
        <v>63</v>
      </c>
      <c r="C112" t="s">
        <v>63</v>
      </c>
      <c r="D112" s="143" t="s">
        <v>5</v>
      </c>
      <c r="E112" s="144">
        <v>43189.77584490741</v>
      </c>
      <c r="F112" s="89">
        <f t="shared" si="11"/>
        <v>43189.77584490741</v>
      </c>
      <c r="G112" s="90" t="str">
        <f t="shared" si="12"/>
        <v>18:37</v>
      </c>
      <c r="H112" s="91" t="str">
        <f t="shared" si="13"/>
        <v>-</v>
      </c>
      <c r="I112" s="92" t="str">
        <f t="shared" si="14"/>
        <v>-</v>
      </c>
      <c r="J112" s="92" t="str">
        <f t="shared" si="15"/>
        <v>-</v>
      </c>
      <c r="K112" s="93">
        <f t="shared" si="16"/>
        <v>0</v>
      </c>
      <c r="L112" s="93"/>
      <c r="M112" s="94">
        <f t="shared" si="17"/>
        <v>0</v>
      </c>
      <c r="N112" s="94">
        <f t="shared" si="18"/>
        <v>0</v>
      </c>
      <c r="O112" s="95"/>
    </row>
    <row r="113" spans="1:15">
      <c r="A113">
        <v>9278</v>
      </c>
      <c r="B113" t="s">
        <v>63</v>
      </c>
      <c r="C113" t="s">
        <v>63</v>
      </c>
      <c r="D113" s="143" t="s">
        <v>7</v>
      </c>
      <c r="E113" s="144">
        <v>43189.775902777779</v>
      </c>
      <c r="F113" s="89">
        <f t="shared" si="11"/>
        <v>43189.775902777779</v>
      </c>
      <c r="G113" s="90" t="str">
        <f t="shared" si="12"/>
        <v>18:37</v>
      </c>
      <c r="H113" s="91" t="str">
        <f t="shared" si="13"/>
        <v>-</v>
      </c>
      <c r="I113" s="92" t="str">
        <f t="shared" si="14"/>
        <v>-</v>
      </c>
      <c r="J113" s="92" t="str">
        <f t="shared" si="15"/>
        <v>-</v>
      </c>
      <c r="K113" s="93">
        <f t="shared" si="16"/>
        <v>1.6999999999999993</v>
      </c>
      <c r="L113" s="93"/>
      <c r="M113" s="94">
        <f t="shared" si="17"/>
        <v>1.6999999999999993</v>
      </c>
      <c r="N113" s="94">
        <f t="shared" si="18"/>
        <v>0</v>
      </c>
      <c r="O113" s="95"/>
    </row>
    <row r="114" spans="1:15">
      <c r="A114">
        <v>9282</v>
      </c>
      <c r="B114" t="s">
        <v>63</v>
      </c>
      <c r="C114" t="s">
        <v>63</v>
      </c>
      <c r="D114" s="143" t="s">
        <v>8</v>
      </c>
      <c r="E114" s="144">
        <v>43189.846886574072</v>
      </c>
      <c r="F114" s="89">
        <f t="shared" si="11"/>
        <v>43189.846886574072</v>
      </c>
      <c r="G114" s="90" t="str">
        <f t="shared" si="12"/>
        <v>20:19</v>
      </c>
      <c r="H114" s="91" t="str">
        <f t="shared" si="13"/>
        <v>-</v>
      </c>
      <c r="I114" s="92" t="str">
        <f t="shared" si="14"/>
        <v>-</v>
      </c>
      <c r="J114" s="92" t="str">
        <f t="shared" si="15"/>
        <v>-</v>
      </c>
      <c r="K114" s="93">
        <f t="shared" si="16"/>
        <v>0</v>
      </c>
      <c r="L114" s="93"/>
      <c r="M114" s="94">
        <f t="shared" si="17"/>
        <v>0</v>
      </c>
      <c r="N114" s="94">
        <f t="shared" si="18"/>
        <v>0</v>
      </c>
      <c r="O114" s="95"/>
    </row>
    <row r="115" spans="1:15">
      <c r="A115">
        <v>9287</v>
      </c>
      <c r="B115" t="s">
        <v>79</v>
      </c>
      <c r="C115" t="s">
        <v>63</v>
      </c>
      <c r="D115" s="143" t="s">
        <v>6</v>
      </c>
      <c r="E115" s="144">
        <v>43190.366932870369</v>
      </c>
      <c r="F115" s="89">
        <f t="shared" si="11"/>
        <v>43190.366932870369</v>
      </c>
      <c r="G115" s="90" t="str">
        <f t="shared" si="12"/>
        <v>8:48</v>
      </c>
      <c r="H115" s="91">
        <f t="shared" si="13"/>
        <v>10.333333333333332</v>
      </c>
      <c r="I115" s="92">
        <f t="shared" si="14"/>
        <v>8</v>
      </c>
      <c r="J115" s="92" t="str">
        <f t="shared" si="15"/>
        <v>-</v>
      </c>
      <c r="K115" s="93">
        <f t="shared" si="16"/>
        <v>0</v>
      </c>
      <c r="L115" s="93"/>
      <c r="M115" s="94">
        <f t="shared" si="17"/>
        <v>0</v>
      </c>
      <c r="N115" s="94">
        <f t="shared" si="18"/>
        <v>0</v>
      </c>
      <c r="O115" s="95"/>
    </row>
    <row r="116" spans="1:15">
      <c r="A116">
        <v>9305</v>
      </c>
      <c r="B116" t="s">
        <v>79</v>
      </c>
      <c r="C116" t="s">
        <v>63</v>
      </c>
      <c r="D116" s="143" t="s">
        <v>5</v>
      </c>
      <c r="E116" s="144">
        <v>43190.797442129631</v>
      </c>
      <c r="F116" s="89">
        <f t="shared" si="11"/>
        <v>43190.797442129631</v>
      </c>
      <c r="G116" s="90" t="str">
        <f t="shared" si="12"/>
        <v>19:8</v>
      </c>
      <c r="H116" s="91" t="str">
        <f t="shared" si="13"/>
        <v>-</v>
      </c>
      <c r="I116" s="92" t="str">
        <f t="shared" si="14"/>
        <v>-</v>
      </c>
      <c r="J116" s="92" t="str">
        <f t="shared" si="15"/>
        <v>-</v>
      </c>
      <c r="K116" s="93">
        <f t="shared" si="16"/>
        <v>0</v>
      </c>
      <c r="L116" s="93"/>
      <c r="M116" s="94">
        <f t="shared" si="17"/>
        <v>0</v>
      </c>
      <c r="N116" s="94">
        <f t="shared" si="18"/>
        <v>0</v>
      </c>
      <c r="O116" s="95"/>
    </row>
    <row r="117" spans="1:15">
      <c r="A117">
        <v>9306</v>
      </c>
      <c r="B117" t="s">
        <v>79</v>
      </c>
      <c r="C117" t="s">
        <v>63</v>
      </c>
      <c r="D117" s="143" t="s">
        <v>7</v>
      </c>
      <c r="E117" s="144">
        <v>43190.797465277778</v>
      </c>
      <c r="F117" s="89">
        <f t="shared" si="11"/>
        <v>43190.797465277778</v>
      </c>
      <c r="G117" s="90" t="str">
        <f t="shared" si="12"/>
        <v>19:8</v>
      </c>
      <c r="H117" s="91" t="str">
        <f t="shared" si="13"/>
        <v>-</v>
      </c>
      <c r="I117" s="92" t="str">
        <f t="shared" si="14"/>
        <v>-</v>
      </c>
      <c r="J117" s="92" t="str">
        <f t="shared" si="15"/>
        <v>-</v>
      </c>
      <c r="K117" s="93">
        <f t="shared" si="16"/>
        <v>3.083333333333333</v>
      </c>
      <c r="L117" s="93"/>
      <c r="M117" s="94">
        <f t="shared" si="17"/>
        <v>2</v>
      </c>
      <c r="N117" s="94">
        <f t="shared" si="18"/>
        <v>1.083333333333333</v>
      </c>
      <c r="O117" s="95"/>
    </row>
    <row r="118" spans="1:15">
      <c r="A118">
        <v>9309</v>
      </c>
      <c r="B118" t="s">
        <v>79</v>
      </c>
      <c r="C118" t="s">
        <v>63</v>
      </c>
      <c r="D118" s="143" t="s">
        <v>8</v>
      </c>
      <c r="E118" s="144">
        <v>43190.926006944443</v>
      </c>
      <c r="F118" s="89">
        <f t="shared" si="11"/>
        <v>43190.926006944443</v>
      </c>
      <c r="G118" s="90" t="str">
        <f t="shared" si="12"/>
        <v>22:13</v>
      </c>
      <c r="H118" s="91" t="str">
        <f t="shared" si="13"/>
        <v>-</v>
      </c>
      <c r="I118" s="92" t="str">
        <f t="shared" si="14"/>
        <v>-</v>
      </c>
      <c r="J118" s="92" t="str">
        <f t="shared" si="15"/>
        <v>-</v>
      </c>
      <c r="K118" s="93">
        <f t="shared" si="16"/>
        <v>0</v>
      </c>
      <c r="L118" s="93"/>
      <c r="M118" s="94">
        <f t="shared" si="17"/>
        <v>0</v>
      </c>
      <c r="N118" s="94">
        <f t="shared" si="18"/>
        <v>0</v>
      </c>
      <c r="O118" s="95"/>
    </row>
    <row r="121" spans="1:15">
      <c r="D121" s="9" t="s">
        <v>37</v>
      </c>
    </row>
    <row r="122" spans="1:15">
      <c r="D122" s="9" t="s">
        <v>36</v>
      </c>
    </row>
    <row r="123" spans="1:15">
      <c r="D123" s="172" t="s">
        <v>64</v>
      </c>
    </row>
    <row r="124" spans="1:15">
      <c r="D124" t="s">
        <v>67</v>
      </c>
    </row>
    <row r="125" spans="1:15">
      <c r="D125" t="s">
        <v>65</v>
      </c>
    </row>
    <row r="126" spans="1:15">
      <c r="D126" t="s">
        <v>69</v>
      </c>
    </row>
    <row r="127" spans="1:15">
      <c r="D127" t="s">
        <v>70</v>
      </c>
    </row>
    <row r="128" spans="1:15">
      <c r="D128" t="s">
        <v>66</v>
      </c>
    </row>
    <row r="129" spans="4:4">
      <c r="D129" t="s">
        <v>68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81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4"/>
  <dimension ref="A1:Z72"/>
  <sheetViews>
    <sheetView topLeftCell="D1" workbookViewId="0"/>
  </sheetViews>
  <sheetFormatPr defaultColWidth="9" defaultRowHeight="16.5" outlineLevelCol="1"/>
  <cols>
    <col min="1" max="1" width="5.875" style="261" hidden="1" customWidth="1" outlineLevel="1"/>
    <col min="2" max="2" width="6.875" style="261" hidden="1" customWidth="1" outlineLevel="1"/>
    <col min="3" max="3" width="6.5" style="262" hidden="1" customWidth="1" outlineLevel="1"/>
    <col min="4" max="4" width="10.125" style="262" customWidth="1" collapsed="1"/>
    <col min="5" max="5" width="15.125" style="262" customWidth="1"/>
    <col min="6" max="6" width="6.125" style="303" customWidth="1"/>
    <col min="7" max="7" width="8.625" style="309" hidden="1" customWidth="1" outlineLevel="1"/>
    <col min="8" max="8" width="10.625" style="310" hidden="1" customWidth="1" outlineLevel="1"/>
    <col min="9" max="9" width="10.5" style="311" customWidth="1" collapsed="1"/>
    <col min="10" max="10" width="9" style="311" customWidth="1"/>
    <col min="11" max="11" width="8.375" style="307" hidden="1" customWidth="1" outlineLevel="1"/>
    <col min="12" max="12" width="8.375" style="307" customWidth="1" collapsed="1"/>
    <col min="13" max="13" width="10.5" style="307" customWidth="1"/>
    <col min="14" max="14" width="10.125" style="307" customWidth="1"/>
    <col min="15" max="15" width="10.625" style="308" customWidth="1"/>
    <col min="16" max="16" width="9" style="9"/>
    <col min="17" max="17" width="9.875" style="9" customWidth="1"/>
    <col min="18" max="18" width="2.5" style="9" bestFit="1" customWidth="1"/>
    <col min="19" max="19" width="9" style="9"/>
    <col min="20" max="20" width="3" customWidth="1"/>
    <col min="21" max="21" width="10.125" customWidth="1"/>
    <col min="22" max="23" width="8.875" customWidth="1"/>
    <col min="24" max="25" width="9" style="396"/>
    <col min="26" max="16384" width="9" style="261"/>
  </cols>
  <sheetData>
    <row r="1" spans="1:25" s="251" customFormat="1" ht="28.5" thickBot="1">
      <c r="C1" s="252"/>
      <c r="D1" s="253"/>
      <c r="E1" s="253"/>
      <c r="F1" s="254"/>
      <c r="G1" s="255"/>
      <c r="H1" s="256"/>
      <c r="I1" s="257" t="str">
        <f>B7</f>
        <v>justin</v>
      </c>
      <c r="J1" s="258" t="s">
        <v>30</v>
      </c>
      <c r="K1" s="259"/>
      <c r="L1" s="259"/>
      <c r="M1" s="259"/>
      <c r="N1" s="259"/>
      <c r="O1" s="260"/>
      <c r="P1" s="19"/>
      <c r="Q1" s="19"/>
      <c r="R1" s="19"/>
      <c r="S1" s="19"/>
      <c r="T1" s="4"/>
      <c r="U1" s="4"/>
      <c r="V1" s="4"/>
      <c r="W1" s="4"/>
      <c r="X1" s="4"/>
      <c r="Y1" s="4"/>
    </row>
    <row r="2" spans="1:25">
      <c r="D2" s="263" t="s">
        <v>75</v>
      </c>
      <c r="E2" s="264">
        <v>0</v>
      </c>
      <c r="F2" s="265" t="s">
        <v>76</v>
      </c>
      <c r="G2" s="266"/>
      <c r="H2" s="266"/>
      <c r="I2" s="267"/>
      <c r="J2" s="267" t="s">
        <v>35</v>
      </c>
      <c r="K2" s="268"/>
      <c r="L2" s="269" t="s">
        <v>21</v>
      </c>
      <c r="M2" s="270" t="s">
        <v>18</v>
      </c>
      <c r="N2" s="270" t="s">
        <v>19</v>
      </c>
      <c r="O2" s="271" t="s">
        <v>28</v>
      </c>
    </row>
    <row r="3" spans="1:25" ht="17.25" thickBot="1">
      <c r="D3" s="272" t="s">
        <v>77</v>
      </c>
      <c r="E3" s="273">
        <v>800</v>
      </c>
      <c r="F3" s="274"/>
      <c r="G3" s="275"/>
      <c r="H3" s="275"/>
      <c r="I3" s="276"/>
      <c r="J3" s="277">
        <f>D5+E5</f>
        <v>0</v>
      </c>
      <c r="K3" s="278">
        <f>SUM(K16:K43)</f>
        <v>6.9166666666666661</v>
      </c>
      <c r="L3" s="278">
        <v>0</v>
      </c>
      <c r="M3" s="278">
        <v>0</v>
      </c>
      <c r="N3" s="278">
        <v>0</v>
      </c>
      <c r="O3" s="279"/>
    </row>
    <row r="4" spans="1:25">
      <c r="D4" s="280" t="s">
        <v>46</v>
      </c>
      <c r="E4" s="281" t="s">
        <v>45</v>
      </c>
      <c r="F4" s="281" t="s">
        <v>47</v>
      </c>
      <c r="G4" s="282"/>
      <c r="H4" s="282"/>
      <c r="I4" s="283" t="s">
        <v>34</v>
      </c>
      <c r="J4" s="283" t="s">
        <v>33</v>
      </c>
      <c r="K4" s="283"/>
      <c r="L4" s="283" t="s">
        <v>22</v>
      </c>
      <c r="M4" s="283" t="s">
        <v>22</v>
      </c>
      <c r="N4" s="283" t="s">
        <v>22</v>
      </c>
      <c r="O4" s="284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5">
      <c r="D5" s="285">
        <v>0</v>
      </c>
      <c r="E5" s="286">
        <v>0</v>
      </c>
      <c r="F5" s="287">
        <v>0</v>
      </c>
      <c r="G5" s="288"/>
      <c r="H5" s="288"/>
      <c r="I5" s="289" t="s">
        <v>48</v>
      </c>
      <c r="J5" s="289" t="s">
        <v>48</v>
      </c>
      <c r="K5" s="289" t="s">
        <v>17</v>
      </c>
      <c r="L5" s="73"/>
      <c r="M5" s="73"/>
      <c r="N5" s="73"/>
      <c r="O5" s="290"/>
      <c r="Q5" s="9" t="s">
        <v>41</v>
      </c>
      <c r="S5" s="57">
        <f>(Q6)/160</f>
        <v>0</v>
      </c>
      <c r="U5" s="49"/>
      <c r="V5" s="443"/>
    </row>
    <row r="6" spans="1:25" ht="17.25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23</v>
      </c>
      <c r="I6" s="295">
        <f>SUM(I7:I100)</f>
        <v>172.5</v>
      </c>
      <c r="J6" s="295">
        <f t="shared" ref="J6:N6" si="0">SUM(J7:J100)</f>
        <v>11.5</v>
      </c>
      <c r="K6" s="295">
        <f t="shared" si="0"/>
        <v>6.9166666666666661</v>
      </c>
      <c r="L6" s="295">
        <f t="shared" si="0"/>
        <v>0</v>
      </c>
      <c r="M6" s="295">
        <f t="shared" si="0"/>
        <v>4.0999999999999996</v>
      </c>
      <c r="N6" s="295">
        <f t="shared" si="0"/>
        <v>2.8166666666666664</v>
      </c>
      <c r="O6" s="296"/>
      <c r="Q6" s="386"/>
      <c r="R6" s="8"/>
      <c r="S6" s="8"/>
      <c r="U6" s="386"/>
      <c r="V6" s="386"/>
      <c r="W6" s="8"/>
    </row>
    <row r="7" spans="1:25" s="303" customFormat="1">
      <c r="A7" s="140">
        <v>8490</v>
      </c>
      <c r="B7" s="140" t="s">
        <v>11</v>
      </c>
      <c r="C7" s="140" t="s">
        <v>11</v>
      </c>
      <c r="D7" s="141" t="s">
        <v>6</v>
      </c>
      <c r="E7" s="142">
        <v>43160.362199074072</v>
      </c>
      <c r="F7" s="297">
        <f>E7</f>
        <v>43160.362199074072</v>
      </c>
      <c r="G7" s="298" t="str">
        <f>HOUR(E7)&amp;":"&amp;MINUTE(E7)</f>
        <v>8:41</v>
      </c>
      <c r="H7" s="299">
        <f>IF(D7="上班",(G8-G7)*24,"-")</f>
        <v>11.533333333333331</v>
      </c>
      <c r="I7" s="300">
        <f t="shared" ref="I7" si="1">IF(D7="上班",IF(H7-1.5&gt;8,8,H7-1.5),"-")</f>
        <v>8</v>
      </c>
      <c r="J7" s="300" t="str">
        <f t="shared" ref="J7" si="2">IF(I7&lt;8,8-I7,"-")</f>
        <v>-</v>
      </c>
      <c r="K7" s="301">
        <f>IF(D7="加班",(G8-G7)*24,0)</f>
        <v>0</v>
      </c>
      <c r="L7" s="301"/>
      <c r="M7" s="302">
        <f t="shared" ref="M7" si="3">IF(K7&gt;2,2,K7)</f>
        <v>0</v>
      </c>
      <c r="N7" s="302">
        <f t="shared" ref="N7" si="4">IF(K7&gt;2,K7-2,0)</f>
        <v>0</v>
      </c>
      <c r="O7" s="393"/>
      <c r="P7" s="137"/>
      <c r="Q7" s="387"/>
      <c r="R7" s="137"/>
      <c r="S7" s="16"/>
      <c r="T7" s="16"/>
      <c r="U7" s="444"/>
      <c r="V7" s="444"/>
      <c r="W7" s="16"/>
      <c r="X7" s="16"/>
      <c r="Y7" s="16"/>
    </row>
    <row r="8" spans="1:25" s="303" customFormat="1">
      <c r="A8" s="140">
        <v>8518</v>
      </c>
      <c r="B8" s="140" t="s">
        <v>11</v>
      </c>
      <c r="C8" s="140" t="s">
        <v>11</v>
      </c>
      <c r="D8" s="143" t="s">
        <v>5</v>
      </c>
      <c r="E8" s="144">
        <v>43160.842546296299</v>
      </c>
      <c r="F8" s="297">
        <f t="shared" ref="F8:F58" si="5">E8</f>
        <v>43160.842546296299</v>
      </c>
      <c r="G8" s="298" t="str">
        <f t="shared" ref="G8:G58" si="6">HOUR(E8)&amp;":"&amp;MINUTE(E8)</f>
        <v>20:13</v>
      </c>
      <c r="H8" s="299" t="str">
        <f t="shared" ref="H8:H58" si="7">IF(D8="上班",(G9-G8)*24,"-")</f>
        <v>-</v>
      </c>
      <c r="I8" s="300" t="str">
        <f t="shared" ref="I8:I58" si="8">IF(D8="上班",IF(H8-1.5&gt;8,8,H8-1.5),"-")</f>
        <v>-</v>
      </c>
      <c r="J8" s="300" t="str">
        <f t="shared" ref="J8:J58" si="9">IF(I8&lt;8,8-I8,"-")</f>
        <v>-</v>
      </c>
      <c r="K8" s="301">
        <f t="shared" ref="K8:K58" si="10">IF(D8="加班",(G9-G8)*24,0)</f>
        <v>0</v>
      </c>
      <c r="L8" s="301"/>
      <c r="M8" s="302">
        <f t="shared" ref="M8:M58" si="11">IF(K8&gt;2,2,K8)</f>
        <v>0</v>
      </c>
      <c r="N8" s="302">
        <f t="shared" ref="N8:N58" si="12">IF(K8&gt;2,K8-2,0)</f>
        <v>0</v>
      </c>
      <c r="O8" s="393"/>
      <c r="P8" s="137"/>
      <c r="Q8" s="387"/>
      <c r="R8" s="137"/>
      <c r="S8" s="16"/>
      <c r="T8" s="16"/>
      <c r="U8" s="444"/>
      <c r="V8" s="444"/>
      <c r="W8" s="16"/>
      <c r="X8" s="16"/>
      <c r="Y8" s="16"/>
    </row>
    <row r="9" spans="1:25" s="303" customFormat="1">
      <c r="A9" s="140">
        <v>8523</v>
      </c>
      <c r="B9" s="140" t="s">
        <v>11</v>
      </c>
      <c r="C9" s="140" t="s">
        <v>11</v>
      </c>
      <c r="D9" s="143" t="s">
        <v>6</v>
      </c>
      <c r="E9" s="144">
        <v>43161.364131944443</v>
      </c>
      <c r="F9" s="297">
        <f t="shared" si="5"/>
        <v>43161.364131944443</v>
      </c>
      <c r="G9" s="298" t="str">
        <f t="shared" si="6"/>
        <v>8:44</v>
      </c>
      <c r="H9" s="299">
        <f t="shared" si="7"/>
        <v>11.566666666666666</v>
      </c>
      <c r="I9" s="300">
        <f t="shared" si="8"/>
        <v>8</v>
      </c>
      <c r="J9" s="300" t="str">
        <f t="shared" si="9"/>
        <v>-</v>
      </c>
      <c r="K9" s="301">
        <f t="shared" si="10"/>
        <v>0</v>
      </c>
      <c r="L9" s="301"/>
      <c r="M9" s="302">
        <f t="shared" si="11"/>
        <v>0</v>
      </c>
      <c r="N9" s="302">
        <f t="shared" si="12"/>
        <v>0</v>
      </c>
      <c r="O9" s="393"/>
      <c r="P9" s="137"/>
      <c r="Q9" s="387"/>
      <c r="R9" s="137"/>
      <c r="S9" s="16"/>
      <c r="T9" s="16"/>
      <c r="U9" s="444"/>
      <c r="V9" s="444"/>
      <c r="W9" s="16"/>
      <c r="X9" s="16"/>
      <c r="Y9" s="16"/>
    </row>
    <row r="10" spans="1:25" s="303" customFormat="1">
      <c r="A10" s="140">
        <v>8545</v>
      </c>
      <c r="B10" s="140" t="s">
        <v>11</v>
      </c>
      <c r="C10" s="140" t="s">
        <v>11</v>
      </c>
      <c r="D10" s="143" t="s">
        <v>5</v>
      </c>
      <c r="E10" s="144">
        <v>43161.845891203702</v>
      </c>
      <c r="F10" s="297">
        <f t="shared" si="5"/>
        <v>43161.845891203702</v>
      </c>
      <c r="G10" s="298" t="str">
        <f t="shared" si="6"/>
        <v>20:18</v>
      </c>
      <c r="H10" s="299" t="str">
        <f t="shared" si="7"/>
        <v>-</v>
      </c>
      <c r="I10" s="300" t="str">
        <f t="shared" si="8"/>
        <v>-</v>
      </c>
      <c r="J10" s="300" t="str">
        <f t="shared" si="9"/>
        <v>-</v>
      </c>
      <c r="K10" s="301">
        <f t="shared" si="10"/>
        <v>0</v>
      </c>
      <c r="L10" s="301"/>
      <c r="M10" s="302">
        <f t="shared" si="11"/>
        <v>0</v>
      </c>
      <c r="N10" s="302">
        <f t="shared" si="12"/>
        <v>0</v>
      </c>
      <c r="O10" s="393"/>
      <c r="P10" s="137"/>
      <c r="Q10" s="387"/>
      <c r="R10" s="137"/>
      <c r="S10" s="16"/>
      <c r="T10" s="16"/>
      <c r="U10" s="444"/>
      <c r="V10" s="444"/>
      <c r="W10" s="16"/>
      <c r="X10" s="16"/>
      <c r="Y10" s="16"/>
    </row>
    <row r="11" spans="1:25" s="16" customFormat="1">
      <c r="A11" s="140">
        <v>8559</v>
      </c>
      <c r="B11" s="140" t="s">
        <v>11</v>
      </c>
      <c r="C11" s="140" t="s">
        <v>11</v>
      </c>
      <c r="D11" s="143" t="s">
        <v>6</v>
      </c>
      <c r="E11" s="144">
        <v>43164.362916666665</v>
      </c>
      <c r="F11" s="297">
        <f t="shared" si="5"/>
        <v>43164.362916666665</v>
      </c>
      <c r="G11" s="298" t="str">
        <f t="shared" si="6"/>
        <v>8:42</v>
      </c>
      <c r="H11" s="299">
        <f t="shared" si="7"/>
        <v>12.566666666666665</v>
      </c>
      <c r="I11" s="300">
        <f t="shared" si="8"/>
        <v>8</v>
      </c>
      <c r="J11" s="300" t="str">
        <f t="shared" si="9"/>
        <v>-</v>
      </c>
      <c r="K11" s="301">
        <f t="shared" si="10"/>
        <v>0</v>
      </c>
      <c r="L11" s="301"/>
      <c r="M11" s="302">
        <f t="shared" si="11"/>
        <v>0</v>
      </c>
      <c r="N11" s="302">
        <f t="shared" si="12"/>
        <v>0</v>
      </c>
      <c r="O11" s="393"/>
      <c r="P11" s="137"/>
      <c r="Q11" s="387"/>
      <c r="R11" s="137"/>
      <c r="S11" s="63"/>
      <c r="U11" s="444"/>
      <c r="V11" s="444"/>
      <c r="X11" s="63"/>
    </row>
    <row r="12" spans="1:25" s="16" customFormat="1">
      <c r="A12" s="140">
        <v>8589</v>
      </c>
      <c r="B12" s="140" t="s">
        <v>11</v>
      </c>
      <c r="C12" s="140" t="s">
        <v>11</v>
      </c>
      <c r="D12" s="143" t="s">
        <v>5</v>
      </c>
      <c r="E12" s="144">
        <v>43164.886423611111</v>
      </c>
      <c r="F12" s="297">
        <f t="shared" si="5"/>
        <v>43164.886423611111</v>
      </c>
      <c r="G12" s="298" t="str">
        <f t="shared" si="6"/>
        <v>21:16</v>
      </c>
      <c r="H12" s="299" t="str">
        <f t="shared" si="7"/>
        <v>-</v>
      </c>
      <c r="I12" s="300" t="str">
        <f t="shared" si="8"/>
        <v>-</v>
      </c>
      <c r="J12" s="300" t="str">
        <f t="shared" si="9"/>
        <v>-</v>
      </c>
      <c r="K12" s="301">
        <f t="shared" si="10"/>
        <v>0</v>
      </c>
      <c r="L12" s="301"/>
      <c r="M12" s="302">
        <f t="shared" si="11"/>
        <v>0</v>
      </c>
      <c r="N12" s="302">
        <f t="shared" si="12"/>
        <v>0</v>
      </c>
      <c r="O12" s="393"/>
      <c r="P12" s="137"/>
      <c r="Q12" s="387"/>
      <c r="R12" s="137"/>
      <c r="S12" s="63"/>
      <c r="U12" s="444"/>
      <c r="V12" s="444"/>
      <c r="X12" s="63"/>
    </row>
    <row r="13" spans="1:25" s="63" customFormat="1">
      <c r="A13" s="140">
        <v>8595</v>
      </c>
      <c r="B13" s="140" t="s">
        <v>11</v>
      </c>
      <c r="C13" s="140" t="s">
        <v>11</v>
      </c>
      <c r="D13" s="143" t="s">
        <v>6</v>
      </c>
      <c r="E13" s="144">
        <v>43165.362002314818</v>
      </c>
      <c r="F13" s="297">
        <f t="shared" si="5"/>
        <v>43165.362002314818</v>
      </c>
      <c r="G13" s="298" t="str">
        <f t="shared" si="6"/>
        <v>8:41</v>
      </c>
      <c r="H13" s="299">
        <f t="shared" si="7"/>
        <v>13.066666666666668</v>
      </c>
      <c r="I13" s="300">
        <f t="shared" si="8"/>
        <v>8</v>
      </c>
      <c r="J13" s="300" t="str">
        <f t="shared" si="9"/>
        <v>-</v>
      </c>
      <c r="K13" s="301">
        <f t="shared" si="10"/>
        <v>0</v>
      </c>
      <c r="L13" s="301"/>
      <c r="M13" s="302">
        <f t="shared" si="11"/>
        <v>0</v>
      </c>
      <c r="N13" s="302">
        <f t="shared" si="12"/>
        <v>0</v>
      </c>
      <c r="O13" s="393"/>
      <c r="P13" s="18"/>
      <c r="Q13" s="387"/>
      <c r="R13" s="137"/>
      <c r="S13" s="16"/>
      <c r="T13" s="16"/>
      <c r="U13" s="444"/>
      <c r="V13" s="444"/>
      <c r="W13" s="16"/>
      <c r="X13" s="16"/>
      <c r="Y13" s="16"/>
    </row>
    <row r="14" spans="1:25" s="63" customFormat="1">
      <c r="A14" s="140">
        <v>8624</v>
      </c>
      <c r="B14" s="140" t="s">
        <v>11</v>
      </c>
      <c r="C14" s="140" t="s">
        <v>11</v>
      </c>
      <c r="D14" s="143" t="s">
        <v>5</v>
      </c>
      <c r="E14" s="144">
        <v>43165.906597222223</v>
      </c>
      <c r="F14" s="297">
        <f t="shared" si="5"/>
        <v>43165.906597222223</v>
      </c>
      <c r="G14" s="298" t="str">
        <f t="shared" si="6"/>
        <v>21:45</v>
      </c>
      <c r="H14" s="299" t="str">
        <f t="shared" si="7"/>
        <v>-</v>
      </c>
      <c r="I14" s="300" t="str">
        <f t="shared" si="8"/>
        <v>-</v>
      </c>
      <c r="J14" s="300" t="str">
        <f t="shared" si="9"/>
        <v>-</v>
      </c>
      <c r="K14" s="301">
        <f t="shared" si="10"/>
        <v>0</v>
      </c>
      <c r="L14" s="301"/>
      <c r="M14" s="302">
        <f t="shared" si="11"/>
        <v>0</v>
      </c>
      <c r="N14" s="302">
        <f t="shared" si="12"/>
        <v>0</v>
      </c>
      <c r="O14" s="393"/>
      <c r="P14" s="18"/>
      <c r="Q14" s="387"/>
      <c r="R14" s="137"/>
      <c r="S14" s="16"/>
      <c r="T14" s="16"/>
      <c r="U14" s="444"/>
      <c r="V14" s="444"/>
      <c r="W14" s="16"/>
      <c r="X14" s="16"/>
      <c r="Y14" s="16"/>
    </row>
    <row r="15" spans="1:25" s="303" customFormat="1">
      <c r="A15" s="140">
        <v>8629</v>
      </c>
      <c r="B15" s="140" t="s">
        <v>11</v>
      </c>
      <c r="C15" s="140" t="s">
        <v>11</v>
      </c>
      <c r="D15" s="143" t="s">
        <v>6</v>
      </c>
      <c r="E15" s="144">
        <v>43166.364965277775</v>
      </c>
      <c r="F15" s="297">
        <f t="shared" si="5"/>
        <v>43166.364965277775</v>
      </c>
      <c r="G15" s="298" t="str">
        <f t="shared" si="6"/>
        <v>8:45</v>
      </c>
      <c r="H15" s="299">
        <f t="shared" si="7"/>
        <v>11.7</v>
      </c>
      <c r="I15" s="300">
        <f t="shared" si="8"/>
        <v>8</v>
      </c>
      <c r="J15" s="300" t="str">
        <f t="shared" si="9"/>
        <v>-</v>
      </c>
      <c r="K15" s="301">
        <f t="shared" si="10"/>
        <v>0</v>
      </c>
      <c r="L15" s="301"/>
      <c r="M15" s="302">
        <f t="shared" si="11"/>
        <v>0</v>
      </c>
      <c r="N15" s="302">
        <f t="shared" si="12"/>
        <v>0</v>
      </c>
      <c r="O15" s="393"/>
      <c r="P15" s="137"/>
      <c r="Q15" s="387"/>
      <c r="R15" s="137"/>
      <c r="S15" s="16"/>
      <c r="T15" s="16"/>
      <c r="U15" s="444"/>
      <c r="V15" s="444"/>
      <c r="W15" s="16"/>
      <c r="X15" s="16"/>
      <c r="Y15" s="16"/>
    </row>
    <row r="16" spans="1:25" s="305" customFormat="1">
      <c r="A16" s="140">
        <v>8656</v>
      </c>
      <c r="B16" s="140" t="s">
        <v>11</v>
      </c>
      <c r="C16" s="140" t="s">
        <v>11</v>
      </c>
      <c r="D16" s="143" t="s">
        <v>5</v>
      </c>
      <c r="E16" s="144">
        <v>43166.85255787037</v>
      </c>
      <c r="F16" s="297">
        <f t="shared" si="5"/>
        <v>43166.85255787037</v>
      </c>
      <c r="G16" s="298" t="str">
        <f t="shared" si="6"/>
        <v>20:27</v>
      </c>
      <c r="H16" s="299" t="str">
        <f t="shared" si="7"/>
        <v>-</v>
      </c>
      <c r="I16" s="300" t="str">
        <f t="shared" si="8"/>
        <v>-</v>
      </c>
      <c r="J16" s="300" t="str">
        <f t="shared" si="9"/>
        <v>-</v>
      </c>
      <c r="K16" s="301">
        <f t="shared" si="10"/>
        <v>0</v>
      </c>
      <c r="L16" s="301"/>
      <c r="M16" s="302">
        <f t="shared" si="11"/>
        <v>0</v>
      </c>
      <c r="N16" s="302">
        <f t="shared" si="12"/>
        <v>0</v>
      </c>
      <c r="O16" s="393"/>
      <c r="P16" s="18"/>
      <c r="Q16" s="387"/>
      <c r="R16" s="18"/>
      <c r="S16" s="63"/>
      <c r="T16" s="63"/>
      <c r="U16" s="444"/>
      <c r="V16" s="444"/>
      <c r="W16" s="63"/>
      <c r="X16" s="63"/>
      <c r="Y16" s="63"/>
    </row>
    <row r="17" spans="1:25">
      <c r="A17" s="140">
        <v>8664</v>
      </c>
      <c r="B17" s="140" t="s">
        <v>11</v>
      </c>
      <c r="C17" s="140" t="s">
        <v>11</v>
      </c>
      <c r="D17" s="143" t="s">
        <v>6</v>
      </c>
      <c r="E17" s="144">
        <v>43167.360162037039</v>
      </c>
      <c r="F17" s="297">
        <f t="shared" si="5"/>
        <v>43167.360162037039</v>
      </c>
      <c r="G17" s="298" t="str">
        <f t="shared" si="6"/>
        <v>8:38</v>
      </c>
      <c r="H17" s="299">
        <f t="shared" si="7"/>
        <v>11.4</v>
      </c>
      <c r="I17" s="300">
        <f t="shared" si="8"/>
        <v>8</v>
      </c>
      <c r="J17" s="300" t="str">
        <f t="shared" si="9"/>
        <v>-</v>
      </c>
      <c r="K17" s="301">
        <f t="shared" si="10"/>
        <v>0</v>
      </c>
      <c r="L17" s="301"/>
      <c r="M17" s="302">
        <f t="shared" si="11"/>
        <v>0</v>
      </c>
      <c r="N17" s="302">
        <f t="shared" si="12"/>
        <v>0</v>
      </c>
      <c r="O17" s="393"/>
      <c r="Q17" s="387"/>
      <c r="U17" s="444"/>
      <c r="V17" s="444"/>
    </row>
    <row r="18" spans="1:25" s="63" customFormat="1">
      <c r="A18" s="140">
        <v>8688</v>
      </c>
      <c r="B18" s="140" t="s">
        <v>11</v>
      </c>
      <c r="C18" s="140" t="s">
        <v>11</v>
      </c>
      <c r="D18" s="143" t="s">
        <v>5</v>
      </c>
      <c r="E18" s="144">
        <v>43167.834745370368</v>
      </c>
      <c r="F18" s="297">
        <f t="shared" si="5"/>
        <v>43167.834745370368</v>
      </c>
      <c r="G18" s="298" t="str">
        <f t="shared" si="6"/>
        <v>20:2</v>
      </c>
      <c r="H18" s="299" t="str">
        <f t="shared" si="7"/>
        <v>-</v>
      </c>
      <c r="I18" s="300" t="str">
        <f t="shared" si="8"/>
        <v>-</v>
      </c>
      <c r="J18" s="300" t="str">
        <f t="shared" si="9"/>
        <v>-</v>
      </c>
      <c r="K18" s="301">
        <f t="shared" si="10"/>
        <v>0</v>
      </c>
      <c r="L18" s="301"/>
      <c r="M18" s="302">
        <f t="shared" si="11"/>
        <v>0</v>
      </c>
      <c r="N18" s="302">
        <f t="shared" si="12"/>
        <v>0</v>
      </c>
      <c r="O18" s="393"/>
      <c r="P18" s="18"/>
      <c r="Q18" s="387"/>
      <c r="R18" s="9"/>
      <c r="S18" s="9"/>
      <c r="T18"/>
      <c r="U18" s="444"/>
      <c r="V18" s="444"/>
      <c r="W18"/>
      <c r="X18" s="396"/>
    </row>
    <row r="19" spans="1:25">
      <c r="A19" s="140">
        <v>8693</v>
      </c>
      <c r="B19" s="140" t="s">
        <v>78</v>
      </c>
      <c r="C19" s="140" t="s">
        <v>11</v>
      </c>
      <c r="D19" s="143" t="s">
        <v>6</v>
      </c>
      <c r="E19" s="144">
        <v>43168.362719907411</v>
      </c>
      <c r="F19" s="297">
        <f t="shared" si="5"/>
        <v>43168.362719907411</v>
      </c>
      <c r="G19" s="298" t="str">
        <f t="shared" si="6"/>
        <v>8:42</v>
      </c>
      <c r="H19" s="299">
        <f t="shared" si="7"/>
        <v>10.183333333333334</v>
      </c>
      <c r="I19" s="300">
        <f t="shared" si="8"/>
        <v>8</v>
      </c>
      <c r="J19" s="300" t="str">
        <f t="shared" si="9"/>
        <v>-</v>
      </c>
      <c r="K19" s="301">
        <f t="shared" si="10"/>
        <v>0</v>
      </c>
      <c r="L19" s="301"/>
      <c r="M19" s="302">
        <f t="shared" si="11"/>
        <v>0</v>
      </c>
      <c r="N19" s="302">
        <f t="shared" si="12"/>
        <v>0</v>
      </c>
      <c r="O19" s="393"/>
      <c r="Q19" s="387"/>
      <c r="R19" s="8"/>
      <c r="S19" s="63"/>
      <c r="T19" s="2"/>
      <c r="U19" s="444"/>
      <c r="V19" s="444"/>
      <c r="W19" s="63"/>
      <c r="X19" s="63"/>
    </row>
    <row r="20" spans="1:25">
      <c r="A20" s="140">
        <v>8715</v>
      </c>
      <c r="B20" s="140" t="s">
        <v>11</v>
      </c>
      <c r="C20" s="140" t="s">
        <v>11</v>
      </c>
      <c r="D20" s="143" t="s">
        <v>5</v>
      </c>
      <c r="E20" s="144">
        <v>43168.786909722221</v>
      </c>
      <c r="F20" s="297">
        <f t="shared" si="5"/>
        <v>43168.786909722221</v>
      </c>
      <c r="G20" s="298" t="str">
        <f t="shared" si="6"/>
        <v>18:53</v>
      </c>
      <c r="H20" s="299" t="str">
        <f t="shared" si="7"/>
        <v>-</v>
      </c>
      <c r="I20" s="300" t="str">
        <f t="shared" si="8"/>
        <v>-</v>
      </c>
      <c r="J20" s="300" t="str">
        <f t="shared" si="9"/>
        <v>-</v>
      </c>
      <c r="K20" s="301">
        <f t="shared" si="10"/>
        <v>0</v>
      </c>
      <c r="L20" s="301"/>
      <c r="M20" s="302">
        <f t="shared" si="11"/>
        <v>0</v>
      </c>
      <c r="N20" s="302">
        <f t="shared" si="12"/>
        <v>0</v>
      </c>
      <c r="O20" s="393"/>
      <c r="Q20" s="387"/>
      <c r="U20" s="444"/>
      <c r="V20" s="444"/>
    </row>
    <row r="21" spans="1:25">
      <c r="A21" s="140">
        <v>8718</v>
      </c>
      <c r="B21" s="140" t="s">
        <v>11</v>
      </c>
      <c r="C21" s="140" t="s">
        <v>11</v>
      </c>
      <c r="D21" s="143" t="s">
        <v>7</v>
      </c>
      <c r="E21" s="144">
        <v>43169.418043981481</v>
      </c>
      <c r="F21" s="297">
        <f t="shared" si="5"/>
        <v>43169.418043981481</v>
      </c>
      <c r="G21" s="298" t="str">
        <f t="shared" si="6"/>
        <v>10:1</v>
      </c>
      <c r="H21" s="299" t="str">
        <f t="shared" si="7"/>
        <v>-</v>
      </c>
      <c r="I21" s="300" t="str">
        <f t="shared" si="8"/>
        <v>-</v>
      </c>
      <c r="J21" s="300" t="str">
        <f t="shared" si="9"/>
        <v>-</v>
      </c>
      <c r="K21" s="301">
        <f t="shared" si="10"/>
        <v>9.9999999999999645E-2</v>
      </c>
      <c r="L21" s="301"/>
      <c r="M21" s="302">
        <f t="shared" si="11"/>
        <v>9.9999999999999645E-2</v>
      </c>
      <c r="N21" s="302">
        <f t="shared" si="12"/>
        <v>0</v>
      </c>
      <c r="O21" s="393"/>
      <c r="Q21" s="387"/>
      <c r="U21" s="444"/>
      <c r="V21" s="444"/>
    </row>
    <row r="22" spans="1:25">
      <c r="A22" s="140">
        <v>8720</v>
      </c>
      <c r="B22" s="140" t="s">
        <v>11</v>
      </c>
      <c r="C22" s="140" t="s">
        <v>11</v>
      </c>
      <c r="D22" s="143" t="s">
        <v>8</v>
      </c>
      <c r="E22" s="144">
        <v>43169.421759259261</v>
      </c>
      <c r="F22" s="297">
        <f t="shared" si="5"/>
        <v>43169.421759259261</v>
      </c>
      <c r="G22" s="298" t="str">
        <f t="shared" si="6"/>
        <v>10:7</v>
      </c>
      <c r="H22" s="299" t="str">
        <f t="shared" si="7"/>
        <v>-</v>
      </c>
      <c r="I22" s="300" t="str">
        <f t="shared" si="8"/>
        <v>-</v>
      </c>
      <c r="J22" s="300" t="str">
        <f t="shared" si="9"/>
        <v>-</v>
      </c>
      <c r="K22" s="301">
        <f t="shared" si="10"/>
        <v>0</v>
      </c>
      <c r="L22" s="301"/>
      <c r="M22" s="302">
        <f t="shared" si="11"/>
        <v>0</v>
      </c>
      <c r="N22" s="302">
        <f t="shared" si="12"/>
        <v>0</v>
      </c>
      <c r="O22" s="393"/>
      <c r="Q22" s="387"/>
      <c r="U22" s="444"/>
      <c r="V22" s="444"/>
    </row>
    <row r="23" spans="1:25">
      <c r="A23" s="140">
        <v>8721</v>
      </c>
      <c r="B23" s="140" t="s">
        <v>11</v>
      </c>
      <c r="C23" s="140" t="s">
        <v>11</v>
      </c>
      <c r="D23" s="143" t="s">
        <v>7</v>
      </c>
      <c r="E23" s="144">
        <v>43169.430486111109</v>
      </c>
      <c r="F23" s="297">
        <f t="shared" si="5"/>
        <v>43169.430486111109</v>
      </c>
      <c r="G23" s="298" t="str">
        <f t="shared" si="6"/>
        <v>10:19</v>
      </c>
      <c r="H23" s="299" t="str">
        <f t="shared" si="7"/>
        <v>-</v>
      </c>
      <c r="I23" s="300" t="str">
        <f t="shared" si="8"/>
        <v>-</v>
      </c>
      <c r="J23" s="300" t="str">
        <f t="shared" si="9"/>
        <v>-</v>
      </c>
      <c r="K23" s="301">
        <f t="shared" si="10"/>
        <v>2.8833333333333324</v>
      </c>
      <c r="L23" s="301"/>
      <c r="M23" s="302">
        <f t="shared" si="11"/>
        <v>2</v>
      </c>
      <c r="N23" s="302">
        <f t="shared" si="12"/>
        <v>0.88333333333333242</v>
      </c>
      <c r="O23" s="393"/>
      <c r="Q23" s="387"/>
      <c r="U23" s="444"/>
      <c r="V23" s="444"/>
    </row>
    <row r="24" spans="1:25">
      <c r="A24" s="140">
        <v>8724</v>
      </c>
      <c r="B24" s="140" t="s">
        <v>11</v>
      </c>
      <c r="C24" s="140" t="s">
        <v>11</v>
      </c>
      <c r="D24" s="143" t="s">
        <v>8</v>
      </c>
      <c r="E24" s="144">
        <v>43169.550254629627</v>
      </c>
      <c r="F24" s="297">
        <f t="shared" si="5"/>
        <v>43169.550254629627</v>
      </c>
      <c r="G24" s="298" t="str">
        <f t="shared" si="6"/>
        <v>13:12</v>
      </c>
      <c r="H24" s="299" t="str">
        <f t="shared" si="7"/>
        <v>-</v>
      </c>
      <c r="I24" s="300" t="str">
        <f t="shared" si="8"/>
        <v>-</v>
      </c>
      <c r="J24" s="300" t="str">
        <f t="shared" si="9"/>
        <v>-</v>
      </c>
      <c r="K24" s="301">
        <f t="shared" si="10"/>
        <v>0</v>
      </c>
      <c r="L24" s="301"/>
      <c r="M24" s="302">
        <f t="shared" si="11"/>
        <v>0</v>
      </c>
      <c r="N24" s="302">
        <f t="shared" si="12"/>
        <v>0</v>
      </c>
      <c r="O24" s="393"/>
      <c r="Q24" s="387"/>
      <c r="U24" s="444"/>
      <c r="V24" s="444"/>
    </row>
    <row r="25" spans="1:25">
      <c r="A25" s="140">
        <v>8762</v>
      </c>
      <c r="B25" s="140" t="s">
        <v>11</v>
      </c>
      <c r="C25" s="140" t="s">
        <v>11</v>
      </c>
      <c r="D25" s="143" t="s">
        <v>6</v>
      </c>
      <c r="E25" s="144">
        <v>43171.362523148149</v>
      </c>
      <c r="F25" s="297">
        <f t="shared" si="5"/>
        <v>43171.362523148149</v>
      </c>
      <c r="G25" s="298" t="str">
        <f t="shared" si="6"/>
        <v>8:42</v>
      </c>
      <c r="H25" s="299">
        <f t="shared" si="7"/>
        <v>13.116666666666665</v>
      </c>
      <c r="I25" s="300">
        <f t="shared" si="8"/>
        <v>8</v>
      </c>
      <c r="J25" s="300" t="str">
        <f t="shared" si="9"/>
        <v>-</v>
      </c>
      <c r="K25" s="301">
        <f t="shared" si="10"/>
        <v>0</v>
      </c>
      <c r="L25" s="301"/>
      <c r="M25" s="302">
        <f t="shared" si="11"/>
        <v>0</v>
      </c>
      <c r="N25" s="302">
        <f t="shared" si="12"/>
        <v>0</v>
      </c>
      <c r="O25" s="393"/>
      <c r="Q25" s="387"/>
      <c r="U25" s="444"/>
      <c r="V25" s="444"/>
    </row>
    <row r="26" spans="1:25" s="305" customFormat="1">
      <c r="A26" s="140">
        <v>8797</v>
      </c>
      <c r="B26" s="140" t="s">
        <v>11</v>
      </c>
      <c r="C26" s="140" t="s">
        <v>11</v>
      </c>
      <c r="D26" s="143" t="s">
        <v>5</v>
      </c>
      <c r="E26" s="144">
        <v>43171.909074074072</v>
      </c>
      <c r="F26" s="297">
        <f t="shared" si="5"/>
        <v>43171.909074074072</v>
      </c>
      <c r="G26" s="298" t="str">
        <f t="shared" si="6"/>
        <v>21:49</v>
      </c>
      <c r="H26" s="299" t="str">
        <f t="shared" si="7"/>
        <v>-</v>
      </c>
      <c r="I26" s="300" t="str">
        <f t="shared" si="8"/>
        <v>-</v>
      </c>
      <c r="J26" s="300" t="str">
        <f t="shared" si="9"/>
        <v>-</v>
      </c>
      <c r="K26" s="301">
        <f t="shared" si="10"/>
        <v>0</v>
      </c>
      <c r="L26" s="301"/>
      <c r="M26" s="302">
        <f t="shared" si="11"/>
        <v>0</v>
      </c>
      <c r="N26" s="302">
        <f t="shared" si="12"/>
        <v>0</v>
      </c>
      <c r="O26" s="393"/>
      <c r="P26" s="18"/>
      <c r="Q26" s="387"/>
      <c r="R26" s="9"/>
      <c r="S26" s="9"/>
      <c r="T26"/>
      <c r="U26" s="444"/>
      <c r="V26" s="444"/>
      <c r="W26"/>
      <c r="X26" s="396"/>
      <c r="Y26" s="63"/>
    </row>
    <row r="27" spans="1:25" s="305" customFormat="1">
      <c r="A27" s="140">
        <v>8800</v>
      </c>
      <c r="B27" s="140" t="s">
        <v>11</v>
      </c>
      <c r="C27" s="140" t="s">
        <v>11</v>
      </c>
      <c r="D27" s="143" t="s">
        <v>6</v>
      </c>
      <c r="E27" s="144">
        <v>43172.361863425926</v>
      </c>
      <c r="F27" s="297">
        <f t="shared" si="5"/>
        <v>43172.361863425926</v>
      </c>
      <c r="G27" s="298" t="str">
        <f t="shared" si="6"/>
        <v>8:41</v>
      </c>
      <c r="H27" s="299">
        <f t="shared" si="7"/>
        <v>12.08333333333333</v>
      </c>
      <c r="I27" s="300">
        <f t="shared" si="8"/>
        <v>8</v>
      </c>
      <c r="J27" s="300" t="str">
        <f t="shared" si="9"/>
        <v>-</v>
      </c>
      <c r="K27" s="301">
        <f t="shared" si="10"/>
        <v>0</v>
      </c>
      <c r="L27" s="301"/>
      <c r="M27" s="302">
        <f t="shared" si="11"/>
        <v>0</v>
      </c>
      <c r="N27" s="302">
        <f t="shared" si="12"/>
        <v>0</v>
      </c>
      <c r="O27" s="393"/>
      <c r="P27" s="18"/>
      <c r="Q27" s="387"/>
      <c r="R27" s="18"/>
      <c r="S27" s="63"/>
      <c r="T27" s="63"/>
      <c r="U27" s="444"/>
      <c r="V27" s="444"/>
      <c r="W27" s="63"/>
      <c r="X27" s="63"/>
      <c r="Y27" s="63"/>
    </row>
    <row r="28" spans="1:25">
      <c r="A28" s="140">
        <v>8831</v>
      </c>
      <c r="B28" s="140" t="s">
        <v>11</v>
      </c>
      <c r="C28" s="140" t="s">
        <v>11</v>
      </c>
      <c r="D28" s="143" t="s">
        <v>5</v>
      </c>
      <c r="E28" s="144">
        <v>43172.86550925926</v>
      </c>
      <c r="F28" s="297">
        <f t="shared" si="5"/>
        <v>43172.86550925926</v>
      </c>
      <c r="G28" s="298" t="str">
        <f t="shared" si="6"/>
        <v>20:46</v>
      </c>
      <c r="H28" s="299" t="str">
        <f t="shared" si="7"/>
        <v>-</v>
      </c>
      <c r="I28" s="300" t="str">
        <f t="shared" si="8"/>
        <v>-</v>
      </c>
      <c r="J28" s="300" t="str">
        <f t="shared" si="9"/>
        <v>-</v>
      </c>
      <c r="K28" s="301">
        <f t="shared" si="10"/>
        <v>0</v>
      </c>
      <c r="L28" s="301"/>
      <c r="M28" s="302">
        <f t="shared" si="11"/>
        <v>0</v>
      </c>
      <c r="N28" s="302">
        <f t="shared" si="12"/>
        <v>0</v>
      </c>
      <c r="O28" s="393"/>
      <c r="Q28" s="387"/>
      <c r="R28" s="18"/>
      <c r="S28" s="63"/>
      <c r="T28" s="63"/>
      <c r="U28" s="444"/>
      <c r="V28" s="444"/>
      <c r="W28" s="63"/>
      <c r="X28" s="63"/>
    </row>
    <row r="29" spans="1:25">
      <c r="A29" s="140">
        <v>8837</v>
      </c>
      <c r="B29" s="140" t="s">
        <v>11</v>
      </c>
      <c r="C29" s="140" t="s">
        <v>11</v>
      </c>
      <c r="D29" s="143" t="s">
        <v>6</v>
      </c>
      <c r="E29" s="144">
        <v>43173.361215277779</v>
      </c>
      <c r="F29" s="297">
        <f t="shared" si="5"/>
        <v>43173.361215277779</v>
      </c>
      <c r="G29" s="298" t="str">
        <f t="shared" si="6"/>
        <v>8:40</v>
      </c>
      <c r="H29" s="299">
        <f t="shared" si="7"/>
        <v>11.899999999999999</v>
      </c>
      <c r="I29" s="300">
        <f t="shared" si="8"/>
        <v>8</v>
      </c>
      <c r="J29" s="300" t="str">
        <f t="shared" si="9"/>
        <v>-</v>
      </c>
      <c r="K29" s="301">
        <f t="shared" si="10"/>
        <v>0</v>
      </c>
      <c r="L29" s="301"/>
      <c r="M29" s="302">
        <f t="shared" si="11"/>
        <v>0</v>
      </c>
      <c r="N29" s="302">
        <f t="shared" si="12"/>
        <v>0</v>
      </c>
      <c r="O29" s="393"/>
      <c r="Q29" s="387"/>
      <c r="U29" s="444"/>
      <c r="V29" s="444"/>
    </row>
    <row r="30" spans="1:25" s="388" customFormat="1">
      <c r="A30" s="140">
        <v>8864</v>
      </c>
      <c r="B30" s="140" t="s">
        <v>11</v>
      </c>
      <c r="C30" s="140" t="s">
        <v>11</v>
      </c>
      <c r="D30" s="143" t="s">
        <v>5</v>
      </c>
      <c r="E30" s="144">
        <v>43173.857407407406</v>
      </c>
      <c r="F30" s="297">
        <f t="shared" si="5"/>
        <v>43173.857407407406</v>
      </c>
      <c r="G30" s="298" t="str">
        <f t="shared" si="6"/>
        <v>20:34</v>
      </c>
      <c r="H30" s="299" t="str">
        <f t="shared" si="7"/>
        <v>-</v>
      </c>
      <c r="I30" s="300" t="str">
        <f t="shared" si="8"/>
        <v>-</v>
      </c>
      <c r="J30" s="300" t="str">
        <f t="shared" si="9"/>
        <v>-</v>
      </c>
      <c r="K30" s="301">
        <f t="shared" si="10"/>
        <v>0</v>
      </c>
      <c r="L30" s="301"/>
      <c r="M30" s="302">
        <f t="shared" si="11"/>
        <v>0</v>
      </c>
      <c r="N30" s="302">
        <f t="shared" si="12"/>
        <v>0</v>
      </c>
      <c r="O30" s="393"/>
      <c r="P30" s="388" t="s">
        <v>20</v>
      </c>
      <c r="Q30" s="387"/>
      <c r="R30" s="9"/>
      <c r="S30" s="9"/>
      <c r="T30"/>
      <c r="U30" s="444"/>
      <c r="V30" s="444"/>
      <c r="W30"/>
      <c r="X30" s="396"/>
    </row>
    <row r="31" spans="1:25" s="388" customFormat="1">
      <c r="A31" s="140">
        <v>8873</v>
      </c>
      <c r="B31" s="140" t="s">
        <v>78</v>
      </c>
      <c r="C31" s="140" t="s">
        <v>11</v>
      </c>
      <c r="D31" s="143" t="s">
        <v>6</v>
      </c>
      <c r="E31" s="144">
        <v>43174.363182870373</v>
      </c>
      <c r="F31" s="297">
        <f t="shared" si="5"/>
        <v>43174.363182870373</v>
      </c>
      <c r="G31" s="298" t="str">
        <f t="shared" si="6"/>
        <v>8:42</v>
      </c>
      <c r="H31" s="299">
        <f t="shared" si="7"/>
        <v>12.383333333333335</v>
      </c>
      <c r="I31" s="300">
        <f t="shared" si="8"/>
        <v>8</v>
      </c>
      <c r="J31" s="300" t="str">
        <f t="shared" si="9"/>
        <v>-</v>
      </c>
      <c r="K31" s="301">
        <f t="shared" si="10"/>
        <v>0</v>
      </c>
      <c r="L31" s="301"/>
      <c r="M31" s="302">
        <f t="shared" si="11"/>
        <v>0</v>
      </c>
      <c r="N31" s="302">
        <f t="shared" si="12"/>
        <v>0</v>
      </c>
      <c r="O31" s="393"/>
      <c r="Q31" s="387"/>
      <c r="U31" s="444"/>
      <c r="V31" s="444"/>
    </row>
    <row r="32" spans="1:25" s="306" customFormat="1">
      <c r="A32" s="140">
        <v>8904</v>
      </c>
      <c r="B32" s="140" t="s">
        <v>11</v>
      </c>
      <c r="C32" s="140" t="s">
        <v>11</v>
      </c>
      <c r="D32" s="143" t="s">
        <v>5</v>
      </c>
      <c r="E32" s="144">
        <v>43174.878645833334</v>
      </c>
      <c r="F32" s="297">
        <f t="shared" si="5"/>
        <v>43174.878645833334</v>
      </c>
      <c r="G32" s="298" t="str">
        <f t="shared" si="6"/>
        <v>21:5</v>
      </c>
      <c r="H32" s="299" t="str">
        <f t="shared" si="7"/>
        <v>-</v>
      </c>
      <c r="I32" s="300" t="str">
        <f t="shared" si="8"/>
        <v>-</v>
      </c>
      <c r="J32" s="300" t="str">
        <f t="shared" si="9"/>
        <v>-</v>
      </c>
      <c r="K32" s="301">
        <f t="shared" si="10"/>
        <v>0</v>
      </c>
      <c r="L32" s="301"/>
      <c r="M32" s="302">
        <f t="shared" si="11"/>
        <v>0</v>
      </c>
      <c r="N32" s="302">
        <f t="shared" si="12"/>
        <v>0</v>
      </c>
      <c r="O32" s="393"/>
      <c r="P32" s="389" t="s">
        <v>20</v>
      </c>
      <c r="Q32" s="387"/>
      <c r="R32" s="388"/>
      <c r="S32" s="388"/>
      <c r="T32" s="388"/>
      <c r="U32" s="444"/>
      <c r="V32" s="444"/>
      <c r="W32" s="388"/>
      <c r="X32" s="388"/>
      <c r="Y32" s="388"/>
    </row>
    <row r="33" spans="1:26" s="306" customFormat="1">
      <c r="A33" s="140">
        <v>8909</v>
      </c>
      <c r="B33" s="140" t="s">
        <v>11</v>
      </c>
      <c r="C33" s="140" t="s">
        <v>11</v>
      </c>
      <c r="D33" s="143" t="s">
        <v>6</v>
      </c>
      <c r="E33" s="144">
        <v>43175.36273148148</v>
      </c>
      <c r="F33" s="297">
        <f t="shared" si="5"/>
        <v>43175.36273148148</v>
      </c>
      <c r="G33" s="298" t="str">
        <f t="shared" si="6"/>
        <v>8:42</v>
      </c>
      <c r="H33" s="299">
        <f t="shared" si="7"/>
        <v>10.883333333333333</v>
      </c>
      <c r="I33" s="300">
        <f t="shared" si="8"/>
        <v>8</v>
      </c>
      <c r="J33" s="300" t="str">
        <f t="shared" si="9"/>
        <v>-</v>
      </c>
      <c r="K33" s="301">
        <f t="shared" si="10"/>
        <v>0</v>
      </c>
      <c r="L33" s="301"/>
      <c r="M33" s="302">
        <f t="shared" si="11"/>
        <v>0</v>
      </c>
      <c r="N33" s="302">
        <f t="shared" si="12"/>
        <v>0</v>
      </c>
      <c r="O33" s="393"/>
      <c r="P33" s="389"/>
      <c r="Q33" s="387"/>
      <c r="R33" s="389"/>
      <c r="S33" s="388"/>
      <c r="T33" s="389"/>
      <c r="U33" s="444"/>
      <c r="V33" s="444"/>
      <c r="W33" s="389"/>
      <c r="X33" s="388"/>
      <c r="Y33" s="388"/>
    </row>
    <row r="34" spans="1:26" s="305" customFormat="1">
      <c r="A34" s="140">
        <v>8936</v>
      </c>
      <c r="B34" s="140" t="s">
        <v>11</v>
      </c>
      <c r="C34" s="140" t="s">
        <v>11</v>
      </c>
      <c r="D34" s="143" t="s">
        <v>5</v>
      </c>
      <c r="E34" s="144">
        <v>43175.815983796296</v>
      </c>
      <c r="F34" s="297">
        <f t="shared" si="5"/>
        <v>43175.815983796296</v>
      </c>
      <c r="G34" s="298" t="str">
        <f t="shared" si="6"/>
        <v>19:35</v>
      </c>
      <c r="H34" s="299" t="str">
        <f t="shared" si="7"/>
        <v>-</v>
      </c>
      <c r="I34" s="300" t="str">
        <f t="shared" si="8"/>
        <v>-</v>
      </c>
      <c r="J34" s="300" t="str">
        <f t="shared" si="9"/>
        <v>-</v>
      </c>
      <c r="K34" s="301">
        <f t="shared" si="10"/>
        <v>0</v>
      </c>
      <c r="L34" s="301"/>
      <c r="M34" s="302">
        <f t="shared" si="11"/>
        <v>0</v>
      </c>
      <c r="N34" s="302">
        <f t="shared" si="12"/>
        <v>0</v>
      </c>
      <c r="O34" s="393"/>
      <c r="P34" s="18"/>
      <c r="Q34" s="387"/>
      <c r="R34" s="389"/>
      <c r="S34" s="388"/>
      <c r="T34" s="389"/>
      <c r="U34" s="444"/>
      <c r="V34" s="444"/>
      <c r="W34" s="389"/>
      <c r="X34" s="388"/>
      <c r="Y34" s="63"/>
    </row>
    <row r="35" spans="1:26" s="16" customFormat="1">
      <c r="A35" s="140">
        <v>8943</v>
      </c>
      <c r="B35" s="140" t="s">
        <v>11</v>
      </c>
      <c r="C35" s="140" t="s">
        <v>11</v>
      </c>
      <c r="D35" s="143" t="s">
        <v>7</v>
      </c>
      <c r="E35" s="144">
        <v>43176.42428240741</v>
      </c>
      <c r="F35" s="297">
        <f t="shared" si="5"/>
        <v>43176.42428240741</v>
      </c>
      <c r="G35" s="298" t="str">
        <f t="shared" si="6"/>
        <v>10:10</v>
      </c>
      <c r="H35" s="299" t="str">
        <f t="shared" si="7"/>
        <v>-</v>
      </c>
      <c r="I35" s="300" t="str">
        <f t="shared" si="8"/>
        <v>-</v>
      </c>
      <c r="J35" s="300" t="str">
        <f t="shared" si="9"/>
        <v>-</v>
      </c>
      <c r="K35" s="301">
        <f t="shared" si="10"/>
        <v>3.933333333333334</v>
      </c>
      <c r="L35" s="301"/>
      <c r="M35" s="302">
        <f t="shared" si="11"/>
        <v>2</v>
      </c>
      <c r="N35" s="302">
        <f t="shared" si="12"/>
        <v>1.933333333333334</v>
      </c>
      <c r="O35" s="393"/>
      <c r="P35" s="137"/>
      <c r="Q35" s="387"/>
      <c r="R35" s="18"/>
      <c r="S35" s="63"/>
      <c r="T35" s="63"/>
      <c r="U35" s="444"/>
      <c r="V35" s="444"/>
      <c r="W35" s="63"/>
      <c r="X35" s="63"/>
    </row>
    <row r="36" spans="1:26" s="16" customFormat="1">
      <c r="A36" s="140">
        <v>8961</v>
      </c>
      <c r="B36" s="140" t="s">
        <v>11</v>
      </c>
      <c r="C36" s="140" t="s">
        <v>11</v>
      </c>
      <c r="D36" s="143" t="s">
        <v>8</v>
      </c>
      <c r="E36" s="144">
        <v>43176.587546296294</v>
      </c>
      <c r="F36" s="297">
        <f t="shared" si="5"/>
        <v>43176.587546296294</v>
      </c>
      <c r="G36" s="298" t="str">
        <f t="shared" si="6"/>
        <v>14:6</v>
      </c>
      <c r="H36" s="299" t="str">
        <f t="shared" si="7"/>
        <v>-</v>
      </c>
      <c r="I36" s="300" t="str">
        <f t="shared" si="8"/>
        <v>-</v>
      </c>
      <c r="J36" s="300" t="str">
        <f t="shared" si="9"/>
        <v>-</v>
      </c>
      <c r="K36" s="301">
        <f t="shared" si="10"/>
        <v>0</v>
      </c>
      <c r="L36" s="301"/>
      <c r="M36" s="302">
        <f t="shared" si="11"/>
        <v>0</v>
      </c>
      <c r="N36" s="302">
        <f t="shared" si="12"/>
        <v>0</v>
      </c>
      <c r="O36" s="393"/>
      <c r="P36" s="137"/>
      <c r="Q36" s="387"/>
      <c r="R36" s="18"/>
      <c r="S36" s="63"/>
      <c r="T36" s="63"/>
      <c r="U36" s="444"/>
      <c r="V36" s="444"/>
      <c r="W36" s="63"/>
      <c r="X36" s="63"/>
    </row>
    <row r="37" spans="1:26" s="63" customFormat="1">
      <c r="A37" s="422">
        <v>9009</v>
      </c>
      <c r="B37" s="422" t="s">
        <v>11</v>
      </c>
      <c r="C37" s="422" t="s">
        <v>11</v>
      </c>
      <c r="D37" s="181" t="s">
        <v>6</v>
      </c>
      <c r="E37" s="180">
        <v>43178.354664351849</v>
      </c>
      <c r="F37" s="135">
        <f t="shared" si="5"/>
        <v>43178.354664351849</v>
      </c>
      <c r="G37" s="67" t="str">
        <f t="shared" si="6"/>
        <v>8:30</v>
      </c>
      <c r="H37" s="64">
        <f t="shared" si="7"/>
        <v>9.5</v>
      </c>
      <c r="I37" s="181"/>
      <c r="J37" s="66">
        <f>IF(D37="上班",IF(H37-1.5&gt;8,8,H37-1.5),"-")</f>
        <v>8</v>
      </c>
      <c r="K37" s="68">
        <f t="shared" si="10"/>
        <v>0</v>
      </c>
      <c r="L37" s="68"/>
      <c r="M37" s="65">
        <f t="shared" si="11"/>
        <v>0</v>
      </c>
      <c r="N37" s="65">
        <f t="shared" si="12"/>
        <v>0</v>
      </c>
      <c r="O37" s="186" t="s">
        <v>111</v>
      </c>
      <c r="P37" s="18"/>
      <c r="Q37" s="387"/>
      <c r="R37" s="18"/>
      <c r="U37" s="444"/>
      <c r="V37" s="444"/>
    </row>
    <row r="38" spans="1:26" s="63" customFormat="1">
      <c r="A38" s="422">
        <v>9040</v>
      </c>
      <c r="B38" s="422" t="s">
        <v>11</v>
      </c>
      <c r="C38" s="422" t="s">
        <v>11</v>
      </c>
      <c r="D38" s="181" t="s">
        <v>5</v>
      </c>
      <c r="E38" s="180">
        <v>43178.750104166669</v>
      </c>
      <c r="F38" s="135">
        <f t="shared" si="5"/>
        <v>43178.750104166669</v>
      </c>
      <c r="G38" s="67" t="str">
        <f t="shared" si="6"/>
        <v>18:0</v>
      </c>
      <c r="H38" s="64" t="str">
        <f t="shared" si="7"/>
        <v>-</v>
      </c>
      <c r="I38" s="442" t="str">
        <f t="shared" si="8"/>
        <v>-</v>
      </c>
      <c r="J38" s="66" t="str">
        <f t="shared" si="9"/>
        <v>-</v>
      </c>
      <c r="K38" s="68">
        <f t="shared" si="10"/>
        <v>0</v>
      </c>
      <c r="L38" s="68"/>
      <c r="M38" s="65">
        <f t="shared" si="11"/>
        <v>0</v>
      </c>
      <c r="N38" s="65">
        <f t="shared" si="12"/>
        <v>0</v>
      </c>
      <c r="O38" s="186"/>
      <c r="P38" s="18"/>
      <c r="Q38" s="387"/>
      <c r="R38" s="18"/>
      <c r="U38" s="444"/>
      <c r="V38" s="444"/>
    </row>
    <row r="39" spans="1:26" s="304" customFormat="1">
      <c r="A39" s="140">
        <v>9009</v>
      </c>
      <c r="B39" s="140" t="s">
        <v>11</v>
      </c>
      <c r="C39" s="140" t="s">
        <v>11</v>
      </c>
      <c r="D39" s="143" t="s">
        <v>6</v>
      </c>
      <c r="E39" s="144">
        <v>43179.362303240741</v>
      </c>
      <c r="F39" s="297">
        <f t="shared" si="5"/>
        <v>43179.362303240741</v>
      </c>
      <c r="G39" s="298" t="str">
        <f t="shared" si="6"/>
        <v>8:41</v>
      </c>
      <c r="H39" s="299">
        <f t="shared" si="7"/>
        <v>10.933333333333334</v>
      </c>
      <c r="I39" s="300">
        <f t="shared" si="8"/>
        <v>8</v>
      </c>
      <c r="J39" s="300" t="str">
        <f t="shared" si="9"/>
        <v>-</v>
      </c>
      <c r="K39" s="301">
        <f t="shared" si="10"/>
        <v>0</v>
      </c>
      <c r="L39" s="301"/>
      <c r="M39" s="302">
        <f t="shared" si="11"/>
        <v>0</v>
      </c>
      <c r="N39" s="302">
        <f t="shared" si="12"/>
        <v>0</v>
      </c>
      <c r="O39" s="393"/>
      <c r="P39" s="18"/>
      <c r="Q39" s="387"/>
      <c r="R39" s="18"/>
      <c r="S39" s="63"/>
      <c r="T39" s="63"/>
      <c r="U39" s="444"/>
      <c r="V39" s="444"/>
      <c r="W39" s="63"/>
      <c r="X39" s="63"/>
      <c r="Y39" s="63"/>
      <c r="Z39" s="305"/>
    </row>
    <row r="40" spans="1:26" s="304" customFormat="1">
      <c r="A40" s="140">
        <v>9040</v>
      </c>
      <c r="B40" s="140" t="s">
        <v>11</v>
      </c>
      <c r="C40" s="140" t="s">
        <v>11</v>
      </c>
      <c r="D40" s="143" t="s">
        <v>5</v>
      </c>
      <c r="E40" s="144">
        <v>43179.817465277774</v>
      </c>
      <c r="F40" s="297">
        <f t="shared" si="5"/>
        <v>43179.817465277774</v>
      </c>
      <c r="G40" s="298" t="str">
        <f t="shared" si="6"/>
        <v>19:37</v>
      </c>
      <c r="H40" s="299" t="str">
        <f t="shared" si="7"/>
        <v>-</v>
      </c>
      <c r="I40" s="300" t="str">
        <f t="shared" si="8"/>
        <v>-</v>
      </c>
      <c r="J40" s="300" t="str">
        <f t="shared" si="9"/>
        <v>-</v>
      </c>
      <c r="K40" s="301">
        <f t="shared" si="10"/>
        <v>0</v>
      </c>
      <c r="L40" s="301"/>
      <c r="M40" s="302">
        <f t="shared" si="11"/>
        <v>0</v>
      </c>
      <c r="N40" s="302">
        <f t="shared" si="12"/>
        <v>0</v>
      </c>
      <c r="O40" s="393"/>
      <c r="P40" s="18"/>
      <c r="Q40" s="387"/>
      <c r="R40" s="18"/>
      <c r="S40" s="18"/>
      <c r="T40" s="63"/>
      <c r="U40" s="444"/>
      <c r="V40" s="444"/>
      <c r="W40" s="63"/>
      <c r="X40" s="63"/>
      <c r="Y40" s="63"/>
      <c r="Z40" s="305"/>
    </row>
    <row r="41" spans="1:26" s="18" customFormat="1">
      <c r="A41" s="422">
        <v>9056</v>
      </c>
      <c r="B41" s="422" t="s">
        <v>78</v>
      </c>
      <c r="C41" s="422" t="s">
        <v>11</v>
      </c>
      <c r="D41" s="181" t="s">
        <v>6</v>
      </c>
      <c r="E41" s="180">
        <v>43180.597361111111</v>
      </c>
      <c r="F41" s="135">
        <f t="shared" si="5"/>
        <v>43180.597361111111</v>
      </c>
      <c r="G41" s="67" t="str">
        <f t="shared" si="6"/>
        <v>14:20</v>
      </c>
      <c r="H41" s="64">
        <f t="shared" si="7"/>
        <v>6.05</v>
      </c>
      <c r="I41" s="66">
        <v>4.5</v>
      </c>
      <c r="J41" s="66">
        <f t="shared" si="9"/>
        <v>3.5</v>
      </c>
      <c r="K41" s="68">
        <f t="shared" si="10"/>
        <v>0</v>
      </c>
      <c r="L41" s="68"/>
      <c r="M41" s="65">
        <f t="shared" si="11"/>
        <v>0</v>
      </c>
      <c r="N41" s="65">
        <f t="shared" si="12"/>
        <v>0</v>
      </c>
      <c r="O41" s="186" t="s">
        <v>111</v>
      </c>
      <c r="Q41" s="387"/>
      <c r="U41" s="444"/>
      <c r="V41" s="444"/>
      <c r="W41" s="63"/>
      <c r="X41" s="63"/>
    </row>
    <row r="42" spans="1:26" s="18" customFormat="1">
      <c r="A42" s="422">
        <v>9077</v>
      </c>
      <c r="B42" s="422" t="s">
        <v>11</v>
      </c>
      <c r="C42" s="422" t="s">
        <v>11</v>
      </c>
      <c r="D42" s="181" t="s">
        <v>5</v>
      </c>
      <c r="E42" s="180">
        <v>43180.849444444444</v>
      </c>
      <c r="F42" s="135">
        <f t="shared" si="5"/>
        <v>43180.849444444444</v>
      </c>
      <c r="G42" s="67" t="str">
        <f t="shared" si="6"/>
        <v>20:23</v>
      </c>
      <c r="H42" s="64" t="str">
        <f t="shared" si="7"/>
        <v>-</v>
      </c>
      <c r="I42" s="66" t="str">
        <f t="shared" si="8"/>
        <v>-</v>
      </c>
      <c r="J42" s="66" t="str">
        <f t="shared" si="9"/>
        <v>-</v>
      </c>
      <c r="K42" s="68">
        <f t="shared" si="10"/>
        <v>0</v>
      </c>
      <c r="L42" s="68"/>
      <c r="M42" s="65">
        <f t="shared" si="11"/>
        <v>0</v>
      </c>
      <c r="N42" s="65">
        <f t="shared" si="12"/>
        <v>0</v>
      </c>
      <c r="O42" s="186"/>
      <c r="Q42" s="387"/>
      <c r="U42" s="444"/>
      <c r="V42" s="444"/>
      <c r="W42" s="63"/>
      <c r="X42" s="63"/>
    </row>
    <row r="43" spans="1:26" s="403" customFormat="1">
      <c r="A43" s="140">
        <v>9082</v>
      </c>
      <c r="B43" s="140" t="s">
        <v>11</v>
      </c>
      <c r="C43" s="140" t="s">
        <v>11</v>
      </c>
      <c r="D43" s="143" t="s">
        <v>6</v>
      </c>
      <c r="E43" s="144">
        <v>43181.364050925928</v>
      </c>
      <c r="F43" s="297">
        <f t="shared" si="5"/>
        <v>43181.364050925928</v>
      </c>
      <c r="G43" s="298" t="str">
        <f t="shared" si="6"/>
        <v>8:44</v>
      </c>
      <c r="H43" s="299">
        <f t="shared" si="7"/>
        <v>11.183333333333335</v>
      </c>
      <c r="I43" s="300">
        <f t="shared" si="8"/>
        <v>8</v>
      </c>
      <c r="J43" s="300" t="str">
        <f t="shared" si="9"/>
        <v>-</v>
      </c>
      <c r="K43" s="301">
        <f t="shared" si="10"/>
        <v>0</v>
      </c>
      <c r="L43" s="301"/>
      <c r="M43" s="302">
        <f t="shared" si="11"/>
        <v>0</v>
      </c>
      <c r="N43" s="302">
        <f t="shared" si="12"/>
        <v>0</v>
      </c>
      <c r="O43" s="393"/>
      <c r="Q43" s="387"/>
      <c r="R43" s="18"/>
      <c r="S43" s="18"/>
      <c r="T43" s="63"/>
      <c r="U43" s="444"/>
      <c r="V43" s="444"/>
      <c r="W43" s="63"/>
      <c r="X43" s="63"/>
    </row>
    <row r="44" spans="1:26" s="403" customFormat="1">
      <c r="A44" s="140">
        <v>9109</v>
      </c>
      <c r="B44" s="140" t="s">
        <v>11</v>
      </c>
      <c r="C44" s="140" t="s">
        <v>11</v>
      </c>
      <c r="D44" s="143" t="s">
        <v>5</v>
      </c>
      <c r="E44" s="144">
        <v>43181.830023148148</v>
      </c>
      <c r="F44" s="297">
        <f t="shared" si="5"/>
        <v>43181.830023148148</v>
      </c>
      <c r="G44" s="298" t="str">
        <f t="shared" si="6"/>
        <v>19:55</v>
      </c>
      <c r="H44" s="299" t="str">
        <f t="shared" si="7"/>
        <v>-</v>
      </c>
      <c r="I44" s="300" t="str">
        <f t="shared" si="8"/>
        <v>-</v>
      </c>
      <c r="J44" s="300" t="str">
        <f t="shared" si="9"/>
        <v>-</v>
      </c>
      <c r="K44" s="301">
        <f t="shared" si="10"/>
        <v>0</v>
      </c>
      <c r="L44" s="301"/>
      <c r="M44" s="302">
        <f t="shared" si="11"/>
        <v>0</v>
      </c>
      <c r="N44" s="302">
        <f t="shared" si="12"/>
        <v>0</v>
      </c>
      <c r="O44" s="393"/>
      <c r="Q44" s="387"/>
      <c r="R44" s="18"/>
      <c r="S44" s="18"/>
      <c r="T44" s="63"/>
      <c r="U44" s="444"/>
      <c r="V44" s="444"/>
      <c r="W44" s="63"/>
      <c r="X44" s="63"/>
    </row>
    <row r="45" spans="1:26" s="16" customFormat="1">
      <c r="A45" s="140">
        <v>9118</v>
      </c>
      <c r="B45" s="140" t="s">
        <v>11</v>
      </c>
      <c r="C45" s="140" t="s">
        <v>11</v>
      </c>
      <c r="D45" s="143" t="s">
        <v>6</v>
      </c>
      <c r="E45" s="144">
        <v>43182.36246527778</v>
      </c>
      <c r="F45" s="297">
        <f t="shared" si="5"/>
        <v>43182.36246527778</v>
      </c>
      <c r="G45" s="298" t="str">
        <f t="shared" si="6"/>
        <v>8:41</v>
      </c>
      <c r="H45" s="299">
        <f t="shared" si="7"/>
        <v>9.8833333333333346</v>
      </c>
      <c r="I45" s="300">
        <f t="shared" si="8"/>
        <v>8</v>
      </c>
      <c r="J45" s="300" t="str">
        <f t="shared" si="9"/>
        <v>-</v>
      </c>
      <c r="K45" s="301">
        <f t="shared" si="10"/>
        <v>0</v>
      </c>
      <c r="L45" s="301"/>
      <c r="M45" s="302">
        <f t="shared" si="11"/>
        <v>0</v>
      </c>
      <c r="N45" s="302">
        <f t="shared" si="12"/>
        <v>0</v>
      </c>
      <c r="O45" s="393"/>
      <c r="P45" s="137"/>
      <c r="Q45" s="387"/>
      <c r="R45" s="9"/>
      <c r="S45" s="63"/>
      <c r="T45"/>
      <c r="U45" s="444"/>
      <c r="V45" s="444"/>
      <c r="W45"/>
      <c r="X45" s="396"/>
    </row>
    <row r="46" spans="1:26" s="16" customFormat="1">
      <c r="A46" s="140">
        <v>9134</v>
      </c>
      <c r="B46" s="140" t="s">
        <v>11</v>
      </c>
      <c r="C46" s="140" t="s">
        <v>11</v>
      </c>
      <c r="D46" s="143" t="s">
        <v>5</v>
      </c>
      <c r="E46" s="144">
        <v>43182.774131944447</v>
      </c>
      <c r="F46" s="297">
        <f t="shared" si="5"/>
        <v>43182.774131944447</v>
      </c>
      <c r="G46" s="298" t="str">
        <f t="shared" si="6"/>
        <v>18:34</v>
      </c>
      <c r="H46" s="299" t="str">
        <f t="shared" si="7"/>
        <v>-</v>
      </c>
      <c r="I46" s="300" t="str">
        <f t="shared" si="8"/>
        <v>-</v>
      </c>
      <c r="J46" s="300" t="str">
        <f t="shared" si="9"/>
        <v>-</v>
      </c>
      <c r="K46" s="301">
        <f t="shared" si="10"/>
        <v>0</v>
      </c>
      <c r="L46" s="301"/>
      <c r="M46" s="302">
        <f t="shared" si="11"/>
        <v>0</v>
      </c>
      <c r="N46" s="302">
        <f t="shared" si="12"/>
        <v>0</v>
      </c>
      <c r="O46" s="393"/>
      <c r="P46" s="137"/>
      <c r="Q46" s="387"/>
      <c r="R46" s="9"/>
      <c r="S46" s="63"/>
      <c r="T46"/>
      <c r="U46" s="444"/>
      <c r="V46" s="444"/>
      <c r="W46"/>
      <c r="X46" s="396"/>
    </row>
    <row r="47" spans="1:26">
      <c r="A47">
        <v>9137</v>
      </c>
      <c r="B47" t="s">
        <v>11</v>
      </c>
      <c r="C47" t="s">
        <v>11</v>
      </c>
      <c r="D47" s="143" t="s">
        <v>6</v>
      </c>
      <c r="E47" s="144">
        <v>43185.359409722223</v>
      </c>
      <c r="F47" s="297">
        <f t="shared" si="5"/>
        <v>43185.359409722223</v>
      </c>
      <c r="G47" s="298" t="str">
        <f t="shared" si="6"/>
        <v>8:37</v>
      </c>
      <c r="H47" s="299">
        <f t="shared" si="7"/>
        <v>11.516666666666667</v>
      </c>
      <c r="I47" s="300">
        <f t="shared" si="8"/>
        <v>8</v>
      </c>
      <c r="J47" s="300" t="str">
        <f t="shared" si="9"/>
        <v>-</v>
      </c>
      <c r="K47" s="301">
        <f t="shared" si="10"/>
        <v>0</v>
      </c>
      <c r="L47" s="301"/>
      <c r="M47" s="302">
        <f t="shared" si="11"/>
        <v>0</v>
      </c>
      <c r="N47" s="302">
        <f t="shared" si="12"/>
        <v>0</v>
      </c>
      <c r="O47" s="393"/>
      <c r="P47" s="307"/>
      <c r="Q47" s="387"/>
      <c r="U47" s="444"/>
      <c r="V47" s="444"/>
    </row>
    <row r="48" spans="1:26">
      <c r="A48">
        <v>9160</v>
      </c>
      <c r="B48" t="s">
        <v>11</v>
      </c>
      <c r="C48" t="s">
        <v>11</v>
      </c>
      <c r="D48" s="143" t="s">
        <v>5</v>
      </c>
      <c r="E48" s="144">
        <v>43185.839166666665</v>
      </c>
      <c r="F48" s="297">
        <f t="shared" si="5"/>
        <v>43185.839166666665</v>
      </c>
      <c r="G48" s="298" t="str">
        <f t="shared" si="6"/>
        <v>20:8</v>
      </c>
      <c r="H48" s="299" t="str">
        <f t="shared" si="7"/>
        <v>-</v>
      </c>
      <c r="I48" s="300" t="str">
        <f t="shared" si="8"/>
        <v>-</v>
      </c>
      <c r="J48" s="300" t="str">
        <f t="shared" si="9"/>
        <v>-</v>
      </c>
      <c r="K48" s="301">
        <f t="shared" si="10"/>
        <v>0</v>
      </c>
      <c r="L48" s="301"/>
      <c r="M48" s="302">
        <f t="shared" si="11"/>
        <v>0</v>
      </c>
      <c r="N48" s="302">
        <f t="shared" si="12"/>
        <v>0</v>
      </c>
      <c r="O48" s="393"/>
      <c r="P48" s="307"/>
      <c r="Q48" s="387"/>
      <c r="U48" s="444"/>
      <c r="V48" s="444"/>
    </row>
    <row r="49" spans="1:22">
      <c r="A49">
        <v>9164</v>
      </c>
      <c r="B49" t="s">
        <v>78</v>
      </c>
      <c r="C49" t="s">
        <v>11</v>
      </c>
      <c r="D49" s="143" t="s">
        <v>6</v>
      </c>
      <c r="E49" s="144">
        <v>43186.360960648148</v>
      </c>
      <c r="F49" s="297">
        <f t="shared" si="5"/>
        <v>43186.360960648148</v>
      </c>
      <c r="G49" s="298" t="str">
        <f t="shared" si="6"/>
        <v>8:39</v>
      </c>
      <c r="H49" s="299">
        <f t="shared" si="7"/>
        <v>10.85</v>
      </c>
      <c r="I49" s="300">
        <f t="shared" si="8"/>
        <v>8</v>
      </c>
      <c r="J49" s="300" t="str">
        <f t="shared" si="9"/>
        <v>-</v>
      </c>
      <c r="K49" s="301">
        <f t="shared" si="10"/>
        <v>0</v>
      </c>
      <c r="L49" s="301"/>
      <c r="M49" s="302">
        <f t="shared" si="11"/>
        <v>0</v>
      </c>
      <c r="N49" s="302">
        <f t="shared" si="12"/>
        <v>0</v>
      </c>
      <c r="O49" s="393"/>
      <c r="P49" s="307"/>
      <c r="Q49" s="387"/>
      <c r="U49" s="444"/>
      <c r="V49" s="444"/>
    </row>
    <row r="50" spans="1:22">
      <c r="A50">
        <v>9184</v>
      </c>
      <c r="B50" t="s">
        <v>11</v>
      </c>
      <c r="C50" t="s">
        <v>11</v>
      </c>
      <c r="D50" s="143" t="s">
        <v>5</v>
      </c>
      <c r="E50" s="144">
        <v>43186.812974537039</v>
      </c>
      <c r="F50" s="297">
        <f t="shared" si="5"/>
        <v>43186.812974537039</v>
      </c>
      <c r="G50" s="298" t="str">
        <f t="shared" si="6"/>
        <v>19:30</v>
      </c>
      <c r="H50" s="299" t="str">
        <f t="shared" si="7"/>
        <v>-</v>
      </c>
      <c r="I50" s="300" t="str">
        <f t="shared" si="8"/>
        <v>-</v>
      </c>
      <c r="J50" s="300" t="str">
        <f t="shared" si="9"/>
        <v>-</v>
      </c>
      <c r="K50" s="301">
        <f t="shared" si="10"/>
        <v>0</v>
      </c>
      <c r="L50" s="301"/>
      <c r="M50" s="302">
        <f t="shared" si="11"/>
        <v>0</v>
      </c>
      <c r="N50" s="302">
        <f t="shared" si="12"/>
        <v>0</v>
      </c>
      <c r="O50" s="393"/>
      <c r="P50" s="307"/>
      <c r="Q50" s="387"/>
      <c r="U50" s="444"/>
      <c r="V50" s="444"/>
    </row>
    <row r="51" spans="1:22">
      <c r="A51">
        <v>9190</v>
      </c>
      <c r="B51" t="s">
        <v>11</v>
      </c>
      <c r="C51" t="s">
        <v>11</v>
      </c>
      <c r="D51" s="143" t="s">
        <v>6</v>
      </c>
      <c r="E51" s="144">
        <v>43187.35533564815</v>
      </c>
      <c r="F51" s="297">
        <f t="shared" si="5"/>
        <v>43187.35533564815</v>
      </c>
      <c r="G51" s="298" t="str">
        <f t="shared" si="6"/>
        <v>8:31</v>
      </c>
      <c r="H51" s="299">
        <f t="shared" si="7"/>
        <v>14.283333333333333</v>
      </c>
      <c r="I51" s="300">
        <f t="shared" si="8"/>
        <v>8</v>
      </c>
      <c r="J51" s="300" t="str">
        <f t="shared" si="9"/>
        <v>-</v>
      </c>
      <c r="K51" s="301">
        <f t="shared" si="10"/>
        <v>0</v>
      </c>
      <c r="L51" s="301"/>
      <c r="M51" s="302">
        <f t="shared" si="11"/>
        <v>0</v>
      </c>
      <c r="N51" s="302">
        <f t="shared" si="12"/>
        <v>0</v>
      </c>
      <c r="O51" s="393"/>
      <c r="P51" s="307"/>
      <c r="Q51" s="387"/>
      <c r="U51" s="444"/>
      <c r="V51" s="444"/>
    </row>
    <row r="52" spans="1:22">
      <c r="A52">
        <v>9225</v>
      </c>
      <c r="B52" t="s">
        <v>11</v>
      </c>
      <c r="C52" t="s">
        <v>11</v>
      </c>
      <c r="D52" s="143" t="s">
        <v>5</v>
      </c>
      <c r="E52" s="144">
        <v>43187.950115740743</v>
      </c>
      <c r="F52" s="297">
        <f t="shared" si="5"/>
        <v>43187.950115740743</v>
      </c>
      <c r="G52" s="298" t="str">
        <f t="shared" si="6"/>
        <v>22:48</v>
      </c>
      <c r="H52" s="299" t="str">
        <f t="shared" si="7"/>
        <v>-</v>
      </c>
      <c r="I52" s="300" t="str">
        <f t="shared" si="8"/>
        <v>-</v>
      </c>
      <c r="J52" s="300" t="str">
        <f t="shared" si="9"/>
        <v>-</v>
      </c>
      <c r="K52" s="301">
        <f t="shared" si="10"/>
        <v>0</v>
      </c>
      <c r="L52" s="301"/>
      <c r="M52" s="302">
        <f t="shared" si="11"/>
        <v>0</v>
      </c>
      <c r="N52" s="302">
        <f t="shared" si="12"/>
        <v>0</v>
      </c>
      <c r="O52" s="393"/>
      <c r="P52" s="307"/>
      <c r="Q52" s="387"/>
      <c r="U52" s="444"/>
      <c r="V52" s="444"/>
    </row>
    <row r="53" spans="1:22">
      <c r="A53">
        <v>9228</v>
      </c>
      <c r="B53" t="s">
        <v>11</v>
      </c>
      <c r="C53" t="s">
        <v>11</v>
      </c>
      <c r="D53" s="143" t="s">
        <v>6</v>
      </c>
      <c r="E53" s="144">
        <v>43188.364201388889</v>
      </c>
      <c r="F53" s="297">
        <f t="shared" si="5"/>
        <v>43188.364201388889</v>
      </c>
      <c r="G53" s="298" t="str">
        <f t="shared" si="6"/>
        <v>8:44</v>
      </c>
      <c r="H53" s="299">
        <f t="shared" si="7"/>
        <v>10.533333333333331</v>
      </c>
      <c r="I53" s="300">
        <f t="shared" si="8"/>
        <v>8</v>
      </c>
      <c r="J53" s="300" t="str">
        <f t="shared" si="9"/>
        <v>-</v>
      </c>
      <c r="K53" s="301">
        <f t="shared" si="10"/>
        <v>0</v>
      </c>
      <c r="L53" s="301"/>
      <c r="M53" s="302">
        <f t="shared" si="11"/>
        <v>0</v>
      </c>
      <c r="N53" s="302">
        <f t="shared" si="12"/>
        <v>0</v>
      </c>
      <c r="O53" s="393"/>
      <c r="P53" s="307"/>
      <c r="Q53" s="387"/>
      <c r="U53" s="444"/>
      <c r="V53" s="444"/>
    </row>
    <row r="54" spans="1:22">
      <c r="A54">
        <v>9251</v>
      </c>
      <c r="B54" t="s">
        <v>11</v>
      </c>
      <c r="C54" t="s">
        <v>11</v>
      </c>
      <c r="D54" s="143" t="s">
        <v>5</v>
      </c>
      <c r="E54" s="144">
        <v>43188.802905092591</v>
      </c>
      <c r="F54" s="297">
        <f t="shared" si="5"/>
        <v>43188.802905092591</v>
      </c>
      <c r="G54" s="298" t="str">
        <f t="shared" si="6"/>
        <v>19:16</v>
      </c>
      <c r="H54" s="299" t="str">
        <f t="shared" si="7"/>
        <v>-</v>
      </c>
      <c r="I54" s="300" t="str">
        <f t="shared" si="8"/>
        <v>-</v>
      </c>
      <c r="J54" s="300" t="str">
        <f t="shared" si="9"/>
        <v>-</v>
      </c>
      <c r="K54" s="301">
        <f t="shared" si="10"/>
        <v>0</v>
      </c>
      <c r="L54" s="301"/>
      <c r="M54" s="302">
        <f t="shared" si="11"/>
        <v>0</v>
      </c>
      <c r="N54" s="302">
        <f t="shared" si="12"/>
        <v>0</v>
      </c>
      <c r="O54" s="393"/>
      <c r="P54" s="307"/>
      <c r="Q54" s="387"/>
      <c r="U54" s="444"/>
      <c r="V54" s="444"/>
    </row>
    <row r="55" spans="1:22">
      <c r="A55">
        <v>9259</v>
      </c>
      <c r="B55" t="s">
        <v>11</v>
      </c>
      <c r="C55" t="s">
        <v>11</v>
      </c>
      <c r="D55" s="143" t="s">
        <v>6</v>
      </c>
      <c r="E55" s="144">
        <v>43189.359861111108</v>
      </c>
      <c r="F55" s="297">
        <f t="shared" si="5"/>
        <v>43189.359861111108</v>
      </c>
      <c r="G55" s="298" t="str">
        <f t="shared" si="6"/>
        <v>8:38</v>
      </c>
      <c r="H55" s="299">
        <f t="shared" si="7"/>
        <v>10.866666666666667</v>
      </c>
      <c r="I55" s="300">
        <f t="shared" si="8"/>
        <v>8</v>
      </c>
      <c r="J55" s="300" t="str">
        <f t="shared" si="9"/>
        <v>-</v>
      </c>
      <c r="K55" s="301">
        <f t="shared" si="10"/>
        <v>0</v>
      </c>
      <c r="L55" s="301"/>
      <c r="M55" s="302">
        <f t="shared" si="11"/>
        <v>0</v>
      </c>
      <c r="N55" s="302">
        <f t="shared" si="12"/>
        <v>0</v>
      </c>
      <c r="O55" s="393"/>
      <c r="P55" s="307"/>
      <c r="Q55" s="387"/>
      <c r="U55" s="444"/>
      <c r="V55" s="444"/>
    </row>
    <row r="56" spans="1:22">
      <c r="A56">
        <v>9280</v>
      </c>
      <c r="B56" t="s">
        <v>11</v>
      </c>
      <c r="C56" t="s">
        <v>11</v>
      </c>
      <c r="D56" s="143" t="s">
        <v>5</v>
      </c>
      <c r="E56" s="144">
        <v>43189.8125462963</v>
      </c>
      <c r="F56" s="297">
        <f t="shared" si="5"/>
        <v>43189.8125462963</v>
      </c>
      <c r="G56" s="298" t="str">
        <f t="shared" si="6"/>
        <v>19:30</v>
      </c>
      <c r="H56" s="299" t="str">
        <f t="shared" si="7"/>
        <v>-</v>
      </c>
      <c r="I56" s="300" t="str">
        <f t="shared" si="8"/>
        <v>-</v>
      </c>
      <c r="J56" s="300" t="str">
        <f t="shared" si="9"/>
        <v>-</v>
      </c>
      <c r="K56" s="301">
        <f t="shared" si="10"/>
        <v>0</v>
      </c>
      <c r="L56" s="301"/>
      <c r="M56" s="302">
        <f t="shared" si="11"/>
        <v>0</v>
      </c>
      <c r="N56" s="302">
        <f t="shared" si="12"/>
        <v>0</v>
      </c>
      <c r="O56" s="393"/>
      <c r="P56" s="307"/>
      <c r="Q56" s="387"/>
      <c r="U56" s="444"/>
      <c r="V56" s="444"/>
    </row>
    <row r="57" spans="1:22">
      <c r="A57">
        <v>9285</v>
      </c>
      <c r="B57" t="s">
        <v>78</v>
      </c>
      <c r="C57" t="s">
        <v>11</v>
      </c>
      <c r="D57" s="143" t="s">
        <v>6</v>
      </c>
      <c r="E57" s="144">
        <v>43190.361770833333</v>
      </c>
      <c r="F57" s="297">
        <f t="shared" si="5"/>
        <v>43190.361770833333</v>
      </c>
      <c r="G57" s="298" t="str">
        <f t="shared" si="6"/>
        <v>8:40</v>
      </c>
      <c r="H57" s="299">
        <f t="shared" si="7"/>
        <v>10.966666666666667</v>
      </c>
      <c r="I57" s="300">
        <f t="shared" si="8"/>
        <v>8</v>
      </c>
      <c r="J57" s="300" t="str">
        <f t="shared" si="9"/>
        <v>-</v>
      </c>
      <c r="K57" s="301">
        <f t="shared" si="10"/>
        <v>0</v>
      </c>
      <c r="L57" s="301"/>
      <c r="M57" s="302">
        <f t="shared" si="11"/>
        <v>0</v>
      </c>
      <c r="N57" s="302">
        <f t="shared" si="12"/>
        <v>0</v>
      </c>
      <c r="O57" s="393"/>
      <c r="P57" s="307"/>
      <c r="Q57" s="387"/>
      <c r="U57" s="444"/>
      <c r="V57" s="444"/>
    </row>
    <row r="58" spans="1:22">
      <c r="A58">
        <v>9307</v>
      </c>
      <c r="B58" t="s">
        <v>11</v>
      </c>
      <c r="C58" t="s">
        <v>11</v>
      </c>
      <c r="D58" s="143" t="s">
        <v>5</v>
      </c>
      <c r="E58" s="144">
        <v>43190.818657407406</v>
      </c>
      <c r="F58" s="297">
        <f t="shared" si="5"/>
        <v>43190.818657407406</v>
      </c>
      <c r="G58" s="298" t="str">
        <f t="shared" si="6"/>
        <v>19:38</v>
      </c>
      <c r="H58" s="299" t="str">
        <f t="shared" si="7"/>
        <v>-</v>
      </c>
      <c r="I58" s="300" t="str">
        <f t="shared" si="8"/>
        <v>-</v>
      </c>
      <c r="J58" s="300" t="str">
        <f t="shared" si="9"/>
        <v>-</v>
      </c>
      <c r="K58" s="301">
        <f t="shared" si="10"/>
        <v>0</v>
      </c>
      <c r="L58" s="301"/>
      <c r="M58" s="302">
        <f t="shared" si="11"/>
        <v>0</v>
      </c>
      <c r="N58" s="302">
        <f t="shared" si="12"/>
        <v>0</v>
      </c>
      <c r="O58" s="393"/>
      <c r="P58" s="307"/>
      <c r="Q58" s="387"/>
      <c r="U58" s="444"/>
      <c r="V58" s="444"/>
    </row>
    <row r="59" spans="1:22">
      <c r="O59" s="307"/>
      <c r="P59" s="307"/>
      <c r="Q59" s="307"/>
      <c r="R59" s="307"/>
      <c r="S59" s="307"/>
      <c r="T59" s="307"/>
      <c r="U59" s="307"/>
      <c r="V59" s="387"/>
    </row>
    <row r="60" spans="1:22">
      <c r="O60" s="307"/>
      <c r="P60" s="307"/>
    </row>
    <row r="61" spans="1:22">
      <c r="D61" s="9" t="s">
        <v>37</v>
      </c>
      <c r="O61" s="307"/>
      <c r="P61" s="307"/>
    </row>
    <row r="62" spans="1:22">
      <c r="D62" s="9" t="s">
        <v>36</v>
      </c>
      <c r="O62" s="307"/>
      <c r="P62" s="307"/>
    </row>
    <row r="63" spans="1:22">
      <c r="D63" s="172" t="s">
        <v>64</v>
      </c>
      <c r="O63" s="307"/>
      <c r="P63" s="307"/>
    </row>
    <row r="64" spans="1:22">
      <c r="D64" t="s">
        <v>67</v>
      </c>
      <c r="O64" s="307"/>
      <c r="P64" s="307"/>
    </row>
    <row r="65" spans="4:16">
      <c r="D65" t="s">
        <v>65</v>
      </c>
      <c r="O65" s="307"/>
      <c r="P65" s="307"/>
    </row>
    <row r="66" spans="4:16">
      <c r="D66" t="s">
        <v>69</v>
      </c>
      <c r="O66" s="307"/>
      <c r="P66" s="307"/>
    </row>
    <row r="67" spans="4:16">
      <c r="D67" t="s">
        <v>70</v>
      </c>
      <c r="O67" s="307"/>
      <c r="P67" s="307"/>
    </row>
    <row r="68" spans="4:16">
      <c r="D68" t="s">
        <v>66</v>
      </c>
      <c r="O68" s="307"/>
      <c r="P68" s="307"/>
    </row>
    <row r="69" spans="4:16">
      <c r="D69" t="s">
        <v>68</v>
      </c>
      <c r="O69" s="307"/>
      <c r="P69" s="307"/>
    </row>
    <row r="70" spans="4:16">
      <c r="O70" s="307"/>
      <c r="P70" s="307"/>
    </row>
    <row r="71" spans="4:16">
      <c r="O71" s="307"/>
      <c r="P71" s="307"/>
    </row>
    <row r="72" spans="4:16">
      <c r="O72" s="307"/>
      <c r="P72" s="307"/>
    </row>
  </sheetData>
  <phoneticPr fontId="18" type="noConversion"/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V73"/>
  <sheetViews>
    <sheetView workbookViewId="0"/>
  </sheetViews>
  <sheetFormatPr defaultColWidth="8.875" defaultRowHeight="16.5" outlineLevelCol="1"/>
  <cols>
    <col min="1" max="2" width="6.875" customWidth="1" outlineLevel="1"/>
    <col min="3" max="3" width="6.5" style="3" customWidth="1" outlineLevel="1"/>
    <col min="4" max="4" width="9.625" style="3" customWidth="1"/>
    <col min="5" max="5" width="15.125" style="3" customWidth="1"/>
    <col min="6" max="6" width="7.5" style="16" customWidth="1"/>
    <col min="7" max="7" width="8.625" style="17" hidden="1" customWidth="1" outlineLevel="1"/>
    <col min="8" max="8" width="6.125" style="51" hidden="1" customWidth="1" outlineLevel="1"/>
    <col min="9" max="9" width="11" style="21" customWidth="1" collapsed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9.125" style="22" customWidth="1"/>
    <col min="15" max="15" width="17.62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2" s="4" customFormat="1" ht="28.5" thickBot="1">
      <c r="C1" s="5"/>
      <c r="D1" s="6"/>
      <c r="E1" s="6"/>
      <c r="F1" s="10"/>
      <c r="G1" s="11"/>
      <c r="H1" s="12"/>
      <c r="I1" s="13" t="str">
        <f>B7</f>
        <v>amber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2">
      <c r="D2" s="133" t="s">
        <v>75</v>
      </c>
      <c r="E2" s="184">
        <v>0</v>
      </c>
      <c r="F2" s="79" t="s">
        <v>76</v>
      </c>
      <c r="G2" s="80"/>
      <c r="H2" s="80"/>
      <c r="I2" s="81"/>
      <c r="J2" s="81" t="s">
        <v>54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2" ht="17.25" thickBot="1">
      <c r="D3" s="24" t="s">
        <v>77</v>
      </c>
      <c r="E3" s="188">
        <v>0</v>
      </c>
      <c r="F3" s="25"/>
      <c r="G3" s="26"/>
      <c r="H3" s="26"/>
      <c r="I3" s="88"/>
      <c r="J3" s="54">
        <f>D5+E5</f>
        <v>25.5</v>
      </c>
      <c r="K3" s="53">
        <f>SUM(K7:K94)</f>
        <v>9.5833333333333357</v>
      </c>
      <c r="L3" s="53">
        <f>M6+N6</f>
        <v>9.5833333333333357</v>
      </c>
      <c r="M3" s="53">
        <v>0</v>
      </c>
      <c r="N3" s="53">
        <v>0</v>
      </c>
      <c r="O3" s="50"/>
    </row>
    <row r="4" spans="1:22">
      <c r="D4" s="134" t="s">
        <v>46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2">
      <c r="D5" s="392">
        <f>J6</f>
        <v>25.5</v>
      </c>
      <c r="E5" s="136">
        <v>0</v>
      </c>
      <c r="F5" s="139">
        <v>0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5.989583333333335E-2</v>
      </c>
    </row>
    <row r="6" spans="1:22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SUM(I7:I70)</f>
        <v>158.5</v>
      </c>
      <c r="J6" s="78">
        <f t="shared" ref="J6:N6" si="0">SUM(J7:J70)</f>
        <v>25.5</v>
      </c>
      <c r="K6" s="78">
        <f t="shared" si="0"/>
        <v>9.5833333333333357</v>
      </c>
      <c r="L6" s="78">
        <f t="shared" si="0"/>
        <v>0</v>
      </c>
      <c r="M6" s="78">
        <f t="shared" si="0"/>
        <v>5.31666666666667</v>
      </c>
      <c r="N6" s="78">
        <f t="shared" si="0"/>
        <v>4.2666666666666648</v>
      </c>
      <c r="O6" s="45"/>
      <c r="Q6" s="47"/>
    </row>
    <row r="7" spans="1:22" s="16" customFormat="1">
      <c r="A7" s="426">
        <v>8499</v>
      </c>
      <c r="B7" s="426" t="s">
        <v>9</v>
      </c>
      <c r="C7" s="426" t="s">
        <v>9</v>
      </c>
      <c r="D7" s="430" t="s">
        <v>6</v>
      </c>
      <c r="E7" s="431">
        <v>43160.725474537037</v>
      </c>
      <c r="F7" s="31">
        <f t="shared" ref="F7" si="1">E7</f>
        <v>43160.725474537037</v>
      </c>
      <c r="G7" s="32" t="str">
        <f t="shared" ref="G7" si="2">HOUR(E7)&amp;":"&amp;MINUTE(E7)</f>
        <v>17:24</v>
      </c>
      <c r="H7" s="33">
        <f t="shared" ref="H7" si="3">IF(D7="上班",(G8-G7)*24,"-")</f>
        <v>1.4833333333333334</v>
      </c>
      <c r="I7" s="58">
        <v>1</v>
      </c>
      <c r="J7" s="58">
        <f t="shared" ref="J7" si="4">IF(I7&lt;8,8-I7,"-")</f>
        <v>7</v>
      </c>
      <c r="K7" s="34">
        <f t="shared" ref="K7" si="5">IF(D7="加班",(G8-G7)*24,0)</f>
        <v>0</v>
      </c>
      <c r="L7" s="34"/>
      <c r="M7" s="35">
        <f t="shared" ref="M7" si="6">IF(K7&gt;2,2,K7)</f>
        <v>0</v>
      </c>
      <c r="N7" s="35">
        <f t="shared" ref="N7" si="7">IF(K7&gt;2,K7-2,0)</f>
        <v>0</v>
      </c>
      <c r="O7" s="36" t="s">
        <v>114</v>
      </c>
      <c r="P7" s="137"/>
      <c r="Q7" s="137"/>
      <c r="R7" s="137"/>
      <c r="S7" s="137"/>
    </row>
    <row r="8" spans="1:22" s="16" customFormat="1">
      <c r="A8" s="140">
        <v>8512</v>
      </c>
      <c r="B8" s="140" t="s">
        <v>9</v>
      </c>
      <c r="C8" s="140" t="s">
        <v>9</v>
      </c>
      <c r="D8" s="143" t="s">
        <v>5</v>
      </c>
      <c r="E8" s="144">
        <v>43160.787256944444</v>
      </c>
      <c r="F8" s="89">
        <f t="shared" ref="F8:F62" si="8">E8</f>
        <v>43160.787256944444</v>
      </c>
      <c r="G8" s="90" t="str">
        <f t="shared" ref="G8:G62" si="9">HOUR(E8)&amp;":"&amp;MINUTE(E8)</f>
        <v>18:53</v>
      </c>
      <c r="H8" s="91" t="str">
        <f t="shared" ref="H8:H62" si="10">IF(D8="上班",(G9-G8)*24,"-")</f>
        <v>-</v>
      </c>
      <c r="I8" s="92" t="str">
        <f t="shared" ref="I8:I62" si="11">IF(D8="上班",IF(H8-1.5&gt;8,8,H8-1.5),"-")</f>
        <v>-</v>
      </c>
      <c r="J8" s="92" t="str">
        <f t="shared" ref="J8:J62" si="12">IF(I8&lt;8,8-I8,"-")</f>
        <v>-</v>
      </c>
      <c r="K8" s="93">
        <f t="shared" ref="K8:K62" si="13">IF(D8="加班",(G9-G8)*24,0)</f>
        <v>0</v>
      </c>
      <c r="L8" s="93"/>
      <c r="M8" s="94">
        <f t="shared" ref="M8:M62" si="14">IF(K8&gt;2,2,K8)</f>
        <v>0</v>
      </c>
      <c r="N8" s="94">
        <f t="shared" ref="N8:N62" si="15">IF(K8&gt;2,K8-2,0)</f>
        <v>0</v>
      </c>
      <c r="O8" s="171"/>
      <c r="P8" s="137"/>
      <c r="Q8" s="137"/>
      <c r="R8" s="137"/>
      <c r="S8" s="137"/>
    </row>
    <row r="9" spans="1:22" s="427" customFormat="1">
      <c r="A9" s="429">
        <v>8522</v>
      </c>
      <c r="B9" s="429" t="s">
        <v>9</v>
      </c>
      <c r="C9" s="429" t="s">
        <v>9</v>
      </c>
      <c r="D9" s="445" t="s">
        <v>6</v>
      </c>
      <c r="E9" s="446">
        <v>43161.363958333335</v>
      </c>
      <c r="F9" s="135">
        <f t="shared" si="8"/>
        <v>43161.363958333335</v>
      </c>
      <c r="G9" s="67" t="str">
        <f t="shared" si="9"/>
        <v>8:44</v>
      </c>
      <c r="H9" s="64">
        <f t="shared" si="10"/>
        <v>3.6666666666666683</v>
      </c>
      <c r="I9" s="66">
        <f>H9</f>
        <v>3.6666666666666683</v>
      </c>
      <c r="J9" s="66"/>
      <c r="K9" s="68">
        <f t="shared" si="13"/>
        <v>0</v>
      </c>
      <c r="L9" s="68"/>
      <c r="M9" s="65">
        <f t="shared" si="14"/>
        <v>0</v>
      </c>
      <c r="N9" s="65">
        <f t="shared" si="15"/>
        <v>0</v>
      </c>
      <c r="O9" s="186" t="s">
        <v>114</v>
      </c>
    </row>
    <row r="10" spans="1:22" s="427" customFormat="1">
      <c r="A10" s="429">
        <v>8532</v>
      </c>
      <c r="B10" s="429" t="s">
        <v>9</v>
      </c>
      <c r="C10" s="429" t="s">
        <v>9</v>
      </c>
      <c r="D10" s="445" t="s">
        <v>5</v>
      </c>
      <c r="E10" s="446">
        <v>43161.517256944448</v>
      </c>
      <c r="F10" s="135">
        <f t="shared" si="8"/>
        <v>43161.517256944448</v>
      </c>
      <c r="G10" s="67" t="str">
        <f t="shared" si="9"/>
        <v>12:24</v>
      </c>
      <c r="H10" s="64" t="str">
        <f t="shared" si="10"/>
        <v>-</v>
      </c>
      <c r="I10" s="66" t="str">
        <f t="shared" si="11"/>
        <v>-</v>
      </c>
      <c r="J10" s="66" t="str">
        <f t="shared" si="12"/>
        <v>-</v>
      </c>
      <c r="K10" s="68">
        <f t="shared" si="13"/>
        <v>0</v>
      </c>
      <c r="L10" s="68"/>
      <c r="M10" s="65">
        <f t="shared" si="14"/>
        <v>0</v>
      </c>
      <c r="N10" s="65">
        <f t="shared" si="15"/>
        <v>0</v>
      </c>
      <c r="O10" s="186"/>
      <c r="V10" s="428"/>
    </row>
    <row r="11" spans="1:22" s="427" customFormat="1">
      <c r="A11" s="429">
        <v>8533</v>
      </c>
      <c r="B11" s="429" t="s">
        <v>9</v>
      </c>
      <c r="C11" s="429" t="s">
        <v>9</v>
      </c>
      <c r="D11" s="445" t="s">
        <v>6</v>
      </c>
      <c r="E11" s="446">
        <v>43161.679837962962</v>
      </c>
      <c r="F11" s="135">
        <f t="shared" si="8"/>
        <v>43161.679837962962</v>
      </c>
      <c r="G11" s="67" t="str">
        <f t="shared" si="9"/>
        <v>16:18</v>
      </c>
      <c r="H11" s="64">
        <f t="shared" si="10"/>
        <v>1.9166666666666652</v>
      </c>
      <c r="I11" s="66">
        <f>8-I9-J11</f>
        <v>1.8333333333333321</v>
      </c>
      <c r="J11" s="66">
        <v>2.5</v>
      </c>
      <c r="K11" s="68">
        <f t="shared" si="13"/>
        <v>0</v>
      </c>
      <c r="L11" s="68"/>
      <c r="M11" s="65">
        <f t="shared" si="14"/>
        <v>0</v>
      </c>
      <c r="N11" s="65">
        <f t="shared" si="15"/>
        <v>0</v>
      </c>
      <c r="O11" s="186" t="s">
        <v>44</v>
      </c>
    </row>
    <row r="12" spans="1:22" s="427" customFormat="1">
      <c r="A12" s="429">
        <v>8534</v>
      </c>
      <c r="B12" s="429" t="s">
        <v>9</v>
      </c>
      <c r="C12" s="429" t="s">
        <v>9</v>
      </c>
      <c r="D12" s="445" t="s">
        <v>5</v>
      </c>
      <c r="E12" s="446">
        <v>43161.759039351855</v>
      </c>
      <c r="F12" s="135">
        <f t="shared" si="8"/>
        <v>43161.759039351855</v>
      </c>
      <c r="G12" s="67" t="str">
        <f t="shared" si="9"/>
        <v>18:13</v>
      </c>
      <c r="H12" s="64" t="str">
        <f t="shared" si="10"/>
        <v>-</v>
      </c>
      <c r="I12" s="66" t="str">
        <f t="shared" si="11"/>
        <v>-</v>
      </c>
      <c r="J12" s="66" t="str">
        <f t="shared" si="12"/>
        <v>-</v>
      </c>
      <c r="K12" s="68">
        <f t="shared" si="13"/>
        <v>0</v>
      </c>
      <c r="L12" s="68"/>
      <c r="M12" s="65">
        <f t="shared" si="14"/>
        <v>0</v>
      </c>
      <c r="N12" s="65">
        <f t="shared" si="15"/>
        <v>0</v>
      </c>
      <c r="O12" s="186"/>
    </row>
    <row r="13" spans="1:22" s="187" customFormat="1">
      <c r="A13" s="433">
        <v>8565</v>
      </c>
      <c r="B13" s="433" t="s">
        <v>93</v>
      </c>
      <c r="C13" s="433" t="s">
        <v>9</v>
      </c>
      <c r="D13" s="434" t="s">
        <v>6</v>
      </c>
      <c r="E13" s="435">
        <v>43164.373113425929</v>
      </c>
      <c r="F13" s="436">
        <f t="shared" si="8"/>
        <v>43164.373113425929</v>
      </c>
      <c r="G13" s="437" t="str">
        <f t="shared" si="9"/>
        <v>8:57</v>
      </c>
      <c r="H13" s="438">
        <f t="shared" si="10"/>
        <v>8.1999999999999993</v>
      </c>
      <c r="I13" s="439">
        <v>6.5</v>
      </c>
      <c r="J13" s="439">
        <f t="shared" si="12"/>
        <v>1.5</v>
      </c>
      <c r="K13" s="440">
        <f t="shared" si="13"/>
        <v>0</v>
      </c>
      <c r="L13" s="440"/>
      <c r="M13" s="441">
        <f t="shared" si="14"/>
        <v>0</v>
      </c>
      <c r="N13" s="441">
        <f t="shared" si="15"/>
        <v>0</v>
      </c>
      <c r="O13" s="432" t="s">
        <v>114</v>
      </c>
    </row>
    <row r="14" spans="1:22" s="16" customFormat="1">
      <c r="A14" s="140">
        <v>8570</v>
      </c>
      <c r="B14" s="140" t="s">
        <v>9</v>
      </c>
      <c r="C14" s="140" t="s">
        <v>9</v>
      </c>
      <c r="D14" s="143" t="s">
        <v>5</v>
      </c>
      <c r="E14" s="144">
        <v>43164.71471064815</v>
      </c>
      <c r="F14" s="89">
        <f t="shared" si="8"/>
        <v>43164.71471064815</v>
      </c>
      <c r="G14" s="90" t="str">
        <f t="shared" si="9"/>
        <v>17:9</v>
      </c>
      <c r="H14" s="91" t="str">
        <f t="shared" si="10"/>
        <v>-</v>
      </c>
      <c r="I14" s="92" t="str">
        <f t="shared" si="11"/>
        <v>-</v>
      </c>
      <c r="J14" s="92" t="str">
        <f t="shared" si="12"/>
        <v>-</v>
      </c>
      <c r="K14" s="93">
        <f t="shared" si="13"/>
        <v>0</v>
      </c>
      <c r="L14" s="93"/>
      <c r="M14" s="94">
        <f t="shared" si="14"/>
        <v>0</v>
      </c>
      <c r="N14" s="94">
        <f t="shared" si="15"/>
        <v>0</v>
      </c>
      <c r="O14" s="171"/>
      <c r="P14" s="137"/>
      <c r="Q14" s="137"/>
      <c r="R14" s="137"/>
      <c r="S14" s="137"/>
    </row>
    <row r="15" spans="1:22" s="137" customFormat="1">
      <c r="A15" s="426">
        <v>8600</v>
      </c>
      <c r="B15" s="426" t="s">
        <v>9</v>
      </c>
      <c r="C15" s="426" t="s">
        <v>9</v>
      </c>
      <c r="D15" s="138" t="s">
        <v>6</v>
      </c>
      <c r="E15" s="146">
        <v>43165.369710648149</v>
      </c>
      <c r="F15" s="31">
        <f t="shared" si="8"/>
        <v>43165.369710648149</v>
      </c>
      <c r="G15" s="32" t="str">
        <f t="shared" si="9"/>
        <v>8:52</v>
      </c>
      <c r="H15" s="33">
        <f t="shared" si="10"/>
        <v>9.1333333333333329</v>
      </c>
      <c r="I15" s="58">
        <v>7.5</v>
      </c>
      <c r="J15" s="58">
        <f t="shared" si="12"/>
        <v>0.5</v>
      </c>
      <c r="K15" s="34">
        <f t="shared" si="13"/>
        <v>0</v>
      </c>
      <c r="L15" s="34"/>
      <c r="M15" s="35">
        <f t="shared" si="14"/>
        <v>0</v>
      </c>
      <c r="N15" s="35">
        <f t="shared" si="15"/>
        <v>0</v>
      </c>
      <c r="O15" s="432" t="s">
        <v>114</v>
      </c>
    </row>
    <row r="16" spans="1:22" s="137" customFormat="1">
      <c r="A16" s="140">
        <v>8604</v>
      </c>
      <c r="B16" s="140" t="s">
        <v>9</v>
      </c>
      <c r="C16" s="140" t="s">
        <v>9</v>
      </c>
      <c r="D16" s="143" t="s">
        <v>5</v>
      </c>
      <c r="E16" s="144">
        <v>43165.750092592592</v>
      </c>
      <c r="F16" s="89">
        <f t="shared" si="8"/>
        <v>43165.750092592592</v>
      </c>
      <c r="G16" s="90" t="str">
        <f t="shared" si="9"/>
        <v>18:0</v>
      </c>
      <c r="H16" s="91" t="str">
        <f t="shared" si="10"/>
        <v>-</v>
      </c>
      <c r="I16" s="92" t="str">
        <f t="shared" si="11"/>
        <v>-</v>
      </c>
      <c r="J16" s="92" t="str">
        <f t="shared" si="12"/>
        <v>-</v>
      </c>
      <c r="K16" s="93">
        <f t="shared" si="13"/>
        <v>0</v>
      </c>
      <c r="L16" s="93"/>
      <c r="M16" s="94">
        <f t="shared" si="14"/>
        <v>0</v>
      </c>
      <c r="N16" s="94">
        <f t="shared" si="15"/>
        <v>0</v>
      </c>
      <c r="O16" s="171"/>
    </row>
    <row r="17" spans="1:16" s="137" customFormat="1">
      <c r="A17" s="426">
        <v>8632</v>
      </c>
      <c r="B17" s="426" t="s">
        <v>9</v>
      </c>
      <c r="C17" s="426" t="s">
        <v>9</v>
      </c>
      <c r="D17" s="138" t="s">
        <v>6</v>
      </c>
      <c r="E17" s="146">
        <v>43166.369409722225</v>
      </c>
      <c r="F17" s="31">
        <f t="shared" si="8"/>
        <v>43166.369409722225</v>
      </c>
      <c r="G17" s="32" t="str">
        <f t="shared" si="9"/>
        <v>8:51</v>
      </c>
      <c r="H17" s="33">
        <f t="shared" si="10"/>
        <v>8.4</v>
      </c>
      <c r="I17" s="58">
        <v>6.5</v>
      </c>
      <c r="J17" s="58">
        <f t="shared" si="12"/>
        <v>1.5</v>
      </c>
      <c r="K17" s="34">
        <f t="shared" si="13"/>
        <v>0</v>
      </c>
      <c r="L17" s="34"/>
      <c r="M17" s="35">
        <f t="shared" si="14"/>
        <v>0</v>
      </c>
      <c r="N17" s="35">
        <f t="shared" si="15"/>
        <v>0</v>
      </c>
      <c r="O17" s="432" t="s">
        <v>114</v>
      </c>
    </row>
    <row r="18" spans="1:16" s="137" customFormat="1">
      <c r="A18" s="140">
        <v>8639</v>
      </c>
      <c r="B18" s="140" t="s">
        <v>9</v>
      </c>
      <c r="C18" s="140" t="s">
        <v>9</v>
      </c>
      <c r="D18" s="143" t="s">
        <v>5</v>
      </c>
      <c r="E18" s="144">
        <v>43166.719189814816</v>
      </c>
      <c r="F18" s="89">
        <f t="shared" si="8"/>
        <v>43166.719189814816</v>
      </c>
      <c r="G18" s="90" t="str">
        <f t="shared" si="9"/>
        <v>17:15</v>
      </c>
      <c r="H18" s="91" t="str">
        <f t="shared" si="10"/>
        <v>-</v>
      </c>
      <c r="I18" s="92" t="str">
        <f t="shared" si="11"/>
        <v>-</v>
      </c>
      <c r="J18" s="92" t="str">
        <f t="shared" si="12"/>
        <v>-</v>
      </c>
      <c r="K18" s="93">
        <f t="shared" si="13"/>
        <v>0</v>
      </c>
      <c r="L18" s="93"/>
      <c r="M18" s="94">
        <f t="shared" si="14"/>
        <v>0</v>
      </c>
      <c r="N18" s="94">
        <f t="shared" si="15"/>
        <v>0</v>
      </c>
      <c r="O18" s="171"/>
    </row>
    <row r="19" spans="1:16" s="137" customFormat="1">
      <c r="A19" s="140">
        <v>8666</v>
      </c>
      <c r="B19" s="140" t="s">
        <v>9</v>
      </c>
      <c r="C19" s="140" t="s">
        <v>9</v>
      </c>
      <c r="D19" s="143" t="s">
        <v>6</v>
      </c>
      <c r="E19" s="144">
        <v>43167.368275462963</v>
      </c>
      <c r="F19" s="89">
        <f t="shared" si="8"/>
        <v>43167.368275462963</v>
      </c>
      <c r="G19" s="90" t="str">
        <f t="shared" si="9"/>
        <v>8:50</v>
      </c>
      <c r="H19" s="91">
        <f t="shared" si="10"/>
        <v>9.533333333333335</v>
      </c>
      <c r="I19" s="92">
        <f t="shared" si="11"/>
        <v>8</v>
      </c>
      <c r="J19" s="92" t="str">
        <f t="shared" si="12"/>
        <v>-</v>
      </c>
      <c r="K19" s="93">
        <f t="shared" si="13"/>
        <v>0</v>
      </c>
      <c r="L19" s="93"/>
      <c r="M19" s="94">
        <f t="shared" si="14"/>
        <v>0</v>
      </c>
      <c r="N19" s="94">
        <f t="shared" si="15"/>
        <v>0</v>
      </c>
      <c r="O19" s="171"/>
    </row>
    <row r="20" spans="1:16" s="137" customFormat="1">
      <c r="A20" s="140">
        <v>8673</v>
      </c>
      <c r="B20" s="140" t="s">
        <v>9</v>
      </c>
      <c r="C20" s="140" t="s">
        <v>9</v>
      </c>
      <c r="D20" s="143" t="s">
        <v>5</v>
      </c>
      <c r="E20" s="144">
        <v>43167.765798611108</v>
      </c>
      <c r="F20" s="89">
        <f t="shared" si="8"/>
        <v>43167.765798611108</v>
      </c>
      <c r="G20" s="90" t="str">
        <f t="shared" si="9"/>
        <v>18:22</v>
      </c>
      <c r="H20" s="91" t="str">
        <f t="shared" si="10"/>
        <v>-</v>
      </c>
      <c r="I20" s="92" t="str">
        <f t="shared" si="11"/>
        <v>-</v>
      </c>
      <c r="J20" s="92" t="str">
        <f t="shared" si="12"/>
        <v>-</v>
      </c>
      <c r="K20" s="93">
        <f t="shared" si="13"/>
        <v>0</v>
      </c>
      <c r="L20" s="93"/>
      <c r="M20" s="94">
        <f t="shared" si="14"/>
        <v>0</v>
      </c>
      <c r="N20" s="94">
        <f t="shared" si="15"/>
        <v>0</v>
      </c>
      <c r="O20" s="171"/>
    </row>
    <row r="21" spans="1:16" s="137" customFormat="1">
      <c r="A21" s="140">
        <v>8694</v>
      </c>
      <c r="B21" s="140" t="s">
        <v>93</v>
      </c>
      <c r="C21" s="140" t="s">
        <v>9</v>
      </c>
      <c r="D21" s="143" t="s">
        <v>6</v>
      </c>
      <c r="E21" s="144">
        <v>43168.363437499997</v>
      </c>
      <c r="F21" s="89">
        <f t="shared" si="8"/>
        <v>43168.363437499997</v>
      </c>
      <c r="G21" s="90" t="str">
        <f t="shared" si="9"/>
        <v>8:43</v>
      </c>
      <c r="H21" s="91">
        <f t="shared" si="10"/>
        <v>9.7000000000000011</v>
      </c>
      <c r="I21" s="92">
        <f t="shared" si="11"/>
        <v>8</v>
      </c>
      <c r="J21" s="92" t="str">
        <f t="shared" si="12"/>
        <v>-</v>
      </c>
      <c r="K21" s="93">
        <f t="shared" si="13"/>
        <v>0</v>
      </c>
      <c r="L21" s="93"/>
      <c r="M21" s="94">
        <f t="shared" si="14"/>
        <v>0</v>
      </c>
      <c r="N21" s="94">
        <f t="shared" si="15"/>
        <v>0</v>
      </c>
      <c r="O21" s="171"/>
    </row>
    <row r="22" spans="1:16" s="137" customFormat="1">
      <c r="A22" s="140">
        <v>8706</v>
      </c>
      <c r="B22" s="140" t="s">
        <v>9</v>
      </c>
      <c r="C22" s="140" t="s">
        <v>9</v>
      </c>
      <c r="D22" s="143" t="s">
        <v>5</v>
      </c>
      <c r="E22" s="144">
        <v>43168.767951388887</v>
      </c>
      <c r="F22" s="89">
        <f t="shared" si="8"/>
        <v>43168.767951388887</v>
      </c>
      <c r="G22" s="90" t="str">
        <f t="shared" si="9"/>
        <v>18:25</v>
      </c>
      <c r="H22" s="91" t="str">
        <f t="shared" si="10"/>
        <v>-</v>
      </c>
      <c r="I22" s="92" t="str">
        <f t="shared" si="11"/>
        <v>-</v>
      </c>
      <c r="J22" s="92" t="str">
        <f t="shared" si="12"/>
        <v>-</v>
      </c>
      <c r="K22" s="93">
        <f t="shared" si="13"/>
        <v>0</v>
      </c>
      <c r="L22" s="93"/>
      <c r="M22" s="94">
        <f t="shared" si="14"/>
        <v>0</v>
      </c>
      <c r="N22" s="94">
        <f t="shared" si="15"/>
        <v>0</v>
      </c>
      <c r="O22" s="171"/>
    </row>
    <row r="23" spans="1:16" s="63" customFormat="1">
      <c r="A23" s="145">
        <v>8728</v>
      </c>
      <c r="B23" s="145" t="s">
        <v>9</v>
      </c>
      <c r="C23" s="145" t="s">
        <v>9</v>
      </c>
      <c r="D23" s="424" t="s">
        <v>13</v>
      </c>
      <c r="E23" s="146">
        <v>43170.37572916667</v>
      </c>
      <c r="F23" s="89">
        <f t="shared" si="8"/>
        <v>43170.37572916667</v>
      </c>
      <c r="G23" s="90" t="str">
        <f t="shared" si="9"/>
        <v>9:1</v>
      </c>
      <c r="H23" s="91" t="str">
        <f t="shared" si="10"/>
        <v>-</v>
      </c>
      <c r="I23" s="92" t="str">
        <f t="shared" si="11"/>
        <v>-</v>
      </c>
      <c r="J23" s="92" t="str">
        <f t="shared" si="12"/>
        <v>-</v>
      </c>
      <c r="K23" s="93">
        <f t="shared" si="13"/>
        <v>4.0833333333333304</v>
      </c>
      <c r="L23" s="93"/>
      <c r="M23" s="94">
        <f t="shared" si="14"/>
        <v>2</v>
      </c>
      <c r="N23" s="94">
        <f t="shared" si="15"/>
        <v>2.0833333333333304</v>
      </c>
      <c r="O23" s="171"/>
    </row>
    <row r="24" spans="1:16" s="9" customFormat="1">
      <c r="A24" s="140">
        <v>8734</v>
      </c>
      <c r="B24" s="140" t="s">
        <v>9</v>
      </c>
      <c r="C24" s="140" t="s">
        <v>9</v>
      </c>
      <c r="D24" s="143" t="s">
        <v>8</v>
      </c>
      <c r="E24" s="144">
        <v>43170.546168981484</v>
      </c>
      <c r="F24" s="89">
        <f t="shared" si="8"/>
        <v>43170.546168981484</v>
      </c>
      <c r="G24" s="90" t="str">
        <f t="shared" si="9"/>
        <v>13:6</v>
      </c>
      <c r="H24" s="91" t="str">
        <f t="shared" si="10"/>
        <v>-</v>
      </c>
      <c r="I24" s="92" t="str">
        <f t="shared" si="11"/>
        <v>-</v>
      </c>
      <c r="J24" s="92" t="str">
        <f t="shared" si="12"/>
        <v>-</v>
      </c>
      <c r="K24" s="93">
        <f t="shared" si="13"/>
        <v>0</v>
      </c>
      <c r="L24" s="93"/>
      <c r="M24" s="94">
        <f t="shared" si="14"/>
        <v>0</v>
      </c>
      <c r="N24" s="94">
        <f t="shared" si="15"/>
        <v>0</v>
      </c>
      <c r="O24" s="171"/>
    </row>
    <row r="25" spans="1:16" s="18" customFormat="1">
      <c r="A25" s="140">
        <v>8767</v>
      </c>
      <c r="B25" s="140" t="s">
        <v>9</v>
      </c>
      <c r="C25" s="140" t="s">
        <v>9</v>
      </c>
      <c r="D25" s="143" t="s">
        <v>6</v>
      </c>
      <c r="E25" s="144">
        <v>43171.370196759257</v>
      </c>
      <c r="F25" s="89">
        <f t="shared" si="8"/>
        <v>43171.370196759257</v>
      </c>
      <c r="G25" s="90" t="str">
        <f t="shared" si="9"/>
        <v>8:53</v>
      </c>
      <c r="H25" s="91">
        <f t="shared" si="10"/>
        <v>8.3833333333333346</v>
      </c>
      <c r="I25" s="92">
        <v>6.5</v>
      </c>
      <c r="J25" s="92">
        <f t="shared" si="12"/>
        <v>1.5</v>
      </c>
      <c r="K25" s="93">
        <f t="shared" si="13"/>
        <v>0</v>
      </c>
      <c r="L25" s="93"/>
      <c r="M25" s="94">
        <f t="shared" si="14"/>
        <v>0</v>
      </c>
      <c r="N25" s="94">
        <f t="shared" si="15"/>
        <v>0</v>
      </c>
      <c r="O25" s="432" t="s">
        <v>114</v>
      </c>
    </row>
    <row r="26" spans="1:16" s="137" customFormat="1">
      <c r="A26" s="140">
        <v>8773</v>
      </c>
      <c r="B26" s="140" t="s">
        <v>9</v>
      </c>
      <c r="C26" s="140" t="s">
        <v>9</v>
      </c>
      <c r="D26" s="143" t="s">
        <v>5</v>
      </c>
      <c r="E26" s="144">
        <v>43171.719606481478</v>
      </c>
      <c r="F26" s="89">
        <f t="shared" si="8"/>
        <v>43171.719606481478</v>
      </c>
      <c r="G26" s="90" t="str">
        <f t="shared" si="9"/>
        <v>17:16</v>
      </c>
      <c r="H26" s="91" t="str">
        <f t="shared" si="10"/>
        <v>-</v>
      </c>
      <c r="I26" s="92" t="str">
        <f t="shared" si="11"/>
        <v>-</v>
      </c>
      <c r="J26" s="92" t="str">
        <f t="shared" si="12"/>
        <v>-</v>
      </c>
      <c r="K26" s="93">
        <f t="shared" si="13"/>
        <v>0</v>
      </c>
      <c r="L26" s="93"/>
      <c r="M26" s="94">
        <f t="shared" si="14"/>
        <v>0</v>
      </c>
      <c r="N26" s="94">
        <f t="shared" si="15"/>
        <v>0</v>
      </c>
      <c r="O26" s="171"/>
    </row>
    <row r="27" spans="1:16" s="137" customFormat="1">
      <c r="A27" s="140">
        <v>8801</v>
      </c>
      <c r="B27" s="140" t="s">
        <v>9</v>
      </c>
      <c r="C27" s="140" t="s">
        <v>9</v>
      </c>
      <c r="D27" s="143" t="s">
        <v>6</v>
      </c>
      <c r="E27" s="144">
        <v>43172.361921296295</v>
      </c>
      <c r="F27" s="89">
        <f t="shared" si="8"/>
        <v>43172.361921296295</v>
      </c>
      <c r="G27" s="90" t="str">
        <f t="shared" si="9"/>
        <v>8:41</v>
      </c>
      <c r="H27" s="91">
        <f t="shared" si="10"/>
        <v>8.4500000000000011</v>
      </c>
      <c r="I27" s="92">
        <v>7</v>
      </c>
      <c r="J27" s="92">
        <f t="shared" si="12"/>
        <v>1</v>
      </c>
      <c r="K27" s="93">
        <f t="shared" si="13"/>
        <v>0</v>
      </c>
      <c r="L27" s="93"/>
      <c r="M27" s="94">
        <f t="shared" si="14"/>
        <v>0</v>
      </c>
      <c r="N27" s="94">
        <f t="shared" si="15"/>
        <v>0</v>
      </c>
      <c r="O27" s="36" t="s">
        <v>114</v>
      </c>
    </row>
    <row r="28" spans="1:16" s="137" customFormat="1">
      <c r="A28" s="140">
        <v>8811</v>
      </c>
      <c r="B28" s="140" t="s">
        <v>9</v>
      </c>
      <c r="C28" s="140" t="s">
        <v>9</v>
      </c>
      <c r="D28" s="143" t="s">
        <v>5</v>
      </c>
      <c r="E28" s="144">
        <v>43172.714143518519</v>
      </c>
      <c r="F28" s="89">
        <f t="shared" si="8"/>
        <v>43172.714143518519</v>
      </c>
      <c r="G28" s="90" t="str">
        <f t="shared" si="9"/>
        <v>17:8</v>
      </c>
      <c r="H28" s="91" t="str">
        <f t="shared" si="10"/>
        <v>-</v>
      </c>
      <c r="I28" s="92" t="str">
        <f t="shared" si="11"/>
        <v>-</v>
      </c>
      <c r="J28" s="92" t="str">
        <f t="shared" si="12"/>
        <v>-</v>
      </c>
      <c r="K28" s="93">
        <f t="shared" si="13"/>
        <v>0</v>
      </c>
      <c r="L28" s="93"/>
      <c r="M28" s="94">
        <f t="shared" si="14"/>
        <v>0</v>
      </c>
      <c r="N28" s="94">
        <f t="shared" si="15"/>
        <v>0</v>
      </c>
      <c r="O28" s="171"/>
    </row>
    <row r="29" spans="1:16" s="137" customFormat="1">
      <c r="A29" s="140">
        <v>8839</v>
      </c>
      <c r="B29" s="140" t="s">
        <v>9</v>
      </c>
      <c r="C29" s="140" t="s">
        <v>9</v>
      </c>
      <c r="D29" s="143" t="s">
        <v>6</v>
      </c>
      <c r="E29" s="144">
        <v>43173.36383101852</v>
      </c>
      <c r="F29" s="89">
        <f t="shared" si="8"/>
        <v>43173.36383101852</v>
      </c>
      <c r="G29" s="90" t="str">
        <f t="shared" si="9"/>
        <v>8:43</v>
      </c>
      <c r="H29" s="91">
        <f t="shared" si="10"/>
        <v>8.4166666666666679</v>
      </c>
      <c r="I29" s="92">
        <v>7</v>
      </c>
      <c r="J29" s="92">
        <f t="shared" si="12"/>
        <v>1</v>
      </c>
      <c r="K29" s="93">
        <f t="shared" si="13"/>
        <v>0</v>
      </c>
      <c r="L29" s="93"/>
      <c r="M29" s="94">
        <f t="shared" si="14"/>
        <v>0</v>
      </c>
      <c r="N29" s="94">
        <f t="shared" si="15"/>
        <v>0</v>
      </c>
      <c r="O29" s="36" t="s">
        <v>114</v>
      </c>
    </row>
    <row r="30" spans="1:16" s="137" customFormat="1">
      <c r="A30" s="140">
        <v>8847</v>
      </c>
      <c r="B30" s="140" t="s">
        <v>9</v>
      </c>
      <c r="C30" s="140" t="s">
        <v>9</v>
      </c>
      <c r="D30" s="143" t="s">
        <v>5</v>
      </c>
      <c r="E30" s="144">
        <v>43173.714131944442</v>
      </c>
      <c r="F30" s="89">
        <f t="shared" si="8"/>
        <v>43173.714131944442</v>
      </c>
      <c r="G30" s="90" t="str">
        <f t="shared" si="9"/>
        <v>17:8</v>
      </c>
      <c r="H30" s="91" t="str">
        <f t="shared" si="10"/>
        <v>-</v>
      </c>
      <c r="I30" s="92" t="str">
        <f t="shared" si="11"/>
        <v>-</v>
      </c>
      <c r="J30" s="92" t="str">
        <f t="shared" si="12"/>
        <v>-</v>
      </c>
      <c r="K30" s="93">
        <f t="shared" si="13"/>
        <v>0</v>
      </c>
      <c r="L30" s="93"/>
      <c r="M30" s="94">
        <f t="shared" si="14"/>
        <v>0</v>
      </c>
      <c r="N30" s="94">
        <f t="shared" si="15"/>
        <v>0</v>
      </c>
      <c r="O30" s="171"/>
      <c r="P30" s="137" t="s">
        <v>20</v>
      </c>
    </row>
    <row r="31" spans="1:16" s="137" customFormat="1">
      <c r="A31" s="140">
        <v>8874</v>
      </c>
      <c r="B31" s="140" t="s">
        <v>93</v>
      </c>
      <c r="C31" s="140" t="s">
        <v>9</v>
      </c>
      <c r="D31" s="143" t="s">
        <v>6</v>
      </c>
      <c r="E31" s="144">
        <v>43174.363240740742</v>
      </c>
      <c r="F31" s="89">
        <f t="shared" si="8"/>
        <v>43174.363240740742</v>
      </c>
      <c r="G31" s="90" t="str">
        <f t="shared" si="9"/>
        <v>8:43</v>
      </c>
      <c r="H31" s="91">
        <f t="shared" si="10"/>
        <v>9.7166666666666686</v>
      </c>
      <c r="I31" s="92">
        <f t="shared" si="11"/>
        <v>8</v>
      </c>
      <c r="J31" s="92" t="str">
        <f t="shared" si="12"/>
        <v>-</v>
      </c>
      <c r="K31" s="93">
        <f t="shared" si="13"/>
        <v>0</v>
      </c>
      <c r="L31" s="93"/>
      <c r="M31" s="94">
        <f t="shared" si="14"/>
        <v>0</v>
      </c>
      <c r="N31" s="94">
        <f t="shared" si="15"/>
        <v>0</v>
      </c>
      <c r="O31" s="171"/>
    </row>
    <row r="32" spans="1:16" s="137" customFormat="1">
      <c r="A32" s="140">
        <v>8886</v>
      </c>
      <c r="B32" s="140" t="s">
        <v>9</v>
      </c>
      <c r="C32" s="140" t="s">
        <v>9</v>
      </c>
      <c r="D32" s="143" t="s">
        <v>5</v>
      </c>
      <c r="E32" s="144">
        <v>43174.768576388888</v>
      </c>
      <c r="F32" s="89">
        <f t="shared" si="8"/>
        <v>43174.768576388888</v>
      </c>
      <c r="G32" s="90" t="str">
        <f t="shared" si="9"/>
        <v>18:26</v>
      </c>
      <c r="H32" s="91" t="str">
        <f t="shared" si="10"/>
        <v>-</v>
      </c>
      <c r="I32" s="92" t="str">
        <f t="shared" si="11"/>
        <v>-</v>
      </c>
      <c r="J32" s="92" t="str">
        <f t="shared" si="12"/>
        <v>-</v>
      </c>
      <c r="K32" s="93">
        <f t="shared" si="13"/>
        <v>0</v>
      </c>
      <c r="L32" s="93"/>
      <c r="M32" s="94">
        <f t="shared" si="14"/>
        <v>0</v>
      </c>
      <c r="N32" s="94">
        <f t="shared" si="15"/>
        <v>0</v>
      </c>
      <c r="O32" s="171"/>
    </row>
    <row r="33" spans="1:21">
      <c r="A33" s="140">
        <v>8912</v>
      </c>
      <c r="B33" s="140" t="s">
        <v>9</v>
      </c>
      <c r="C33" s="140" t="s">
        <v>9</v>
      </c>
      <c r="D33" s="143" t="s">
        <v>6</v>
      </c>
      <c r="E33" s="144">
        <v>43175.365243055552</v>
      </c>
      <c r="F33" s="89">
        <f t="shared" si="8"/>
        <v>43175.365243055552</v>
      </c>
      <c r="G33" s="90" t="str">
        <f t="shared" si="9"/>
        <v>8:45</v>
      </c>
      <c r="H33" s="91">
        <f t="shared" si="10"/>
        <v>9.6000000000000014</v>
      </c>
      <c r="I33" s="92">
        <f t="shared" si="11"/>
        <v>8</v>
      </c>
      <c r="J33" s="92" t="str">
        <f t="shared" si="12"/>
        <v>-</v>
      </c>
      <c r="K33" s="93">
        <f t="shared" si="13"/>
        <v>0</v>
      </c>
      <c r="L33" s="93"/>
      <c r="M33" s="94">
        <f t="shared" si="14"/>
        <v>0</v>
      </c>
      <c r="N33" s="94">
        <f t="shared" si="15"/>
        <v>0</v>
      </c>
      <c r="O33" s="171"/>
    </row>
    <row r="34" spans="1:21">
      <c r="A34" s="140">
        <v>8919</v>
      </c>
      <c r="B34" s="140" t="s">
        <v>9</v>
      </c>
      <c r="C34" s="140" t="s">
        <v>9</v>
      </c>
      <c r="D34" s="143" t="s">
        <v>5</v>
      </c>
      <c r="E34" s="144">
        <v>43175.76494212963</v>
      </c>
      <c r="F34" s="89">
        <f t="shared" si="8"/>
        <v>43175.76494212963</v>
      </c>
      <c r="G34" s="90" t="str">
        <f t="shared" si="9"/>
        <v>18:21</v>
      </c>
      <c r="H34" s="91" t="str">
        <f t="shared" si="10"/>
        <v>-</v>
      </c>
      <c r="I34" s="92" t="str">
        <f t="shared" si="11"/>
        <v>-</v>
      </c>
      <c r="J34" s="92" t="str">
        <f t="shared" si="12"/>
        <v>-</v>
      </c>
      <c r="K34" s="93">
        <f t="shared" si="13"/>
        <v>0</v>
      </c>
      <c r="L34" s="93"/>
      <c r="M34" s="94">
        <f t="shared" si="14"/>
        <v>0</v>
      </c>
      <c r="N34" s="94">
        <f t="shared" si="15"/>
        <v>0</v>
      </c>
      <c r="O34" s="171"/>
    </row>
    <row r="35" spans="1:21" s="16" customFormat="1">
      <c r="A35" s="140">
        <v>8924</v>
      </c>
      <c r="B35" s="140" t="s">
        <v>9</v>
      </c>
      <c r="C35" s="140" t="s">
        <v>9</v>
      </c>
      <c r="D35" s="143" t="s">
        <v>7</v>
      </c>
      <c r="E35" s="144">
        <v>43175.771273148152</v>
      </c>
      <c r="F35" s="89">
        <f t="shared" si="8"/>
        <v>43175.771273148152</v>
      </c>
      <c r="G35" s="90" t="str">
        <f t="shared" si="9"/>
        <v>18:30</v>
      </c>
      <c r="H35" s="91" t="str">
        <f t="shared" si="10"/>
        <v>-</v>
      </c>
      <c r="I35" s="92" t="str">
        <f t="shared" si="11"/>
        <v>-</v>
      </c>
      <c r="J35" s="92" t="str">
        <f t="shared" si="12"/>
        <v>-</v>
      </c>
      <c r="K35" s="93">
        <f t="shared" si="13"/>
        <v>1.033333333333335</v>
      </c>
      <c r="L35" s="93"/>
      <c r="M35" s="94">
        <f t="shared" si="14"/>
        <v>1.033333333333335</v>
      </c>
      <c r="N35" s="94">
        <f t="shared" si="15"/>
        <v>0</v>
      </c>
      <c r="O35" s="171"/>
      <c r="P35" s="137"/>
      <c r="Q35" s="137"/>
      <c r="R35" s="137"/>
      <c r="S35" s="137"/>
    </row>
    <row r="36" spans="1:21" s="397" customFormat="1">
      <c r="A36" s="140">
        <v>8935</v>
      </c>
      <c r="B36" s="140" t="s">
        <v>9</v>
      </c>
      <c r="C36" s="140" t="s">
        <v>9</v>
      </c>
      <c r="D36" s="143" t="s">
        <v>8</v>
      </c>
      <c r="E36" s="144">
        <v>43175.814016203702</v>
      </c>
      <c r="F36" s="89">
        <f t="shared" si="8"/>
        <v>43175.814016203702</v>
      </c>
      <c r="G36" s="90" t="str">
        <f t="shared" si="9"/>
        <v>19:32</v>
      </c>
      <c r="H36" s="91" t="str">
        <f t="shared" si="10"/>
        <v>-</v>
      </c>
      <c r="I36" s="92" t="str">
        <f t="shared" si="11"/>
        <v>-</v>
      </c>
      <c r="J36" s="92" t="str">
        <f t="shared" si="12"/>
        <v>-</v>
      </c>
      <c r="K36" s="93">
        <f t="shared" si="13"/>
        <v>0</v>
      </c>
      <c r="L36" s="93"/>
      <c r="M36" s="94">
        <f t="shared" si="14"/>
        <v>0</v>
      </c>
      <c r="N36" s="94">
        <f t="shared" si="15"/>
        <v>0</v>
      </c>
      <c r="O36" s="171"/>
    </row>
    <row r="37" spans="1:21" s="137" customFormat="1">
      <c r="A37" s="425">
        <v>9010</v>
      </c>
      <c r="B37" s="425" t="s">
        <v>9</v>
      </c>
      <c r="C37" s="425" t="s">
        <v>9</v>
      </c>
      <c r="D37" s="407" t="s">
        <v>6</v>
      </c>
      <c r="E37" s="180">
        <v>43178.354710648149</v>
      </c>
      <c r="F37" s="89">
        <f t="shared" si="8"/>
        <v>43178.354710648149</v>
      </c>
      <c r="G37" s="90" t="str">
        <f t="shared" si="9"/>
        <v>8:30</v>
      </c>
      <c r="H37" s="91">
        <f t="shared" si="10"/>
        <v>9.5</v>
      </c>
      <c r="I37" s="92">
        <f t="shared" si="11"/>
        <v>8</v>
      </c>
      <c r="J37" s="92" t="str">
        <f t="shared" si="12"/>
        <v>-</v>
      </c>
      <c r="K37" s="93">
        <f t="shared" si="13"/>
        <v>0</v>
      </c>
      <c r="L37" s="93"/>
      <c r="M37" s="94">
        <f t="shared" si="14"/>
        <v>0</v>
      </c>
      <c r="N37" s="94">
        <f t="shared" si="15"/>
        <v>0</v>
      </c>
      <c r="O37" s="171"/>
    </row>
    <row r="38" spans="1:21" s="18" customFormat="1">
      <c r="A38" s="425">
        <v>9019</v>
      </c>
      <c r="B38" s="425" t="s">
        <v>9</v>
      </c>
      <c r="C38" s="425" t="s">
        <v>9</v>
      </c>
      <c r="D38" s="407" t="s">
        <v>5</v>
      </c>
      <c r="E38" s="180">
        <v>43178.750208333331</v>
      </c>
      <c r="F38" s="89">
        <f t="shared" si="8"/>
        <v>43178.750208333331</v>
      </c>
      <c r="G38" s="90" t="str">
        <f t="shared" si="9"/>
        <v>18:0</v>
      </c>
      <c r="H38" s="91" t="str">
        <f t="shared" si="10"/>
        <v>-</v>
      </c>
      <c r="I38" s="92" t="str">
        <f t="shared" si="11"/>
        <v>-</v>
      </c>
      <c r="J38" s="92" t="str">
        <f t="shared" si="12"/>
        <v>-</v>
      </c>
      <c r="K38" s="93">
        <f t="shared" si="13"/>
        <v>0</v>
      </c>
      <c r="L38" s="93"/>
      <c r="M38" s="94">
        <f t="shared" si="14"/>
        <v>0</v>
      </c>
      <c r="N38" s="94">
        <f t="shared" si="15"/>
        <v>0</v>
      </c>
      <c r="O38" s="171"/>
      <c r="T38" s="63"/>
      <c r="U38" s="63"/>
    </row>
    <row r="39" spans="1:21" s="137" customFormat="1">
      <c r="A39" s="140">
        <v>9010</v>
      </c>
      <c r="B39" s="140" t="s">
        <v>9</v>
      </c>
      <c r="C39" s="140" t="s">
        <v>9</v>
      </c>
      <c r="D39" s="143" t="s">
        <v>6</v>
      </c>
      <c r="E39" s="144">
        <v>43179.362349537034</v>
      </c>
      <c r="F39" s="89">
        <f t="shared" si="8"/>
        <v>43179.362349537034</v>
      </c>
      <c r="G39" s="90" t="str">
        <f t="shared" si="9"/>
        <v>8:41</v>
      </c>
      <c r="H39" s="91">
        <f t="shared" si="10"/>
        <v>8.5666666666666664</v>
      </c>
      <c r="I39" s="92">
        <v>7</v>
      </c>
      <c r="J39" s="92">
        <f t="shared" si="12"/>
        <v>1</v>
      </c>
      <c r="K39" s="93">
        <f t="shared" si="13"/>
        <v>0</v>
      </c>
      <c r="L39" s="93"/>
      <c r="M39" s="94">
        <f t="shared" si="14"/>
        <v>0</v>
      </c>
      <c r="N39" s="94">
        <f t="shared" si="15"/>
        <v>0</v>
      </c>
      <c r="O39" s="36" t="s">
        <v>114</v>
      </c>
    </row>
    <row r="40" spans="1:21" s="18" customFormat="1">
      <c r="A40" s="140">
        <v>9019</v>
      </c>
      <c r="B40" s="140" t="s">
        <v>9</v>
      </c>
      <c r="C40" s="140" t="s">
        <v>9</v>
      </c>
      <c r="D40" s="143" t="s">
        <v>5</v>
      </c>
      <c r="E40" s="144">
        <v>43179.718958333331</v>
      </c>
      <c r="F40" s="89">
        <f t="shared" si="8"/>
        <v>43179.718958333331</v>
      </c>
      <c r="G40" s="90" t="str">
        <f t="shared" si="9"/>
        <v>17:15</v>
      </c>
      <c r="H40" s="91" t="str">
        <f t="shared" si="10"/>
        <v>-</v>
      </c>
      <c r="I40" s="92" t="str">
        <f t="shared" si="11"/>
        <v>-</v>
      </c>
      <c r="J40" s="92" t="str">
        <f t="shared" si="12"/>
        <v>-</v>
      </c>
      <c r="K40" s="93">
        <f t="shared" si="13"/>
        <v>0</v>
      </c>
      <c r="L40" s="93"/>
      <c r="M40" s="94">
        <f t="shared" si="14"/>
        <v>0</v>
      </c>
      <c r="N40" s="94">
        <f t="shared" si="15"/>
        <v>0</v>
      </c>
      <c r="O40" s="171"/>
      <c r="T40" s="63"/>
      <c r="U40" s="63"/>
    </row>
    <row r="41" spans="1:21" s="18" customFormat="1">
      <c r="A41" s="140">
        <v>9049</v>
      </c>
      <c r="B41" s="140" t="s">
        <v>9</v>
      </c>
      <c r="C41" s="140" t="s">
        <v>9</v>
      </c>
      <c r="D41" s="143" t="s">
        <v>6</v>
      </c>
      <c r="E41" s="144">
        <v>43180.367094907408</v>
      </c>
      <c r="F41" s="89">
        <f t="shared" si="8"/>
        <v>43180.367094907408</v>
      </c>
      <c r="G41" s="90" t="str">
        <f t="shared" si="9"/>
        <v>8:48</v>
      </c>
      <c r="H41" s="91">
        <f t="shared" si="10"/>
        <v>8.3499999999999979</v>
      </c>
      <c r="I41" s="92">
        <v>6.5</v>
      </c>
      <c r="J41" s="92">
        <f t="shared" si="12"/>
        <v>1.5</v>
      </c>
      <c r="K41" s="93">
        <f t="shared" si="13"/>
        <v>0</v>
      </c>
      <c r="L41" s="93"/>
      <c r="M41" s="94">
        <f t="shared" si="14"/>
        <v>0</v>
      </c>
      <c r="N41" s="94">
        <f t="shared" si="15"/>
        <v>0</v>
      </c>
      <c r="O41" s="36" t="s">
        <v>114</v>
      </c>
      <c r="T41" s="63"/>
      <c r="U41" s="63"/>
    </row>
    <row r="42" spans="1:21" s="9" customFormat="1">
      <c r="A42" s="140">
        <v>9057</v>
      </c>
      <c r="B42" s="140" t="s">
        <v>9</v>
      </c>
      <c r="C42" s="140" t="s">
        <v>9</v>
      </c>
      <c r="D42" s="143" t="s">
        <v>5</v>
      </c>
      <c r="E42" s="144">
        <v>43180.714965277781</v>
      </c>
      <c r="F42" s="89">
        <f t="shared" si="8"/>
        <v>43180.714965277781</v>
      </c>
      <c r="G42" s="90" t="str">
        <f t="shared" si="9"/>
        <v>17:9</v>
      </c>
      <c r="H42" s="91" t="str">
        <f t="shared" si="10"/>
        <v>-</v>
      </c>
      <c r="I42" s="92" t="str">
        <f t="shared" si="11"/>
        <v>-</v>
      </c>
      <c r="J42" s="92" t="str">
        <f t="shared" si="12"/>
        <v>-</v>
      </c>
      <c r="K42" s="93">
        <f t="shared" si="13"/>
        <v>0</v>
      </c>
      <c r="L42" s="93"/>
      <c r="M42" s="94">
        <f t="shared" si="14"/>
        <v>0</v>
      </c>
      <c r="N42" s="94">
        <f t="shared" si="15"/>
        <v>0</v>
      </c>
      <c r="O42" s="171"/>
      <c r="T42"/>
      <c r="U42"/>
    </row>
    <row r="43" spans="1:21" s="137" customFormat="1">
      <c r="A43" s="140">
        <v>9089</v>
      </c>
      <c r="B43" s="140" t="s">
        <v>9</v>
      </c>
      <c r="C43" s="140" t="s">
        <v>9</v>
      </c>
      <c r="D43" s="143" t="s">
        <v>6</v>
      </c>
      <c r="E43" s="144">
        <v>43181.372604166667</v>
      </c>
      <c r="F43" s="89">
        <f t="shared" si="8"/>
        <v>43181.372604166667</v>
      </c>
      <c r="G43" s="90" t="str">
        <f t="shared" si="9"/>
        <v>8:56</v>
      </c>
      <c r="H43" s="91">
        <f t="shared" si="10"/>
        <v>5.0833333333333339</v>
      </c>
      <c r="I43" s="92">
        <v>3.5</v>
      </c>
      <c r="J43" s="92">
        <f t="shared" si="12"/>
        <v>4.5</v>
      </c>
      <c r="K43" s="93">
        <f t="shared" si="13"/>
        <v>0</v>
      </c>
      <c r="L43" s="93"/>
      <c r="M43" s="94">
        <f t="shared" si="14"/>
        <v>0</v>
      </c>
      <c r="N43" s="94">
        <f t="shared" si="15"/>
        <v>0</v>
      </c>
      <c r="O43" s="36" t="s">
        <v>114</v>
      </c>
      <c r="T43" s="16"/>
      <c r="U43" s="16"/>
    </row>
    <row r="44" spans="1:21" s="18" customFormat="1">
      <c r="A44" s="140">
        <v>9091</v>
      </c>
      <c r="B44" s="140" t="s">
        <v>93</v>
      </c>
      <c r="C44" s="140" t="s">
        <v>9</v>
      </c>
      <c r="D44" s="143" t="s">
        <v>5</v>
      </c>
      <c r="E44" s="144">
        <v>43181.584687499999</v>
      </c>
      <c r="F44" s="89">
        <f t="shared" si="8"/>
        <v>43181.584687499999</v>
      </c>
      <c r="G44" s="90" t="str">
        <f t="shared" si="9"/>
        <v>14:1</v>
      </c>
      <c r="H44" s="91" t="str">
        <f t="shared" si="10"/>
        <v>-</v>
      </c>
      <c r="I44" s="92" t="str">
        <f t="shared" si="11"/>
        <v>-</v>
      </c>
      <c r="J44" s="92" t="str">
        <f t="shared" si="12"/>
        <v>-</v>
      </c>
      <c r="K44" s="93">
        <f t="shared" si="13"/>
        <v>0</v>
      </c>
      <c r="L44" s="93"/>
      <c r="M44" s="94">
        <f t="shared" si="14"/>
        <v>0</v>
      </c>
      <c r="N44" s="94">
        <f t="shared" si="15"/>
        <v>0</v>
      </c>
      <c r="O44" s="171"/>
      <c r="T44" s="63"/>
      <c r="U44" s="63"/>
    </row>
    <row r="45" spans="1:21" s="137" customFormat="1">
      <c r="A45" s="140">
        <v>9120</v>
      </c>
      <c r="B45" s="140" t="s">
        <v>9</v>
      </c>
      <c r="C45" s="140" t="s">
        <v>9</v>
      </c>
      <c r="D45" s="143" t="s">
        <v>6</v>
      </c>
      <c r="E45" s="144">
        <v>43182.364606481482</v>
      </c>
      <c r="F45" s="89">
        <f t="shared" si="8"/>
        <v>43182.364606481482</v>
      </c>
      <c r="G45" s="90" t="str">
        <f t="shared" si="9"/>
        <v>8:45</v>
      </c>
      <c r="H45" s="91">
        <f t="shared" si="10"/>
        <v>9.8166666666666682</v>
      </c>
      <c r="I45" s="92">
        <f t="shared" si="11"/>
        <v>8</v>
      </c>
      <c r="J45" s="92" t="str">
        <f t="shared" si="12"/>
        <v>-</v>
      </c>
      <c r="K45" s="93">
        <f t="shared" si="13"/>
        <v>0</v>
      </c>
      <c r="L45" s="93"/>
      <c r="M45" s="94">
        <f t="shared" si="14"/>
        <v>0</v>
      </c>
      <c r="N45" s="94">
        <f t="shared" si="15"/>
        <v>0</v>
      </c>
      <c r="O45" s="171"/>
    </row>
    <row r="46" spans="1:21" s="137" customFormat="1">
      <c r="A46" s="140">
        <v>9133</v>
      </c>
      <c r="B46" s="140" t="s">
        <v>93</v>
      </c>
      <c r="C46" s="140" t="s">
        <v>9</v>
      </c>
      <c r="D46" s="143" t="s">
        <v>5</v>
      </c>
      <c r="E46" s="144">
        <v>43182.773877314816</v>
      </c>
      <c r="F46" s="89">
        <f t="shared" si="8"/>
        <v>43182.773877314816</v>
      </c>
      <c r="G46" s="90" t="str">
        <f t="shared" si="9"/>
        <v>18:34</v>
      </c>
      <c r="H46" s="91" t="str">
        <f t="shared" si="10"/>
        <v>-</v>
      </c>
      <c r="I46" s="92" t="str">
        <f t="shared" si="11"/>
        <v>-</v>
      </c>
      <c r="J46" s="92" t="str">
        <f t="shared" si="12"/>
        <v>-</v>
      </c>
      <c r="K46" s="93">
        <f t="shared" si="13"/>
        <v>0</v>
      </c>
      <c r="L46" s="93"/>
      <c r="M46" s="94">
        <f t="shared" si="14"/>
        <v>0</v>
      </c>
      <c r="N46" s="94">
        <f t="shared" si="15"/>
        <v>0</v>
      </c>
      <c r="O46" s="171"/>
    </row>
    <row r="47" spans="1:21" s="16" customFormat="1">
      <c r="A47" s="140">
        <v>9138</v>
      </c>
      <c r="B47" s="140" t="s">
        <v>9</v>
      </c>
      <c r="C47" s="140" t="s">
        <v>9</v>
      </c>
      <c r="D47" s="143" t="s">
        <v>6</v>
      </c>
      <c r="E47" s="144">
        <v>43185.360289351855</v>
      </c>
      <c r="F47" s="89">
        <f t="shared" si="8"/>
        <v>43185.360289351855</v>
      </c>
      <c r="G47" s="90" t="str">
        <f t="shared" si="9"/>
        <v>8:38</v>
      </c>
      <c r="H47" s="91">
        <f t="shared" si="10"/>
        <v>8.7166666666666686</v>
      </c>
      <c r="I47" s="92">
        <v>7</v>
      </c>
      <c r="J47" s="92">
        <f t="shared" si="12"/>
        <v>1</v>
      </c>
      <c r="K47" s="93">
        <f t="shared" si="13"/>
        <v>0</v>
      </c>
      <c r="L47" s="93"/>
      <c r="M47" s="94">
        <f t="shared" si="14"/>
        <v>0</v>
      </c>
      <c r="N47" s="94">
        <f t="shared" si="15"/>
        <v>0</v>
      </c>
      <c r="O47" s="36" t="s">
        <v>114</v>
      </c>
      <c r="P47" s="137"/>
      <c r="Q47" s="137"/>
      <c r="R47" s="137"/>
      <c r="S47" s="137"/>
    </row>
    <row r="48" spans="1:21" s="63" customFormat="1">
      <c r="A48" s="140">
        <v>9146</v>
      </c>
      <c r="B48" s="140" t="s">
        <v>9</v>
      </c>
      <c r="C48" s="140" t="s">
        <v>9</v>
      </c>
      <c r="D48" s="143" t="s">
        <v>5</v>
      </c>
      <c r="E48" s="144">
        <v>43185.723333333335</v>
      </c>
      <c r="F48" s="89">
        <f t="shared" si="8"/>
        <v>43185.723333333335</v>
      </c>
      <c r="G48" s="90" t="str">
        <f t="shared" si="9"/>
        <v>17:21</v>
      </c>
      <c r="H48" s="91" t="str">
        <f t="shared" si="10"/>
        <v>-</v>
      </c>
      <c r="I48" s="92" t="str">
        <f t="shared" si="11"/>
        <v>-</v>
      </c>
      <c r="J48" s="92" t="str">
        <f t="shared" si="12"/>
        <v>-</v>
      </c>
      <c r="K48" s="93">
        <f t="shared" si="13"/>
        <v>0</v>
      </c>
      <c r="L48" s="93"/>
      <c r="M48" s="94">
        <f t="shared" si="14"/>
        <v>0</v>
      </c>
      <c r="N48" s="94">
        <f t="shared" si="15"/>
        <v>0</v>
      </c>
      <c r="O48" s="171"/>
      <c r="P48" s="18"/>
      <c r="Q48" s="18"/>
      <c r="R48" s="18"/>
      <c r="S48" s="18"/>
    </row>
    <row r="49" spans="1:19" s="16" customFormat="1">
      <c r="A49" s="425">
        <v>9010</v>
      </c>
      <c r="B49" s="425" t="s">
        <v>9</v>
      </c>
      <c r="C49" s="425" t="s">
        <v>9</v>
      </c>
      <c r="D49" s="407" t="s">
        <v>6</v>
      </c>
      <c r="E49" s="180">
        <v>43186.354710648149</v>
      </c>
      <c r="F49" s="89">
        <f t="shared" si="8"/>
        <v>43186.354710648149</v>
      </c>
      <c r="G49" s="90" t="str">
        <f t="shared" si="9"/>
        <v>8:30</v>
      </c>
      <c r="H49" s="91">
        <f t="shared" si="10"/>
        <v>9.5</v>
      </c>
      <c r="I49" s="92">
        <f t="shared" si="11"/>
        <v>8</v>
      </c>
      <c r="J49" s="92" t="str">
        <f t="shared" si="12"/>
        <v>-</v>
      </c>
      <c r="K49" s="93">
        <f t="shared" si="13"/>
        <v>0</v>
      </c>
      <c r="L49" s="93"/>
      <c r="M49" s="94">
        <f t="shared" si="14"/>
        <v>0</v>
      </c>
      <c r="N49" s="94">
        <f t="shared" si="15"/>
        <v>0</v>
      </c>
      <c r="O49" s="171"/>
      <c r="P49" s="137"/>
      <c r="Q49" s="137"/>
      <c r="R49" s="137"/>
      <c r="S49" s="137"/>
    </row>
    <row r="50" spans="1:19" s="16" customFormat="1">
      <c r="A50" s="425">
        <v>9019</v>
      </c>
      <c r="B50" s="425" t="s">
        <v>9</v>
      </c>
      <c r="C50" s="425" t="s">
        <v>9</v>
      </c>
      <c r="D50" s="407" t="s">
        <v>5</v>
      </c>
      <c r="E50" s="180">
        <v>43186.750208333331</v>
      </c>
      <c r="F50" s="89">
        <f t="shared" si="8"/>
        <v>43186.750208333331</v>
      </c>
      <c r="G50" s="90" t="str">
        <f t="shared" si="9"/>
        <v>18:0</v>
      </c>
      <c r="H50" s="91" t="str">
        <f t="shared" si="10"/>
        <v>-</v>
      </c>
      <c r="I50" s="92" t="str">
        <f t="shared" si="11"/>
        <v>-</v>
      </c>
      <c r="J50" s="92" t="str">
        <f t="shared" si="12"/>
        <v>-</v>
      </c>
      <c r="K50" s="93">
        <f t="shared" si="13"/>
        <v>0</v>
      </c>
      <c r="L50" s="93"/>
      <c r="M50" s="94">
        <f t="shared" si="14"/>
        <v>0</v>
      </c>
      <c r="N50" s="94">
        <f t="shared" si="15"/>
        <v>0</v>
      </c>
      <c r="O50" s="171"/>
      <c r="P50" s="137"/>
      <c r="Q50" s="137"/>
      <c r="R50" s="137"/>
      <c r="S50" s="137"/>
    </row>
    <row r="51" spans="1:19">
      <c r="A51">
        <v>9193</v>
      </c>
      <c r="B51" t="s">
        <v>9</v>
      </c>
      <c r="C51" t="s">
        <v>9</v>
      </c>
      <c r="D51" s="143" t="s">
        <v>6</v>
      </c>
      <c r="E51" s="144">
        <v>43187.363703703704</v>
      </c>
      <c r="F51" s="89">
        <f t="shared" si="8"/>
        <v>43187.363703703704</v>
      </c>
      <c r="G51" s="90" t="str">
        <f t="shared" si="9"/>
        <v>8:43</v>
      </c>
      <c r="H51" s="91">
        <f t="shared" si="10"/>
        <v>8.4999999999999982</v>
      </c>
      <c r="I51" s="92">
        <f t="shared" si="11"/>
        <v>6.9999999999999982</v>
      </c>
      <c r="J51" s="92">
        <f t="shared" si="12"/>
        <v>1.0000000000000018</v>
      </c>
      <c r="K51" s="93">
        <f t="shared" si="13"/>
        <v>0</v>
      </c>
      <c r="L51" s="93"/>
      <c r="M51" s="94">
        <f t="shared" si="14"/>
        <v>0</v>
      </c>
      <c r="N51" s="94">
        <f t="shared" si="15"/>
        <v>0</v>
      </c>
      <c r="O51" s="36" t="s">
        <v>114</v>
      </c>
    </row>
    <row r="52" spans="1:19">
      <c r="A52">
        <v>9201</v>
      </c>
      <c r="B52" t="s">
        <v>9</v>
      </c>
      <c r="C52" t="s">
        <v>9</v>
      </c>
      <c r="D52" s="143" t="s">
        <v>5</v>
      </c>
      <c r="E52" s="144">
        <v>43187.717395833337</v>
      </c>
      <c r="F52" s="89">
        <f t="shared" si="8"/>
        <v>43187.717395833337</v>
      </c>
      <c r="G52" s="90" t="str">
        <f t="shared" si="9"/>
        <v>17:13</v>
      </c>
      <c r="H52" s="91" t="str">
        <f t="shared" si="10"/>
        <v>-</v>
      </c>
      <c r="I52" s="92" t="str">
        <f t="shared" si="11"/>
        <v>-</v>
      </c>
      <c r="J52" s="92" t="str">
        <f t="shared" si="12"/>
        <v>-</v>
      </c>
      <c r="K52" s="93">
        <f t="shared" si="13"/>
        <v>0</v>
      </c>
      <c r="L52" s="93"/>
      <c r="M52" s="94">
        <f t="shared" si="14"/>
        <v>0</v>
      </c>
      <c r="N52" s="94">
        <f t="shared" si="15"/>
        <v>0</v>
      </c>
      <c r="O52" s="171"/>
    </row>
    <row r="53" spans="1:19">
      <c r="A53">
        <v>9234</v>
      </c>
      <c r="B53" t="s">
        <v>9</v>
      </c>
      <c r="C53" t="s">
        <v>9</v>
      </c>
      <c r="D53" s="143" t="s">
        <v>6</v>
      </c>
      <c r="E53" s="144">
        <v>43188.372164351851</v>
      </c>
      <c r="F53" s="89">
        <f t="shared" si="8"/>
        <v>43188.372164351851</v>
      </c>
      <c r="G53" s="90" t="str">
        <f t="shared" si="9"/>
        <v>8:55</v>
      </c>
      <c r="H53" s="91">
        <f t="shared" si="10"/>
        <v>9.5833333333333357</v>
      </c>
      <c r="I53" s="92">
        <f t="shared" si="11"/>
        <v>8</v>
      </c>
      <c r="J53" s="92" t="str">
        <f t="shared" si="12"/>
        <v>-</v>
      </c>
      <c r="K53" s="93">
        <f t="shared" si="13"/>
        <v>0</v>
      </c>
      <c r="L53" s="93"/>
      <c r="M53" s="94">
        <f t="shared" si="14"/>
        <v>0</v>
      </c>
      <c r="N53" s="94">
        <f t="shared" si="15"/>
        <v>0</v>
      </c>
      <c r="O53" s="171"/>
    </row>
    <row r="54" spans="1:19">
      <c r="A54">
        <v>9240</v>
      </c>
      <c r="B54" t="s">
        <v>9</v>
      </c>
      <c r="C54" t="s">
        <v>9</v>
      </c>
      <c r="D54" s="143" t="s">
        <v>5</v>
      </c>
      <c r="E54" s="144">
        <v>43188.771134259259</v>
      </c>
      <c r="F54" s="89">
        <f t="shared" si="8"/>
        <v>43188.771134259259</v>
      </c>
      <c r="G54" s="90" t="str">
        <f t="shared" si="9"/>
        <v>18:30</v>
      </c>
      <c r="H54" s="91" t="str">
        <f t="shared" si="10"/>
        <v>-</v>
      </c>
      <c r="I54" s="92" t="str">
        <f t="shared" si="11"/>
        <v>-</v>
      </c>
      <c r="J54" s="92" t="str">
        <f t="shared" si="12"/>
        <v>-</v>
      </c>
      <c r="K54" s="93">
        <f t="shared" si="13"/>
        <v>0</v>
      </c>
      <c r="L54" s="93"/>
      <c r="M54" s="94">
        <f t="shared" si="14"/>
        <v>0</v>
      </c>
      <c r="N54" s="94">
        <f t="shared" si="15"/>
        <v>0</v>
      </c>
      <c r="O54" s="171"/>
    </row>
    <row r="55" spans="1:19">
      <c r="A55">
        <v>9263</v>
      </c>
      <c r="B55" t="s">
        <v>9</v>
      </c>
      <c r="C55" t="s">
        <v>9</v>
      </c>
      <c r="D55" s="143" t="s">
        <v>6</v>
      </c>
      <c r="E55" s="144">
        <v>43189.364768518521</v>
      </c>
      <c r="F55" s="89">
        <f t="shared" si="8"/>
        <v>43189.364768518521</v>
      </c>
      <c r="G55" s="90" t="str">
        <f t="shared" si="9"/>
        <v>8:45</v>
      </c>
      <c r="H55" s="91">
        <f t="shared" si="10"/>
        <v>9.7500000000000018</v>
      </c>
      <c r="I55" s="92">
        <f t="shared" si="11"/>
        <v>8</v>
      </c>
      <c r="J55" s="92" t="str">
        <f t="shared" si="12"/>
        <v>-</v>
      </c>
      <c r="K55" s="93">
        <f t="shared" si="13"/>
        <v>0</v>
      </c>
      <c r="L55" s="93"/>
      <c r="M55" s="94">
        <f t="shared" si="14"/>
        <v>0</v>
      </c>
      <c r="N55" s="94">
        <f t="shared" si="15"/>
        <v>0</v>
      </c>
      <c r="O55" s="171"/>
    </row>
    <row r="56" spans="1:19">
      <c r="A56">
        <v>9271</v>
      </c>
      <c r="B56" t="s">
        <v>9</v>
      </c>
      <c r="C56" t="s">
        <v>9</v>
      </c>
      <c r="D56" s="143" t="s">
        <v>5</v>
      </c>
      <c r="E56" s="144">
        <v>43189.771423611113</v>
      </c>
      <c r="F56" s="89">
        <f t="shared" si="8"/>
        <v>43189.771423611113</v>
      </c>
      <c r="G56" s="90" t="str">
        <f t="shared" si="9"/>
        <v>18:30</v>
      </c>
      <c r="H56" s="91" t="str">
        <f t="shared" si="10"/>
        <v>-</v>
      </c>
      <c r="I56" s="92" t="str">
        <f t="shared" si="11"/>
        <v>-</v>
      </c>
      <c r="J56" s="92" t="str">
        <f t="shared" si="12"/>
        <v>-</v>
      </c>
      <c r="K56" s="93">
        <f t="shared" si="13"/>
        <v>0</v>
      </c>
      <c r="L56" s="93"/>
      <c r="M56" s="94">
        <f t="shared" si="14"/>
        <v>0</v>
      </c>
      <c r="N56" s="94">
        <f t="shared" si="15"/>
        <v>0</v>
      </c>
      <c r="O56" s="171"/>
    </row>
    <row r="57" spans="1:19">
      <c r="A57">
        <v>9272</v>
      </c>
      <c r="B57" t="s">
        <v>9</v>
      </c>
      <c r="C57" t="s">
        <v>9</v>
      </c>
      <c r="D57" s="143" t="s">
        <v>7</v>
      </c>
      <c r="E57" s="144">
        <v>43189.771458333336</v>
      </c>
      <c r="F57" s="89">
        <f t="shared" si="8"/>
        <v>43189.771458333336</v>
      </c>
      <c r="G57" s="90" t="str">
        <f t="shared" si="9"/>
        <v>18:30</v>
      </c>
      <c r="H57" s="91" t="str">
        <f t="shared" si="10"/>
        <v>-</v>
      </c>
      <c r="I57" s="92" t="str">
        <f t="shared" si="11"/>
        <v>-</v>
      </c>
      <c r="J57" s="92" t="str">
        <f t="shared" si="12"/>
        <v>-</v>
      </c>
      <c r="K57" s="93">
        <f t="shared" si="13"/>
        <v>0.28333333333333499</v>
      </c>
      <c r="L57" s="93"/>
      <c r="M57" s="94">
        <f t="shared" si="14"/>
        <v>0.28333333333333499</v>
      </c>
      <c r="N57" s="94">
        <f t="shared" si="15"/>
        <v>0</v>
      </c>
      <c r="O57" s="171"/>
    </row>
    <row r="58" spans="1:19">
      <c r="A58">
        <v>9279</v>
      </c>
      <c r="B58" t="s">
        <v>9</v>
      </c>
      <c r="C58" t="s">
        <v>9</v>
      </c>
      <c r="D58" s="143" t="s">
        <v>8</v>
      </c>
      <c r="E58" s="144">
        <v>43189.783275462964</v>
      </c>
      <c r="F58" s="89">
        <f t="shared" si="8"/>
        <v>43189.783275462964</v>
      </c>
      <c r="G58" s="90" t="str">
        <f t="shared" si="9"/>
        <v>18:47</v>
      </c>
      <c r="H58" s="91" t="str">
        <f t="shared" si="10"/>
        <v>-</v>
      </c>
      <c r="I58" s="92" t="str">
        <f t="shared" si="11"/>
        <v>-</v>
      </c>
      <c r="J58" s="92" t="str">
        <f t="shared" si="12"/>
        <v>-</v>
      </c>
      <c r="K58" s="93">
        <f t="shared" si="13"/>
        <v>0</v>
      </c>
      <c r="L58" s="93"/>
      <c r="M58" s="94">
        <f t="shared" si="14"/>
        <v>0</v>
      </c>
      <c r="N58" s="94">
        <f t="shared" si="15"/>
        <v>0</v>
      </c>
      <c r="O58" s="171"/>
    </row>
    <row r="59" spans="1:19">
      <c r="A59">
        <v>9290</v>
      </c>
      <c r="B59" t="s">
        <v>9</v>
      </c>
      <c r="C59" t="s">
        <v>9</v>
      </c>
      <c r="D59" s="143" t="s">
        <v>6</v>
      </c>
      <c r="E59" s="144">
        <v>43190.370393518519</v>
      </c>
      <c r="F59" s="89">
        <f t="shared" si="8"/>
        <v>43190.370393518519</v>
      </c>
      <c r="G59" s="90" t="str">
        <f t="shared" si="9"/>
        <v>8:53</v>
      </c>
      <c r="H59" s="91">
        <f t="shared" si="10"/>
        <v>9.533333333333335</v>
      </c>
      <c r="I59" s="92">
        <f t="shared" si="11"/>
        <v>8</v>
      </c>
      <c r="J59" s="92" t="str">
        <f t="shared" si="12"/>
        <v>-</v>
      </c>
      <c r="K59" s="93">
        <f t="shared" si="13"/>
        <v>0</v>
      </c>
      <c r="L59" s="93"/>
      <c r="M59" s="94">
        <f t="shared" si="14"/>
        <v>0</v>
      </c>
      <c r="N59" s="94">
        <f t="shared" si="15"/>
        <v>0</v>
      </c>
      <c r="O59" s="171"/>
    </row>
    <row r="60" spans="1:19">
      <c r="A60">
        <v>9295</v>
      </c>
      <c r="B60" t="s">
        <v>9</v>
      </c>
      <c r="C60" t="s">
        <v>9</v>
      </c>
      <c r="D60" s="143" t="s">
        <v>5</v>
      </c>
      <c r="E60" s="144">
        <v>43190.767708333333</v>
      </c>
      <c r="F60" s="89">
        <f t="shared" si="8"/>
        <v>43190.767708333333</v>
      </c>
      <c r="G60" s="90" t="str">
        <f t="shared" si="9"/>
        <v>18:25</v>
      </c>
      <c r="H60" s="91" t="str">
        <f t="shared" si="10"/>
        <v>-</v>
      </c>
      <c r="I60" s="92" t="str">
        <f t="shared" si="11"/>
        <v>-</v>
      </c>
      <c r="J60" s="92" t="str">
        <f t="shared" si="12"/>
        <v>-</v>
      </c>
      <c r="K60" s="93">
        <f t="shared" si="13"/>
        <v>0</v>
      </c>
      <c r="L60" s="93"/>
      <c r="M60" s="94">
        <f t="shared" si="14"/>
        <v>0</v>
      </c>
      <c r="N60" s="94">
        <f t="shared" si="15"/>
        <v>0</v>
      </c>
      <c r="O60" s="171"/>
    </row>
    <row r="61" spans="1:19">
      <c r="A61">
        <v>9300</v>
      </c>
      <c r="B61" t="s">
        <v>9</v>
      </c>
      <c r="C61" t="s">
        <v>9</v>
      </c>
      <c r="D61" s="143" t="s">
        <v>7</v>
      </c>
      <c r="E61" s="144">
        <v>43190.771620370368</v>
      </c>
      <c r="F61" s="89">
        <f t="shared" si="8"/>
        <v>43190.771620370368</v>
      </c>
      <c r="G61" s="90" t="str">
        <f t="shared" si="9"/>
        <v>18:31</v>
      </c>
      <c r="H61" s="91" t="str">
        <f t="shared" si="10"/>
        <v>-</v>
      </c>
      <c r="I61" s="92" t="str">
        <f t="shared" si="11"/>
        <v>-</v>
      </c>
      <c r="J61" s="92" t="str">
        <f t="shared" si="12"/>
        <v>-</v>
      </c>
      <c r="K61" s="93">
        <f t="shared" si="13"/>
        <v>4.1833333333333345</v>
      </c>
      <c r="L61" s="93"/>
      <c r="M61" s="94">
        <f t="shared" si="14"/>
        <v>2</v>
      </c>
      <c r="N61" s="94">
        <f t="shared" si="15"/>
        <v>2.1833333333333345</v>
      </c>
      <c r="O61" s="171"/>
    </row>
    <row r="62" spans="1:19">
      <c r="A62">
        <v>9310</v>
      </c>
      <c r="B62" t="s">
        <v>9</v>
      </c>
      <c r="C62" t="s">
        <v>9</v>
      </c>
      <c r="D62" s="143" t="s">
        <v>8</v>
      </c>
      <c r="E62" s="144">
        <v>43190.946331018517</v>
      </c>
      <c r="F62" s="89">
        <f t="shared" si="8"/>
        <v>43190.946331018517</v>
      </c>
      <c r="G62" s="90" t="str">
        <f t="shared" si="9"/>
        <v>22:42</v>
      </c>
      <c r="H62" s="91" t="str">
        <f t="shared" si="10"/>
        <v>-</v>
      </c>
      <c r="I62" s="92" t="str">
        <f t="shared" si="11"/>
        <v>-</v>
      </c>
      <c r="J62" s="92" t="str">
        <f t="shared" si="12"/>
        <v>-</v>
      </c>
      <c r="K62" s="93">
        <f t="shared" si="13"/>
        <v>0</v>
      </c>
      <c r="L62" s="93"/>
      <c r="M62" s="94">
        <f t="shared" si="14"/>
        <v>0</v>
      </c>
      <c r="N62" s="94">
        <f t="shared" si="15"/>
        <v>0</v>
      </c>
      <c r="O62" s="171"/>
    </row>
    <row r="65" spans="4:4">
      <c r="D65" s="9" t="s">
        <v>37</v>
      </c>
    </row>
    <row r="66" spans="4:4">
      <c r="D66" s="9" t="s">
        <v>36</v>
      </c>
    </row>
    <row r="67" spans="4:4">
      <c r="D67" s="172" t="s">
        <v>64</v>
      </c>
    </row>
    <row r="68" spans="4:4">
      <c r="D68" t="s">
        <v>67</v>
      </c>
    </row>
    <row r="69" spans="4:4">
      <c r="D69" t="s">
        <v>65</v>
      </c>
    </row>
    <row r="70" spans="4:4">
      <c r="D70" t="s">
        <v>69</v>
      </c>
    </row>
    <row r="71" spans="4:4">
      <c r="D71" t="s">
        <v>70</v>
      </c>
    </row>
    <row r="72" spans="4:4">
      <c r="D72" t="s">
        <v>66</v>
      </c>
    </row>
    <row r="73" spans="4:4">
      <c r="D73" t="s">
        <v>68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A1:U107"/>
  <sheetViews>
    <sheetView tabSelected="1" workbookViewId="0">
      <selection activeCell="I9" sqref="I9"/>
    </sheetView>
  </sheetViews>
  <sheetFormatPr defaultColWidth="8.875"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.875" style="3" customWidth="1"/>
    <col min="5" max="5" width="17.125" style="3" customWidth="1"/>
    <col min="6" max="6" width="8" style="16" customWidth="1"/>
    <col min="7" max="7" width="8.625" style="17" customWidth="1" outlineLevel="1"/>
    <col min="8" max="8" width="11.125" style="51" customWidth="1" outlineLevel="1"/>
    <col min="9" max="9" width="10.125" style="21" customWidth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9.125" style="22" customWidth="1"/>
    <col min="15" max="15" width="14.87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ruby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184">
        <f>44.5-13</f>
        <v>31.5</v>
      </c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7.25" thickBot="1">
      <c r="D3" s="24" t="s">
        <v>77</v>
      </c>
      <c r="E3" s="185">
        <v>800</v>
      </c>
      <c r="F3" s="25"/>
      <c r="G3" s="26"/>
      <c r="H3" s="26"/>
      <c r="I3" s="88"/>
      <c r="J3" s="54">
        <f>D5+E5</f>
        <v>0</v>
      </c>
      <c r="K3" s="53">
        <f>SUM(K7:K94)</f>
        <v>38.866666666666674</v>
      </c>
      <c r="L3" s="53">
        <f>J3</f>
        <v>0</v>
      </c>
      <c r="M3" s="53">
        <f>M6-J3</f>
        <v>25.083333333333329</v>
      </c>
      <c r="N3" s="53">
        <f>N6</f>
        <v>14.183333333333332</v>
      </c>
      <c r="O3" s="50"/>
    </row>
    <row r="4" spans="1:21">
      <c r="D4" s="134" t="s">
        <v>46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1">
      <c r="D5" s="87">
        <v>0</v>
      </c>
      <c r="E5" s="86">
        <v>0</v>
      </c>
      <c r="F5" s="86">
        <f>8+1.5</f>
        <v>9.5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0.24541666666666662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SUM(I7:I100)</f>
        <v>174.5</v>
      </c>
      <c r="J6" s="78">
        <f t="shared" ref="J6:N6" si="0">SUM(J7:J100)</f>
        <v>9.5</v>
      </c>
      <c r="K6" s="78">
        <f t="shared" si="0"/>
        <v>39.266666666666673</v>
      </c>
      <c r="L6" s="78">
        <f t="shared" si="0"/>
        <v>0</v>
      </c>
      <c r="M6" s="78">
        <f t="shared" si="0"/>
        <v>25.083333333333329</v>
      </c>
      <c r="N6" s="78">
        <f t="shared" si="0"/>
        <v>14.183333333333332</v>
      </c>
      <c r="O6" s="45"/>
      <c r="Q6" s="47"/>
    </row>
    <row r="7" spans="1:21" s="63" customFormat="1">
      <c r="A7" s="140">
        <v>8492</v>
      </c>
      <c r="B7" s="140" t="s">
        <v>15</v>
      </c>
      <c r="C7" s="140" t="s">
        <v>15</v>
      </c>
      <c r="D7" s="141" t="s">
        <v>6</v>
      </c>
      <c r="E7" s="142">
        <v>43160.364583333336</v>
      </c>
      <c r="F7" s="89">
        <f>E7</f>
        <v>43160.364583333336</v>
      </c>
      <c r="G7" s="90" t="str">
        <f>HOUR(E7)&amp;":"&amp;MINUTE(E7)</f>
        <v>8:45</v>
      </c>
      <c r="H7" s="91">
        <f t="shared" ref="H7" si="1">IF(D7="上班",(G8-G7)*24,"-")</f>
        <v>10.083333333333334</v>
      </c>
      <c r="I7" s="92">
        <f t="shared" ref="I7" si="2">IF(D7="上班",IF(H7-1.5&gt;8,8,H7-1.5),"-")</f>
        <v>8</v>
      </c>
      <c r="J7" s="92" t="str">
        <f t="shared" ref="J7" si="3">IF(I7&lt;8,8-I7,"-")</f>
        <v>-</v>
      </c>
      <c r="K7" s="93">
        <f t="shared" ref="K7" si="4">IF(D7="加班",(G8-G7)*24,0)</f>
        <v>0</v>
      </c>
      <c r="L7" s="93"/>
      <c r="M7" s="94">
        <f t="shared" ref="M7" si="5">IF(K7&gt;2,2,K7)</f>
        <v>0</v>
      </c>
      <c r="N7" s="94">
        <f t="shared" ref="N7" si="6">IF(K7&gt;2,K7-2,0)</f>
        <v>0</v>
      </c>
      <c r="O7" s="95"/>
      <c r="P7" s="18"/>
      <c r="Q7" s="18"/>
      <c r="R7" s="18"/>
      <c r="S7" s="18"/>
    </row>
    <row r="8" spans="1:21" s="63" customFormat="1">
      <c r="A8" s="140">
        <v>8506</v>
      </c>
      <c r="B8" s="140" t="s">
        <v>15</v>
      </c>
      <c r="C8" s="140" t="s">
        <v>15</v>
      </c>
      <c r="D8" s="143" t="s">
        <v>5</v>
      </c>
      <c r="E8" s="144">
        <v>43160.78497685185</v>
      </c>
      <c r="F8" s="89">
        <f t="shared" ref="F8:F71" si="7">E8</f>
        <v>43160.78497685185</v>
      </c>
      <c r="G8" s="90" t="str">
        <f t="shared" ref="G8:G71" si="8">HOUR(E8)&amp;":"&amp;MINUTE(E8)</f>
        <v>18:50</v>
      </c>
      <c r="H8" s="91" t="str">
        <f t="shared" ref="H8:H71" si="9">IF(D8="上班",(G9-G8)*24,"-")</f>
        <v>-</v>
      </c>
      <c r="I8" s="92" t="str">
        <f t="shared" ref="I8:I71" si="10">IF(D8="上班",IF(H8-1.5&gt;8,8,H8-1.5),"-")</f>
        <v>-</v>
      </c>
      <c r="J8" s="92" t="str">
        <f t="shared" ref="J8:J71" si="11">IF(I8&lt;8,8-I8,"-")</f>
        <v>-</v>
      </c>
      <c r="K8" s="93">
        <f t="shared" ref="K8:K71" si="12">IF(D8="加班",(G9-G8)*24,0)</f>
        <v>0</v>
      </c>
      <c r="L8" s="93"/>
      <c r="M8" s="94">
        <f t="shared" ref="M8:M71" si="13">IF(K8&gt;2,2,K8)</f>
        <v>0</v>
      </c>
      <c r="N8" s="94">
        <f t="shared" ref="N8:N71" si="14">IF(K8&gt;2,K8-2,0)</f>
        <v>0</v>
      </c>
      <c r="O8" s="95"/>
      <c r="P8" s="18"/>
      <c r="Q8" s="18"/>
      <c r="R8" s="18"/>
      <c r="S8" s="18"/>
    </row>
    <row r="9" spans="1:21" s="63" customFormat="1">
      <c r="A9" s="140">
        <v>8507</v>
      </c>
      <c r="B9" s="140" t="s">
        <v>15</v>
      </c>
      <c r="C9" s="140" t="s">
        <v>15</v>
      </c>
      <c r="D9" s="143" t="s">
        <v>7</v>
      </c>
      <c r="E9" s="144">
        <v>43160.78502314815</v>
      </c>
      <c r="F9" s="89">
        <f t="shared" si="7"/>
        <v>43160.78502314815</v>
      </c>
      <c r="G9" s="90" t="str">
        <f t="shared" si="8"/>
        <v>18:50</v>
      </c>
      <c r="H9" s="91" t="str">
        <f t="shared" si="9"/>
        <v>-</v>
      </c>
      <c r="I9" s="92" t="str">
        <f t="shared" si="10"/>
        <v>-</v>
      </c>
      <c r="J9" s="92" t="str">
        <f t="shared" si="11"/>
        <v>-</v>
      </c>
      <c r="K9" s="93">
        <f t="shared" si="12"/>
        <v>0.90000000000000213</v>
      </c>
      <c r="L9" s="93"/>
      <c r="M9" s="94">
        <f t="shared" si="13"/>
        <v>0.90000000000000213</v>
      </c>
      <c r="N9" s="94">
        <f t="shared" si="14"/>
        <v>0</v>
      </c>
      <c r="O9" s="95"/>
      <c r="P9" s="18"/>
      <c r="Q9" s="18"/>
      <c r="R9" s="18"/>
      <c r="S9" s="18"/>
    </row>
    <row r="10" spans="1:21" s="63" customFormat="1">
      <c r="A10" s="140">
        <v>8516</v>
      </c>
      <c r="B10" s="140" t="s">
        <v>15</v>
      </c>
      <c r="C10" s="140" t="s">
        <v>15</v>
      </c>
      <c r="D10" s="143" t="s">
        <v>8</v>
      </c>
      <c r="E10" s="144">
        <v>43160.822743055556</v>
      </c>
      <c r="F10" s="89">
        <f t="shared" si="7"/>
        <v>43160.822743055556</v>
      </c>
      <c r="G10" s="90" t="str">
        <f t="shared" si="8"/>
        <v>19:44</v>
      </c>
      <c r="H10" s="91" t="str">
        <f t="shared" si="9"/>
        <v>-</v>
      </c>
      <c r="I10" s="92" t="str">
        <f t="shared" si="10"/>
        <v>-</v>
      </c>
      <c r="J10" s="92" t="str">
        <f t="shared" si="11"/>
        <v>-</v>
      </c>
      <c r="K10" s="93">
        <f t="shared" si="12"/>
        <v>0</v>
      </c>
      <c r="L10" s="93"/>
      <c r="M10" s="94">
        <f t="shared" si="13"/>
        <v>0</v>
      </c>
      <c r="N10" s="94">
        <f t="shared" si="14"/>
        <v>0</v>
      </c>
      <c r="O10" s="95"/>
      <c r="P10" s="18"/>
      <c r="Q10" s="18"/>
      <c r="R10" s="18"/>
      <c r="S10" s="18"/>
    </row>
    <row r="11" spans="1:21" s="63" customFormat="1">
      <c r="A11" s="140">
        <v>8524</v>
      </c>
      <c r="B11" s="140" t="s">
        <v>15</v>
      </c>
      <c r="C11" s="140" t="s">
        <v>15</v>
      </c>
      <c r="D11" s="143" t="s">
        <v>6</v>
      </c>
      <c r="E11" s="144">
        <v>43161.365011574075</v>
      </c>
      <c r="F11" s="89">
        <f t="shared" si="7"/>
        <v>43161.365011574075</v>
      </c>
      <c r="G11" s="90" t="str">
        <f t="shared" si="8"/>
        <v>8:45</v>
      </c>
      <c r="H11" s="91">
        <f t="shared" si="9"/>
        <v>9.8166666666666682</v>
      </c>
      <c r="I11" s="92">
        <f t="shared" si="10"/>
        <v>8</v>
      </c>
      <c r="J11" s="92" t="str">
        <f t="shared" si="11"/>
        <v>-</v>
      </c>
      <c r="K11" s="93">
        <f t="shared" si="12"/>
        <v>0</v>
      </c>
      <c r="L11" s="93"/>
      <c r="M11" s="94">
        <f t="shared" si="13"/>
        <v>0</v>
      </c>
      <c r="N11" s="94">
        <f t="shared" si="14"/>
        <v>0</v>
      </c>
      <c r="O11" s="95"/>
      <c r="P11" s="18"/>
      <c r="Q11" s="18"/>
      <c r="R11" s="18"/>
      <c r="S11" s="18"/>
    </row>
    <row r="12" spans="1:21" s="63" customFormat="1">
      <c r="A12" s="140">
        <v>8538</v>
      </c>
      <c r="B12" s="140" t="s">
        <v>15</v>
      </c>
      <c r="C12" s="140" t="s">
        <v>15</v>
      </c>
      <c r="D12" s="143" t="s">
        <v>5</v>
      </c>
      <c r="E12" s="144">
        <v>43161.773622685185</v>
      </c>
      <c r="F12" s="89">
        <f t="shared" si="7"/>
        <v>43161.773622685185</v>
      </c>
      <c r="G12" s="90" t="str">
        <f t="shared" si="8"/>
        <v>18:34</v>
      </c>
      <c r="H12" s="91" t="str">
        <f t="shared" si="9"/>
        <v>-</v>
      </c>
      <c r="I12" s="92" t="str">
        <f t="shared" si="10"/>
        <v>-</v>
      </c>
      <c r="J12" s="92" t="str">
        <f t="shared" si="11"/>
        <v>-</v>
      </c>
      <c r="K12" s="93">
        <f t="shared" si="12"/>
        <v>0</v>
      </c>
      <c r="L12" s="93"/>
      <c r="M12" s="94">
        <f t="shared" si="13"/>
        <v>0</v>
      </c>
      <c r="N12" s="94">
        <f t="shared" si="14"/>
        <v>0</v>
      </c>
      <c r="O12" s="95"/>
      <c r="P12" s="18"/>
      <c r="Q12" s="18"/>
      <c r="R12" s="18"/>
      <c r="S12" s="18"/>
    </row>
    <row r="13" spans="1:21" s="63" customFormat="1">
      <c r="A13" s="140">
        <v>8539</v>
      </c>
      <c r="B13" s="140" t="s">
        <v>15</v>
      </c>
      <c r="C13" s="140" t="s">
        <v>15</v>
      </c>
      <c r="D13" s="143" t="s">
        <v>7</v>
      </c>
      <c r="E13" s="144">
        <v>43161.773668981485</v>
      </c>
      <c r="F13" s="89">
        <f t="shared" si="7"/>
        <v>43161.773668981485</v>
      </c>
      <c r="G13" s="90" t="str">
        <f t="shared" si="8"/>
        <v>18:34</v>
      </c>
      <c r="H13" s="91" t="str">
        <f t="shared" si="9"/>
        <v>-</v>
      </c>
      <c r="I13" s="92" t="str">
        <f t="shared" si="10"/>
        <v>-</v>
      </c>
      <c r="J13" s="92" t="str">
        <f t="shared" si="11"/>
        <v>-</v>
      </c>
      <c r="K13" s="93">
        <f t="shared" si="12"/>
        <v>1.2166666666666677</v>
      </c>
      <c r="L13" s="93"/>
      <c r="M13" s="94">
        <f t="shared" si="13"/>
        <v>1.2166666666666677</v>
      </c>
      <c r="N13" s="94">
        <f t="shared" si="14"/>
        <v>0</v>
      </c>
      <c r="O13" s="95"/>
      <c r="P13" s="18"/>
      <c r="Q13" s="18"/>
      <c r="R13" s="18"/>
      <c r="S13" s="18"/>
    </row>
    <row r="14" spans="1:21" s="63" customFormat="1">
      <c r="A14" s="140">
        <v>8544</v>
      </c>
      <c r="B14" s="140" t="s">
        <v>15</v>
      </c>
      <c r="C14" s="140" t="s">
        <v>15</v>
      </c>
      <c r="D14" s="143" t="s">
        <v>8</v>
      </c>
      <c r="E14" s="144">
        <v>43161.824756944443</v>
      </c>
      <c r="F14" s="89">
        <f t="shared" si="7"/>
        <v>43161.824756944443</v>
      </c>
      <c r="G14" s="90" t="str">
        <f t="shared" si="8"/>
        <v>19:47</v>
      </c>
      <c r="H14" s="91" t="str">
        <f t="shared" si="9"/>
        <v>-</v>
      </c>
      <c r="I14" s="92" t="str">
        <f t="shared" si="10"/>
        <v>-</v>
      </c>
      <c r="J14" s="92" t="str">
        <f t="shared" si="11"/>
        <v>-</v>
      </c>
      <c r="K14" s="93">
        <f t="shared" si="12"/>
        <v>0</v>
      </c>
      <c r="L14" s="93"/>
      <c r="M14" s="94">
        <f t="shared" si="13"/>
        <v>0</v>
      </c>
      <c r="N14" s="94">
        <f t="shared" si="14"/>
        <v>0</v>
      </c>
      <c r="O14" s="95"/>
      <c r="P14" s="18"/>
      <c r="Q14" s="18"/>
      <c r="R14" s="18"/>
      <c r="S14" s="18"/>
    </row>
    <row r="15" spans="1:21" s="63" customFormat="1">
      <c r="A15" s="140">
        <v>8561</v>
      </c>
      <c r="B15" s="140" t="s">
        <v>15</v>
      </c>
      <c r="C15" s="140" t="s">
        <v>15</v>
      </c>
      <c r="D15" s="143" t="s">
        <v>6</v>
      </c>
      <c r="E15" s="144">
        <v>43164.36478009259</v>
      </c>
      <c r="F15" s="89">
        <f t="shared" si="7"/>
        <v>43164.36478009259</v>
      </c>
      <c r="G15" s="90" t="str">
        <f t="shared" si="8"/>
        <v>8:45</v>
      </c>
      <c r="H15" s="91">
        <f t="shared" si="9"/>
        <v>9.533333333333335</v>
      </c>
      <c r="I15" s="92">
        <f t="shared" si="10"/>
        <v>8</v>
      </c>
      <c r="J15" s="92" t="str">
        <f t="shared" si="11"/>
        <v>-</v>
      </c>
      <c r="K15" s="93">
        <f t="shared" si="12"/>
        <v>0</v>
      </c>
      <c r="L15" s="93"/>
      <c r="M15" s="94">
        <f t="shared" si="13"/>
        <v>0</v>
      </c>
      <c r="N15" s="94">
        <f t="shared" si="14"/>
        <v>0</v>
      </c>
      <c r="O15" s="95"/>
      <c r="P15" s="18"/>
      <c r="Q15" s="18"/>
      <c r="R15" s="18"/>
      <c r="S15" s="18"/>
    </row>
    <row r="16" spans="1:21" s="63" customFormat="1">
      <c r="A16" s="140">
        <v>8574</v>
      </c>
      <c r="B16" s="140" t="s">
        <v>15</v>
      </c>
      <c r="C16" s="140" t="s">
        <v>15</v>
      </c>
      <c r="D16" s="143" t="s">
        <v>5</v>
      </c>
      <c r="E16" s="144">
        <v>43164.762280092589</v>
      </c>
      <c r="F16" s="89">
        <f t="shared" si="7"/>
        <v>43164.762280092589</v>
      </c>
      <c r="G16" s="90" t="str">
        <f t="shared" si="8"/>
        <v>18:17</v>
      </c>
      <c r="H16" s="91" t="str">
        <f t="shared" si="9"/>
        <v>-</v>
      </c>
      <c r="I16" s="92" t="str">
        <f t="shared" si="10"/>
        <v>-</v>
      </c>
      <c r="J16" s="92" t="str">
        <f t="shared" si="11"/>
        <v>-</v>
      </c>
      <c r="K16" s="93">
        <f t="shared" si="12"/>
        <v>0</v>
      </c>
      <c r="L16" s="93"/>
      <c r="M16" s="94">
        <f t="shared" si="13"/>
        <v>0</v>
      </c>
      <c r="N16" s="94">
        <f t="shared" si="14"/>
        <v>0</v>
      </c>
      <c r="O16" s="95"/>
      <c r="P16" s="18"/>
      <c r="Q16" s="18"/>
      <c r="R16" s="18"/>
      <c r="S16" s="18"/>
    </row>
    <row r="17" spans="1:19" s="187" customFormat="1">
      <c r="A17" s="140">
        <v>8584</v>
      </c>
      <c r="B17" s="140" t="s">
        <v>15</v>
      </c>
      <c r="C17" s="140" t="s">
        <v>15</v>
      </c>
      <c r="D17" s="143" t="s">
        <v>7</v>
      </c>
      <c r="E17" s="144">
        <v>43164.801041666666</v>
      </c>
      <c r="F17" s="89">
        <f t="shared" si="7"/>
        <v>43164.801041666666</v>
      </c>
      <c r="G17" s="90" t="str">
        <f t="shared" si="8"/>
        <v>19:13</v>
      </c>
      <c r="H17" s="91" t="str">
        <f t="shared" si="9"/>
        <v>-</v>
      </c>
      <c r="I17" s="92" t="str">
        <f t="shared" si="10"/>
        <v>-</v>
      </c>
      <c r="J17" s="92" t="str">
        <f t="shared" si="11"/>
        <v>-</v>
      </c>
      <c r="K17" s="93">
        <f t="shared" si="12"/>
        <v>3.1166666666666663</v>
      </c>
      <c r="L17" s="93"/>
      <c r="M17" s="94">
        <f t="shared" si="13"/>
        <v>2</v>
      </c>
      <c r="N17" s="94">
        <f t="shared" si="14"/>
        <v>1.1166666666666663</v>
      </c>
      <c r="O17" s="95"/>
    </row>
    <row r="18" spans="1:19" s="63" customFormat="1">
      <c r="A18" s="140">
        <v>8590</v>
      </c>
      <c r="B18" s="140" t="s">
        <v>15</v>
      </c>
      <c r="C18" s="140" t="s">
        <v>15</v>
      </c>
      <c r="D18" s="143" t="s">
        <v>8</v>
      </c>
      <c r="E18" s="144">
        <v>43164.930856481478</v>
      </c>
      <c r="F18" s="89">
        <f t="shared" si="7"/>
        <v>43164.930856481478</v>
      </c>
      <c r="G18" s="90" t="str">
        <f t="shared" si="8"/>
        <v>22:20</v>
      </c>
      <c r="H18" s="91" t="str">
        <f t="shared" si="9"/>
        <v>-</v>
      </c>
      <c r="I18" s="92" t="str">
        <f t="shared" si="10"/>
        <v>-</v>
      </c>
      <c r="J18" s="92" t="str">
        <f t="shared" si="11"/>
        <v>-</v>
      </c>
      <c r="K18" s="93">
        <f t="shared" si="12"/>
        <v>0</v>
      </c>
      <c r="L18" s="93"/>
      <c r="M18" s="94">
        <f t="shared" si="13"/>
        <v>0</v>
      </c>
      <c r="N18" s="94">
        <f t="shared" si="14"/>
        <v>0</v>
      </c>
      <c r="O18" s="95"/>
      <c r="P18" s="18"/>
      <c r="Q18" s="18"/>
      <c r="R18" s="18"/>
      <c r="S18" s="18"/>
    </row>
    <row r="19" spans="1:19" s="9" customFormat="1">
      <c r="A19" s="48">
        <v>8599</v>
      </c>
      <c r="B19" s="48" t="s">
        <v>15</v>
      </c>
      <c r="C19" s="48" t="s">
        <v>15</v>
      </c>
      <c r="D19" s="447" t="s">
        <v>6</v>
      </c>
      <c r="E19" s="448">
        <v>43165.369502314818</v>
      </c>
      <c r="F19" s="89">
        <f t="shared" si="7"/>
        <v>43165.369502314818</v>
      </c>
      <c r="G19" s="90" t="str">
        <f t="shared" si="8"/>
        <v>8:52</v>
      </c>
      <c r="H19" s="91">
        <f t="shared" si="9"/>
        <v>9.466666666666665</v>
      </c>
      <c r="I19" s="92">
        <v>8</v>
      </c>
      <c r="J19" s="92" t="str">
        <f t="shared" si="11"/>
        <v>-</v>
      </c>
      <c r="K19" s="93">
        <f t="shared" si="12"/>
        <v>0</v>
      </c>
      <c r="L19" s="93"/>
      <c r="M19" s="94">
        <f t="shared" si="13"/>
        <v>0</v>
      </c>
      <c r="N19" s="94">
        <f t="shared" si="14"/>
        <v>0</v>
      </c>
      <c r="O19" s="95"/>
    </row>
    <row r="20" spans="1:19">
      <c r="A20" s="140">
        <v>8606</v>
      </c>
      <c r="B20" s="140" t="s">
        <v>15</v>
      </c>
      <c r="C20" s="140" t="s">
        <v>15</v>
      </c>
      <c r="D20" s="143" t="s">
        <v>5</v>
      </c>
      <c r="E20" s="144">
        <v>43165.764062499999</v>
      </c>
      <c r="F20" s="89">
        <f t="shared" si="7"/>
        <v>43165.764062499999</v>
      </c>
      <c r="G20" s="90" t="str">
        <f t="shared" si="8"/>
        <v>18:20</v>
      </c>
      <c r="H20" s="91" t="str">
        <f t="shared" si="9"/>
        <v>-</v>
      </c>
      <c r="I20" s="92" t="str">
        <f t="shared" si="10"/>
        <v>-</v>
      </c>
      <c r="J20" s="92" t="str">
        <f t="shared" si="11"/>
        <v>-</v>
      </c>
      <c r="K20" s="93">
        <f t="shared" si="12"/>
        <v>0</v>
      </c>
      <c r="L20" s="93"/>
      <c r="M20" s="94">
        <f t="shared" si="13"/>
        <v>0</v>
      </c>
      <c r="N20" s="94">
        <f t="shared" si="14"/>
        <v>0</v>
      </c>
      <c r="O20" s="95"/>
    </row>
    <row r="21" spans="1:19">
      <c r="A21" s="140">
        <v>8619</v>
      </c>
      <c r="B21" s="140" t="s">
        <v>15</v>
      </c>
      <c r="C21" s="140" t="s">
        <v>15</v>
      </c>
      <c r="D21" s="143" t="s">
        <v>7</v>
      </c>
      <c r="E21" s="144">
        <v>43165.788055555553</v>
      </c>
      <c r="F21" s="89">
        <f t="shared" si="7"/>
        <v>43165.788055555553</v>
      </c>
      <c r="G21" s="90" t="str">
        <f t="shared" si="8"/>
        <v>18:54</v>
      </c>
      <c r="H21" s="91" t="str">
        <f t="shared" si="9"/>
        <v>-</v>
      </c>
      <c r="I21" s="92" t="str">
        <f t="shared" si="10"/>
        <v>-</v>
      </c>
      <c r="J21" s="92" t="str">
        <f t="shared" si="11"/>
        <v>-</v>
      </c>
      <c r="K21" s="93">
        <f t="shared" si="12"/>
        <v>2.6666666666666679</v>
      </c>
      <c r="L21" s="93"/>
      <c r="M21" s="94">
        <f t="shared" si="13"/>
        <v>2</v>
      </c>
      <c r="N21" s="94">
        <f t="shared" si="14"/>
        <v>0.66666666666666785</v>
      </c>
      <c r="O21" s="95"/>
    </row>
    <row r="22" spans="1:19" s="63" customFormat="1">
      <c r="A22" s="140">
        <v>8622</v>
      </c>
      <c r="B22" s="140" t="s">
        <v>15</v>
      </c>
      <c r="C22" s="140" t="s">
        <v>15</v>
      </c>
      <c r="D22" s="143" t="s">
        <v>8</v>
      </c>
      <c r="E22" s="144">
        <v>43165.899189814816</v>
      </c>
      <c r="F22" s="89">
        <f t="shared" si="7"/>
        <v>43165.899189814816</v>
      </c>
      <c r="G22" s="90" t="str">
        <f t="shared" si="8"/>
        <v>21:34</v>
      </c>
      <c r="H22" s="91" t="str">
        <f t="shared" si="9"/>
        <v>-</v>
      </c>
      <c r="I22" s="92" t="str">
        <f t="shared" si="10"/>
        <v>-</v>
      </c>
      <c r="J22" s="92" t="str">
        <f t="shared" si="11"/>
        <v>-</v>
      </c>
      <c r="K22" s="93">
        <f t="shared" si="12"/>
        <v>0</v>
      </c>
      <c r="L22" s="93"/>
      <c r="M22" s="94">
        <f t="shared" si="13"/>
        <v>0</v>
      </c>
      <c r="N22" s="94">
        <f t="shared" si="14"/>
        <v>0</v>
      </c>
      <c r="O22" s="95"/>
      <c r="P22" s="18"/>
      <c r="Q22" s="18"/>
      <c r="R22" s="18"/>
      <c r="S22" s="18"/>
    </row>
    <row r="23" spans="1:19" s="63" customFormat="1">
      <c r="A23" s="140">
        <v>8634</v>
      </c>
      <c r="B23" s="140" t="s">
        <v>15</v>
      </c>
      <c r="C23" s="140" t="s">
        <v>15</v>
      </c>
      <c r="D23" s="143" t="s">
        <v>6</v>
      </c>
      <c r="E23" s="144">
        <v>43166.371666666666</v>
      </c>
      <c r="F23" s="89">
        <f t="shared" si="7"/>
        <v>43166.371666666666</v>
      </c>
      <c r="G23" s="90" t="str">
        <f t="shared" si="8"/>
        <v>8:55</v>
      </c>
      <c r="H23" s="91">
        <f t="shared" si="9"/>
        <v>9.5666666666666682</v>
      </c>
      <c r="I23" s="92">
        <f t="shared" si="10"/>
        <v>8</v>
      </c>
      <c r="J23" s="92" t="str">
        <f t="shared" si="11"/>
        <v>-</v>
      </c>
      <c r="K23" s="93">
        <f t="shared" si="12"/>
        <v>0</v>
      </c>
      <c r="L23" s="93"/>
      <c r="M23" s="94">
        <f t="shared" si="13"/>
        <v>0</v>
      </c>
      <c r="N23" s="94">
        <f t="shared" si="14"/>
        <v>0</v>
      </c>
      <c r="O23" s="95"/>
      <c r="P23" s="18"/>
      <c r="Q23" s="18"/>
      <c r="R23" s="18"/>
      <c r="S23" s="18"/>
    </row>
    <row r="24" spans="1:19" s="63" customFormat="1">
      <c r="A24" s="140">
        <v>8644</v>
      </c>
      <c r="B24" s="140" t="s">
        <v>15</v>
      </c>
      <c r="C24" s="140" t="s">
        <v>15</v>
      </c>
      <c r="D24" s="143" t="s">
        <v>5</v>
      </c>
      <c r="E24" s="144">
        <v>43166.770613425928</v>
      </c>
      <c r="F24" s="89">
        <f t="shared" si="7"/>
        <v>43166.770613425928</v>
      </c>
      <c r="G24" s="90" t="str">
        <f t="shared" si="8"/>
        <v>18:29</v>
      </c>
      <c r="H24" s="91" t="str">
        <f t="shared" si="9"/>
        <v>-</v>
      </c>
      <c r="I24" s="92" t="str">
        <f t="shared" si="10"/>
        <v>-</v>
      </c>
      <c r="J24" s="92" t="str">
        <f t="shared" si="11"/>
        <v>-</v>
      </c>
      <c r="K24" s="93">
        <f t="shared" si="12"/>
        <v>0</v>
      </c>
      <c r="L24" s="93"/>
      <c r="M24" s="94">
        <f t="shared" si="13"/>
        <v>0</v>
      </c>
      <c r="N24" s="94">
        <f t="shared" si="14"/>
        <v>0</v>
      </c>
      <c r="O24" s="95"/>
      <c r="P24" s="18"/>
      <c r="Q24" s="18"/>
      <c r="R24" s="18"/>
      <c r="S24" s="18"/>
    </row>
    <row r="25" spans="1:19" s="16" customFormat="1">
      <c r="A25" s="140">
        <v>8665</v>
      </c>
      <c r="B25" s="140" t="s">
        <v>15</v>
      </c>
      <c r="C25" s="140" t="s">
        <v>15</v>
      </c>
      <c r="D25" s="143" t="s">
        <v>6</v>
      </c>
      <c r="E25" s="144">
        <v>43167.364722222221</v>
      </c>
      <c r="F25" s="89">
        <f t="shared" si="7"/>
        <v>43167.364722222221</v>
      </c>
      <c r="G25" s="90" t="str">
        <f t="shared" si="8"/>
        <v>8:45</v>
      </c>
      <c r="H25" s="91">
        <f t="shared" si="9"/>
        <v>9.6499999999999986</v>
      </c>
      <c r="I25" s="92">
        <f t="shared" si="10"/>
        <v>8</v>
      </c>
      <c r="J25" s="92" t="str">
        <f t="shared" si="11"/>
        <v>-</v>
      </c>
      <c r="K25" s="93">
        <f t="shared" si="12"/>
        <v>0</v>
      </c>
      <c r="L25" s="93"/>
      <c r="M25" s="94">
        <f t="shared" si="13"/>
        <v>0</v>
      </c>
      <c r="N25" s="94">
        <f t="shared" si="14"/>
        <v>0</v>
      </c>
      <c r="O25" s="95"/>
      <c r="P25" s="137"/>
      <c r="Q25" s="137"/>
      <c r="R25" s="137"/>
      <c r="S25" s="137"/>
    </row>
    <row r="26" spans="1:19" s="63" customFormat="1">
      <c r="A26" s="140">
        <v>8675</v>
      </c>
      <c r="B26" s="140" t="s">
        <v>15</v>
      </c>
      <c r="C26" s="140" t="s">
        <v>15</v>
      </c>
      <c r="D26" s="143" t="s">
        <v>5</v>
      </c>
      <c r="E26" s="144">
        <v>43167.766863425924</v>
      </c>
      <c r="F26" s="89">
        <f t="shared" si="7"/>
        <v>43167.766863425924</v>
      </c>
      <c r="G26" s="90" t="str">
        <f t="shared" si="8"/>
        <v>18:24</v>
      </c>
      <c r="H26" s="91" t="str">
        <f t="shared" si="9"/>
        <v>-</v>
      </c>
      <c r="I26" s="92" t="str">
        <f t="shared" si="10"/>
        <v>-</v>
      </c>
      <c r="J26" s="92" t="str">
        <f t="shared" si="11"/>
        <v>-</v>
      </c>
      <c r="K26" s="93">
        <f t="shared" si="12"/>
        <v>0</v>
      </c>
      <c r="L26" s="93"/>
      <c r="M26" s="94">
        <f t="shared" si="13"/>
        <v>0</v>
      </c>
      <c r="N26" s="94">
        <f t="shared" si="14"/>
        <v>0</v>
      </c>
      <c r="O26" s="95"/>
      <c r="P26" s="18"/>
      <c r="Q26" s="18"/>
      <c r="R26" s="18"/>
      <c r="S26" s="18"/>
    </row>
    <row r="27" spans="1:19">
      <c r="A27" s="140">
        <v>8696</v>
      </c>
      <c r="B27" s="140" t="s">
        <v>15</v>
      </c>
      <c r="C27" s="140" t="s">
        <v>15</v>
      </c>
      <c r="D27" s="143" t="s">
        <v>6</v>
      </c>
      <c r="E27" s="144">
        <v>43168.367430555554</v>
      </c>
      <c r="F27" s="89">
        <f t="shared" si="7"/>
        <v>43168.367430555554</v>
      </c>
      <c r="G27" s="90" t="str">
        <f t="shared" si="8"/>
        <v>8:49</v>
      </c>
      <c r="H27" s="91">
        <f t="shared" si="9"/>
        <v>9.6833333333333353</v>
      </c>
      <c r="I27" s="92">
        <f t="shared" si="10"/>
        <v>8</v>
      </c>
      <c r="J27" s="92" t="str">
        <f t="shared" si="11"/>
        <v>-</v>
      </c>
      <c r="K27" s="93">
        <f t="shared" si="12"/>
        <v>0</v>
      </c>
      <c r="L27" s="93"/>
      <c r="M27" s="94">
        <f t="shared" si="13"/>
        <v>0</v>
      </c>
      <c r="N27" s="94">
        <f t="shared" si="14"/>
        <v>0</v>
      </c>
      <c r="O27" s="95"/>
    </row>
    <row r="28" spans="1:19">
      <c r="A28" s="140">
        <v>8707</v>
      </c>
      <c r="B28" s="140" t="s">
        <v>95</v>
      </c>
      <c r="C28" s="140" t="s">
        <v>15</v>
      </c>
      <c r="D28" s="143" t="s">
        <v>5</v>
      </c>
      <c r="E28" s="144">
        <v>43168.771111111113</v>
      </c>
      <c r="F28" s="89">
        <f t="shared" si="7"/>
        <v>43168.771111111113</v>
      </c>
      <c r="G28" s="90" t="str">
        <f t="shared" si="8"/>
        <v>18:30</v>
      </c>
      <c r="H28" s="91" t="str">
        <f t="shared" si="9"/>
        <v>-</v>
      </c>
      <c r="I28" s="92" t="str">
        <f t="shared" si="10"/>
        <v>-</v>
      </c>
      <c r="J28" s="92" t="str">
        <f t="shared" si="11"/>
        <v>-</v>
      </c>
      <c r="K28" s="93">
        <f t="shared" si="12"/>
        <v>0</v>
      </c>
      <c r="L28" s="93"/>
      <c r="M28" s="94">
        <f t="shared" si="13"/>
        <v>0</v>
      </c>
      <c r="N28" s="94">
        <f t="shared" si="14"/>
        <v>0</v>
      </c>
      <c r="O28" s="95"/>
    </row>
    <row r="29" spans="1:19">
      <c r="A29" s="140">
        <v>8708</v>
      </c>
      <c r="B29" s="140" t="s">
        <v>95</v>
      </c>
      <c r="C29" s="140" t="s">
        <v>15</v>
      </c>
      <c r="D29" s="143" t="s">
        <v>7</v>
      </c>
      <c r="E29" s="144">
        <v>43168.771145833336</v>
      </c>
      <c r="F29" s="89">
        <f t="shared" si="7"/>
        <v>43168.771145833336</v>
      </c>
      <c r="G29" s="90" t="str">
        <f t="shared" si="8"/>
        <v>18:30</v>
      </c>
      <c r="H29" s="91" t="str">
        <f t="shared" si="9"/>
        <v>-</v>
      </c>
      <c r="I29" s="92" t="str">
        <f t="shared" si="10"/>
        <v>-</v>
      </c>
      <c r="J29" s="92" t="str">
        <f t="shared" si="11"/>
        <v>-</v>
      </c>
      <c r="K29" s="93">
        <f t="shared" si="12"/>
        <v>0.33333333333333215</v>
      </c>
      <c r="L29" s="93"/>
      <c r="M29" s="94">
        <f t="shared" si="13"/>
        <v>0.33333333333333215</v>
      </c>
      <c r="N29" s="94">
        <f t="shared" si="14"/>
        <v>0</v>
      </c>
      <c r="O29" s="95"/>
      <c r="P29" s="9" t="s">
        <v>20</v>
      </c>
    </row>
    <row r="30" spans="1:19">
      <c r="A30" s="140">
        <v>8714</v>
      </c>
      <c r="B30" s="140" t="s">
        <v>15</v>
      </c>
      <c r="C30" s="140" t="s">
        <v>15</v>
      </c>
      <c r="D30" s="143" t="s">
        <v>8</v>
      </c>
      <c r="E30" s="144">
        <v>43168.785324074073</v>
      </c>
      <c r="F30" s="89">
        <f t="shared" si="7"/>
        <v>43168.785324074073</v>
      </c>
      <c r="G30" s="90" t="str">
        <f t="shared" si="8"/>
        <v>18:50</v>
      </c>
      <c r="H30" s="91" t="str">
        <f t="shared" si="9"/>
        <v>-</v>
      </c>
      <c r="I30" s="92" t="str">
        <f t="shared" si="10"/>
        <v>-</v>
      </c>
      <c r="J30" s="92" t="str">
        <f t="shared" si="11"/>
        <v>-</v>
      </c>
      <c r="K30" s="93">
        <f t="shared" si="12"/>
        <v>0</v>
      </c>
      <c r="L30" s="93"/>
      <c r="M30" s="94">
        <f t="shared" si="13"/>
        <v>0</v>
      </c>
      <c r="N30" s="94">
        <f t="shared" si="14"/>
        <v>0</v>
      </c>
      <c r="O30" s="95"/>
    </row>
    <row r="31" spans="1:19">
      <c r="A31" s="140">
        <v>8732</v>
      </c>
      <c r="B31" s="140" t="s">
        <v>95</v>
      </c>
      <c r="C31" s="140" t="s">
        <v>15</v>
      </c>
      <c r="D31" s="143" t="s">
        <v>7</v>
      </c>
      <c r="E31" s="144">
        <v>43170.436840277776</v>
      </c>
      <c r="F31" s="89">
        <f t="shared" si="7"/>
        <v>43170.436840277776</v>
      </c>
      <c r="G31" s="90" t="str">
        <f t="shared" si="8"/>
        <v>10:29</v>
      </c>
      <c r="H31" s="91" t="str">
        <f t="shared" si="9"/>
        <v>-</v>
      </c>
      <c r="I31" s="92" t="str">
        <f t="shared" si="10"/>
        <v>-</v>
      </c>
      <c r="J31" s="92" t="str">
        <f t="shared" si="11"/>
        <v>-</v>
      </c>
      <c r="K31" s="93">
        <f t="shared" si="12"/>
        <v>2.7000000000000024</v>
      </c>
      <c r="L31" s="93"/>
      <c r="M31" s="94">
        <f t="shared" si="13"/>
        <v>2</v>
      </c>
      <c r="N31" s="94">
        <f t="shared" si="14"/>
        <v>0.7000000000000024</v>
      </c>
      <c r="O31" s="95"/>
    </row>
    <row r="32" spans="1:19">
      <c r="A32" s="140">
        <v>8736</v>
      </c>
      <c r="B32" s="140" t="s">
        <v>15</v>
      </c>
      <c r="C32" s="140" t="s">
        <v>15</v>
      </c>
      <c r="D32" s="143" t="s">
        <v>8</v>
      </c>
      <c r="E32" s="144">
        <v>43170.549791666665</v>
      </c>
      <c r="F32" s="89">
        <f t="shared" si="7"/>
        <v>43170.549791666665</v>
      </c>
      <c r="G32" s="90" t="str">
        <f t="shared" si="8"/>
        <v>13:11</v>
      </c>
      <c r="H32" s="91" t="str">
        <f t="shared" si="9"/>
        <v>-</v>
      </c>
      <c r="I32" s="92" t="str">
        <f t="shared" si="10"/>
        <v>-</v>
      </c>
      <c r="J32" s="92" t="str">
        <f t="shared" si="11"/>
        <v>-</v>
      </c>
      <c r="K32" s="93">
        <f t="shared" si="12"/>
        <v>0</v>
      </c>
      <c r="L32" s="93"/>
      <c r="M32" s="94">
        <f t="shared" si="13"/>
        <v>0</v>
      </c>
      <c r="N32" s="94">
        <f t="shared" si="14"/>
        <v>0</v>
      </c>
      <c r="O32" s="95"/>
    </row>
    <row r="33" spans="1:21">
      <c r="A33" s="140">
        <v>8743</v>
      </c>
      <c r="B33" s="140" t="s">
        <v>15</v>
      </c>
      <c r="C33" s="140" t="s">
        <v>15</v>
      </c>
      <c r="D33" s="143" t="s">
        <v>7</v>
      </c>
      <c r="E33" s="144">
        <v>43170.584976851853</v>
      </c>
      <c r="F33" s="89">
        <f t="shared" si="7"/>
        <v>43170.584976851853</v>
      </c>
      <c r="G33" s="90" t="str">
        <f t="shared" si="8"/>
        <v>14:2</v>
      </c>
      <c r="H33" s="91" t="str">
        <f t="shared" si="9"/>
        <v>-</v>
      </c>
      <c r="I33" s="92" t="str">
        <f t="shared" si="10"/>
        <v>-</v>
      </c>
      <c r="J33" s="92" t="str">
        <f t="shared" si="11"/>
        <v>-</v>
      </c>
      <c r="K33" s="93">
        <f t="shared" si="12"/>
        <v>3.9833333333333325</v>
      </c>
      <c r="L33" s="93"/>
      <c r="M33" s="94"/>
      <c r="N33" s="94">
        <f>K33</f>
        <v>3.9833333333333325</v>
      </c>
      <c r="O33" s="95"/>
      <c r="P33" s="9" t="s">
        <v>20</v>
      </c>
    </row>
    <row r="34" spans="1:21">
      <c r="A34" s="140">
        <v>8750</v>
      </c>
      <c r="B34" s="140" t="s">
        <v>15</v>
      </c>
      <c r="C34" s="140" t="s">
        <v>15</v>
      </c>
      <c r="D34" s="143" t="s">
        <v>8</v>
      </c>
      <c r="E34" s="144">
        <v>43170.751134259262</v>
      </c>
      <c r="F34" s="89">
        <f t="shared" si="7"/>
        <v>43170.751134259262</v>
      </c>
      <c r="G34" s="90" t="str">
        <f t="shared" si="8"/>
        <v>18:1</v>
      </c>
      <c r="H34" s="91" t="str">
        <f t="shared" si="9"/>
        <v>-</v>
      </c>
      <c r="I34" s="92" t="str">
        <f t="shared" si="10"/>
        <v>-</v>
      </c>
      <c r="J34" s="92" t="str">
        <f t="shared" si="11"/>
        <v>-</v>
      </c>
      <c r="K34" s="93">
        <f t="shared" si="12"/>
        <v>0</v>
      </c>
      <c r="L34" s="93"/>
      <c r="M34" s="94">
        <f t="shared" si="13"/>
        <v>0</v>
      </c>
      <c r="N34" s="94">
        <f t="shared" si="14"/>
        <v>0</v>
      </c>
      <c r="O34" s="95"/>
    </row>
    <row r="35" spans="1:21" s="9" customFormat="1">
      <c r="A35" s="140">
        <v>8751</v>
      </c>
      <c r="B35" s="140" t="s">
        <v>15</v>
      </c>
      <c r="C35" s="140" t="s">
        <v>15</v>
      </c>
      <c r="D35" s="143" t="s">
        <v>7</v>
      </c>
      <c r="E35" s="144">
        <v>43170.751192129632</v>
      </c>
      <c r="F35" s="89">
        <f t="shared" si="7"/>
        <v>43170.751192129632</v>
      </c>
      <c r="G35" s="90" t="str">
        <f t="shared" si="8"/>
        <v>18:1</v>
      </c>
      <c r="H35" s="91" t="str">
        <f t="shared" si="9"/>
        <v>-</v>
      </c>
      <c r="I35" s="92" t="str">
        <f t="shared" si="10"/>
        <v>-</v>
      </c>
      <c r="J35" s="92" t="str">
        <f t="shared" si="11"/>
        <v>-</v>
      </c>
      <c r="K35" s="93">
        <f t="shared" si="12"/>
        <v>0.99999999999999911</v>
      </c>
      <c r="L35" s="93"/>
      <c r="M35" s="94"/>
      <c r="N35" s="94">
        <f>K35</f>
        <v>0.99999999999999911</v>
      </c>
      <c r="O35" s="95"/>
    </row>
    <row r="36" spans="1:21" s="9" customFormat="1">
      <c r="A36" s="140">
        <v>8759</v>
      </c>
      <c r="B36" s="140" t="s">
        <v>15</v>
      </c>
      <c r="C36" s="140" t="s">
        <v>15</v>
      </c>
      <c r="D36" s="143" t="s">
        <v>8</v>
      </c>
      <c r="E36" s="144">
        <v>43170.792662037034</v>
      </c>
      <c r="F36" s="89">
        <f t="shared" si="7"/>
        <v>43170.792662037034</v>
      </c>
      <c r="G36" s="90" t="str">
        <f t="shared" si="8"/>
        <v>19:1</v>
      </c>
      <c r="H36" s="91" t="str">
        <f t="shared" si="9"/>
        <v>-</v>
      </c>
      <c r="I36" s="92" t="str">
        <f t="shared" si="10"/>
        <v>-</v>
      </c>
      <c r="J36" s="92" t="str">
        <f t="shared" si="11"/>
        <v>-</v>
      </c>
      <c r="K36" s="93">
        <f t="shared" si="12"/>
        <v>0</v>
      </c>
      <c r="L36" s="93"/>
      <c r="M36" s="94">
        <f t="shared" si="13"/>
        <v>0</v>
      </c>
      <c r="N36" s="94">
        <f t="shared" si="14"/>
        <v>0</v>
      </c>
      <c r="O36" s="95"/>
    </row>
    <row r="37" spans="1:21" s="9" customFormat="1">
      <c r="A37" s="140">
        <v>8765</v>
      </c>
      <c r="B37" s="140" t="s">
        <v>15</v>
      </c>
      <c r="C37" s="140" t="s">
        <v>15</v>
      </c>
      <c r="D37" s="143" t="s">
        <v>6</v>
      </c>
      <c r="E37" s="144">
        <v>43171.369097222225</v>
      </c>
      <c r="F37" s="89">
        <f t="shared" si="7"/>
        <v>43171.369097222225</v>
      </c>
      <c r="G37" s="90" t="str">
        <f t="shared" si="8"/>
        <v>8:51</v>
      </c>
      <c r="H37" s="91">
        <f t="shared" si="9"/>
        <v>9.6333333333333346</v>
      </c>
      <c r="I37" s="92">
        <f t="shared" si="10"/>
        <v>8</v>
      </c>
      <c r="J37" s="92" t="str">
        <f t="shared" si="11"/>
        <v>-</v>
      </c>
      <c r="K37" s="93">
        <f t="shared" si="12"/>
        <v>0</v>
      </c>
      <c r="L37" s="93"/>
      <c r="M37" s="94">
        <f t="shared" si="13"/>
        <v>0</v>
      </c>
      <c r="N37" s="94">
        <f t="shared" si="14"/>
        <v>0</v>
      </c>
      <c r="O37" s="95"/>
    </row>
    <row r="38" spans="1:21" s="9" customFormat="1">
      <c r="A38" s="140">
        <v>8779</v>
      </c>
      <c r="B38" s="140" t="s">
        <v>15</v>
      </c>
      <c r="C38" s="140" t="s">
        <v>15</v>
      </c>
      <c r="D38" s="143" t="s">
        <v>5</v>
      </c>
      <c r="E38" s="144">
        <v>43171.770277777781</v>
      </c>
      <c r="F38" s="89">
        <f t="shared" si="7"/>
        <v>43171.770277777781</v>
      </c>
      <c r="G38" s="90" t="str">
        <f t="shared" si="8"/>
        <v>18:29</v>
      </c>
      <c r="H38" s="91" t="str">
        <f t="shared" si="9"/>
        <v>-</v>
      </c>
      <c r="I38" s="92" t="str">
        <f t="shared" si="10"/>
        <v>-</v>
      </c>
      <c r="J38" s="92" t="str">
        <f t="shared" si="11"/>
        <v>-</v>
      </c>
      <c r="K38" s="93">
        <f t="shared" si="12"/>
        <v>0</v>
      </c>
      <c r="L38" s="93"/>
      <c r="M38" s="94">
        <f t="shared" si="13"/>
        <v>0</v>
      </c>
      <c r="N38" s="94">
        <f t="shared" si="14"/>
        <v>0</v>
      </c>
      <c r="O38" s="95"/>
    </row>
    <row r="39" spans="1:21" s="137" customFormat="1">
      <c r="A39" s="140">
        <v>8807</v>
      </c>
      <c r="B39" s="140" t="s">
        <v>95</v>
      </c>
      <c r="C39" s="140" t="s">
        <v>15</v>
      </c>
      <c r="D39" s="143" t="s">
        <v>6</v>
      </c>
      <c r="E39" s="144">
        <v>43172.369039351855</v>
      </c>
      <c r="F39" s="89">
        <f t="shared" si="7"/>
        <v>43172.369039351855</v>
      </c>
      <c r="G39" s="90" t="str">
        <f t="shared" si="8"/>
        <v>8:51</v>
      </c>
      <c r="H39" s="91">
        <f t="shared" si="9"/>
        <v>9.6</v>
      </c>
      <c r="I39" s="92">
        <f t="shared" si="10"/>
        <v>8</v>
      </c>
      <c r="J39" s="92" t="str">
        <f t="shared" si="11"/>
        <v>-</v>
      </c>
      <c r="K39" s="93">
        <f t="shared" si="12"/>
        <v>0</v>
      </c>
      <c r="L39" s="93"/>
      <c r="M39" s="94">
        <f t="shared" si="13"/>
        <v>0</v>
      </c>
      <c r="N39" s="94">
        <f t="shared" si="14"/>
        <v>0</v>
      </c>
      <c r="O39" s="95"/>
      <c r="T39" s="16"/>
      <c r="U39" s="16"/>
    </row>
    <row r="40" spans="1:21" s="137" customFormat="1">
      <c r="A40" s="140">
        <v>8812</v>
      </c>
      <c r="B40" s="140" t="s">
        <v>15</v>
      </c>
      <c r="C40" s="140" t="s">
        <v>15</v>
      </c>
      <c r="D40" s="143" t="s">
        <v>5</v>
      </c>
      <c r="E40" s="144">
        <v>43172.76935185185</v>
      </c>
      <c r="F40" s="89">
        <f t="shared" si="7"/>
        <v>43172.76935185185</v>
      </c>
      <c r="G40" s="90" t="str">
        <f t="shared" si="8"/>
        <v>18:27</v>
      </c>
      <c r="H40" s="91" t="str">
        <f t="shared" si="9"/>
        <v>-</v>
      </c>
      <c r="I40" s="92" t="str">
        <f t="shared" si="10"/>
        <v>-</v>
      </c>
      <c r="J40" s="92" t="str">
        <f t="shared" si="11"/>
        <v>-</v>
      </c>
      <c r="K40" s="93">
        <f t="shared" si="12"/>
        <v>0</v>
      </c>
      <c r="L40" s="93"/>
      <c r="M40" s="94">
        <f t="shared" si="13"/>
        <v>0</v>
      </c>
      <c r="N40" s="94">
        <f t="shared" si="14"/>
        <v>0</v>
      </c>
      <c r="O40" s="95"/>
      <c r="T40" s="16"/>
      <c r="U40" s="16"/>
    </row>
    <row r="41" spans="1:21" s="18" customFormat="1">
      <c r="A41" s="140">
        <v>8813</v>
      </c>
      <c r="B41" s="140" t="s">
        <v>15</v>
      </c>
      <c r="C41" s="140" t="s">
        <v>15</v>
      </c>
      <c r="D41" s="143" t="s">
        <v>7</v>
      </c>
      <c r="E41" s="144">
        <v>43172.770925925928</v>
      </c>
      <c r="F41" s="89">
        <f t="shared" si="7"/>
        <v>43172.770925925928</v>
      </c>
      <c r="G41" s="90" t="str">
        <f t="shared" si="8"/>
        <v>18:30</v>
      </c>
      <c r="H41" s="91" t="str">
        <f t="shared" si="9"/>
        <v>-</v>
      </c>
      <c r="I41" s="92" t="str">
        <f t="shared" si="10"/>
        <v>-</v>
      </c>
      <c r="J41" s="92" t="str">
        <f t="shared" si="11"/>
        <v>-</v>
      </c>
      <c r="K41" s="93">
        <f t="shared" si="12"/>
        <v>2.2166666666666641</v>
      </c>
      <c r="L41" s="93"/>
      <c r="M41" s="94">
        <f t="shared" si="13"/>
        <v>2</v>
      </c>
      <c r="N41" s="94">
        <f t="shared" si="14"/>
        <v>0.21666666666666412</v>
      </c>
      <c r="O41" s="95"/>
      <c r="T41" s="63"/>
      <c r="U41" s="63"/>
    </row>
    <row r="42" spans="1:21" s="18" customFormat="1">
      <c r="A42" s="140">
        <v>8830</v>
      </c>
      <c r="B42" s="140" t="s">
        <v>15</v>
      </c>
      <c r="C42" s="140" t="s">
        <v>15</v>
      </c>
      <c r="D42" s="143" t="s">
        <v>8</v>
      </c>
      <c r="E42" s="144">
        <v>43172.863553240742</v>
      </c>
      <c r="F42" s="89">
        <f t="shared" si="7"/>
        <v>43172.863553240742</v>
      </c>
      <c r="G42" s="90" t="str">
        <f t="shared" si="8"/>
        <v>20:43</v>
      </c>
      <c r="H42" s="91" t="str">
        <f t="shared" si="9"/>
        <v>-</v>
      </c>
      <c r="I42" s="92" t="str">
        <f t="shared" si="10"/>
        <v>-</v>
      </c>
      <c r="J42" s="92" t="str">
        <f t="shared" si="11"/>
        <v>-</v>
      </c>
      <c r="K42" s="93">
        <f t="shared" si="12"/>
        <v>0</v>
      </c>
      <c r="L42" s="93"/>
      <c r="M42" s="94">
        <f t="shared" si="13"/>
        <v>0</v>
      </c>
      <c r="N42" s="94">
        <f t="shared" si="14"/>
        <v>0</v>
      </c>
      <c r="O42" s="95"/>
      <c r="T42" s="63"/>
      <c r="U42" s="63"/>
    </row>
    <row r="43" spans="1:21" s="18" customFormat="1">
      <c r="A43" s="140">
        <v>8842</v>
      </c>
      <c r="B43" s="140" t="s">
        <v>15</v>
      </c>
      <c r="C43" s="140" t="s">
        <v>15</v>
      </c>
      <c r="D43" s="143" t="s">
        <v>6</v>
      </c>
      <c r="E43" s="144">
        <v>43173.369479166664</v>
      </c>
      <c r="F43" s="89">
        <f t="shared" si="7"/>
        <v>43173.369479166664</v>
      </c>
      <c r="G43" s="90" t="str">
        <f t="shared" si="8"/>
        <v>8:52</v>
      </c>
      <c r="H43" s="91">
        <f t="shared" si="9"/>
        <v>9.5500000000000007</v>
      </c>
      <c r="I43" s="92">
        <f t="shared" si="10"/>
        <v>8</v>
      </c>
      <c r="J43" s="92" t="str">
        <f t="shared" si="11"/>
        <v>-</v>
      </c>
      <c r="K43" s="93">
        <f t="shared" si="12"/>
        <v>0</v>
      </c>
      <c r="L43" s="93"/>
      <c r="M43" s="94">
        <f t="shared" si="13"/>
        <v>0</v>
      </c>
      <c r="N43" s="94">
        <f t="shared" si="14"/>
        <v>0</v>
      </c>
      <c r="O43" s="95"/>
      <c r="T43" s="63"/>
      <c r="U43" s="63"/>
    </row>
    <row r="44" spans="1:21" s="18" customFormat="1">
      <c r="A44" s="140">
        <v>8849</v>
      </c>
      <c r="B44" s="140" t="s">
        <v>15</v>
      </c>
      <c r="C44" s="140" t="s">
        <v>15</v>
      </c>
      <c r="D44" s="143" t="s">
        <v>5</v>
      </c>
      <c r="E44" s="144">
        <v>43173.76798611111</v>
      </c>
      <c r="F44" s="89">
        <f t="shared" si="7"/>
        <v>43173.76798611111</v>
      </c>
      <c r="G44" s="90" t="str">
        <f t="shared" si="8"/>
        <v>18:25</v>
      </c>
      <c r="H44" s="91" t="str">
        <f t="shared" si="9"/>
        <v>-</v>
      </c>
      <c r="I44" s="92" t="str">
        <f t="shared" si="10"/>
        <v>-</v>
      </c>
      <c r="J44" s="92" t="str">
        <f t="shared" si="11"/>
        <v>-</v>
      </c>
      <c r="K44" s="93">
        <f t="shared" si="12"/>
        <v>0</v>
      </c>
      <c r="L44" s="93"/>
      <c r="M44" s="94">
        <f t="shared" si="13"/>
        <v>0</v>
      </c>
      <c r="N44" s="94">
        <f t="shared" si="14"/>
        <v>0</v>
      </c>
      <c r="O44" s="95"/>
      <c r="T44" s="63"/>
      <c r="U44" s="63"/>
    </row>
    <row r="45" spans="1:21" s="18" customFormat="1">
      <c r="A45" s="140">
        <v>8856</v>
      </c>
      <c r="B45" s="140" t="s">
        <v>15</v>
      </c>
      <c r="C45" s="140" t="s">
        <v>15</v>
      </c>
      <c r="D45" s="143" t="s">
        <v>7</v>
      </c>
      <c r="E45" s="144">
        <v>43173.772187499999</v>
      </c>
      <c r="F45" s="89">
        <f t="shared" si="7"/>
        <v>43173.772187499999</v>
      </c>
      <c r="G45" s="90" t="str">
        <f t="shared" si="8"/>
        <v>18:31</v>
      </c>
      <c r="H45" s="91" t="str">
        <f t="shared" si="9"/>
        <v>-</v>
      </c>
      <c r="I45" s="92" t="str">
        <f t="shared" si="10"/>
        <v>-</v>
      </c>
      <c r="J45" s="92" t="str">
        <f t="shared" si="11"/>
        <v>-</v>
      </c>
      <c r="K45" s="93">
        <f t="shared" si="12"/>
        <v>1.4500000000000002</v>
      </c>
      <c r="L45" s="93"/>
      <c r="M45" s="94">
        <f t="shared" si="13"/>
        <v>1.4500000000000002</v>
      </c>
      <c r="N45" s="94">
        <f t="shared" si="14"/>
        <v>0</v>
      </c>
      <c r="O45" s="95"/>
      <c r="T45" s="63"/>
      <c r="U45" s="63"/>
    </row>
    <row r="46" spans="1:21" s="18" customFormat="1">
      <c r="A46" s="140">
        <v>8860</v>
      </c>
      <c r="B46" s="140" t="s">
        <v>15</v>
      </c>
      <c r="C46" s="140" t="s">
        <v>15</v>
      </c>
      <c r="D46" s="143" t="s">
        <v>8</v>
      </c>
      <c r="E46" s="144">
        <v>43173.832083333335</v>
      </c>
      <c r="F46" s="89">
        <f t="shared" si="7"/>
        <v>43173.832083333335</v>
      </c>
      <c r="G46" s="90" t="str">
        <f t="shared" si="8"/>
        <v>19:58</v>
      </c>
      <c r="H46" s="91" t="str">
        <f t="shared" si="9"/>
        <v>-</v>
      </c>
      <c r="I46" s="92" t="str">
        <f t="shared" si="10"/>
        <v>-</v>
      </c>
      <c r="J46" s="92" t="str">
        <f t="shared" si="11"/>
        <v>-</v>
      </c>
      <c r="K46" s="93">
        <f t="shared" si="12"/>
        <v>0</v>
      </c>
      <c r="L46" s="93"/>
      <c r="M46" s="94">
        <f t="shared" si="13"/>
        <v>0</v>
      </c>
      <c r="N46" s="94">
        <f t="shared" si="14"/>
        <v>0</v>
      </c>
      <c r="O46" s="95"/>
      <c r="T46" s="63"/>
      <c r="U46" s="63"/>
    </row>
    <row r="47" spans="1:21" s="18" customFormat="1">
      <c r="A47" s="140">
        <v>8861</v>
      </c>
      <c r="B47" s="140" t="s">
        <v>15</v>
      </c>
      <c r="C47" s="140" t="s">
        <v>15</v>
      </c>
      <c r="D47" s="143" t="s">
        <v>7</v>
      </c>
      <c r="E47" s="144">
        <v>43173.838993055557</v>
      </c>
      <c r="F47" s="89">
        <f t="shared" si="7"/>
        <v>43173.838993055557</v>
      </c>
      <c r="G47" s="90" t="str">
        <f t="shared" si="8"/>
        <v>20:8</v>
      </c>
      <c r="H47" s="91" t="str">
        <f t="shared" si="9"/>
        <v>-</v>
      </c>
      <c r="I47" s="92" t="str">
        <f t="shared" si="10"/>
        <v>-</v>
      </c>
      <c r="J47" s="92" t="str">
        <f t="shared" si="11"/>
        <v>-</v>
      </c>
      <c r="K47" s="93">
        <f t="shared" si="12"/>
        <v>1.033333333333335</v>
      </c>
      <c r="L47" s="93"/>
      <c r="M47" s="94">
        <f>2-M45</f>
        <v>0.54999999999999982</v>
      </c>
      <c r="N47" s="94">
        <f>K45+K47-2</f>
        <v>0.48333333333333517</v>
      </c>
      <c r="O47" s="95"/>
    </row>
    <row r="48" spans="1:21" s="18" customFormat="1">
      <c r="A48" s="140">
        <v>8870</v>
      </c>
      <c r="B48" s="140" t="s">
        <v>15</v>
      </c>
      <c r="C48" s="140" t="s">
        <v>15</v>
      </c>
      <c r="D48" s="143" t="s">
        <v>8</v>
      </c>
      <c r="E48" s="144">
        <v>43173.882060185184</v>
      </c>
      <c r="F48" s="89">
        <f t="shared" si="7"/>
        <v>43173.882060185184</v>
      </c>
      <c r="G48" s="90" t="str">
        <f t="shared" si="8"/>
        <v>21:10</v>
      </c>
      <c r="H48" s="91" t="str">
        <f t="shared" si="9"/>
        <v>-</v>
      </c>
      <c r="I48" s="92" t="str">
        <f t="shared" si="10"/>
        <v>-</v>
      </c>
      <c r="J48" s="92" t="str">
        <f t="shared" si="11"/>
        <v>-</v>
      </c>
      <c r="K48" s="93">
        <f t="shared" si="12"/>
        <v>0</v>
      </c>
      <c r="L48" s="93"/>
      <c r="M48" s="94">
        <f t="shared" si="13"/>
        <v>0</v>
      </c>
      <c r="N48" s="94">
        <f t="shared" si="14"/>
        <v>0</v>
      </c>
      <c r="O48" s="95"/>
      <c r="T48" s="63"/>
      <c r="U48" s="63"/>
    </row>
    <row r="49" spans="1:21" s="18" customFormat="1">
      <c r="A49" s="140">
        <v>8877</v>
      </c>
      <c r="B49" s="140" t="s">
        <v>95</v>
      </c>
      <c r="C49" s="140" t="s">
        <v>15</v>
      </c>
      <c r="D49" s="143" t="s">
        <v>6</v>
      </c>
      <c r="E49" s="144">
        <v>43174.369270833333</v>
      </c>
      <c r="F49" s="89">
        <f t="shared" si="7"/>
        <v>43174.369270833333</v>
      </c>
      <c r="G49" s="90" t="str">
        <f t="shared" si="8"/>
        <v>8:51</v>
      </c>
      <c r="H49" s="91">
        <f t="shared" si="9"/>
        <v>9.6500000000000021</v>
      </c>
      <c r="I49" s="92">
        <f t="shared" si="10"/>
        <v>8</v>
      </c>
      <c r="J49" s="92" t="str">
        <f t="shared" si="11"/>
        <v>-</v>
      </c>
      <c r="K49" s="93">
        <f t="shared" si="12"/>
        <v>0</v>
      </c>
      <c r="L49" s="93"/>
      <c r="M49" s="94">
        <f t="shared" si="13"/>
        <v>0</v>
      </c>
      <c r="N49" s="94">
        <f t="shared" si="14"/>
        <v>0</v>
      </c>
      <c r="O49" s="95"/>
      <c r="T49" s="63"/>
      <c r="U49" s="63"/>
    </row>
    <row r="50" spans="1:21" s="18" customFormat="1">
      <c r="A50" s="140">
        <v>8887</v>
      </c>
      <c r="B50" s="140" t="s">
        <v>15</v>
      </c>
      <c r="C50" s="140" t="s">
        <v>15</v>
      </c>
      <c r="D50" s="143" t="s">
        <v>5</v>
      </c>
      <c r="E50" s="144">
        <v>43174.771319444444</v>
      </c>
      <c r="F50" s="89">
        <f t="shared" si="7"/>
        <v>43174.771319444444</v>
      </c>
      <c r="G50" s="90" t="str">
        <f t="shared" si="8"/>
        <v>18:30</v>
      </c>
      <c r="H50" s="91" t="str">
        <f t="shared" si="9"/>
        <v>-</v>
      </c>
      <c r="I50" s="92" t="str">
        <f t="shared" si="10"/>
        <v>-</v>
      </c>
      <c r="J50" s="92" t="str">
        <f t="shared" si="11"/>
        <v>-</v>
      </c>
      <c r="K50" s="93">
        <f t="shared" si="12"/>
        <v>0</v>
      </c>
      <c r="L50" s="93"/>
      <c r="M50" s="94">
        <f t="shared" si="13"/>
        <v>0</v>
      </c>
      <c r="N50" s="94">
        <f t="shared" si="14"/>
        <v>0</v>
      </c>
      <c r="O50" s="95"/>
      <c r="T50" s="63"/>
      <c r="U50" s="63"/>
    </row>
    <row r="51" spans="1:21" s="18" customFormat="1">
      <c r="A51" s="140">
        <v>8888</v>
      </c>
      <c r="B51" s="140" t="s">
        <v>15</v>
      </c>
      <c r="C51" s="140" t="s">
        <v>15</v>
      </c>
      <c r="D51" s="143" t="s">
        <v>7</v>
      </c>
      <c r="E51" s="144">
        <v>43174.771354166667</v>
      </c>
      <c r="F51" s="89">
        <f t="shared" si="7"/>
        <v>43174.771354166667</v>
      </c>
      <c r="G51" s="90" t="str">
        <f t="shared" si="8"/>
        <v>18:30</v>
      </c>
      <c r="H51" s="91" t="str">
        <f t="shared" si="9"/>
        <v>-</v>
      </c>
      <c r="I51" s="92" t="str">
        <f t="shared" si="10"/>
        <v>-</v>
      </c>
      <c r="J51" s="92" t="str">
        <f t="shared" si="11"/>
        <v>-</v>
      </c>
      <c r="K51" s="93">
        <f t="shared" si="12"/>
        <v>2.2166666666666641</v>
      </c>
      <c r="L51" s="93"/>
      <c r="M51" s="94">
        <f t="shared" si="13"/>
        <v>2</v>
      </c>
      <c r="N51" s="94">
        <f t="shared" si="14"/>
        <v>0.21666666666666412</v>
      </c>
      <c r="O51" s="95"/>
      <c r="T51" s="63"/>
      <c r="U51" s="63"/>
    </row>
    <row r="52" spans="1:21" s="18" customFormat="1">
      <c r="A52" s="140">
        <v>8902</v>
      </c>
      <c r="B52" s="140" t="s">
        <v>15</v>
      </c>
      <c r="C52" s="140" t="s">
        <v>15</v>
      </c>
      <c r="D52" s="143" t="s">
        <v>8</v>
      </c>
      <c r="E52" s="144">
        <v>43174.863692129627</v>
      </c>
      <c r="F52" s="89">
        <f t="shared" si="7"/>
        <v>43174.863692129627</v>
      </c>
      <c r="G52" s="90" t="str">
        <f t="shared" si="8"/>
        <v>20:43</v>
      </c>
      <c r="H52" s="91" t="str">
        <f t="shared" si="9"/>
        <v>-</v>
      </c>
      <c r="I52" s="92" t="str">
        <f t="shared" si="10"/>
        <v>-</v>
      </c>
      <c r="J52" s="92" t="str">
        <f t="shared" si="11"/>
        <v>-</v>
      </c>
      <c r="K52" s="93">
        <f t="shared" si="12"/>
        <v>0</v>
      </c>
      <c r="L52" s="93"/>
      <c r="M52" s="94">
        <f t="shared" si="13"/>
        <v>0</v>
      </c>
      <c r="N52" s="94">
        <f t="shared" si="14"/>
        <v>0</v>
      </c>
      <c r="O52" s="95"/>
      <c r="T52" s="63"/>
      <c r="U52" s="63"/>
    </row>
    <row r="53" spans="1:21" s="63" customFormat="1">
      <c r="A53" s="140">
        <v>8906</v>
      </c>
      <c r="B53" s="140" t="s">
        <v>15</v>
      </c>
      <c r="C53" s="140" t="s">
        <v>15</v>
      </c>
      <c r="D53" s="143" t="s">
        <v>6</v>
      </c>
      <c r="E53" s="144">
        <v>43175.331493055557</v>
      </c>
      <c r="F53" s="89">
        <f t="shared" si="7"/>
        <v>43175.331493055557</v>
      </c>
      <c r="G53" s="90" t="str">
        <f t="shared" si="8"/>
        <v>7:57</v>
      </c>
      <c r="H53" s="91">
        <f t="shared" si="9"/>
        <v>10.400000000000002</v>
      </c>
      <c r="I53" s="92">
        <f t="shared" si="10"/>
        <v>8</v>
      </c>
      <c r="J53" s="92" t="str">
        <f t="shared" si="11"/>
        <v>-</v>
      </c>
      <c r="K53" s="93">
        <f t="shared" si="12"/>
        <v>0</v>
      </c>
      <c r="L53" s="93"/>
      <c r="M53" s="94">
        <f t="shared" si="13"/>
        <v>0</v>
      </c>
      <c r="N53" s="94">
        <f t="shared" si="14"/>
        <v>0</v>
      </c>
      <c r="O53" s="95"/>
      <c r="P53" s="18"/>
      <c r="Q53" s="18"/>
      <c r="R53" s="18"/>
      <c r="S53" s="18"/>
    </row>
    <row r="54" spans="1:21" s="63" customFormat="1">
      <c r="A54" s="140">
        <v>8918</v>
      </c>
      <c r="B54" s="140" t="s">
        <v>95</v>
      </c>
      <c r="C54" s="140" t="s">
        <v>15</v>
      </c>
      <c r="D54" s="143" t="s">
        <v>5</v>
      </c>
      <c r="E54" s="144">
        <v>43175.764872685184</v>
      </c>
      <c r="F54" s="89">
        <f t="shared" si="7"/>
        <v>43175.764872685184</v>
      </c>
      <c r="G54" s="90" t="str">
        <f t="shared" si="8"/>
        <v>18:21</v>
      </c>
      <c r="H54" s="91" t="str">
        <f t="shared" si="9"/>
        <v>-</v>
      </c>
      <c r="I54" s="92" t="str">
        <f t="shared" si="10"/>
        <v>-</v>
      </c>
      <c r="J54" s="92" t="str">
        <f t="shared" si="11"/>
        <v>-</v>
      </c>
      <c r="K54" s="93">
        <f t="shared" si="12"/>
        <v>0</v>
      </c>
      <c r="L54" s="93"/>
      <c r="M54" s="94">
        <f t="shared" si="13"/>
        <v>0</v>
      </c>
      <c r="N54" s="94">
        <f t="shared" si="14"/>
        <v>0</v>
      </c>
      <c r="O54" s="95"/>
      <c r="P54" s="18"/>
      <c r="Q54" s="18"/>
      <c r="R54" s="18"/>
      <c r="S54" s="18"/>
    </row>
    <row r="55" spans="1:21" s="63" customFormat="1">
      <c r="A55" s="140">
        <v>8960</v>
      </c>
      <c r="B55" s="140" t="s">
        <v>15</v>
      </c>
      <c r="C55" s="140" t="s">
        <v>15</v>
      </c>
      <c r="D55" s="143" t="s">
        <v>7</v>
      </c>
      <c r="E55" s="144">
        <v>43176.582395833335</v>
      </c>
      <c r="F55" s="89">
        <f t="shared" si="7"/>
        <v>43176.582395833335</v>
      </c>
      <c r="G55" s="90" t="str">
        <f t="shared" si="8"/>
        <v>13:58</v>
      </c>
      <c r="H55" s="91" t="str">
        <f t="shared" si="9"/>
        <v>-</v>
      </c>
      <c r="I55" s="92" t="str">
        <f t="shared" si="10"/>
        <v>-</v>
      </c>
      <c r="J55" s="92" t="str">
        <f t="shared" si="11"/>
        <v>-</v>
      </c>
      <c r="K55" s="93">
        <f t="shared" si="12"/>
        <v>3.8666666666666636</v>
      </c>
      <c r="L55" s="93"/>
      <c r="M55" s="94">
        <f t="shared" si="13"/>
        <v>2</v>
      </c>
      <c r="N55" s="94">
        <f t="shared" si="14"/>
        <v>1.8666666666666636</v>
      </c>
      <c r="O55" s="95"/>
      <c r="P55" s="18"/>
      <c r="Q55" s="18"/>
      <c r="R55" s="18"/>
      <c r="S55" s="18"/>
    </row>
    <row r="56" spans="1:21" s="63" customFormat="1">
      <c r="A56" s="140">
        <v>8969</v>
      </c>
      <c r="B56" s="140" t="s">
        <v>15</v>
      </c>
      <c r="C56" s="140" t="s">
        <v>15</v>
      </c>
      <c r="D56" s="143" t="s">
        <v>8</v>
      </c>
      <c r="E56" s="144">
        <v>43176.743437500001</v>
      </c>
      <c r="F56" s="89">
        <f t="shared" si="7"/>
        <v>43176.743437500001</v>
      </c>
      <c r="G56" s="90" t="str">
        <f t="shared" si="8"/>
        <v>17:50</v>
      </c>
      <c r="H56" s="91" t="str">
        <f t="shared" si="9"/>
        <v>-</v>
      </c>
      <c r="I56" s="92" t="str">
        <f t="shared" si="10"/>
        <v>-</v>
      </c>
      <c r="J56" s="92" t="str">
        <f t="shared" si="11"/>
        <v>-</v>
      </c>
      <c r="K56" s="93">
        <f t="shared" si="12"/>
        <v>0</v>
      </c>
      <c r="L56" s="93"/>
      <c r="M56" s="94">
        <f t="shared" si="13"/>
        <v>0</v>
      </c>
      <c r="N56" s="94">
        <f t="shared" si="14"/>
        <v>0</v>
      </c>
      <c r="O56" s="95"/>
      <c r="P56" s="18"/>
      <c r="Q56" s="18"/>
      <c r="R56" s="18"/>
      <c r="S56" s="18"/>
    </row>
    <row r="57" spans="1:21" s="63" customFormat="1">
      <c r="A57" s="140">
        <v>8970</v>
      </c>
      <c r="B57" s="140" t="s">
        <v>15</v>
      </c>
      <c r="C57" s="140" t="s">
        <v>15</v>
      </c>
      <c r="D57" s="143" t="s">
        <v>7</v>
      </c>
      <c r="E57" s="144">
        <v>43176.743495370371</v>
      </c>
      <c r="F57" s="89">
        <f t="shared" si="7"/>
        <v>43176.743495370371</v>
      </c>
      <c r="G57" s="90" t="str">
        <f t="shared" si="8"/>
        <v>17:50</v>
      </c>
      <c r="H57" s="91" t="str">
        <f t="shared" si="9"/>
        <v>-</v>
      </c>
      <c r="I57" s="92" t="str">
        <f t="shared" si="10"/>
        <v>-</v>
      </c>
      <c r="J57" s="92" t="str">
        <f t="shared" si="11"/>
        <v>-</v>
      </c>
      <c r="K57" s="93">
        <f t="shared" si="12"/>
        <v>2.1333333333333337</v>
      </c>
      <c r="L57" s="93"/>
      <c r="M57" s="94"/>
      <c r="N57" s="94">
        <f>K57</f>
        <v>2.1333333333333337</v>
      </c>
      <c r="O57" s="95"/>
      <c r="P57" s="18"/>
      <c r="Q57" s="18"/>
      <c r="R57" s="18"/>
      <c r="S57" s="18"/>
    </row>
    <row r="58" spans="1:21" s="63" customFormat="1">
      <c r="A58" s="140">
        <v>8971</v>
      </c>
      <c r="B58" s="140" t="s">
        <v>15</v>
      </c>
      <c r="C58" s="140" t="s">
        <v>15</v>
      </c>
      <c r="D58" s="143" t="s">
        <v>8</v>
      </c>
      <c r="E58" s="144">
        <v>43176.832384259258</v>
      </c>
      <c r="F58" s="89">
        <f t="shared" si="7"/>
        <v>43176.832384259258</v>
      </c>
      <c r="G58" s="90" t="str">
        <f t="shared" si="8"/>
        <v>19:58</v>
      </c>
      <c r="H58" s="91" t="str">
        <f t="shared" si="9"/>
        <v>-</v>
      </c>
      <c r="I58" s="92" t="str">
        <f t="shared" si="10"/>
        <v>-</v>
      </c>
      <c r="J58" s="92" t="str">
        <f t="shared" si="11"/>
        <v>-</v>
      </c>
      <c r="K58" s="93">
        <f t="shared" si="12"/>
        <v>0</v>
      </c>
      <c r="L58" s="93"/>
      <c r="M58" s="94">
        <f t="shared" si="13"/>
        <v>0</v>
      </c>
      <c r="N58" s="94">
        <f t="shared" si="14"/>
        <v>0</v>
      </c>
      <c r="O58" s="95"/>
      <c r="P58" s="18"/>
      <c r="Q58" s="18"/>
      <c r="R58" s="18"/>
      <c r="S58" s="18"/>
    </row>
    <row r="59" spans="1:21" s="63" customFormat="1">
      <c r="A59" s="422">
        <v>8982</v>
      </c>
      <c r="B59" s="422" t="s">
        <v>95</v>
      </c>
      <c r="C59" s="422" t="s">
        <v>15</v>
      </c>
      <c r="D59" s="181" t="s">
        <v>6</v>
      </c>
      <c r="E59" s="180">
        <v>43178.430451388886</v>
      </c>
      <c r="F59" s="135">
        <f t="shared" si="7"/>
        <v>43178.430451388886</v>
      </c>
      <c r="G59" s="67" t="str">
        <f t="shared" si="8"/>
        <v>10:19</v>
      </c>
      <c r="H59" s="64">
        <f t="shared" si="9"/>
        <v>7.9666666666666686</v>
      </c>
      <c r="I59" s="66">
        <v>6.5</v>
      </c>
      <c r="J59" s="66">
        <f t="shared" si="11"/>
        <v>1.5</v>
      </c>
      <c r="K59" s="68">
        <f t="shared" si="12"/>
        <v>0</v>
      </c>
      <c r="L59" s="68"/>
      <c r="M59" s="65">
        <f t="shared" si="13"/>
        <v>0</v>
      </c>
      <c r="N59" s="65">
        <f t="shared" si="14"/>
        <v>0</v>
      </c>
      <c r="O59" s="147" t="s">
        <v>112</v>
      </c>
      <c r="P59" s="18"/>
      <c r="Q59" s="18"/>
      <c r="R59" s="18"/>
      <c r="S59" s="18"/>
    </row>
    <row r="60" spans="1:21">
      <c r="A60" s="140">
        <v>8983</v>
      </c>
      <c r="B60" s="140" t="s">
        <v>15</v>
      </c>
      <c r="C60" s="140" t="s">
        <v>15</v>
      </c>
      <c r="D60" s="143" t="s">
        <v>5</v>
      </c>
      <c r="E60" s="144">
        <v>43178.762141203704</v>
      </c>
      <c r="F60" s="89">
        <f t="shared" si="7"/>
        <v>43178.762141203704</v>
      </c>
      <c r="G60" s="90" t="str">
        <f t="shared" si="8"/>
        <v>18:17</v>
      </c>
      <c r="H60" s="91" t="str">
        <f t="shared" si="9"/>
        <v>-</v>
      </c>
      <c r="I60" s="92" t="str">
        <f t="shared" si="10"/>
        <v>-</v>
      </c>
      <c r="J60" s="92" t="str">
        <f t="shared" si="11"/>
        <v>-</v>
      </c>
      <c r="K60" s="93">
        <f t="shared" si="12"/>
        <v>0</v>
      </c>
      <c r="L60" s="93"/>
      <c r="M60" s="94">
        <f t="shared" si="13"/>
        <v>0</v>
      </c>
      <c r="N60" s="94">
        <f t="shared" si="14"/>
        <v>0</v>
      </c>
      <c r="O60" s="95"/>
    </row>
    <row r="61" spans="1:21">
      <c r="A61" s="140">
        <v>8995</v>
      </c>
      <c r="B61" s="140" t="s">
        <v>15</v>
      </c>
      <c r="C61" s="140" t="s">
        <v>15</v>
      </c>
      <c r="D61" s="143" t="s">
        <v>7</v>
      </c>
      <c r="E61" s="144">
        <v>43178.792187500003</v>
      </c>
      <c r="F61" s="89">
        <f t="shared" si="7"/>
        <v>43178.792187500003</v>
      </c>
      <c r="G61" s="90" t="str">
        <f t="shared" si="8"/>
        <v>19:0</v>
      </c>
      <c r="H61" s="91" t="str">
        <f t="shared" si="9"/>
        <v>-</v>
      </c>
      <c r="I61" s="92" t="str">
        <f t="shared" si="10"/>
        <v>-</v>
      </c>
      <c r="J61" s="92" t="str">
        <f t="shared" si="11"/>
        <v>-</v>
      </c>
      <c r="K61" s="93">
        <f t="shared" si="12"/>
        <v>1.7500000000000018</v>
      </c>
      <c r="L61" s="93"/>
      <c r="M61" s="94">
        <f t="shared" si="13"/>
        <v>1.7500000000000018</v>
      </c>
      <c r="N61" s="94">
        <f t="shared" si="14"/>
        <v>0</v>
      </c>
      <c r="O61" s="95"/>
    </row>
    <row r="62" spans="1:21">
      <c r="A62" s="140">
        <v>9002</v>
      </c>
      <c r="B62" s="140" t="s">
        <v>15</v>
      </c>
      <c r="C62" s="140" t="s">
        <v>15</v>
      </c>
      <c r="D62" s="143" t="s">
        <v>8</v>
      </c>
      <c r="E62" s="144">
        <v>43178.864652777775</v>
      </c>
      <c r="F62" s="89">
        <f t="shared" si="7"/>
        <v>43178.864652777775</v>
      </c>
      <c r="G62" s="90" t="str">
        <f t="shared" si="8"/>
        <v>20:45</v>
      </c>
      <c r="H62" s="91" t="str">
        <f t="shared" si="9"/>
        <v>-</v>
      </c>
      <c r="I62" s="92" t="str">
        <f t="shared" si="10"/>
        <v>-</v>
      </c>
      <c r="J62" s="92" t="str">
        <f t="shared" si="11"/>
        <v>-</v>
      </c>
      <c r="K62" s="93">
        <f t="shared" si="12"/>
        <v>0</v>
      </c>
      <c r="L62" s="93"/>
      <c r="M62" s="94">
        <f t="shared" si="13"/>
        <v>0</v>
      </c>
      <c r="N62" s="94">
        <f t="shared" si="14"/>
        <v>0</v>
      </c>
      <c r="O62" s="95"/>
    </row>
    <row r="63" spans="1:21" s="16" customFormat="1">
      <c r="A63" s="140">
        <v>9013</v>
      </c>
      <c r="B63" s="140" t="s">
        <v>15</v>
      </c>
      <c r="C63" s="140" t="s">
        <v>15</v>
      </c>
      <c r="D63" s="143" t="s">
        <v>6</v>
      </c>
      <c r="E63" s="144">
        <v>43179.367002314815</v>
      </c>
      <c r="F63" s="89">
        <f t="shared" si="7"/>
        <v>43179.367002314815</v>
      </c>
      <c r="G63" s="90" t="str">
        <f t="shared" si="8"/>
        <v>8:48</v>
      </c>
      <c r="H63" s="91">
        <f t="shared" si="9"/>
        <v>9.6166666666666671</v>
      </c>
      <c r="I63" s="92">
        <f t="shared" si="10"/>
        <v>8</v>
      </c>
      <c r="J63" s="92" t="str">
        <f t="shared" si="11"/>
        <v>-</v>
      </c>
      <c r="K63" s="93">
        <f t="shared" si="12"/>
        <v>0</v>
      </c>
      <c r="L63" s="93"/>
      <c r="M63" s="94">
        <f t="shared" si="13"/>
        <v>0</v>
      </c>
      <c r="N63" s="94">
        <f t="shared" si="14"/>
        <v>0</v>
      </c>
      <c r="O63" s="95"/>
      <c r="P63" s="137"/>
      <c r="Q63" s="137"/>
      <c r="R63" s="137"/>
      <c r="S63" s="137"/>
    </row>
    <row r="64" spans="1:21" s="16" customFormat="1">
      <c r="A64" s="140">
        <v>9023</v>
      </c>
      <c r="B64" s="140" t="s">
        <v>15</v>
      </c>
      <c r="C64" s="140" t="s">
        <v>15</v>
      </c>
      <c r="D64" s="143" t="s">
        <v>5</v>
      </c>
      <c r="E64" s="144">
        <v>43179.767951388887</v>
      </c>
      <c r="F64" s="89">
        <f t="shared" si="7"/>
        <v>43179.767951388887</v>
      </c>
      <c r="G64" s="90" t="str">
        <f t="shared" si="8"/>
        <v>18:25</v>
      </c>
      <c r="H64" s="91" t="str">
        <f t="shared" si="9"/>
        <v>-</v>
      </c>
      <c r="I64" s="92" t="str">
        <f t="shared" si="10"/>
        <v>-</v>
      </c>
      <c r="J64" s="92" t="str">
        <f t="shared" si="11"/>
        <v>-</v>
      </c>
      <c r="K64" s="93">
        <f t="shared" si="12"/>
        <v>0</v>
      </c>
      <c r="L64" s="93"/>
      <c r="M64" s="94">
        <f t="shared" si="13"/>
        <v>0</v>
      </c>
      <c r="N64" s="94">
        <f t="shared" si="14"/>
        <v>0</v>
      </c>
      <c r="O64" s="95"/>
      <c r="P64" s="137"/>
      <c r="Q64" s="137"/>
      <c r="R64" s="137"/>
      <c r="S64" s="137"/>
    </row>
    <row r="65" spans="1:19" s="16" customFormat="1">
      <c r="A65" s="140">
        <v>9048</v>
      </c>
      <c r="B65" s="140" t="s">
        <v>15</v>
      </c>
      <c r="C65" s="140" t="s">
        <v>15</v>
      </c>
      <c r="D65" s="143" t="s">
        <v>6</v>
      </c>
      <c r="E65" s="144">
        <v>43180.367048611108</v>
      </c>
      <c r="F65" s="89">
        <f t="shared" si="7"/>
        <v>43180.367048611108</v>
      </c>
      <c r="G65" s="90" t="str">
        <f t="shared" si="8"/>
        <v>8:48</v>
      </c>
      <c r="H65" s="91">
        <f t="shared" si="9"/>
        <v>9.6833333333333336</v>
      </c>
      <c r="I65" s="92">
        <f t="shared" si="10"/>
        <v>8</v>
      </c>
      <c r="J65" s="92" t="str">
        <f t="shared" si="11"/>
        <v>-</v>
      </c>
      <c r="K65" s="93">
        <f t="shared" si="12"/>
        <v>0</v>
      </c>
      <c r="L65" s="93"/>
      <c r="M65" s="94">
        <f t="shared" si="13"/>
        <v>0</v>
      </c>
      <c r="N65" s="94">
        <f t="shared" si="14"/>
        <v>0</v>
      </c>
      <c r="O65" s="95"/>
      <c r="P65" s="137"/>
      <c r="Q65" s="137"/>
      <c r="R65" s="137"/>
      <c r="S65" s="137"/>
    </row>
    <row r="66" spans="1:19" s="16" customFormat="1">
      <c r="A66" s="140">
        <v>9059</v>
      </c>
      <c r="B66" s="140" t="s">
        <v>15</v>
      </c>
      <c r="C66" s="140" t="s">
        <v>15</v>
      </c>
      <c r="D66" s="143" t="s">
        <v>5</v>
      </c>
      <c r="E66" s="144">
        <v>43180.770208333335</v>
      </c>
      <c r="F66" s="89">
        <f t="shared" si="7"/>
        <v>43180.770208333335</v>
      </c>
      <c r="G66" s="90" t="str">
        <f t="shared" si="8"/>
        <v>18:29</v>
      </c>
      <c r="H66" s="91" t="str">
        <f t="shared" si="9"/>
        <v>-</v>
      </c>
      <c r="I66" s="92" t="str">
        <f t="shared" si="10"/>
        <v>-</v>
      </c>
      <c r="J66" s="92" t="str">
        <f t="shared" si="11"/>
        <v>-</v>
      </c>
      <c r="K66" s="93">
        <f t="shared" si="12"/>
        <v>0</v>
      </c>
      <c r="L66" s="93"/>
      <c r="M66" s="94">
        <f t="shared" si="13"/>
        <v>0</v>
      </c>
      <c r="N66" s="94">
        <f t="shared" si="14"/>
        <v>0</v>
      </c>
      <c r="O66" s="95"/>
      <c r="P66" s="137"/>
      <c r="Q66" s="137"/>
      <c r="R66" s="137"/>
      <c r="S66" s="137"/>
    </row>
    <row r="67" spans="1:19">
      <c r="A67" s="140">
        <v>9062</v>
      </c>
      <c r="B67" s="140" t="s">
        <v>15</v>
      </c>
      <c r="C67" s="140" t="s">
        <v>15</v>
      </c>
      <c r="D67" s="143" t="s">
        <v>7</v>
      </c>
      <c r="E67" s="144">
        <v>43180.770879629628</v>
      </c>
      <c r="F67" s="89">
        <f t="shared" si="7"/>
        <v>43180.770879629628</v>
      </c>
      <c r="G67" s="90" t="str">
        <f t="shared" si="8"/>
        <v>18:30</v>
      </c>
      <c r="H67" s="91" t="str">
        <f t="shared" si="9"/>
        <v>-</v>
      </c>
      <c r="I67" s="92" t="str">
        <f t="shared" si="10"/>
        <v>-</v>
      </c>
      <c r="J67" s="92" t="str">
        <f t="shared" si="11"/>
        <v>-</v>
      </c>
      <c r="K67" s="93">
        <f t="shared" si="12"/>
        <v>1.1499999999999986</v>
      </c>
      <c r="L67" s="93"/>
      <c r="M67" s="94">
        <f t="shared" si="13"/>
        <v>1.1499999999999986</v>
      </c>
      <c r="N67" s="94">
        <f t="shared" si="14"/>
        <v>0</v>
      </c>
      <c r="O67" s="95"/>
    </row>
    <row r="68" spans="1:19">
      <c r="A68" s="140">
        <v>9076</v>
      </c>
      <c r="B68" s="140" t="s">
        <v>15</v>
      </c>
      <c r="C68" s="140" t="s">
        <v>15</v>
      </c>
      <c r="D68" s="143" t="s">
        <v>8</v>
      </c>
      <c r="E68" s="144">
        <v>43180.819282407407</v>
      </c>
      <c r="F68" s="89">
        <f t="shared" si="7"/>
        <v>43180.819282407407</v>
      </c>
      <c r="G68" s="90" t="str">
        <f t="shared" si="8"/>
        <v>19:39</v>
      </c>
      <c r="H68" s="91" t="str">
        <f t="shared" si="9"/>
        <v>-</v>
      </c>
      <c r="I68" s="92" t="str">
        <f t="shared" si="10"/>
        <v>-</v>
      </c>
      <c r="J68" s="92" t="str">
        <f t="shared" si="11"/>
        <v>-</v>
      </c>
      <c r="K68" s="93">
        <f t="shared" si="12"/>
        <v>0</v>
      </c>
      <c r="L68" s="93"/>
      <c r="M68" s="94">
        <f t="shared" si="13"/>
        <v>0</v>
      </c>
      <c r="N68" s="94">
        <f t="shared" si="14"/>
        <v>0</v>
      </c>
      <c r="O68" s="95"/>
    </row>
    <row r="69" spans="1:19">
      <c r="A69" s="140">
        <v>9083</v>
      </c>
      <c r="B69" s="140" t="s">
        <v>15</v>
      </c>
      <c r="C69" s="140" t="s">
        <v>15</v>
      </c>
      <c r="D69" s="143" t="s">
        <v>6</v>
      </c>
      <c r="E69" s="144">
        <v>43181.36409722222</v>
      </c>
      <c r="F69" s="89">
        <f t="shared" si="7"/>
        <v>43181.36409722222</v>
      </c>
      <c r="G69" s="90" t="str">
        <f t="shared" si="8"/>
        <v>8:44</v>
      </c>
      <c r="H69" s="91">
        <f t="shared" si="9"/>
        <v>9.5333333333333332</v>
      </c>
      <c r="I69" s="92">
        <f t="shared" si="10"/>
        <v>8</v>
      </c>
      <c r="J69" s="92" t="str">
        <f t="shared" si="11"/>
        <v>-</v>
      </c>
      <c r="K69" s="93">
        <f t="shared" si="12"/>
        <v>0</v>
      </c>
      <c r="L69" s="93"/>
      <c r="M69" s="94">
        <f t="shared" si="13"/>
        <v>0</v>
      </c>
      <c r="N69" s="94">
        <f t="shared" si="14"/>
        <v>0</v>
      </c>
      <c r="O69" s="95"/>
    </row>
    <row r="70" spans="1:19">
      <c r="A70" s="140">
        <v>9092</v>
      </c>
      <c r="B70" s="140" t="s">
        <v>15</v>
      </c>
      <c r="C70" s="140" t="s">
        <v>15</v>
      </c>
      <c r="D70" s="143" t="s">
        <v>5</v>
      </c>
      <c r="E70" s="144">
        <v>43181.761145833334</v>
      </c>
      <c r="F70" s="89">
        <f t="shared" si="7"/>
        <v>43181.761145833334</v>
      </c>
      <c r="G70" s="90" t="str">
        <f t="shared" si="8"/>
        <v>18:16</v>
      </c>
      <c r="H70" s="91" t="str">
        <f t="shared" si="9"/>
        <v>-</v>
      </c>
      <c r="I70" s="92" t="str">
        <f t="shared" si="10"/>
        <v>-</v>
      </c>
      <c r="J70" s="92" t="str">
        <f t="shared" si="11"/>
        <v>-</v>
      </c>
      <c r="K70" s="93">
        <f t="shared" si="12"/>
        <v>0</v>
      </c>
      <c r="L70" s="93"/>
      <c r="M70" s="94">
        <f t="shared" si="13"/>
        <v>0</v>
      </c>
      <c r="N70" s="94">
        <f t="shared" si="14"/>
        <v>0</v>
      </c>
      <c r="O70" s="95"/>
    </row>
    <row r="71" spans="1:19">
      <c r="A71" s="140">
        <v>9105</v>
      </c>
      <c r="B71" s="140" t="s">
        <v>15</v>
      </c>
      <c r="C71" s="140" t="s">
        <v>15</v>
      </c>
      <c r="D71" s="143" t="s">
        <v>7</v>
      </c>
      <c r="E71" s="144">
        <v>43181.797777777778</v>
      </c>
      <c r="F71" s="89">
        <f t="shared" si="7"/>
        <v>43181.797777777778</v>
      </c>
      <c r="G71" s="90" t="str">
        <f t="shared" si="8"/>
        <v>19:8</v>
      </c>
      <c r="H71" s="91" t="str">
        <f t="shared" si="9"/>
        <v>-</v>
      </c>
      <c r="I71" s="92" t="str">
        <f t="shared" si="10"/>
        <v>-</v>
      </c>
      <c r="J71" s="92" t="str">
        <f t="shared" si="11"/>
        <v>-</v>
      </c>
      <c r="K71" s="93">
        <f t="shared" si="12"/>
        <v>3.8000000000000025</v>
      </c>
      <c r="L71" s="93"/>
      <c r="M71" s="94">
        <f t="shared" si="13"/>
        <v>2</v>
      </c>
      <c r="N71" s="94">
        <f t="shared" si="14"/>
        <v>1.8000000000000025</v>
      </c>
      <c r="O71" s="95"/>
    </row>
    <row r="72" spans="1:19">
      <c r="A72" s="140">
        <v>9115</v>
      </c>
      <c r="B72" s="140" t="s">
        <v>15</v>
      </c>
      <c r="C72" s="140" t="s">
        <v>15</v>
      </c>
      <c r="D72" s="143" t="s">
        <v>8</v>
      </c>
      <c r="E72" s="144">
        <v>43181.95579861111</v>
      </c>
      <c r="F72" s="89">
        <f t="shared" ref="F72:F96" si="15">E72</f>
        <v>43181.95579861111</v>
      </c>
      <c r="G72" s="90" t="str">
        <f t="shared" ref="G72:G96" si="16">HOUR(E72)&amp;":"&amp;MINUTE(E72)</f>
        <v>22:56</v>
      </c>
      <c r="H72" s="91" t="str">
        <f t="shared" ref="H72:H96" si="17">IF(D72="上班",(G73-G72)*24,"-")</f>
        <v>-</v>
      </c>
      <c r="I72" s="92" t="str">
        <f t="shared" ref="I72:I96" si="18">IF(D72="上班",IF(H72-1.5&gt;8,8,H72-1.5),"-")</f>
        <v>-</v>
      </c>
      <c r="J72" s="92" t="str">
        <f t="shared" ref="J72:J96" si="19">IF(I72&lt;8,8-I72,"-")</f>
        <v>-</v>
      </c>
      <c r="K72" s="93">
        <f t="shared" ref="K72:K96" si="20">IF(D72="加班",(G73-G72)*24,0)</f>
        <v>0</v>
      </c>
      <c r="L72" s="93"/>
      <c r="M72" s="94">
        <f t="shared" ref="M72:M96" si="21">IF(K72&gt;2,2,K72)</f>
        <v>0</v>
      </c>
      <c r="N72" s="94">
        <f t="shared" ref="N72:N96" si="22">IF(K72&gt;2,K72-2,0)</f>
        <v>0</v>
      </c>
      <c r="O72" s="95"/>
    </row>
    <row r="73" spans="1:19">
      <c r="A73" s="140">
        <v>9119</v>
      </c>
      <c r="B73" s="140" t="s">
        <v>15</v>
      </c>
      <c r="C73" s="140" t="s">
        <v>15</v>
      </c>
      <c r="D73" s="143" t="s">
        <v>6</v>
      </c>
      <c r="E73" s="144">
        <v>43182.364560185182</v>
      </c>
      <c r="F73" s="89">
        <f t="shared" si="15"/>
        <v>43182.364560185182</v>
      </c>
      <c r="G73" s="90" t="str">
        <f t="shared" si="16"/>
        <v>8:44</v>
      </c>
      <c r="H73" s="91">
        <f t="shared" si="17"/>
        <v>10.050000000000002</v>
      </c>
      <c r="I73" s="92">
        <f t="shared" si="18"/>
        <v>8</v>
      </c>
      <c r="J73" s="92" t="str">
        <f t="shared" si="19"/>
        <v>-</v>
      </c>
      <c r="K73" s="93">
        <f t="shared" si="20"/>
        <v>0</v>
      </c>
      <c r="L73" s="93"/>
      <c r="M73" s="94">
        <f t="shared" si="21"/>
        <v>0</v>
      </c>
      <c r="N73" s="94">
        <f t="shared" si="22"/>
        <v>0</v>
      </c>
      <c r="O73" s="95"/>
    </row>
    <row r="74" spans="1:19">
      <c r="A74" s="140">
        <v>9136</v>
      </c>
      <c r="B74" s="140" t="s">
        <v>15</v>
      </c>
      <c r="C74" s="140" t="s">
        <v>15</v>
      </c>
      <c r="D74" s="143" t="s">
        <v>5</v>
      </c>
      <c r="E74" s="144">
        <v>43182.782997685186</v>
      </c>
      <c r="F74" s="89">
        <f t="shared" si="15"/>
        <v>43182.782997685186</v>
      </c>
      <c r="G74" s="90" t="str">
        <f t="shared" si="16"/>
        <v>18:47</v>
      </c>
      <c r="H74" s="91" t="str">
        <f t="shared" si="17"/>
        <v>-</v>
      </c>
      <c r="I74" s="92" t="str">
        <f t="shared" si="18"/>
        <v>-</v>
      </c>
      <c r="J74" s="92" t="str">
        <f t="shared" si="19"/>
        <v>-</v>
      </c>
      <c r="K74" s="93">
        <f t="shared" si="20"/>
        <v>0</v>
      </c>
      <c r="L74" s="93"/>
      <c r="M74" s="94">
        <f t="shared" si="21"/>
        <v>0</v>
      </c>
      <c r="N74" s="94">
        <f t="shared" si="22"/>
        <v>0</v>
      </c>
      <c r="O74" s="95"/>
    </row>
    <row r="75" spans="1:19">
      <c r="A75" s="140">
        <v>9143</v>
      </c>
      <c r="B75" s="140" t="s">
        <v>15</v>
      </c>
      <c r="C75" s="140" t="s">
        <v>15</v>
      </c>
      <c r="D75" s="143" t="s">
        <v>6</v>
      </c>
      <c r="E75" s="144">
        <v>43185.371342592596</v>
      </c>
      <c r="F75" s="89">
        <f t="shared" si="15"/>
        <v>43185.371342592596</v>
      </c>
      <c r="G75" s="90" t="str">
        <f t="shared" si="16"/>
        <v>8:54</v>
      </c>
      <c r="H75" s="91">
        <f t="shared" si="17"/>
        <v>9.6000000000000014</v>
      </c>
      <c r="I75" s="92">
        <f t="shared" si="18"/>
        <v>8</v>
      </c>
      <c r="J75" s="92" t="str">
        <f t="shared" si="19"/>
        <v>-</v>
      </c>
      <c r="K75" s="93">
        <f t="shared" si="20"/>
        <v>0</v>
      </c>
      <c r="L75" s="93"/>
      <c r="M75" s="94">
        <f t="shared" si="21"/>
        <v>0</v>
      </c>
      <c r="N75" s="94">
        <f t="shared" si="22"/>
        <v>0</v>
      </c>
      <c r="O75" s="95"/>
    </row>
    <row r="76" spans="1:19">
      <c r="A76" s="140">
        <v>9151</v>
      </c>
      <c r="B76" s="140" t="s">
        <v>15</v>
      </c>
      <c r="C76" s="140" t="s">
        <v>15</v>
      </c>
      <c r="D76" s="143" t="s">
        <v>5</v>
      </c>
      <c r="E76" s="144">
        <v>43185.771157407406</v>
      </c>
      <c r="F76" s="89">
        <f t="shared" si="15"/>
        <v>43185.771157407406</v>
      </c>
      <c r="G76" s="90" t="str">
        <f t="shared" si="16"/>
        <v>18:30</v>
      </c>
      <c r="H76" s="91" t="str">
        <f t="shared" si="17"/>
        <v>-</v>
      </c>
      <c r="I76" s="92" t="str">
        <f t="shared" si="18"/>
        <v>-</v>
      </c>
      <c r="J76" s="92" t="str">
        <f t="shared" si="19"/>
        <v>-</v>
      </c>
      <c r="K76" s="93">
        <f t="shared" si="20"/>
        <v>0</v>
      </c>
      <c r="L76" s="93"/>
      <c r="M76" s="94">
        <f t="shared" si="21"/>
        <v>0</v>
      </c>
      <c r="N76" s="94">
        <f t="shared" si="22"/>
        <v>0</v>
      </c>
      <c r="O76" s="95"/>
    </row>
    <row r="77" spans="1:19">
      <c r="A77" s="140">
        <v>9167</v>
      </c>
      <c r="B77" s="140" t="s">
        <v>15</v>
      </c>
      <c r="C77" s="140" t="s">
        <v>15</v>
      </c>
      <c r="D77" s="143" t="s">
        <v>6</v>
      </c>
      <c r="E77" s="144">
        <v>43186.367314814815</v>
      </c>
      <c r="F77" s="89">
        <f t="shared" si="15"/>
        <v>43186.367314814815</v>
      </c>
      <c r="G77" s="90" t="str">
        <f t="shared" si="16"/>
        <v>8:48</v>
      </c>
      <c r="H77" s="91">
        <f t="shared" si="17"/>
        <v>9.5999999999999979</v>
      </c>
      <c r="I77" s="92">
        <f t="shared" si="18"/>
        <v>8</v>
      </c>
      <c r="J77" s="92" t="str">
        <f t="shared" si="19"/>
        <v>-</v>
      </c>
      <c r="K77" s="93">
        <f t="shared" si="20"/>
        <v>0</v>
      </c>
      <c r="L77" s="93"/>
      <c r="M77" s="94">
        <f t="shared" si="21"/>
        <v>0</v>
      </c>
      <c r="N77" s="94">
        <f t="shared" si="22"/>
        <v>0</v>
      </c>
      <c r="O77" s="95"/>
    </row>
    <row r="78" spans="1:19">
      <c r="A78" s="140">
        <v>9171</v>
      </c>
      <c r="B78" s="140" t="s">
        <v>15</v>
      </c>
      <c r="C78" s="140" t="s">
        <v>15</v>
      </c>
      <c r="D78" s="143" t="s">
        <v>5</v>
      </c>
      <c r="E78" s="144">
        <v>43186.767210648148</v>
      </c>
      <c r="F78" s="89">
        <f t="shared" si="15"/>
        <v>43186.767210648148</v>
      </c>
      <c r="G78" s="90" t="str">
        <f t="shared" si="16"/>
        <v>18:24</v>
      </c>
      <c r="H78" s="91" t="str">
        <f t="shared" si="17"/>
        <v>-</v>
      </c>
      <c r="I78" s="92" t="str">
        <f t="shared" si="18"/>
        <v>-</v>
      </c>
      <c r="J78" s="92" t="str">
        <f t="shared" si="19"/>
        <v>-</v>
      </c>
      <c r="K78" s="93">
        <f t="shared" si="20"/>
        <v>0</v>
      </c>
      <c r="L78" s="93"/>
      <c r="M78" s="94">
        <f t="shared" si="21"/>
        <v>0</v>
      </c>
      <c r="N78" s="94">
        <f t="shared" si="22"/>
        <v>0</v>
      </c>
      <c r="O78" s="95"/>
    </row>
    <row r="79" spans="1:19">
      <c r="A79" s="140">
        <v>9172</v>
      </c>
      <c r="B79" s="140" t="s">
        <v>15</v>
      </c>
      <c r="C79" s="140" t="s">
        <v>15</v>
      </c>
      <c r="D79" s="143" t="s">
        <v>7</v>
      </c>
      <c r="E79" s="144">
        <v>43186.770891203705</v>
      </c>
      <c r="F79" s="89">
        <f t="shared" si="15"/>
        <v>43186.770891203705</v>
      </c>
      <c r="G79" s="90" t="str">
        <f t="shared" si="16"/>
        <v>18:30</v>
      </c>
      <c r="H79" s="91" t="str">
        <f t="shared" si="17"/>
        <v>-</v>
      </c>
      <c r="I79" s="92" t="str">
        <f t="shared" si="18"/>
        <v>-</v>
      </c>
      <c r="J79" s="92" t="str">
        <f t="shared" si="19"/>
        <v>-</v>
      </c>
      <c r="K79" s="93">
        <f t="shared" si="20"/>
        <v>6.666666666666643E-2</v>
      </c>
      <c r="L79" s="93"/>
      <c r="M79" s="94">
        <f t="shared" si="21"/>
        <v>6.666666666666643E-2</v>
      </c>
      <c r="N79" s="94">
        <f t="shared" si="22"/>
        <v>0</v>
      </c>
      <c r="O79" s="95"/>
    </row>
    <row r="80" spans="1:19">
      <c r="A80" s="140">
        <v>9178</v>
      </c>
      <c r="B80" s="140" t="s">
        <v>15</v>
      </c>
      <c r="C80" s="140" t="s">
        <v>15</v>
      </c>
      <c r="D80" s="143" t="s">
        <v>8</v>
      </c>
      <c r="E80" s="144">
        <v>43186.773726851854</v>
      </c>
      <c r="F80" s="89">
        <f t="shared" si="15"/>
        <v>43186.773726851854</v>
      </c>
      <c r="G80" s="90" t="str">
        <f t="shared" si="16"/>
        <v>18:34</v>
      </c>
      <c r="H80" s="91" t="str">
        <f t="shared" si="17"/>
        <v>-</v>
      </c>
      <c r="I80" s="92" t="str">
        <f t="shared" si="18"/>
        <v>-</v>
      </c>
      <c r="J80" s="92" t="str">
        <f t="shared" si="19"/>
        <v>-</v>
      </c>
      <c r="K80" s="93">
        <f t="shared" si="20"/>
        <v>0</v>
      </c>
      <c r="L80" s="93"/>
      <c r="M80" s="94">
        <f t="shared" si="21"/>
        <v>0</v>
      </c>
      <c r="N80" s="94">
        <f t="shared" si="22"/>
        <v>0</v>
      </c>
      <c r="O80" s="95"/>
    </row>
    <row r="81" spans="1:19">
      <c r="A81">
        <v>9186</v>
      </c>
      <c r="B81" t="s">
        <v>15</v>
      </c>
      <c r="C81" t="s">
        <v>15</v>
      </c>
      <c r="D81" s="143" t="s">
        <v>7</v>
      </c>
      <c r="E81" s="144">
        <v>43186.834930555553</v>
      </c>
      <c r="F81" s="89">
        <f t="shared" si="15"/>
        <v>43186.834930555553</v>
      </c>
      <c r="G81" s="90" t="str">
        <f t="shared" si="16"/>
        <v>20:2</v>
      </c>
      <c r="H81" s="91" t="str">
        <f t="shared" si="17"/>
        <v>-</v>
      </c>
      <c r="I81" s="92" t="str">
        <f t="shared" si="18"/>
        <v>-</v>
      </c>
      <c r="J81" s="92" t="str">
        <f t="shared" si="19"/>
        <v>-</v>
      </c>
      <c r="K81" s="93">
        <f t="shared" si="20"/>
        <v>1.4833333333333307</v>
      </c>
      <c r="L81" s="93"/>
      <c r="M81" s="94">
        <f t="shared" si="21"/>
        <v>1.4833333333333307</v>
      </c>
      <c r="N81" s="94">
        <f t="shared" si="22"/>
        <v>0</v>
      </c>
      <c r="O81" s="95"/>
    </row>
    <row r="82" spans="1:19">
      <c r="A82">
        <v>9188</v>
      </c>
      <c r="B82" t="s">
        <v>15</v>
      </c>
      <c r="C82" t="s">
        <v>15</v>
      </c>
      <c r="D82" s="143" t="s">
        <v>8</v>
      </c>
      <c r="E82" s="144">
        <v>43186.896597222221</v>
      </c>
      <c r="F82" s="89">
        <f t="shared" si="15"/>
        <v>43186.896597222221</v>
      </c>
      <c r="G82" s="90" t="str">
        <f t="shared" si="16"/>
        <v>21:31</v>
      </c>
      <c r="H82" s="91" t="str">
        <f t="shared" si="17"/>
        <v>-</v>
      </c>
      <c r="I82" s="92" t="str">
        <f t="shared" si="18"/>
        <v>-</v>
      </c>
      <c r="J82" s="92" t="str">
        <f t="shared" si="19"/>
        <v>-</v>
      </c>
      <c r="K82" s="93">
        <f t="shared" si="20"/>
        <v>0</v>
      </c>
      <c r="L82" s="93"/>
      <c r="M82" s="94">
        <f t="shared" si="21"/>
        <v>0</v>
      </c>
      <c r="N82" s="94">
        <f t="shared" si="22"/>
        <v>0</v>
      </c>
      <c r="O82" s="95"/>
    </row>
    <row r="83" spans="1:19">
      <c r="A83">
        <v>9194</v>
      </c>
      <c r="B83" t="s">
        <v>15</v>
      </c>
      <c r="C83" t="s">
        <v>15</v>
      </c>
      <c r="D83" s="143" t="s">
        <v>6</v>
      </c>
      <c r="E83" s="144">
        <v>43187.364560185182</v>
      </c>
      <c r="F83" s="89">
        <f t="shared" si="15"/>
        <v>43187.364560185182</v>
      </c>
      <c r="G83" s="90" t="str">
        <f t="shared" si="16"/>
        <v>8:44</v>
      </c>
      <c r="H83" s="91">
        <f t="shared" si="17"/>
        <v>9.7333333333333325</v>
      </c>
      <c r="I83" s="92">
        <f t="shared" si="18"/>
        <v>8</v>
      </c>
      <c r="J83" s="92" t="str">
        <f t="shared" si="19"/>
        <v>-</v>
      </c>
      <c r="K83" s="93">
        <f t="shared" si="20"/>
        <v>0</v>
      </c>
      <c r="L83" s="93"/>
      <c r="M83" s="94">
        <f t="shared" si="21"/>
        <v>0</v>
      </c>
      <c r="N83" s="94">
        <f t="shared" si="22"/>
        <v>0</v>
      </c>
      <c r="O83" s="95"/>
    </row>
    <row r="84" spans="1:19">
      <c r="A84">
        <v>9203</v>
      </c>
      <c r="B84" t="s">
        <v>15</v>
      </c>
      <c r="C84" t="s">
        <v>15</v>
      </c>
      <c r="D84" s="143" t="s">
        <v>5</v>
      </c>
      <c r="E84" s="144">
        <v>43187.769456018519</v>
      </c>
      <c r="F84" s="89">
        <f t="shared" si="15"/>
        <v>43187.769456018519</v>
      </c>
      <c r="G84" s="90" t="str">
        <f t="shared" si="16"/>
        <v>18:28</v>
      </c>
      <c r="H84" s="91" t="str">
        <f t="shared" si="17"/>
        <v>-</v>
      </c>
      <c r="I84" s="92" t="str">
        <f t="shared" si="18"/>
        <v>-</v>
      </c>
      <c r="J84" s="92" t="str">
        <f t="shared" si="19"/>
        <v>-</v>
      </c>
      <c r="K84" s="93">
        <f t="shared" si="20"/>
        <v>0</v>
      </c>
      <c r="L84" s="93"/>
      <c r="M84" s="94">
        <f t="shared" si="21"/>
        <v>0</v>
      </c>
      <c r="N84" s="94">
        <f t="shared" si="22"/>
        <v>0</v>
      </c>
      <c r="O84" s="95"/>
    </row>
    <row r="85" spans="1:19">
      <c r="A85">
        <v>9204</v>
      </c>
      <c r="B85" t="s">
        <v>15</v>
      </c>
      <c r="C85" t="s">
        <v>15</v>
      </c>
      <c r="D85" s="143" t="s">
        <v>7</v>
      </c>
      <c r="E85" s="144">
        <v>43187.770844907405</v>
      </c>
      <c r="F85" s="89">
        <f t="shared" si="15"/>
        <v>43187.770844907405</v>
      </c>
      <c r="G85" s="90" t="str">
        <f t="shared" si="16"/>
        <v>18:30</v>
      </c>
      <c r="H85" s="91" t="str">
        <f t="shared" si="17"/>
        <v>-</v>
      </c>
      <c r="I85" s="92" t="str">
        <f t="shared" si="18"/>
        <v>-</v>
      </c>
      <c r="J85" s="92" t="str">
        <f t="shared" si="19"/>
        <v>-</v>
      </c>
      <c r="K85" s="93">
        <f t="shared" si="20"/>
        <v>0.39999999999999858</v>
      </c>
      <c r="L85" s="93"/>
      <c r="M85" s="94">
        <f t="shared" si="21"/>
        <v>0.39999999999999858</v>
      </c>
      <c r="N85" s="94">
        <f t="shared" si="22"/>
        <v>0</v>
      </c>
      <c r="O85" s="95"/>
    </row>
    <row r="86" spans="1:19">
      <c r="A86">
        <v>9217</v>
      </c>
      <c r="B86" t="s">
        <v>15</v>
      </c>
      <c r="C86" t="s">
        <v>15</v>
      </c>
      <c r="D86" s="143" t="s">
        <v>8</v>
      </c>
      <c r="E86" s="144">
        <v>43187.787708333337</v>
      </c>
      <c r="F86" s="89">
        <f t="shared" si="15"/>
        <v>43187.787708333337</v>
      </c>
      <c r="G86" s="90" t="str">
        <f t="shared" si="16"/>
        <v>18:54</v>
      </c>
      <c r="H86" s="91" t="str">
        <f t="shared" si="17"/>
        <v>-</v>
      </c>
      <c r="I86" s="92" t="str">
        <f t="shared" si="18"/>
        <v>-</v>
      </c>
      <c r="J86" s="92" t="str">
        <f t="shared" si="19"/>
        <v>-</v>
      </c>
      <c r="K86" s="93">
        <f t="shared" si="20"/>
        <v>0</v>
      </c>
      <c r="L86" s="93"/>
      <c r="M86" s="94">
        <f t="shared" si="21"/>
        <v>0</v>
      </c>
      <c r="N86" s="94">
        <f t="shared" si="22"/>
        <v>0</v>
      </c>
      <c r="O86" s="95"/>
    </row>
    <row r="87" spans="1:19">
      <c r="A87">
        <v>9231</v>
      </c>
      <c r="B87" t="s">
        <v>15</v>
      </c>
      <c r="C87" t="s">
        <v>15</v>
      </c>
      <c r="D87" s="143" t="s">
        <v>6</v>
      </c>
      <c r="E87" s="144">
        <v>43188.369293981479</v>
      </c>
      <c r="F87" s="89">
        <f t="shared" si="15"/>
        <v>43188.369293981479</v>
      </c>
      <c r="G87" s="90" t="str">
        <f t="shared" si="16"/>
        <v>8:51</v>
      </c>
      <c r="H87" s="91">
        <f t="shared" si="17"/>
        <v>9.5333333333333332</v>
      </c>
      <c r="I87" s="92">
        <f t="shared" si="18"/>
        <v>8</v>
      </c>
      <c r="J87" s="92" t="str">
        <f t="shared" si="19"/>
        <v>-</v>
      </c>
      <c r="K87" s="93">
        <f t="shared" si="20"/>
        <v>0</v>
      </c>
      <c r="L87" s="93"/>
      <c r="M87" s="94">
        <f t="shared" si="21"/>
        <v>0</v>
      </c>
      <c r="N87" s="94">
        <f t="shared" si="22"/>
        <v>0</v>
      </c>
      <c r="O87" s="95"/>
    </row>
    <row r="88" spans="1:19">
      <c r="A88">
        <v>9238</v>
      </c>
      <c r="B88" t="s">
        <v>15</v>
      </c>
      <c r="C88" t="s">
        <v>15</v>
      </c>
      <c r="D88" s="143" t="s">
        <v>5</v>
      </c>
      <c r="E88" s="144">
        <v>43188.766377314816</v>
      </c>
      <c r="F88" s="89">
        <f t="shared" si="15"/>
        <v>43188.766377314816</v>
      </c>
      <c r="G88" s="90" t="str">
        <f t="shared" si="16"/>
        <v>18:23</v>
      </c>
      <c r="H88" s="91" t="str">
        <f t="shared" si="17"/>
        <v>-</v>
      </c>
      <c r="I88" s="92" t="str">
        <f t="shared" si="18"/>
        <v>-</v>
      </c>
      <c r="J88" s="92" t="str">
        <f t="shared" si="19"/>
        <v>-</v>
      </c>
      <c r="K88" s="93">
        <f t="shared" si="20"/>
        <v>0</v>
      </c>
      <c r="L88" s="93"/>
      <c r="M88" s="94">
        <f t="shared" si="21"/>
        <v>0</v>
      </c>
      <c r="N88" s="94">
        <f t="shared" si="22"/>
        <v>0</v>
      </c>
      <c r="O88" s="95"/>
    </row>
    <row r="89" spans="1:19">
      <c r="A89">
        <v>9250</v>
      </c>
      <c r="B89" t="s">
        <v>15</v>
      </c>
      <c r="C89" t="s">
        <v>15</v>
      </c>
      <c r="D89" s="143" t="s">
        <v>7</v>
      </c>
      <c r="E89" s="144">
        <v>43188.792314814818</v>
      </c>
      <c r="F89" s="89">
        <f t="shared" si="15"/>
        <v>43188.792314814818</v>
      </c>
      <c r="G89" s="90" t="str">
        <f t="shared" si="16"/>
        <v>19:0</v>
      </c>
      <c r="H89" s="91" t="str">
        <f t="shared" si="17"/>
        <v>-</v>
      </c>
      <c r="I89" s="92" t="str">
        <f t="shared" si="18"/>
        <v>-</v>
      </c>
      <c r="J89" s="92" t="str">
        <f t="shared" si="19"/>
        <v>-</v>
      </c>
      <c r="K89" s="93">
        <f t="shared" si="20"/>
        <v>1.3833333333333337</v>
      </c>
      <c r="L89" s="93"/>
      <c r="M89" s="94">
        <f t="shared" si="21"/>
        <v>1.3833333333333337</v>
      </c>
      <c r="N89" s="94">
        <f t="shared" si="22"/>
        <v>0</v>
      </c>
      <c r="O89" s="95"/>
    </row>
    <row r="90" spans="1:19">
      <c r="A90">
        <v>9257</v>
      </c>
      <c r="B90" t="s">
        <v>15</v>
      </c>
      <c r="C90" t="s">
        <v>15</v>
      </c>
      <c r="D90" s="143" t="s">
        <v>8</v>
      </c>
      <c r="E90" s="144">
        <v>43188.84951388889</v>
      </c>
      <c r="F90" s="89">
        <f t="shared" si="15"/>
        <v>43188.84951388889</v>
      </c>
      <c r="G90" s="90" t="str">
        <f t="shared" si="16"/>
        <v>20:23</v>
      </c>
      <c r="H90" s="91" t="str">
        <f t="shared" si="17"/>
        <v>-</v>
      </c>
      <c r="I90" s="92" t="str">
        <f t="shared" si="18"/>
        <v>-</v>
      </c>
      <c r="J90" s="92" t="str">
        <f t="shared" si="19"/>
        <v>-</v>
      </c>
      <c r="K90" s="93">
        <f t="shared" si="20"/>
        <v>0</v>
      </c>
      <c r="L90" s="93"/>
      <c r="M90" s="94">
        <f t="shared" si="21"/>
        <v>0</v>
      </c>
      <c r="N90" s="94">
        <f t="shared" si="22"/>
        <v>0</v>
      </c>
      <c r="O90" s="95"/>
    </row>
    <row r="91" spans="1:19" s="63" customFormat="1">
      <c r="A91" s="63">
        <v>9288</v>
      </c>
      <c r="B91" s="63" t="s">
        <v>15</v>
      </c>
      <c r="C91" s="63" t="s">
        <v>15</v>
      </c>
      <c r="D91" s="181" t="s">
        <v>6</v>
      </c>
      <c r="E91" s="180">
        <v>43189.354444444441</v>
      </c>
      <c r="F91" s="135">
        <f t="shared" si="15"/>
        <v>43189.354444444441</v>
      </c>
      <c r="G91" s="67" t="str">
        <f t="shared" si="16"/>
        <v>8:30</v>
      </c>
      <c r="H91" s="64">
        <f t="shared" si="17"/>
        <v>10</v>
      </c>
      <c r="I91" s="181"/>
      <c r="J91" s="66">
        <f>IF(D91="上班",IF(H91-1.5&gt;8,8,H91-1.5),"-")</f>
        <v>8</v>
      </c>
      <c r="K91" s="68">
        <f t="shared" si="20"/>
        <v>0</v>
      </c>
      <c r="L91" s="68"/>
      <c r="M91" s="65">
        <f t="shared" si="21"/>
        <v>0</v>
      </c>
      <c r="N91" s="65">
        <f t="shared" si="22"/>
        <v>0</v>
      </c>
      <c r="O91" s="147" t="s">
        <v>112</v>
      </c>
      <c r="P91" s="18"/>
      <c r="Q91" s="18"/>
      <c r="R91" s="18"/>
      <c r="S91" s="18"/>
    </row>
    <row r="92" spans="1:19" s="63" customFormat="1">
      <c r="A92" s="63">
        <v>9296</v>
      </c>
      <c r="B92" s="63" t="s">
        <v>15</v>
      </c>
      <c r="C92" s="63" t="s">
        <v>15</v>
      </c>
      <c r="D92" s="181" t="s">
        <v>5</v>
      </c>
      <c r="E92" s="180">
        <v>43189.771064814813</v>
      </c>
      <c r="F92" s="135">
        <f t="shared" si="15"/>
        <v>43189.771064814813</v>
      </c>
      <c r="G92" s="67" t="str">
        <f t="shared" si="16"/>
        <v>18:30</v>
      </c>
      <c r="H92" s="64" t="str">
        <f t="shared" si="17"/>
        <v>-</v>
      </c>
      <c r="I92" s="442" t="str">
        <f t="shared" si="18"/>
        <v>-</v>
      </c>
      <c r="J92" s="66" t="str">
        <f t="shared" si="19"/>
        <v>-</v>
      </c>
      <c r="K92" s="68">
        <f t="shared" si="20"/>
        <v>0</v>
      </c>
      <c r="L92" s="68"/>
      <c r="M92" s="65">
        <f t="shared" si="21"/>
        <v>0</v>
      </c>
      <c r="N92" s="65">
        <f t="shared" si="22"/>
        <v>0</v>
      </c>
      <c r="O92" s="147"/>
      <c r="P92" s="18"/>
      <c r="Q92" s="18"/>
      <c r="R92" s="18"/>
      <c r="S92" s="18"/>
    </row>
    <row r="93" spans="1:19">
      <c r="A93">
        <v>9288</v>
      </c>
      <c r="B93" t="s">
        <v>15</v>
      </c>
      <c r="C93" t="s">
        <v>15</v>
      </c>
      <c r="D93" s="143" t="s">
        <v>6</v>
      </c>
      <c r="E93" s="144">
        <v>43190.366944444446</v>
      </c>
      <c r="F93" s="89">
        <f t="shared" si="15"/>
        <v>43190.366944444446</v>
      </c>
      <c r="G93" s="90" t="str">
        <f t="shared" si="16"/>
        <v>8:48</v>
      </c>
      <c r="H93" s="91">
        <f t="shared" si="17"/>
        <v>9.6833333333333336</v>
      </c>
      <c r="I93" s="92">
        <f t="shared" si="18"/>
        <v>8</v>
      </c>
      <c r="J93" s="92" t="str">
        <f t="shared" si="19"/>
        <v>-</v>
      </c>
      <c r="K93" s="93">
        <f t="shared" si="20"/>
        <v>0</v>
      </c>
      <c r="L93" s="93"/>
      <c r="M93" s="94">
        <f t="shared" si="21"/>
        <v>0</v>
      </c>
      <c r="N93" s="94">
        <f t="shared" si="22"/>
        <v>0</v>
      </c>
      <c r="O93" s="95"/>
    </row>
    <row r="94" spans="1:19">
      <c r="A94">
        <v>9296</v>
      </c>
      <c r="B94" t="s">
        <v>15</v>
      </c>
      <c r="C94" t="s">
        <v>15</v>
      </c>
      <c r="D94" s="143" t="s">
        <v>5</v>
      </c>
      <c r="E94" s="144">
        <v>43190.770370370374</v>
      </c>
      <c r="F94" s="89">
        <f t="shared" si="15"/>
        <v>43190.770370370374</v>
      </c>
      <c r="G94" s="90" t="str">
        <f t="shared" si="16"/>
        <v>18:29</v>
      </c>
      <c r="H94" s="91" t="str">
        <f t="shared" si="17"/>
        <v>-</v>
      </c>
      <c r="I94" s="92" t="str">
        <f t="shared" si="18"/>
        <v>-</v>
      </c>
      <c r="J94" s="92" t="str">
        <f t="shared" si="19"/>
        <v>-</v>
      </c>
      <c r="K94" s="93">
        <f t="shared" si="20"/>
        <v>0</v>
      </c>
      <c r="L94" s="93"/>
      <c r="M94" s="94">
        <f t="shared" si="21"/>
        <v>0</v>
      </c>
      <c r="N94" s="94">
        <f t="shared" si="22"/>
        <v>0</v>
      </c>
      <c r="O94" s="95"/>
    </row>
    <row r="95" spans="1:19">
      <c r="A95">
        <v>9299</v>
      </c>
      <c r="B95" t="s">
        <v>15</v>
      </c>
      <c r="C95" t="s">
        <v>15</v>
      </c>
      <c r="D95" s="143" t="s">
        <v>7</v>
      </c>
      <c r="E95" s="144">
        <v>43190.770833333336</v>
      </c>
      <c r="F95" s="89">
        <f t="shared" si="15"/>
        <v>43190.770833333336</v>
      </c>
      <c r="G95" s="90" t="str">
        <f t="shared" si="16"/>
        <v>18:30</v>
      </c>
      <c r="H95" s="91" t="str">
        <f t="shared" si="17"/>
        <v>-</v>
      </c>
      <c r="I95" s="92" t="str">
        <f t="shared" si="18"/>
        <v>-</v>
      </c>
      <c r="J95" s="92" t="str">
        <f t="shared" si="19"/>
        <v>-</v>
      </c>
      <c r="K95" s="93">
        <f t="shared" si="20"/>
        <v>0.39999999999999858</v>
      </c>
      <c r="L95" s="93"/>
      <c r="M95" s="94">
        <f t="shared" si="21"/>
        <v>0.39999999999999858</v>
      </c>
      <c r="N95" s="94">
        <f t="shared" si="22"/>
        <v>0</v>
      </c>
      <c r="O95" s="95"/>
    </row>
    <row r="96" spans="1:19">
      <c r="A96">
        <v>9303</v>
      </c>
      <c r="B96" t="s">
        <v>15</v>
      </c>
      <c r="C96" t="s">
        <v>15</v>
      </c>
      <c r="D96" s="143" t="s">
        <v>8</v>
      </c>
      <c r="E96" s="144">
        <v>43190.788101851853</v>
      </c>
      <c r="F96" s="89">
        <f t="shared" si="15"/>
        <v>43190.788101851853</v>
      </c>
      <c r="G96" s="90" t="str">
        <f t="shared" si="16"/>
        <v>18:54</v>
      </c>
      <c r="H96" s="91" t="str">
        <f t="shared" si="17"/>
        <v>-</v>
      </c>
      <c r="I96" s="92" t="str">
        <f t="shared" si="18"/>
        <v>-</v>
      </c>
      <c r="J96" s="92" t="str">
        <f t="shared" si="19"/>
        <v>-</v>
      </c>
      <c r="K96" s="93">
        <f t="shared" si="20"/>
        <v>0</v>
      </c>
      <c r="L96" s="93"/>
      <c r="M96" s="94">
        <f t="shared" si="21"/>
        <v>0</v>
      </c>
      <c r="N96" s="94">
        <f t="shared" si="22"/>
        <v>0</v>
      </c>
      <c r="O96" s="95"/>
    </row>
    <row r="99" spans="4:4">
      <c r="D99" s="9" t="s">
        <v>37</v>
      </c>
    </row>
    <row r="100" spans="4:4">
      <c r="D100" s="9" t="s">
        <v>36</v>
      </c>
    </row>
    <row r="101" spans="4:4">
      <c r="D101" s="172" t="s">
        <v>64</v>
      </c>
    </row>
    <row r="102" spans="4:4">
      <c r="D102" t="s">
        <v>67</v>
      </c>
    </row>
    <row r="103" spans="4:4">
      <c r="D103" t="s">
        <v>65</v>
      </c>
    </row>
    <row r="104" spans="4:4">
      <c r="D104" t="s">
        <v>69</v>
      </c>
    </row>
    <row r="105" spans="4:4">
      <c r="D105" t="s">
        <v>70</v>
      </c>
    </row>
    <row r="106" spans="4:4">
      <c r="D106" t="s">
        <v>66</v>
      </c>
    </row>
    <row r="107" spans="4:4">
      <c r="D107" t="s">
        <v>68</v>
      </c>
    </row>
  </sheetData>
  <phoneticPr fontId="18" type="noConversion"/>
  <printOptions horizontalCentered="1"/>
  <pageMargins left="0.23622047244094491" right="0.23622047244094491" top="0.15748031496062992" bottom="0.15748031496062992" header="0.31496062992125984" footer="0.31496062992125984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>
    <pageSetUpPr fitToPage="1"/>
  </sheetPr>
  <dimension ref="A1:U99"/>
  <sheetViews>
    <sheetView topLeftCell="D1" workbookViewId="0"/>
  </sheetViews>
  <sheetFormatPr defaultColWidth="8.875" defaultRowHeight="16.5" outlineLevelCol="1"/>
  <cols>
    <col min="1" max="1" width="6.625" hidden="1" customWidth="1" outlineLevel="1"/>
    <col min="2" max="2" width="6.875" hidden="1" customWidth="1" outlineLevel="1"/>
    <col min="3" max="3" width="6.5" style="3" hidden="1" customWidth="1" outlineLevel="1"/>
    <col min="4" max="4" width="9.625" style="3" customWidth="1" collapsed="1"/>
    <col min="5" max="5" width="15.125" style="3" customWidth="1"/>
    <col min="6" max="6" width="6.125" style="16" customWidth="1"/>
    <col min="7" max="7" width="8.625" style="17" hidden="1" customWidth="1" outlineLevel="1"/>
    <col min="8" max="8" width="11.125" style="51" hidden="1" customWidth="1" outlineLevel="1"/>
    <col min="9" max="9" width="9.37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8.625" style="22" customWidth="1"/>
    <col min="15" max="15" width="16.37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lorah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391">
        <f>72-16</f>
        <v>56</v>
      </c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7.25" thickBot="1">
      <c r="D3" s="24" t="s">
        <v>77</v>
      </c>
      <c r="E3" s="185">
        <v>500</v>
      </c>
      <c r="F3" s="25"/>
      <c r="G3" s="26"/>
      <c r="H3" s="26"/>
      <c r="I3" s="88"/>
      <c r="J3" s="54">
        <f>D5+E5</f>
        <v>0</v>
      </c>
      <c r="K3" s="53">
        <f>SUM(K7:K80)</f>
        <v>29.833333333333325</v>
      </c>
      <c r="L3" s="53">
        <f>J3</f>
        <v>0</v>
      </c>
      <c r="M3" s="53">
        <f>M6-J3</f>
        <v>24.283333333333324</v>
      </c>
      <c r="N3" s="53">
        <f>N6</f>
        <v>6.5166666666666657</v>
      </c>
      <c r="O3" s="50"/>
    </row>
    <row r="4" spans="1:21">
      <c r="D4" s="134" t="s">
        <v>44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1">
      <c r="D5" s="87">
        <v>0</v>
      </c>
      <c r="E5" s="86">
        <v>0</v>
      </c>
      <c r="F5" s="86">
        <v>0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0.19249999999999995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SUM(I7:I150)</f>
        <v>168</v>
      </c>
      <c r="J6" s="78">
        <f t="shared" ref="J6:N6" si="0">SUM(J7:J150)</f>
        <v>16</v>
      </c>
      <c r="K6" s="78">
        <f t="shared" si="0"/>
        <v>30.79999999999999</v>
      </c>
      <c r="L6" s="78">
        <f t="shared" si="0"/>
        <v>0</v>
      </c>
      <c r="M6" s="78">
        <f t="shared" si="0"/>
        <v>24.283333333333324</v>
      </c>
      <c r="N6" s="78">
        <f t="shared" si="0"/>
        <v>6.5166666666666657</v>
      </c>
      <c r="O6" s="45"/>
      <c r="Q6" s="47"/>
    </row>
    <row r="7" spans="1:21" s="2" customFormat="1">
      <c r="A7" s="140">
        <v>8493</v>
      </c>
      <c r="B7" s="140" t="s">
        <v>39</v>
      </c>
      <c r="C7" s="140" t="s">
        <v>39</v>
      </c>
      <c r="D7" s="141" t="s">
        <v>6</v>
      </c>
      <c r="E7" s="142">
        <v>43160.367395833331</v>
      </c>
      <c r="F7" s="89">
        <f>E7</f>
        <v>43160.367395833331</v>
      </c>
      <c r="G7" s="90" t="str">
        <f>HOUR(E7)&amp;":"&amp;MINUTE(E7)</f>
        <v>8:49</v>
      </c>
      <c r="H7" s="91">
        <f t="shared" ref="H7" si="1">IF(D7="上班",(G8-G7)*24,"-")</f>
        <v>9.6833333333333353</v>
      </c>
      <c r="I7" s="92">
        <f t="shared" ref="I7" si="2">IF(D7="上班",IF(H7-1.5&gt;8,8,H7-1.5),"-")</f>
        <v>8</v>
      </c>
      <c r="J7" s="92" t="str">
        <f t="shared" ref="J7" si="3">IF(I7&lt;8,8-I7,"-")</f>
        <v>-</v>
      </c>
      <c r="K7" s="93">
        <f t="shared" ref="K7" si="4">IF(D7="加班",(G8-G7)*24,0)</f>
        <v>0</v>
      </c>
      <c r="L7" s="93"/>
      <c r="M7" s="94">
        <f t="shared" ref="M7" si="5">IF(K7&gt;2,2,K7)</f>
        <v>0</v>
      </c>
      <c r="N7" s="94">
        <f t="shared" ref="N7" si="6">IF(K7&gt;2,K7-2,0)</f>
        <v>0</v>
      </c>
      <c r="O7" s="95"/>
      <c r="P7" s="8"/>
      <c r="Q7" s="8"/>
      <c r="R7" s="8"/>
      <c r="S7" s="8"/>
    </row>
    <row r="8" spans="1:21">
      <c r="A8" s="140">
        <v>8502</v>
      </c>
      <c r="B8" s="140" t="s">
        <v>39</v>
      </c>
      <c r="C8" s="140" t="s">
        <v>39</v>
      </c>
      <c r="D8" s="143" t="s">
        <v>5</v>
      </c>
      <c r="E8" s="144">
        <v>43160.770937499998</v>
      </c>
      <c r="F8" s="89">
        <f t="shared" ref="F8:F71" si="7">E8</f>
        <v>43160.770937499998</v>
      </c>
      <c r="G8" s="90" t="str">
        <f t="shared" ref="G8:G71" si="8">HOUR(E8)&amp;":"&amp;MINUTE(E8)</f>
        <v>18:30</v>
      </c>
      <c r="H8" s="91" t="str">
        <f t="shared" ref="H8:H71" si="9">IF(D8="上班",(G9-G8)*24,"-")</f>
        <v>-</v>
      </c>
      <c r="I8" s="92" t="str">
        <f t="shared" ref="I8:I71" si="10">IF(D8="上班",IF(H8-1.5&gt;8,8,H8-1.5),"-")</f>
        <v>-</v>
      </c>
      <c r="J8" s="92" t="str">
        <f t="shared" ref="J8:J71" si="11">IF(I8&lt;8,8-I8,"-")</f>
        <v>-</v>
      </c>
      <c r="K8" s="93">
        <f t="shared" ref="K8:K71" si="12">IF(D8="加班",(G9-G8)*24,0)</f>
        <v>0</v>
      </c>
      <c r="L8" s="93"/>
      <c r="M8" s="94">
        <f t="shared" ref="M8:M71" si="13">IF(K8&gt;2,2,K8)</f>
        <v>0</v>
      </c>
      <c r="N8" s="94">
        <f t="shared" ref="N8:N71" si="14">IF(K8&gt;2,K8-2,0)</f>
        <v>0</v>
      </c>
      <c r="O8" s="95"/>
    </row>
    <row r="9" spans="1:21" s="187" customFormat="1">
      <c r="A9" s="140">
        <v>8504</v>
      </c>
      <c r="B9" s="140" t="s">
        <v>39</v>
      </c>
      <c r="C9" s="140" t="s">
        <v>39</v>
      </c>
      <c r="D9" s="141" t="s">
        <v>7</v>
      </c>
      <c r="E9" s="142">
        <v>43160.770995370367</v>
      </c>
      <c r="F9" s="89">
        <f t="shared" si="7"/>
        <v>43160.770995370367</v>
      </c>
      <c r="G9" s="90" t="str">
        <f t="shared" si="8"/>
        <v>18:30</v>
      </c>
      <c r="H9" s="91" t="str">
        <f t="shared" si="9"/>
        <v>-</v>
      </c>
      <c r="I9" s="92" t="str">
        <f t="shared" si="10"/>
        <v>-</v>
      </c>
      <c r="J9" s="92" t="str">
        <f t="shared" si="11"/>
        <v>-</v>
      </c>
      <c r="K9" s="93">
        <f t="shared" si="12"/>
        <v>0.79999999999999982</v>
      </c>
      <c r="L9" s="93"/>
      <c r="M9" s="94">
        <f t="shared" si="13"/>
        <v>0.79999999999999982</v>
      </c>
      <c r="N9" s="94">
        <f t="shared" si="14"/>
        <v>0</v>
      </c>
      <c r="O9" s="95"/>
    </row>
    <row r="10" spans="1:21" s="187" customFormat="1">
      <c r="A10" s="140">
        <v>8514</v>
      </c>
      <c r="B10" s="140" t="s">
        <v>39</v>
      </c>
      <c r="C10" s="140" t="s">
        <v>39</v>
      </c>
      <c r="D10" s="143" t="s">
        <v>8</v>
      </c>
      <c r="E10" s="144">
        <v>43160.804236111115</v>
      </c>
      <c r="F10" s="89">
        <f t="shared" si="7"/>
        <v>43160.804236111115</v>
      </c>
      <c r="G10" s="90" t="str">
        <f t="shared" si="8"/>
        <v>19:18</v>
      </c>
      <c r="H10" s="91" t="str">
        <f t="shared" si="9"/>
        <v>-</v>
      </c>
      <c r="I10" s="92" t="str">
        <f t="shared" si="10"/>
        <v>-</v>
      </c>
      <c r="J10" s="92" t="str">
        <f t="shared" si="11"/>
        <v>-</v>
      </c>
      <c r="K10" s="93">
        <f t="shared" si="12"/>
        <v>0</v>
      </c>
      <c r="L10" s="93"/>
      <c r="M10" s="94">
        <f t="shared" si="13"/>
        <v>0</v>
      </c>
      <c r="N10" s="94">
        <f t="shared" si="14"/>
        <v>0</v>
      </c>
      <c r="O10" s="95"/>
    </row>
    <row r="11" spans="1:21" s="2" customFormat="1">
      <c r="A11" s="140">
        <v>8521</v>
      </c>
      <c r="B11" s="140" t="s">
        <v>39</v>
      </c>
      <c r="C11" s="140" t="s">
        <v>39</v>
      </c>
      <c r="D11" s="141" t="s">
        <v>6</v>
      </c>
      <c r="E11" s="142">
        <v>43161.363912037035</v>
      </c>
      <c r="F11" s="89">
        <f t="shared" si="7"/>
        <v>43161.363912037035</v>
      </c>
      <c r="G11" s="90" t="str">
        <f t="shared" si="8"/>
        <v>8:44</v>
      </c>
      <c r="H11" s="91">
        <f t="shared" si="9"/>
        <v>9.6833333333333353</v>
      </c>
      <c r="I11" s="92">
        <f t="shared" si="10"/>
        <v>8</v>
      </c>
      <c r="J11" s="92" t="str">
        <f t="shared" si="11"/>
        <v>-</v>
      </c>
      <c r="K11" s="93">
        <f t="shared" si="12"/>
        <v>0</v>
      </c>
      <c r="L11" s="93"/>
      <c r="M11" s="94">
        <f t="shared" si="13"/>
        <v>0</v>
      </c>
      <c r="N11" s="94">
        <f t="shared" si="14"/>
        <v>0</v>
      </c>
      <c r="O11" s="95"/>
      <c r="P11" s="8"/>
      <c r="Q11" s="8"/>
      <c r="R11" s="8"/>
      <c r="S11" s="8"/>
    </row>
    <row r="12" spans="1:21">
      <c r="A12" s="140">
        <v>8536</v>
      </c>
      <c r="B12" s="140" t="s">
        <v>39</v>
      </c>
      <c r="C12" s="140" t="s">
        <v>39</v>
      </c>
      <c r="D12" s="143" t="s">
        <v>5</v>
      </c>
      <c r="E12" s="144">
        <v>43161.767812500002</v>
      </c>
      <c r="F12" s="89">
        <f t="shared" si="7"/>
        <v>43161.767812500002</v>
      </c>
      <c r="G12" s="90" t="str">
        <f t="shared" si="8"/>
        <v>18:25</v>
      </c>
      <c r="H12" s="91" t="str">
        <f t="shared" si="9"/>
        <v>-</v>
      </c>
      <c r="I12" s="92" t="str">
        <f t="shared" si="10"/>
        <v>-</v>
      </c>
      <c r="J12" s="92" t="str">
        <f t="shared" si="11"/>
        <v>-</v>
      </c>
      <c r="K12" s="93">
        <f t="shared" si="12"/>
        <v>0</v>
      </c>
      <c r="L12" s="93"/>
      <c r="M12" s="94">
        <f t="shared" si="13"/>
        <v>0</v>
      </c>
      <c r="N12" s="94">
        <f t="shared" si="14"/>
        <v>0</v>
      </c>
      <c r="O12" s="95"/>
    </row>
    <row r="13" spans="1:21" s="63" customFormat="1">
      <c r="A13" s="140">
        <v>8557</v>
      </c>
      <c r="B13" s="140" t="s">
        <v>39</v>
      </c>
      <c r="C13" s="140" t="s">
        <v>39</v>
      </c>
      <c r="D13" s="141" t="s">
        <v>6</v>
      </c>
      <c r="E13" s="142">
        <v>43164.361770833333</v>
      </c>
      <c r="F13" s="89">
        <f t="shared" si="7"/>
        <v>43164.361770833333</v>
      </c>
      <c r="G13" s="90" t="str">
        <f t="shared" si="8"/>
        <v>8:40</v>
      </c>
      <c r="H13" s="91">
        <f t="shared" si="9"/>
        <v>9.7000000000000011</v>
      </c>
      <c r="I13" s="92">
        <f t="shared" si="10"/>
        <v>8</v>
      </c>
      <c r="J13" s="92" t="str">
        <f t="shared" si="11"/>
        <v>-</v>
      </c>
      <c r="K13" s="93">
        <f t="shared" si="12"/>
        <v>0</v>
      </c>
      <c r="L13" s="93"/>
      <c r="M13" s="94">
        <f t="shared" si="13"/>
        <v>0</v>
      </c>
      <c r="N13" s="94">
        <f t="shared" si="14"/>
        <v>0</v>
      </c>
      <c r="O13" s="95"/>
      <c r="P13" s="18"/>
      <c r="Q13" s="18"/>
      <c r="R13" s="18"/>
      <c r="S13" s="18"/>
    </row>
    <row r="14" spans="1:21" s="63" customFormat="1">
      <c r="A14" s="140">
        <v>8576</v>
      </c>
      <c r="B14" s="140" t="s">
        <v>39</v>
      </c>
      <c r="C14" s="140" t="s">
        <v>39</v>
      </c>
      <c r="D14" s="143" t="s">
        <v>5</v>
      </c>
      <c r="E14" s="144">
        <v>43164.765347222223</v>
      </c>
      <c r="F14" s="89">
        <f t="shared" si="7"/>
        <v>43164.765347222223</v>
      </c>
      <c r="G14" s="90" t="str">
        <f t="shared" si="8"/>
        <v>18:22</v>
      </c>
      <c r="H14" s="91" t="str">
        <f t="shared" si="9"/>
        <v>-</v>
      </c>
      <c r="I14" s="92" t="str">
        <f t="shared" si="10"/>
        <v>-</v>
      </c>
      <c r="J14" s="92" t="str">
        <f t="shared" si="11"/>
        <v>-</v>
      </c>
      <c r="K14" s="93">
        <f t="shared" si="12"/>
        <v>0</v>
      </c>
      <c r="L14" s="93"/>
      <c r="M14" s="94">
        <f t="shared" si="13"/>
        <v>0</v>
      </c>
      <c r="N14" s="94">
        <f t="shared" si="14"/>
        <v>0</v>
      </c>
      <c r="O14" s="95"/>
      <c r="P14" s="18"/>
      <c r="Q14" s="18"/>
      <c r="R14" s="18"/>
      <c r="S14" s="18"/>
    </row>
    <row r="15" spans="1:21">
      <c r="A15" s="140">
        <v>8581</v>
      </c>
      <c r="B15" s="140" t="s">
        <v>39</v>
      </c>
      <c r="C15" s="140" t="s">
        <v>39</v>
      </c>
      <c r="D15" s="143" t="s">
        <v>7</v>
      </c>
      <c r="E15" s="144">
        <v>43164.774062500001</v>
      </c>
      <c r="F15" s="89">
        <f t="shared" si="7"/>
        <v>43164.774062500001</v>
      </c>
      <c r="G15" s="90" t="str">
        <f t="shared" si="8"/>
        <v>18:34</v>
      </c>
      <c r="H15" s="91" t="str">
        <f t="shared" si="9"/>
        <v>-</v>
      </c>
      <c r="I15" s="92" t="str">
        <f t="shared" si="10"/>
        <v>-</v>
      </c>
      <c r="J15" s="92" t="str">
        <f t="shared" si="11"/>
        <v>-</v>
      </c>
      <c r="K15" s="93">
        <f t="shared" si="12"/>
        <v>1.5166666666666639</v>
      </c>
      <c r="L15" s="93"/>
      <c r="M15" s="94">
        <f t="shared" si="13"/>
        <v>1.5166666666666639</v>
      </c>
      <c r="N15" s="94">
        <f t="shared" si="14"/>
        <v>0</v>
      </c>
      <c r="O15" s="95"/>
    </row>
    <row r="16" spans="1:21">
      <c r="A16" s="140">
        <v>8586</v>
      </c>
      <c r="B16" s="140" t="s">
        <v>39</v>
      </c>
      <c r="C16" s="140" t="s">
        <v>39</v>
      </c>
      <c r="D16" s="143" t="s">
        <v>8</v>
      </c>
      <c r="E16" s="144">
        <v>43164.836886574078</v>
      </c>
      <c r="F16" s="89">
        <f t="shared" si="7"/>
        <v>43164.836886574078</v>
      </c>
      <c r="G16" s="90" t="str">
        <f t="shared" si="8"/>
        <v>20:5</v>
      </c>
      <c r="H16" s="91" t="str">
        <f t="shared" si="9"/>
        <v>-</v>
      </c>
      <c r="I16" s="92" t="str">
        <f t="shared" si="10"/>
        <v>-</v>
      </c>
      <c r="J16" s="92" t="str">
        <f t="shared" si="11"/>
        <v>-</v>
      </c>
      <c r="K16" s="93">
        <f t="shared" si="12"/>
        <v>0</v>
      </c>
      <c r="L16" s="93"/>
      <c r="M16" s="94">
        <f t="shared" si="13"/>
        <v>0</v>
      </c>
      <c r="N16" s="94">
        <f t="shared" si="14"/>
        <v>0</v>
      </c>
      <c r="O16" s="95"/>
    </row>
    <row r="17" spans="1:19" s="2" customFormat="1">
      <c r="A17" s="140">
        <v>8594</v>
      </c>
      <c r="B17" s="140" t="s">
        <v>39</v>
      </c>
      <c r="C17" s="140" t="s">
        <v>39</v>
      </c>
      <c r="D17" s="141" t="s">
        <v>6</v>
      </c>
      <c r="E17" s="142">
        <v>43165.361122685186</v>
      </c>
      <c r="F17" s="89">
        <f t="shared" si="7"/>
        <v>43165.361122685186</v>
      </c>
      <c r="G17" s="90" t="str">
        <f t="shared" si="8"/>
        <v>8:40</v>
      </c>
      <c r="H17" s="91">
        <f t="shared" si="9"/>
        <v>9.6666666666666661</v>
      </c>
      <c r="I17" s="92">
        <f t="shared" si="10"/>
        <v>8</v>
      </c>
      <c r="J17" s="92" t="str">
        <f t="shared" si="11"/>
        <v>-</v>
      </c>
      <c r="K17" s="93">
        <f t="shared" si="12"/>
        <v>0</v>
      </c>
      <c r="L17" s="93"/>
      <c r="M17" s="94">
        <f t="shared" si="13"/>
        <v>0</v>
      </c>
      <c r="N17" s="94">
        <f t="shared" si="14"/>
        <v>0</v>
      </c>
      <c r="O17" s="95"/>
      <c r="P17" s="8"/>
      <c r="Q17" s="8"/>
      <c r="R17" s="8"/>
      <c r="S17" s="8"/>
    </row>
    <row r="18" spans="1:19" s="63" customFormat="1">
      <c r="A18" s="140">
        <v>8607</v>
      </c>
      <c r="B18" s="140" t="s">
        <v>39</v>
      </c>
      <c r="C18" s="140" t="s">
        <v>39</v>
      </c>
      <c r="D18" s="143" t="s">
        <v>5</v>
      </c>
      <c r="E18" s="144">
        <v>43165.764143518521</v>
      </c>
      <c r="F18" s="89">
        <f t="shared" si="7"/>
        <v>43165.764143518521</v>
      </c>
      <c r="G18" s="90" t="str">
        <f t="shared" si="8"/>
        <v>18:20</v>
      </c>
      <c r="H18" s="91" t="str">
        <f t="shared" si="9"/>
        <v>-</v>
      </c>
      <c r="I18" s="92" t="str">
        <f t="shared" si="10"/>
        <v>-</v>
      </c>
      <c r="J18" s="92" t="str">
        <f t="shared" si="11"/>
        <v>-</v>
      </c>
      <c r="K18" s="93">
        <f t="shared" si="12"/>
        <v>0</v>
      </c>
      <c r="L18" s="93"/>
      <c r="M18" s="94">
        <f t="shared" si="13"/>
        <v>0</v>
      </c>
      <c r="N18" s="94">
        <f t="shared" si="14"/>
        <v>0</v>
      </c>
      <c r="O18" s="95"/>
      <c r="P18" s="18"/>
      <c r="Q18" s="18"/>
      <c r="R18" s="18"/>
      <c r="S18" s="18"/>
    </row>
    <row r="19" spans="1:19" s="63" customFormat="1">
      <c r="A19" s="140">
        <v>8617</v>
      </c>
      <c r="B19" s="140" t="s">
        <v>39</v>
      </c>
      <c r="C19" s="140" t="s">
        <v>39</v>
      </c>
      <c r="D19" s="143" t="s">
        <v>7</v>
      </c>
      <c r="E19" s="144">
        <v>43165.786886574075</v>
      </c>
      <c r="F19" s="89">
        <f t="shared" si="7"/>
        <v>43165.786886574075</v>
      </c>
      <c r="G19" s="90" t="str">
        <f t="shared" si="8"/>
        <v>18:53</v>
      </c>
      <c r="H19" s="91" t="str">
        <f t="shared" si="9"/>
        <v>-</v>
      </c>
      <c r="I19" s="92" t="str">
        <f t="shared" si="10"/>
        <v>-</v>
      </c>
      <c r="J19" s="92" t="str">
        <f t="shared" si="11"/>
        <v>-</v>
      </c>
      <c r="K19" s="93">
        <f t="shared" si="12"/>
        <v>2.333333333333333</v>
      </c>
      <c r="L19" s="93"/>
      <c r="M19" s="94">
        <f t="shared" si="13"/>
        <v>2</v>
      </c>
      <c r="N19" s="94">
        <f t="shared" si="14"/>
        <v>0.33333333333333304</v>
      </c>
      <c r="O19" s="95"/>
      <c r="P19" s="18"/>
      <c r="Q19" s="18"/>
      <c r="R19" s="18"/>
      <c r="S19" s="18"/>
    </row>
    <row r="20" spans="1:19" s="63" customFormat="1">
      <c r="A20" s="140">
        <v>8621</v>
      </c>
      <c r="B20" s="140" t="s">
        <v>39</v>
      </c>
      <c r="C20" s="140" t="s">
        <v>39</v>
      </c>
      <c r="D20" s="143" t="s">
        <v>8</v>
      </c>
      <c r="E20" s="144">
        <v>43165.884479166663</v>
      </c>
      <c r="F20" s="89">
        <f t="shared" si="7"/>
        <v>43165.884479166663</v>
      </c>
      <c r="G20" s="90" t="str">
        <f t="shared" si="8"/>
        <v>21:13</v>
      </c>
      <c r="H20" s="91" t="str">
        <f t="shared" si="9"/>
        <v>-</v>
      </c>
      <c r="I20" s="92" t="str">
        <f t="shared" si="10"/>
        <v>-</v>
      </c>
      <c r="J20" s="92" t="str">
        <f t="shared" si="11"/>
        <v>-</v>
      </c>
      <c r="K20" s="93">
        <f t="shared" si="12"/>
        <v>0</v>
      </c>
      <c r="L20" s="93"/>
      <c r="M20" s="94">
        <f t="shared" si="13"/>
        <v>0</v>
      </c>
      <c r="N20" s="94">
        <f t="shared" si="14"/>
        <v>0</v>
      </c>
      <c r="O20" s="95"/>
      <c r="P20" s="18"/>
      <c r="Q20" s="18"/>
      <c r="R20" s="18"/>
      <c r="S20" s="18"/>
    </row>
    <row r="21" spans="1:19" s="63" customFormat="1">
      <c r="A21" s="140">
        <v>8627</v>
      </c>
      <c r="B21" s="140" t="s">
        <v>39</v>
      </c>
      <c r="C21" s="140" t="s">
        <v>39</v>
      </c>
      <c r="D21" s="143" t="s">
        <v>6</v>
      </c>
      <c r="E21" s="144">
        <v>43166.363900462966</v>
      </c>
      <c r="F21" s="89">
        <f t="shared" si="7"/>
        <v>43166.363900462966</v>
      </c>
      <c r="G21" s="90" t="str">
        <f t="shared" si="8"/>
        <v>8:44</v>
      </c>
      <c r="H21" s="91">
        <f t="shared" si="9"/>
        <v>9.5500000000000025</v>
      </c>
      <c r="I21" s="92">
        <f t="shared" si="10"/>
        <v>8</v>
      </c>
      <c r="J21" s="92" t="str">
        <f t="shared" si="11"/>
        <v>-</v>
      </c>
      <c r="K21" s="93">
        <f t="shared" si="12"/>
        <v>0</v>
      </c>
      <c r="L21" s="93"/>
      <c r="M21" s="94">
        <f t="shared" si="13"/>
        <v>0</v>
      </c>
      <c r="N21" s="94">
        <f t="shared" si="14"/>
        <v>0</v>
      </c>
      <c r="O21" s="95"/>
      <c r="P21" s="18"/>
      <c r="Q21" s="18"/>
      <c r="R21" s="18"/>
      <c r="S21" s="18"/>
    </row>
    <row r="22" spans="1:19">
      <c r="A22" s="140">
        <v>8640</v>
      </c>
      <c r="B22" s="140" t="s">
        <v>39</v>
      </c>
      <c r="C22" s="140" t="s">
        <v>39</v>
      </c>
      <c r="D22" s="143" t="s">
        <v>5</v>
      </c>
      <c r="E22" s="144">
        <v>43166.762476851851</v>
      </c>
      <c r="F22" s="89">
        <f t="shared" si="7"/>
        <v>43166.762476851851</v>
      </c>
      <c r="G22" s="90" t="str">
        <f t="shared" si="8"/>
        <v>18:17</v>
      </c>
      <c r="H22" s="91" t="str">
        <f t="shared" si="9"/>
        <v>-</v>
      </c>
      <c r="I22" s="92" t="str">
        <f t="shared" si="10"/>
        <v>-</v>
      </c>
      <c r="J22" s="92" t="str">
        <f t="shared" si="11"/>
        <v>-</v>
      </c>
      <c r="K22" s="93">
        <f t="shared" si="12"/>
        <v>0</v>
      </c>
      <c r="L22" s="93"/>
      <c r="M22" s="94">
        <f t="shared" si="13"/>
        <v>0</v>
      </c>
      <c r="N22" s="94">
        <f t="shared" si="14"/>
        <v>0</v>
      </c>
      <c r="O22" s="95"/>
    </row>
    <row r="23" spans="1:19" s="63" customFormat="1">
      <c r="A23" s="140">
        <v>8646</v>
      </c>
      <c r="B23" s="140" t="s">
        <v>39</v>
      </c>
      <c r="C23" s="140" t="s">
        <v>39</v>
      </c>
      <c r="D23" s="143" t="s">
        <v>7</v>
      </c>
      <c r="E23" s="144">
        <v>43166.771087962959</v>
      </c>
      <c r="F23" s="89">
        <f t="shared" si="7"/>
        <v>43166.771087962959</v>
      </c>
      <c r="G23" s="90" t="str">
        <f t="shared" si="8"/>
        <v>18:30</v>
      </c>
      <c r="H23" s="91" t="str">
        <f t="shared" si="9"/>
        <v>-</v>
      </c>
      <c r="I23" s="92" t="str">
        <f t="shared" si="10"/>
        <v>-</v>
      </c>
      <c r="J23" s="92" t="str">
        <f t="shared" si="11"/>
        <v>-</v>
      </c>
      <c r="K23" s="93">
        <f t="shared" si="12"/>
        <v>2.25</v>
      </c>
      <c r="L23" s="93"/>
      <c r="M23" s="94">
        <f t="shared" si="13"/>
        <v>2</v>
      </c>
      <c r="N23" s="94">
        <f t="shared" si="14"/>
        <v>0.25</v>
      </c>
      <c r="O23" s="95"/>
      <c r="P23" s="18"/>
      <c r="Q23" s="18"/>
      <c r="R23" s="18"/>
      <c r="S23" s="18"/>
    </row>
    <row r="24" spans="1:19">
      <c r="A24" s="140">
        <v>8659</v>
      </c>
      <c r="B24" s="140" t="s">
        <v>39</v>
      </c>
      <c r="C24" s="140" t="s">
        <v>39</v>
      </c>
      <c r="D24" s="143" t="s">
        <v>8</v>
      </c>
      <c r="E24" s="144">
        <v>43166.865011574075</v>
      </c>
      <c r="F24" s="89">
        <f t="shared" si="7"/>
        <v>43166.865011574075</v>
      </c>
      <c r="G24" s="90" t="str">
        <f t="shared" si="8"/>
        <v>20:45</v>
      </c>
      <c r="H24" s="91" t="str">
        <f t="shared" si="9"/>
        <v>-</v>
      </c>
      <c r="I24" s="92" t="str">
        <f t="shared" si="10"/>
        <v>-</v>
      </c>
      <c r="J24" s="92" t="str">
        <f t="shared" si="11"/>
        <v>-</v>
      </c>
      <c r="K24" s="93">
        <f t="shared" si="12"/>
        <v>0</v>
      </c>
      <c r="L24" s="93"/>
      <c r="M24" s="94">
        <f t="shared" si="13"/>
        <v>0</v>
      </c>
      <c r="N24" s="94">
        <f t="shared" si="14"/>
        <v>0</v>
      </c>
      <c r="O24" s="95"/>
    </row>
    <row r="25" spans="1:19" s="2" customFormat="1">
      <c r="A25" s="140">
        <v>8668</v>
      </c>
      <c r="B25" s="140" t="s">
        <v>39</v>
      </c>
      <c r="C25" s="140" t="s">
        <v>39</v>
      </c>
      <c r="D25" s="143" t="s">
        <v>6</v>
      </c>
      <c r="E25" s="144">
        <v>43167.368495370371</v>
      </c>
      <c r="F25" s="89">
        <f t="shared" si="7"/>
        <v>43167.368495370371</v>
      </c>
      <c r="G25" s="90" t="str">
        <f t="shared" si="8"/>
        <v>8:50</v>
      </c>
      <c r="H25" s="91">
        <f t="shared" si="9"/>
        <v>9.5499999999999972</v>
      </c>
      <c r="I25" s="92">
        <f t="shared" si="10"/>
        <v>8</v>
      </c>
      <c r="J25" s="92" t="str">
        <f t="shared" si="11"/>
        <v>-</v>
      </c>
      <c r="K25" s="93">
        <f t="shared" si="12"/>
        <v>0</v>
      </c>
      <c r="L25" s="93"/>
      <c r="M25" s="94">
        <f t="shared" si="13"/>
        <v>0</v>
      </c>
      <c r="N25" s="94">
        <f t="shared" si="14"/>
        <v>0</v>
      </c>
      <c r="O25" s="95"/>
      <c r="P25" s="8"/>
      <c r="Q25" s="8"/>
      <c r="R25" s="8"/>
      <c r="S25" s="8"/>
    </row>
    <row r="26" spans="1:19">
      <c r="A26" s="140">
        <v>8640</v>
      </c>
      <c r="B26" s="140" t="s">
        <v>39</v>
      </c>
      <c r="C26" s="140" t="s">
        <v>39</v>
      </c>
      <c r="D26" s="143" t="s">
        <v>5</v>
      </c>
      <c r="E26" s="144">
        <v>43167.766643518517</v>
      </c>
      <c r="F26" s="89">
        <f t="shared" si="7"/>
        <v>43167.766643518517</v>
      </c>
      <c r="G26" s="90" t="str">
        <f t="shared" si="8"/>
        <v>18:23</v>
      </c>
      <c r="H26" s="91" t="str">
        <f t="shared" si="9"/>
        <v>-</v>
      </c>
      <c r="I26" s="92" t="str">
        <f t="shared" si="10"/>
        <v>-</v>
      </c>
      <c r="J26" s="92" t="str">
        <f t="shared" si="11"/>
        <v>-</v>
      </c>
      <c r="K26" s="93">
        <f t="shared" si="12"/>
        <v>0</v>
      </c>
      <c r="L26" s="93"/>
      <c r="M26" s="94">
        <f t="shared" si="13"/>
        <v>0</v>
      </c>
      <c r="N26" s="94">
        <f t="shared" si="14"/>
        <v>0</v>
      </c>
      <c r="O26" s="95"/>
    </row>
    <row r="27" spans="1:19" s="63" customFormat="1">
      <c r="A27" s="140">
        <v>8678</v>
      </c>
      <c r="B27" s="140" t="s">
        <v>39</v>
      </c>
      <c r="C27" s="140" t="s">
        <v>39</v>
      </c>
      <c r="D27" s="143" t="s">
        <v>7</v>
      </c>
      <c r="E27" s="144">
        <v>43167.770914351851</v>
      </c>
      <c r="F27" s="89">
        <f t="shared" si="7"/>
        <v>43167.770914351851</v>
      </c>
      <c r="G27" s="90" t="str">
        <f t="shared" si="8"/>
        <v>18:30</v>
      </c>
      <c r="H27" s="91" t="str">
        <f t="shared" si="9"/>
        <v>-</v>
      </c>
      <c r="I27" s="92" t="str">
        <f t="shared" si="10"/>
        <v>-</v>
      </c>
      <c r="J27" s="92" t="str">
        <f t="shared" si="11"/>
        <v>-</v>
      </c>
      <c r="K27" s="93">
        <f t="shared" si="12"/>
        <v>0.88333333333333286</v>
      </c>
      <c r="L27" s="93"/>
      <c r="M27" s="94">
        <f t="shared" si="13"/>
        <v>0.88333333333333286</v>
      </c>
      <c r="N27" s="94">
        <f t="shared" si="14"/>
        <v>0</v>
      </c>
      <c r="O27" s="95"/>
      <c r="P27" s="18"/>
      <c r="Q27" s="18"/>
      <c r="R27" s="18"/>
      <c r="S27" s="18"/>
    </row>
    <row r="28" spans="1:19" s="63" customFormat="1">
      <c r="A28" s="140">
        <v>8687</v>
      </c>
      <c r="B28" s="140" t="s">
        <v>39</v>
      </c>
      <c r="C28" s="140" t="s">
        <v>39</v>
      </c>
      <c r="D28" s="143" t="s">
        <v>8</v>
      </c>
      <c r="E28" s="144">
        <v>43167.808240740742</v>
      </c>
      <c r="F28" s="89">
        <f t="shared" si="7"/>
        <v>43167.808240740742</v>
      </c>
      <c r="G28" s="90" t="str">
        <f t="shared" si="8"/>
        <v>19:23</v>
      </c>
      <c r="H28" s="91" t="str">
        <f t="shared" si="9"/>
        <v>-</v>
      </c>
      <c r="I28" s="92" t="str">
        <f t="shared" si="10"/>
        <v>-</v>
      </c>
      <c r="J28" s="92" t="str">
        <f t="shared" si="11"/>
        <v>-</v>
      </c>
      <c r="K28" s="93">
        <f t="shared" si="12"/>
        <v>0</v>
      </c>
      <c r="L28" s="93"/>
      <c r="M28" s="94">
        <f t="shared" si="13"/>
        <v>0</v>
      </c>
      <c r="N28" s="94">
        <f t="shared" si="14"/>
        <v>0</v>
      </c>
      <c r="O28" s="95"/>
      <c r="P28" s="18"/>
      <c r="Q28" s="18"/>
      <c r="R28" s="18"/>
      <c r="S28" s="18"/>
    </row>
    <row r="29" spans="1:19" s="63" customFormat="1">
      <c r="A29" s="145">
        <v>8699</v>
      </c>
      <c r="B29" s="145" t="s">
        <v>39</v>
      </c>
      <c r="C29" s="145" t="s">
        <v>39</v>
      </c>
      <c r="D29" s="424" t="s">
        <v>109</v>
      </c>
      <c r="E29" s="146">
        <v>43168.354502314818</v>
      </c>
      <c r="F29" s="89">
        <f t="shared" si="7"/>
        <v>43168.354502314818</v>
      </c>
      <c r="G29" s="90" t="str">
        <f t="shared" si="8"/>
        <v>8:30</v>
      </c>
      <c r="H29" s="91">
        <f t="shared" si="9"/>
        <v>10</v>
      </c>
      <c r="I29" s="92">
        <f t="shared" si="10"/>
        <v>8</v>
      </c>
      <c r="J29" s="92" t="str">
        <f t="shared" si="11"/>
        <v>-</v>
      </c>
      <c r="K29" s="93">
        <f t="shared" si="12"/>
        <v>0</v>
      </c>
      <c r="L29" s="93"/>
      <c r="M29" s="94">
        <f t="shared" si="13"/>
        <v>0</v>
      </c>
      <c r="N29" s="94">
        <f t="shared" si="14"/>
        <v>0</v>
      </c>
      <c r="O29" s="95"/>
      <c r="P29" s="18"/>
      <c r="Q29" s="18"/>
      <c r="R29" s="18"/>
      <c r="S29" s="18"/>
    </row>
    <row r="30" spans="1:19" s="63" customFormat="1">
      <c r="A30" s="140">
        <v>8710</v>
      </c>
      <c r="B30" s="140" t="s">
        <v>39</v>
      </c>
      <c r="C30" s="140" t="s">
        <v>39</v>
      </c>
      <c r="D30" s="143" t="s">
        <v>5</v>
      </c>
      <c r="E30" s="144">
        <v>43168.77144675926</v>
      </c>
      <c r="F30" s="89">
        <f t="shared" si="7"/>
        <v>43168.77144675926</v>
      </c>
      <c r="G30" s="90" t="str">
        <f t="shared" si="8"/>
        <v>18:30</v>
      </c>
      <c r="H30" s="91" t="str">
        <f t="shared" si="9"/>
        <v>-</v>
      </c>
      <c r="I30" s="92" t="str">
        <f t="shared" si="10"/>
        <v>-</v>
      </c>
      <c r="J30" s="92" t="str">
        <f t="shared" si="11"/>
        <v>-</v>
      </c>
      <c r="K30" s="93">
        <f t="shared" si="12"/>
        <v>0</v>
      </c>
      <c r="L30" s="93"/>
      <c r="M30" s="94">
        <f t="shared" si="13"/>
        <v>0</v>
      </c>
      <c r="N30" s="94">
        <f t="shared" si="14"/>
        <v>0</v>
      </c>
      <c r="O30" s="95"/>
      <c r="P30" s="18"/>
      <c r="Q30" s="18"/>
      <c r="R30" s="18"/>
      <c r="S30" s="18"/>
    </row>
    <row r="31" spans="1:19" s="16" customFormat="1">
      <c r="A31" s="140">
        <v>8761</v>
      </c>
      <c r="B31" s="140" t="s">
        <v>39</v>
      </c>
      <c r="C31" s="140" t="s">
        <v>39</v>
      </c>
      <c r="D31" s="143" t="s">
        <v>6</v>
      </c>
      <c r="E31" s="144">
        <v>43171.362060185187</v>
      </c>
      <c r="F31" s="89">
        <f t="shared" si="7"/>
        <v>43171.362060185187</v>
      </c>
      <c r="G31" s="90" t="str">
        <f t="shared" si="8"/>
        <v>8:41</v>
      </c>
      <c r="H31" s="91">
        <f t="shared" si="9"/>
        <v>9.6499999999999986</v>
      </c>
      <c r="I31" s="92">
        <f t="shared" si="10"/>
        <v>8</v>
      </c>
      <c r="J31" s="92" t="str">
        <f t="shared" si="11"/>
        <v>-</v>
      </c>
      <c r="K31" s="93">
        <f t="shared" si="12"/>
        <v>0</v>
      </c>
      <c r="L31" s="93"/>
      <c r="M31" s="94">
        <f t="shared" si="13"/>
        <v>0</v>
      </c>
      <c r="N31" s="94">
        <f t="shared" si="14"/>
        <v>0</v>
      </c>
      <c r="O31" s="95"/>
      <c r="P31" s="137"/>
      <c r="Q31" s="137"/>
      <c r="R31" s="137"/>
      <c r="S31" s="137"/>
    </row>
    <row r="32" spans="1:19" s="16" customFormat="1">
      <c r="A32" s="140">
        <v>8774</v>
      </c>
      <c r="B32" s="140" t="s">
        <v>39</v>
      </c>
      <c r="C32" s="140" t="s">
        <v>39</v>
      </c>
      <c r="D32" s="143" t="s">
        <v>5</v>
      </c>
      <c r="E32" s="144">
        <v>43171.764328703706</v>
      </c>
      <c r="F32" s="89">
        <f t="shared" si="7"/>
        <v>43171.764328703706</v>
      </c>
      <c r="G32" s="90" t="str">
        <f t="shared" si="8"/>
        <v>18:20</v>
      </c>
      <c r="H32" s="91" t="str">
        <f t="shared" si="9"/>
        <v>-</v>
      </c>
      <c r="I32" s="92" t="str">
        <f t="shared" si="10"/>
        <v>-</v>
      </c>
      <c r="J32" s="92" t="str">
        <f t="shared" si="11"/>
        <v>-</v>
      </c>
      <c r="K32" s="93">
        <f t="shared" si="12"/>
        <v>0</v>
      </c>
      <c r="L32" s="93"/>
      <c r="M32" s="94">
        <f t="shared" si="13"/>
        <v>0</v>
      </c>
      <c r="N32" s="94">
        <f t="shared" si="14"/>
        <v>0</v>
      </c>
      <c r="O32" s="95"/>
      <c r="P32" s="137"/>
      <c r="Q32" s="137"/>
      <c r="R32" s="137"/>
      <c r="S32" s="137"/>
    </row>
    <row r="33" spans="1:21" s="16" customFormat="1">
      <c r="A33" s="140">
        <v>8783</v>
      </c>
      <c r="B33" s="140" t="s">
        <v>39</v>
      </c>
      <c r="C33" s="140" t="s">
        <v>39</v>
      </c>
      <c r="D33" s="143" t="s">
        <v>7</v>
      </c>
      <c r="E33" s="144">
        <v>43171.771365740744</v>
      </c>
      <c r="F33" s="89">
        <f t="shared" si="7"/>
        <v>43171.771365740744</v>
      </c>
      <c r="G33" s="90" t="str">
        <f t="shared" si="8"/>
        <v>18:30</v>
      </c>
      <c r="H33" s="91" t="str">
        <f t="shared" si="9"/>
        <v>-</v>
      </c>
      <c r="I33" s="92" t="str">
        <f t="shared" si="10"/>
        <v>-</v>
      </c>
      <c r="J33" s="92" t="str">
        <f t="shared" si="11"/>
        <v>-</v>
      </c>
      <c r="K33" s="93">
        <f t="shared" si="12"/>
        <v>0.31666666666666554</v>
      </c>
      <c r="L33" s="93"/>
      <c r="N33" s="94">
        <f>IF(K33&gt;2,2,K33)</f>
        <v>0.31666666666666554</v>
      </c>
      <c r="O33" s="95"/>
      <c r="P33" s="137"/>
      <c r="Q33" s="137"/>
      <c r="R33" s="137"/>
      <c r="S33" s="137"/>
    </row>
    <row r="34" spans="1:21" s="16" customFormat="1">
      <c r="A34" s="140">
        <v>8786</v>
      </c>
      <c r="B34" s="140" t="s">
        <v>39</v>
      </c>
      <c r="C34" s="140" t="s">
        <v>39</v>
      </c>
      <c r="D34" s="143" t="s">
        <v>8</v>
      </c>
      <c r="E34" s="144">
        <v>43171.784398148149</v>
      </c>
      <c r="F34" s="89">
        <f t="shared" si="7"/>
        <v>43171.784398148149</v>
      </c>
      <c r="G34" s="90" t="str">
        <f t="shared" si="8"/>
        <v>18:49</v>
      </c>
      <c r="H34" s="91" t="str">
        <f t="shared" si="9"/>
        <v>-</v>
      </c>
      <c r="I34" s="92" t="str">
        <f t="shared" si="10"/>
        <v>-</v>
      </c>
      <c r="J34" s="92" t="str">
        <f t="shared" si="11"/>
        <v>-</v>
      </c>
      <c r="K34" s="93">
        <f t="shared" si="12"/>
        <v>0</v>
      </c>
      <c r="L34" s="93"/>
      <c r="M34" s="94">
        <f t="shared" si="13"/>
        <v>0</v>
      </c>
      <c r="N34" s="94">
        <f t="shared" si="14"/>
        <v>0</v>
      </c>
      <c r="O34" s="95"/>
      <c r="P34" s="137"/>
      <c r="Q34" s="137"/>
      <c r="R34" s="137"/>
      <c r="S34" s="137"/>
    </row>
    <row r="35" spans="1:21" s="402" customFormat="1">
      <c r="A35" s="140">
        <v>8790</v>
      </c>
      <c r="B35" s="140" t="s">
        <v>39</v>
      </c>
      <c r="C35" s="140" t="s">
        <v>39</v>
      </c>
      <c r="D35" s="143" t="s">
        <v>7</v>
      </c>
      <c r="E35" s="144">
        <v>43171.798576388886</v>
      </c>
      <c r="F35" s="89">
        <f t="shared" si="7"/>
        <v>43171.798576388886</v>
      </c>
      <c r="G35" s="90" t="str">
        <f t="shared" si="8"/>
        <v>19:9</v>
      </c>
      <c r="H35" s="91" t="str">
        <f t="shared" si="9"/>
        <v>-</v>
      </c>
      <c r="I35" s="92" t="str">
        <f t="shared" si="10"/>
        <v>-</v>
      </c>
      <c r="J35" s="92" t="str">
        <f t="shared" si="11"/>
        <v>-</v>
      </c>
      <c r="K35" s="93">
        <f t="shared" si="12"/>
        <v>2.5166666666666684</v>
      </c>
      <c r="L35" s="93"/>
      <c r="M35" s="94">
        <f t="shared" si="13"/>
        <v>2</v>
      </c>
      <c r="N35" s="94">
        <f t="shared" si="14"/>
        <v>0.51666666666666838</v>
      </c>
      <c r="O35" s="95"/>
    </row>
    <row r="36" spans="1:21" s="402" customFormat="1">
      <c r="A36" s="140">
        <v>8793</v>
      </c>
      <c r="B36" s="140" t="s">
        <v>39</v>
      </c>
      <c r="C36" s="140" t="s">
        <v>39</v>
      </c>
      <c r="D36" s="143" t="s">
        <v>8</v>
      </c>
      <c r="E36" s="144">
        <v>43171.902939814812</v>
      </c>
      <c r="F36" s="89">
        <f t="shared" si="7"/>
        <v>43171.902939814812</v>
      </c>
      <c r="G36" s="90" t="str">
        <f t="shared" si="8"/>
        <v>21:40</v>
      </c>
      <c r="H36" s="91" t="str">
        <f t="shared" si="9"/>
        <v>-</v>
      </c>
      <c r="I36" s="92" t="str">
        <f t="shared" si="10"/>
        <v>-</v>
      </c>
      <c r="J36" s="92" t="str">
        <f t="shared" si="11"/>
        <v>-</v>
      </c>
      <c r="K36" s="93">
        <f t="shared" si="12"/>
        <v>0</v>
      </c>
      <c r="L36" s="93"/>
      <c r="M36" s="94">
        <f t="shared" si="13"/>
        <v>0</v>
      </c>
      <c r="N36" s="94">
        <f t="shared" si="14"/>
        <v>0</v>
      </c>
      <c r="O36" s="95"/>
    </row>
    <row r="37" spans="1:21" s="63" customFormat="1">
      <c r="A37" s="140">
        <v>8802</v>
      </c>
      <c r="B37" s="140" t="s">
        <v>39</v>
      </c>
      <c r="C37" s="140" t="s">
        <v>39</v>
      </c>
      <c r="D37" s="143" t="s">
        <v>6</v>
      </c>
      <c r="E37" s="144">
        <v>43172.362141203703</v>
      </c>
      <c r="F37" s="89">
        <f t="shared" si="7"/>
        <v>43172.362141203703</v>
      </c>
      <c r="G37" s="90" t="str">
        <f t="shared" si="8"/>
        <v>8:41</v>
      </c>
      <c r="H37" s="91">
        <f t="shared" si="9"/>
        <v>9.8666666666666671</v>
      </c>
      <c r="I37" s="92">
        <f t="shared" si="10"/>
        <v>8</v>
      </c>
      <c r="J37" s="92" t="str">
        <f t="shared" si="11"/>
        <v>-</v>
      </c>
      <c r="K37" s="93">
        <f t="shared" si="12"/>
        <v>0</v>
      </c>
      <c r="L37" s="93"/>
      <c r="M37" s="94">
        <f t="shared" si="13"/>
        <v>0</v>
      </c>
      <c r="N37" s="94">
        <f t="shared" si="14"/>
        <v>0</v>
      </c>
      <c r="O37" s="95"/>
      <c r="P37" s="18"/>
      <c r="Q37" s="18"/>
      <c r="R37" s="18"/>
      <c r="S37" s="18"/>
    </row>
    <row r="38" spans="1:21" s="63" customFormat="1">
      <c r="A38" s="140">
        <v>8818</v>
      </c>
      <c r="B38" s="140" t="s">
        <v>39</v>
      </c>
      <c r="C38" s="140" t="s">
        <v>39</v>
      </c>
      <c r="D38" s="143" t="s">
        <v>5</v>
      </c>
      <c r="E38" s="144">
        <v>43172.7731712963</v>
      </c>
      <c r="F38" s="89">
        <f t="shared" si="7"/>
        <v>43172.7731712963</v>
      </c>
      <c r="G38" s="90" t="str">
        <f t="shared" si="8"/>
        <v>18:33</v>
      </c>
      <c r="H38" s="91" t="str">
        <f t="shared" si="9"/>
        <v>-</v>
      </c>
      <c r="I38" s="92" t="str">
        <f t="shared" si="10"/>
        <v>-</v>
      </c>
      <c r="J38" s="92" t="str">
        <f t="shared" si="11"/>
        <v>-</v>
      </c>
      <c r="K38" s="93">
        <f t="shared" si="12"/>
        <v>0</v>
      </c>
      <c r="L38" s="93"/>
      <c r="M38" s="94">
        <f t="shared" si="13"/>
        <v>0</v>
      </c>
      <c r="N38" s="94">
        <f t="shared" si="14"/>
        <v>0</v>
      </c>
      <c r="O38" s="95"/>
      <c r="P38" s="18"/>
      <c r="Q38" s="18"/>
      <c r="R38" s="18"/>
      <c r="S38" s="18"/>
    </row>
    <row r="39" spans="1:21" s="63" customFormat="1">
      <c r="A39" s="140">
        <v>8819</v>
      </c>
      <c r="B39" s="140" t="s">
        <v>39</v>
      </c>
      <c r="C39" s="140" t="s">
        <v>39</v>
      </c>
      <c r="D39" s="143" t="s">
        <v>7</v>
      </c>
      <c r="E39" s="144">
        <v>43172.773217592592</v>
      </c>
      <c r="F39" s="89">
        <f t="shared" si="7"/>
        <v>43172.773217592592</v>
      </c>
      <c r="G39" s="90" t="str">
        <f t="shared" si="8"/>
        <v>18:33</v>
      </c>
      <c r="H39" s="91" t="str">
        <f t="shared" si="9"/>
        <v>-</v>
      </c>
      <c r="I39" s="92" t="str">
        <f t="shared" si="10"/>
        <v>-</v>
      </c>
      <c r="J39" s="92" t="str">
        <f t="shared" si="11"/>
        <v>-</v>
      </c>
      <c r="K39" s="93">
        <f t="shared" si="12"/>
        <v>1.9166666666666652</v>
      </c>
      <c r="L39" s="93"/>
      <c r="M39" s="94">
        <f t="shared" si="13"/>
        <v>1.9166666666666652</v>
      </c>
      <c r="N39" s="94">
        <f t="shared" si="14"/>
        <v>0</v>
      </c>
      <c r="O39" s="95"/>
      <c r="P39" s="18"/>
      <c r="Q39" s="18"/>
      <c r="R39" s="18"/>
      <c r="S39" s="18"/>
    </row>
    <row r="40" spans="1:21" s="63" customFormat="1">
      <c r="A40" s="140">
        <v>8829</v>
      </c>
      <c r="B40" s="140" t="s">
        <v>39</v>
      </c>
      <c r="C40" s="140" t="s">
        <v>39</v>
      </c>
      <c r="D40" s="143" t="s">
        <v>8</v>
      </c>
      <c r="E40" s="144">
        <v>43172.852893518517</v>
      </c>
      <c r="F40" s="89">
        <f t="shared" si="7"/>
        <v>43172.852893518517</v>
      </c>
      <c r="G40" s="90" t="str">
        <f t="shared" si="8"/>
        <v>20:28</v>
      </c>
      <c r="H40" s="91" t="str">
        <f t="shared" si="9"/>
        <v>-</v>
      </c>
      <c r="I40" s="92" t="str">
        <f t="shared" si="10"/>
        <v>-</v>
      </c>
      <c r="J40" s="92" t="str">
        <f t="shared" si="11"/>
        <v>-</v>
      </c>
      <c r="K40" s="93">
        <f t="shared" si="12"/>
        <v>0</v>
      </c>
      <c r="L40" s="93"/>
      <c r="M40" s="94">
        <f t="shared" si="13"/>
        <v>0</v>
      </c>
      <c r="N40" s="94">
        <f t="shared" si="14"/>
        <v>0</v>
      </c>
      <c r="O40" s="95"/>
      <c r="P40" s="18" t="s">
        <v>20</v>
      </c>
      <c r="Q40" s="18"/>
      <c r="R40" s="18"/>
      <c r="S40" s="18"/>
    </row>
    <row r="41" spans="1:21" s="63" customFormat="1">
      <c r="A41" s="140">
        <v>8841</v>
      </c>
      <c r="B41" s="140" t="s">
        <v>39</v>
      </c>
      <c r="C41" s="140" t="s">
        <v>39</v>
      </c>
      <c r="D41" s="143" t="s">
        <v>6</v>
      </c>
      <c r="E41" s="144">
        <v>43173.36787037037</v>
      </c>
      <c r="F41" s="89">
        <f t="shared" si="7"/>
        <v>43173.36787037037</v>
      </c>
      <c r="G41" s="90" t="str">
        <f t="shared" si="8"/>
        <v>8:49</v>
      </c>
      <c r="H41" s="91">
        <f t="shared" si="9"/>
        <v>9.6499999999999986</v>
      </c>
      <c r="I41" s="92">
        <f t="shared" si="10"/>
        <v>8</v>
      </c>
      <c r="J41" s="92" t="str">
        <f t="shared" si="11"/>
        <v>-</v>
      </c>
      <c r="K41" s="93">
        <f t="shared" si="12"/>
        <v>0</v>
      </c>
      <c r="L41" s="93"/>
      <c r="M41" s="94">
        <f t="shared" si="13"/>
        <v>0</v>
      </c>
      <c r="N41" s="94">
        <f t="shared" si="14"/>
        <v>0</v>
      </c>
      <c r="O41" s="95"/>
      <c r="P41" s="18"/>
      <c r="Q41" s="18"/>
      <c r="R41" s="18"/>
      <c r="S41" s="18"/>
    </row>
    <row r="42" spans="1:21">
      <c r="A42" s="140">
        <v>8851</v>
      </c>
      <c r="B42" s="140" t="s">
        <v>39</v>
      </c>
      <c r="C42" s="140" t="s">
        <v>39</v>
      </c>
      <c r="D42" s="143" t="s">
        <v>5</v>
      </c>
      <c r="E42" s="144">
        <v>43173.770127314812</v>
      </c>
      <c r="F42" s="89">
        <f t="shared" si="7"/>
        <v>43173.770127314812</v>
      </c>
      <c r="G42" s="90" t="str">
        <f t="shared" si="8"/>
        <v>18:28</v>
      </c>
      <c r="H42" s="91" t="str">
        <f t="shared" si="9"/>
        <v>-</v>
      </c>
      <c r="I42" s="92" t="str">
        <f t="shared" si="10"/>
        <v>-</v>
      </c>
      <c r="J42" s="92" t="str">
        <f t="shared" si="11"/>
        <v>-</v>
      </c>
      <c r="K42" s="93">
        <f t="shared" si="12"/>
        <v>0</v>
      </c>
      <c r="L42" s="93"/>
      <c r="M42" s="94">
        <f t="shared" si="13"/>
        <v>0</v>
      </c>
      <c r="N42" s="94">
        <f t="shared" si="14"/>
        <v>0</v>
      </c>
      <c r="O42" s="95"/>
    </row>
    <row r="43" spans="1:21">
      <c r="A43" s="140">
        <v>8857</v>
      </c>
      <c r="B43" s="140" t="s">
        <v>39</v>
      </c>
      <c r="C43" s="140" t="s">
        <v>39</v>
      </c>
      <c r="D43" s="143" t="s">
        <v>7</v>
      </c>
      <c r="E43" s="144">
        <v>43173.772361111114</v>
      </c>
      <c r="F43" s="89">
        <f t="shared" si="7"/>
        <v>43173.772361111114</v>
      </c>
      <c r="G43" s="90" t="str">
        <f t="shared" si="8"/>
        <v>18:32</v>
      </c>
      <c r="H43" s="91" t="str">
        <f t="shared" si="9"/>
        <v>-</v>
      </c>
      <c r="I43" s="92" t="str">
        <f t="shared" si="10"/>
        <v>-</v>
      </c>
      <c r="J43" s="92" t="str">
        <f t="shared" si="11"/>
        <v>-</v>
      </c>
      <c r="K43" s="93">
        <f t="shared" si="12"/>
        <v>1.8333333333333321</v>
      </c>
      <c r="L43" s="93"/>
      <c r="M43" s="94">
        <f t="shared" si="13"/>
        <v>1.8333333333333321</v>
      </c>
      <c r="N43" s="94">
        <f t="shared" si="14"/>
        <v>0</v>
      </c>
      <c r="O43" s="95"/>
    </row>
    <row r="44" spans="1:21">
      <c r="A44" s="140">
        <v>8862</v>
      </c>
      <c r="B44" s="140" t="s">
        <v>39</v>
      </c>
      <c r="C44" s="140" t="s">
        <v>39</v>
      </c>
      <c r="D44" s="143" t="s">
        <v>8</v>
      </c>
      <c r="E44" s="144">
        <v>43173.849074074074</v>
      </c>
      <c r="F44" s="89">
        <f t="shared" si="7"/>
        <v>43173.849074074074</v>
      </c>
      <c r="G44" s="90" t="str">
        <f t="shared" si="8"/>
        <v>20:22</v>
      </c>
      <c r="H44" s="91" t="str">
        <f t="shared" si="9"/>
        <v>-</v>
      </c>
      <c r="I44" s="92" t="str">
        <f t="shared" si="10"/>
        <v>-</v>
      </c>
      <c r="J44" s="92" t="str">
        <f t="shared" si="11"/>
        <v>-</v>
      </c>
      <c r="K44" s="93">
        <f t="shared" si="12"/>
        <v>0</v>
      </c>
      <c r="L44" s="93"/>
      <c r="M44" s="94">
        <f t="shared" si="13"/>
        <v>0</v>
      </c>
      <c r="N44" s="94">
        <f t="shared" si="14"/>
        <v>0</v>
      </c>
      <c r="O44" s="95"/>
    </row>
    <row r="45" spans="1:21" s="63" customFormat="1">
      <c r="A45" s="140">
        <v>8875</v>
      </c>
      <c r="B45" s="140" t="s">
        <v>94</v>
      </c>
      <c r="C45" s="140" t="s">
        <v>39</v>
      </c>
      <c r="D45" s="143" t="s">
        <v>6</v>
      </c>
      <c r="E45" s="144">
        <v>43174.363333333335</v>
      </c>
      <c r="F45" s="89">
        <f t="shared" si="7"/>
        <v>43174.363333333335</v>
      </c>
      <c r="G45" s="90" t="str">
        <f t="shared" si="8"/>
        <v>8:43</v>
      </c>
      <c r="H45" s="91">
        <f t="shared" si="9"/>
        <v>9.6333333333333346</v>
      </c>
      <c r="I45" s="92">
        <f t="shared" si="10"/>
        <v>8</v>
      </c>
      <c r="J45" s="92" t="str">
        <f t="shared" si="11"/>
        <v>-</v>
      </c>
      <c r="K45" s="93">
        <f t="shared" si="12"/>
        <v>0</v>
      </c>
      <c r="L45" s="93"/>
      <c r="M45" s="94">
        <f t="shared" si="13"/>
        <v>0</v>
      </c>
      <c r="N45" s="94">
        <f t="shared" si="14"/>
        <v>0</v>
      </c>
      <c r="O45" s="95"/>
      <c r="P45" s="18"/>
      <c r="Q45" s="18"/>
      <c r="R45" s="18"/>
      <c r="S45" s="18"/>
    </row>
    <row r="46" spans="1:21" s="63" customFormat="1">
      <c r="A46" s="140">
        <v>8883</v>
      </c>
      <c r="B46" s="140" t="s">
        <v>39</v>
      </c>
      <c r="C46" s="140" t="s">
        <v>39</v>
      </c>
      <c r="D46" s="143" t="s">
        <v>5</v>
      </c>
      <c r="E46" s="144">
        <v>43174.76489583333</v>
      </c>
      <c r="F46" s="89">
        <f t="shared" si="7"/>
        <v>43174.76489583333</v>
      </c>
      <c r="G46" s="90" t="str">
        <f t="shared" si="8"/>
        <v>18:21</v>
      </c>
      <c r="H46" s="91" t="str">
        <f t="shared" si="9"/>
        <v>-</v>
      </c>
      <c r="I46" s="92" t="str">
        <f t="shared" si="10"/>
        <v>-</v>
      </c>
      <c r="J46" s="92" t="str">
        <f t="shared" si="11"/>
        <v>-</v>
      </c>
      <c r="K46" s="93">
        <f t="shared" si="12"/>
        <v>0</v>
      </c>
      <c r="L46" s="93"/>
      <c r="M46" s="94">
        <f t="shared" si="13"/>
        <v>0</v>
      </c>
      <c r="N46" s="94">
        <f t="shared" si="14"/>
        <v>0</v>
      </c>
      <c r="O46" s="95"/>
      <c r="P46" s="18"/>
      <c r="Q46" s="18"/>
      <c r="R46" s="18"/>
      <c r="S46" s="18"/>
    </row>
    <row r="47" spans="1:21" s="18" customFormat="1">
      <c r="A47" s="140">
        <v>8893</v>
      </c>
      <c r="B47" s="140" t="s">
        <v>39</v>
      </c>
      <c r="C47" s="140" t="s">
        <v>39</v>
      </c>
      <c r="D47" s="143" t="s">
        <v>7</v>
      </c>
      <c r="E47" s="144">
        <v>43174.77238425926</v>
      </c>
      <c r="F47" s="89">
        <f t="shared" si="7"/>
        <v>43174.77238425926</v>
      </c>
      <c r="G47" s="90" t="str">
        <f t="shared" si="8"/>
        <v>18:32</v>
      </c>
      <c r="H47" s="91" t="str">
        <f t="shared" si="9"/>
        <v>-</v>
      </c>
      <c r="I47" s="92" t="str">
        <f t="shared" si="10"/>
        <v>-</v>
      </c>
      <c r="J47" s="92" t="str">
        <f t="shared" si="11"/>
        <v>-</v>
      </c>
      <c r="K47" s="93">
        <f t="shared" si="12"/>
        <v>2.1500000000000004</v>
      </c>
      <c r="L47" s="93"/>
      <c r="M47" s="94">
        <f t="shared" si="13"/>
        <v>2</v>
      </c>
      <c r="N47" s="94">
        <f t="shared" si="14"/>
        <v>0.15000000000000036</v>
      </c>
      <c r="O47" s="95"/>
      <c r="T47" s="63"/>
      <c r="U47" s="63"/>
    </row>
    <row r="48" spans="1:21" s="9" customFormat="1">
      <c r="A48" s="140">
        <v>8901</v>
      </c>
      <c r="B48" s="140" t="s">
        <v>39</v>
      </c>
      <c r="C48" s="140" t="s">
        <v>39</v>
      </c>
      <c r="D48" s="143" t="s">
        <v>8</v>
      </c>
      <c r="E48" s="144">
        <v>43174.86209490741</v>
      </c>
      <c r="F48" s="89">
        <f t="shared" si="7"/>
        <v>43174.86209490741</v>
      </c>
      <c r="G48" s="90" t="str">
        <f t="shared" si="8"/>
        <v>20:41</v>
      </c>
      <c r="H48" s="91" t="str">
        <f t="shared" si="9"/>
        <v>-</v>
      </c>
      <c r="I48" s="92" t="str">
        <f t="shared" si="10"/>
        <v>-</v>
      </c>
      <c r="J48" s="92" t="str">
        <f t="shared" si="11"/>
        <v>-</v>
      </c>
      <c r="K48" s="93">
        <f t="shared" si="12"/>
        <v>0</v>
      </c>
      <c r="L48" s="93"/>
      <c r="M48" s="94">
        <f t="shared" si="13"/>
        <v>0</v>
      </c>
      <c r="N48" s="94">
        <f t="shared" si="14"/>
        <v>0</v>
      </c>
      <c r="O48" s="95"/>
      <c r="T48"/>
      <c r="U48"/>
    </row>
    <row r="49" spans="1:21" s="9" customFormat="1">
      <c r="A49" s="140">
        <v>8907</v>
      </c>
      <c r="B49" s="140" t="s">
        <v>39</v>
      </c>
      <c r="C49" s="140" t="s">
        <v>39</v>
      </c>
      <c r="D49" s="143" t="s">
        <v>6</v>
      </c>
      <c r="E49" s="144">
        <v>43175.361458333333</v>
      </c>
      <c r="F49" s="89">
        <f t="shared" si="7"/>
        <v>43175.361458333333</v>
      </c>
      <c r="G49" s="90" t="str">
        <f t="shared" si="8"/>
        <v>8:40</v>
      </c>
      <c r="H49" s="91">
        <f t="shared" si="9"/>
        <v>9.9166666666666643</v>
      </c>
      <c r="I49" s="92">
        <f t="shared" si="10"/>
        <v>8</v>
      </c>
      <c r="J49" s="92" t="str">
        <f t="shared" si="11"/>
        <v>-</v>
      </c>
      <c r="K49" s="93">
        <f t="shared" si="12"/>
        <v>0</v>
      </c>
      <c r="L49" s="93"/>
      <c r="M49" s="94">
        <f t="shared" si="13"/>
        <v>0</v>
      </c>
      <c r="N49" s="94">
        <f t="shared" si="14"/>
        <v>0</v>
      </c>
      <c r="O49" s="95"/>
      <c r="T49"/>
      <c r="U49"/>
    </row>
    <row r="50" spans="1:21" s="9" customFormat="1">
      <c r="A50" s="140">
        <v>8927</v>
      </c>
      <c r="B50" s="140" t="s">
        <v>39</v>
      </c>
      <c r="C50" s="140" t="s">
        <v>39</v>
      </c>
      <c r="D50" s="143" t="s">
        <v>5</v>
      </c>
      <c r="E50" s="144">
        <v>43175.774444444447</v>
      </c>
      <c r="F50" s="89">
        <f t="shared" si="7"/>
        <v>43175.774444444447</v>
      </c>
      <c r="G50" s="90" t="str">
        <f t="shared" si="8"/>
        <v>18:35</v>
      </c>
      <c r="H50" s="91" t="str">
        <f t="shared" si="9"/>
        <v>-</v>
      </c>
      <c r="I50" s="92" t="str">
        <f t="shared" si="10"/>
        <v>-</v>
      </c>
      <c r="J50" s="92" t="str">
        <f t="shared" si="11"/>
        <v>-</v>
      </c>
      <c r="K50" s="93">
        <f t="shared" si="12"/>
        <v>0</v>
      </c>
      <c r="L50" s="93"/>
      <c r="M50" s="94">
        <f t="shared" si="13"/>
        <v>0</v>
      </c>
      <c r="N50" s="94">
        <f t="shared" si="14"/>
        <v>0</v>
      </c>
      <c r="O50" s="95"/>
      <c r="T50"/>
      <c r="U50"/>
    </row>
    <row r="51" spans="1:21" s="18" customFormat="1">
      <c r="A51" s="140">
        <v>8928</v>
      </c>
      <c r="B51" s="140" t="s">
        <v>39</v>
      </c>
      <c r="C51" s="140" t="s">
        <v>39</v>
      </c>
      <c r="D51" s="143" t="s">
        <v>7</v>
      </c>
      <c r="E51" s="144">
        <v>43175.77447916667</v>
      </c>
      <c r="F51" s="89">
        <f t="shared" si="7"/>
        <v>43175.77447916667</v>
      </c>
      <c r="G51" s="90" t="str">
        <f t="shared" si="8"/>
        <v>18:35</v>
      </c>
      <c r="H51" s="91" t="str">
        <f t="shared" si="9"/>
        <v>-</v>
      </c>
      <c r="I51" s="92" t="str">
        <f t="shared" si="10"/>
        <v>-</v>
      </c>
      <c r="J51" s="92" t="str">
        <f t="shared" si="11"/>
        <v>-</v>
      </c>
      <c r="K51" s="93">
        <f t="shared" si="12"/>
        <v>0.56666666666666732</v>
      </c>
      <c r="L51" s="93"/>
      <c r="M51" s="94">
        <f t="shared" si="13"/>
        <v>0.56666666666666732</v>
      </c>
      <c r="N51" s="94">
        <f t="shared" si="14"/>
        <v>0</v>
      </c>
      <c r="O51" s="95"/>
      <c r="T51" s="63"/>
      <c r="U51" s="63"/>
    </row>
    <row r="52" spans="1:21" s="9" customFormat="1">
      <c r="A52" s="140">
        <v>8933</v>
      </c>
      <c r="B52" s="140" t="s">
        <v>39</v>
      </c>
      <c r="C52" s="140" t="s">
        <v>39</v>
      </c>
      <c r="D52" s="143" t="s">
        <v>8</v>
      </c>
      <c r="E52" s="144">
        <v>43175.798368055555</v>
      </c>
      <c r="F52" s="89">
        <f t="shared" si="7"/>
        <v>43175.798368055555</v>
      </c>
      <c r="G52" s="90" t="str">
        <f t="shared" si="8"/>
        <v>19:9</v>
      </c>
      <c r="H52" s="91" t="str">
        <f t="shared" si="9"/>
        <v>-</v>
      </c>
      <c r="I52" s="92" t="str">
        <f t="shared" si="10"/>
        <v>-</v>
      </c>
      <c r="J52" s="92" t="str">
        <f t="shared" si="11"/>
        <v>-</v>
      </c>
      <c r="K52" s="93">
        <f t="shared" si="12"/>
        <v>0</v>
      </c>
      <c r="L52" s="93"/>
      <c r="M52" s="94">
        <f t="shared" si="13"/>
        <v>0</v>
      </c>
      <c r="N52" s="94">
        <f t="shared" si="14"/>
        <v>0</v>
      </c>
      <c r="O52" s="95"/>
      <c r="T52"/>
      <c r="U52"/>
    </row>
    <row r="53" spans="1:21" s="63" customFormat="1">
      <c r="A53" s="140">
        <v>8946</v>
      </c>
      <c r="B53" s="140" t="s">
        <v>101</v>
      </c>
      <c r="C53" s="140" t="s">
        <v>39</v>
      </c>
      <c r="D53" s="143" t="s">
        <v>7</v>
      </c>
      <c r="E53" s="144">
        <v>43176.441747685189</v>
      </c>
      <c r="F53" s="89">
        <f t="shared" si="7"/>
        <v>43176.441747685189</v>
      </c>
      <c r="G53" s="90" t="str">
        <f t="shared" si="8"/>
        <v>10:36</v>
      </c>
      <c r="H53" s="91" t="str">
        <f t="shared" si="9"/>
        <v>-</v>
      </c>
      <c r="I53" s="92" t="str">
        <f t="shared" si="10"/>
        <v>-</v>
      </c>
      <c r="J53" s="92" t="str">
        <f t="shared" si="11"/>
        <v>-</v>
      </c>
      <c r="K53" s="93">
        <f t="shared" si="12"/>
        <v>1.5499999999999998</v>
      </c>
      <c r="L53" s="93"/>
      <c r="N53" s="94">
        <f>IF(K53&gt;2,2,K53)</f>
        <v>1.5499999999999998</v>
      </c>
      <c r="O53" s="95"/>
      <c r="P53" s="18"/>
      <c r="Q53" s="18"/>
      <c r="R53" s="18"/>
      <c r="S53" s="18"/>
    </row>
    <row r="54" spans="1:21">
      <c r="A54" s="140">
        <v>8953</v>
      </c>
      <c r="B54" s="140" t="s">
        <v>39</v>
      </c>
      <c r="C54" s="140" t="s">
        <v>39</v>
      </c>
      <c r="D54" s="143" t="s">
        <v>8</v>
      </c>
      <c r="E54" s="144">
        <v>43176.506793981483</v>
      </c>
      <c r="F54" s="89">
        <f t="shared" si="7"/>
        <v>43176.506793981483</v>
      </c>
      <c r="G54" s="90" t="str">
        <f t="shared" si="8"/>
        <v>12:9</v>
      </c>
      <c r="H54" s="91" t="str">
        <f t="shared" si="9"/>
        <v>-</v>
      </c>
      <c r="I54" s="92" t="str">
        <f t="shared" si="10"/>
        <v>-</v>
      </c>
      <c r="J54" s="92" t="str">
        <f t="shared" si="11"/>
        <v>-</v>
      </c>
      <c r="K54" s="93">
        <f t="shared" si="12"/>
        <v>0</v>
      </c>
      <c r="L54" s="93"/>
      <c r="M54" s="94">
        <f t="shared" si="13"/>
        <v>0</v>
      </c>
      <c r="N54" s="94">
        <f t="shared" si="14"/>
        <v>0</v>
      </c>
      <c r="O54" s="95"/>
    </row>
    <row r="55" spans="1:21">
      <c r="A55" s="140">
        <v>8954</v>
      </c>
      <c r="B55" s="140" t="s">
        <v>39</v>
      </c>
      <c r="C55" s="140" t="s">
        <v>39</v>
      </c>
      <c r="D55" s="143" t="s">
        <v>7</v>
      </c>
      <c r="E55" s="144">
        <v>43176.562071759261</v>
      </c>
      <c r="F55" s="89">
        <f t="shared" si="7"/>
        <v>43176.562071759261</v>
      </c>
      <c r="G55" s="90" t="str">
        <f t="shared" si="8"/>
        <v>13:29</v>
      </c>
      <c r="H55" s="91" t="str">
        <f t="shared" si="9"/>
        <v>-</v>
      </c>
      <c r="I55" s="92" t="str">
        <f t="shared" si="10"/>
        <v>-</v>
      </c>
      <c r="J55" s="92" t="str">
        <f t="shared" si="11"/>
        <v>-</v>
      </c>
      <c r="K55" s="93">
        <f t="shared" si="12"/>
        <v>3.2833333333333323</v>
      </c>
      <c r="L55" s="93"/>
      <c r="M55" s="94">
        <f t="shared" si="13"/>
        <v>2</v>
      </c>
      <c r="N55" s="94">
        <f t="shared" si="14"/>
        <v>1.2833333333333323</v>
      </c>
      <c r="O55" s="95"/>
    </row>
    <row r="56" spans="1:21" s="2" customFormat="1">
      <c r="A56" s="140">
        <v>8966</v>
      </c>
      <c r="B56" s="140" t="s">
        <v>39</v>
      </c>
      <c r="C56" s="140" t="s">
        <v>39</v>
      </c>
      <c r="D56" s="143" t="s">
        <v>8</v>
      </c>
      <c r="E56" s="144">
        <v>43176.699236111112</v>
      </c>
      <c r="F56" s="89">
        <f t="shared" si="7"/>
        <v>43176.699236111112</v>
      </c>
      <c r="G56" s="90" t="str">
        <f t="shared" si="8"/>
        <v>16:46</v>
      </c>
      <c r="H56" s="91" t="str">
        <f t="shared" si="9"/>
        <v>-</v>
      </c>
      <c r="I56" s="92" t="str">
        <f t="shared" si="10"/>
        <v>-</v>
      </c>
      <c r="J56" s="92" t="str">
        <f t="shared" si="11"/>
        <v>-</v>
      </c>
      <c r="K56" s="93">
        <f t="shared" si="12"/>
        <v>0</v>
      </c>
      <c r="L56" s="93"/>
      <c r="M56" s="94">
        <f t="shared" si="13"/>
        <v>0</v>
      </c>
      <c r="N56" s="94">
        <f t="shared" si="14"/>
        <v>0</v>
      </c>
      <c r="O56" s="95"/>
      <c r="P56" s="8"/>
      <c r="Q56" s="8"/>
      <c r="R56" s="8"/>
      <c r="S56" s="8"/>
    </row>
    <row r="57" spans="1:21" s="63" customFormat="1">
      <c r="A57" s="140">
        <v>8976</v>
      </c>
      <c r="B57" s="140" t="s">
        <v>39</v>
      </c>
      <c r="C57" s="140" t="s">
        <v>39</v>
      </c>
      <c r="D57" s="143" t="s">
        <v>6</v>
      </c>
      <c r="E57" s="144">
        <v>43178.366608796299</v>
      </c>
      <c r="F57" s="89">
        <f t="shared" si="7"/>
        <v>43178.366608796299</v>
      </c>
      <c r="G57" s="90" t="str">
        <f t="shared" si="8"/>
        <v>8:47</v>
      </c>
      <c r="H57" s="91">
        <f t="shared" si="9"/>
        <v>9.5833333333333357</v>
      </c>
      <c r="I57" s="92">
        <f t="shared" si="10"/>
        <v>8</v>
      </c>
      <c r="J57" s="92" t="str">
        <f t="shared" si="11"/>
        <v>-</v>
      </c>
      <c r="K57" s="93">
        <f t="shared" si="12"/>
        <v>0</v>
      </c>
      <c r="L57" s="93"/>
      <c r="M57" s="94">
        <f t="shared" si="13"/>
        <v>0</v>
      </c>
      <c r="N57" s="94">
        <f t="shared" si="14"/>
        <v>0</v>
      </c>
      <c r="O57" s="95"/>
      <c r="P57" s="18"/>
      <c r="Q57" s="18"/>
      <c r="R57" s="18"/>
      <c r="S57" s="18"/>
    </row>
    <row r="58" spans="1:21" s="63" customFormat="1">
      <c r="A58" s="140">
        <v>8984</v>
      </c>
      <c r="B58" s="140" t="s">
        <v>39</v>
      </c>
      <c r="C58" s="140" t="s">
        <v>39</v>
      </c>
      <c r="D58" s="143" t="s">
        <v>5</v>
      </c>
      <c r="E58" s="144">
        <v>43178.765694444446</v>
      </c>
      <c r="F58" s="89">
        <f t="shared" si="7"/>
        <v>43178.765694444446</v>
      </c>
      <c r="G58" s="90" t="str">
        <f t="shared" si="8"/>
        <v>18:22</v>
      </c>
      <c r="H58" s="91" t="str">
        <f t="shared" si="9"/>
        <v>-</v>
      </c>
      <c r="I58" s="92" t="str">
        <f t="shared" si="10"/>
        <v>-</v>
      </c>
      <c r="J58" s="92" t="str">
        <f t="shared" si="11"/>
        <v>-</v>
      </c>
      <c r="K58" s="93">
        <f t="shared" si="12"/>
        <v>0</v>
      </c>
      <c r="L58" s="93"/>
      <c r="M58" s="94">
        <f t="shared" si="13"/>
        <v>0</v>
      </c>
      <c r="N58" s="94">
        <f t="shared" si="14"/>
        <v>0</v>
      </c>
      <c r="O58" s="95"/>
      <c r="P58" s="18"/>
      <c r="Q58" s="18"/>
      <c r="R58" s="18"/>
      <c r="S58" s="18"/>
    </row>
    <row r="59" spans="1:21">
      <c r="A59" s="140">
        <v>8996</v>
      </c>
      <c r="B59" s="140" t="s">
        <v>39</v>
      </c>
      <c r="C59" s="140" t="s">
        <v>39</v>
      </c>
      <c r="D59" s="143" t="s">
        <v>7</v>
      </c>
      <c r="E59" s="144">
        <v>43178.792685185188</v>
      </c>
      <c r="F59" s="89">
        <f t="shared" si="7"/>
        <v>43178.792685185188</v>
      </c>
      <c r="G59" s="90" t="str">
        <f t="shared" si="8"/>
        <v>19:1</v>
      </c>
      <c r="H59" s="91" t="str">
        <f t="shared" si="9"/>
        <v>-</v>
      </c>
      <c r="I59" s="92" t="str">
        <f t="shared" si="10"/>
        <v>-</v>
      </c>
      <c r="J59" s="92" t="str">
        <f t="shared" si="11"/>
        <v>-</v>
      </c>
      <c r="K59" s="93">
        <f t="shared" si="12"/>
        <v>1.5333333333333359</v>
      </c>
      <c r="L59" s="93"/>
      <c r="M59" s="94">
        <f t="shared" si="13"/>
        <v>1.5333333333333359</v>
      </c>
      <c r="N59" s="94">
        <f t="shared" si="14"/>
        <v>0</v>
      </c>
      <c r="O59" s="95"/>
    </row>
    <row r="60" spans="1:21">
      <c r="A60" s="140">
        <v>9000</v>
      </c>
      <c r="B60" s="140" t="s">
        <v>39</v>
      </c>
      <c r="C60" s="140" t="s">
        <v>39</v>
      </c>
      <c r="D60" s="143" t="s">
        <v>8</v>
      </c>
      <c r="E60" s="144">
        <v>43178.856608796297</v>
      </c>
      <c r="F60" s="89">
        <f t="shared" si="7"/>
        <v>43178.856608796297</v>
      </c>
      <c r="G60" s="90" t="str">
        <f t="shared" si="8"/>
        <v>20:33</v>
      </c>
      <c r="H60" s="91" t="str">
        <f t="shared" si="9"/>
        <v>-</v>
      </c>
      <c r="I60" s="92" t="str">
        <f t="shared" si="10"/>
        <v>-</v>
      </c>
      <c r="J60" s="92" t="str">
        <f t="shared" si="11"/>
        <v>-</v>
      </c>
      <c r="K60" s="93">
        <f t="shared" si="12"/>
        <v>0</v>
      </c>
      <c r="L60" s="93"/>
      <c r="M60" s="94">
        <f t="shared" si="13"/>
        <v>0</v>
      </c>
      <c r="N60" s="94">
        <f t="shared" si="14"/>
        <v>0</v>
      </c>
      <c r="O60" s="95"/>
    </row>
    <row r="61" spans="1:21">
      <c r="A61" s="140">
        <v>9011</v>
      </c>
      <c r="B61" s="140" t="s">
        <v>39</v>
      </c>
      <c r="C61" s="140" t="s">
        <v>39</v>
      </c>
      <c r="D61" s="143" t="s">
        <v>6</v>
      </c>
      <c r="E61" s="144">
        <v>43179.364502314813</v>
      </c>
      <c r="F61" s="89">
        <f t="shared" si="7"/>
        <v>43179.364502314813</v>
      </c>
      <c r="G61" s="90" t="str">
        <f t="shared" si="8"/>
        <v>8:44</v>
      </c>
      <c r="H61" s="91">
        <f t="shared" si="9"/>
        <v>9.7000000000000011</v>
      </c>
      <c r="I61" s="92">
        <f t="shared" si="10"/>
        <v>8</v>
      </c>
      <c r="J61" s="92" t="str">
        <f t="shared" si="11"/>
        <v>-</v>
      </c>
      <c r="K61" s="93">
        <f t="shared" si="12"/>
        <v>0</v>
      </c>
      <c r="L61" s="93"/>
      <c r="M61" s="94">
        <f t="shared" si="13"/>
        <v>0</v>
      </c>
      <c r="N61" s="94">
        <f t="shared" si="14"/>
        <v>0</v>
      </c>
      <c r="O61" s="95"/>
    </row>
    <row r="62" spans="1:21">
      <c r="A62" s="140">
        <v>9024</v>
      </c>
      <c r="B62" s="140" t="s">
        <v>39</v>
      </c>
      <c r="C62" s="140" t="s">
        <v>39</v>
      </c>
      <c r="D62" s="143" t="s">
        <v>5</v>
      </c>
      <c r="E62" s="144">
        <v>43179.768495370372</v>
      </c>
      <c r="F62" s="89">
        <f t="shared" si="7"/>
        <v>43179.768495370372</v>
      </c>
      <c r="G62" s="90" t="str">
        <f t="shared" si="8"/>
        <v>18:26</v>
      </c>
      <c r="H62" s="91" t="str">
        <f t="shared" si="9"/>
        <v>-</v>
      </c>
      <c r="I62" s="92" t="str">
        <f t="shared" si="10"/>
        <v>-</v>
      </c>
      <c r="J62" s="92" t="str">
        <f t="shared" si="11"/>
        <v>-</v>
      </c>
      <c r="K62" s="93">
        <f t="shared" si="12"/>
        <v>0</v>
      </c>
      <c r="L62" s="93"/>
      <c r="M62" s="94">
        <f t="shared" si="13"/>
        <v>0</v>
      </c>
      <c r="N62" s="94">
        <f t="shared" si="14"/>
        <v>0</v>
      </c>
      <c r="O62" s="95"/>
    </row>
    <row r="63" spans="1:21" s="63" customFormat="1">
      <c r="A63" s="140">
        <v>9050</v>
      </c>
      <c r="B63" s="140" t="s">
        <v>39</v>
      </c>
      <c r="C63" s="140" t="s">
        <v>39</v>
      </c>
      <c r="D63" s="143" t="s">
        <v>6</v>
      </c>
      <c r="E63" s="144">
        <v>43180.368634259263</v>
      </c>
      <c r="F63" s="89">
        <f t="shared" si="7"/>
        <v>43180.368634259263</v>
      </c>
      <c r="G63" s="90" t="str">
        <f t="shared" si="8"/>
        <v>8:50</v>
      </c>
      <c r="H63" s="91">
        <f t="shared" si="9"/>
        <v>9.6333333333333311</v>
      </c>
      <c r="I63" s="92">
        <f t="shared" si="10"/>
        <v>8</v>
      </c>
      <c r="J63" s="92" t="str">
        <f t="shared" si="11"/>
        <v>-</v>
      </c>
      <c r="K63" s="93">
        <f t="shared" si="12"/>
        <v>0</v>
      </c>
      <c r="L63" s="93"/>
      <c r="M63" s="94">
        <f t="shared" si="13"/>
        <v>0</v>
      </c>
      <c r="N63" s="94">
        <f t="shared" si="14"/>
        <v>0</v>
      </c>
      <c r="O63" s="95"/>
      <c r="P63" s="18"/>
      <c r="Q63" s="18"/>
      <c r="R63" s="18"/>
      <c r="S63" s="18"/>
    </row>
    <row r="64" spans="1:21" s="63" customFormat="1">
      <c r="A64" s="140">
        <v>9058</v>
      </c>
      <c r="B64" s="140" t="s">
        <v>39</v>
      </c>
      <c r="C64" s="140" t="s">
        <v>39</v>
      </c>
      <c r="D64" s="143" t="s">
        <v>5</v>
      </c>
      <c r="E64" s="144">
        <v>43180.769606481481</v>
      </c>
      <c r="F64" s="89">
        <f t="shared" si="7"/>
        <v>43180.769606481481</v>
      </c>
      <c r="G64" s="90" t="str">
        <f t="shared" si="8"/>
        <v>18:28</v>
      </c>
      <c r="H64" s="91" t="str">
        <f t="shared" si="9"/>
        <v>-</v>
      </c>
      <c r="I64" s="92" t="str">
        <f t="shared" si="10"/>
        <v>-</v>
      </c>
      <c r="J64" s="92" t="str">
        <f t="shared" si="11"/>
        <v>-</v>
      </c>
      <c r="K64" s="93">
        <f t="shared" si="12"/>
        <v>0</v>
      </c>
      <c r="L64" s="93"/>
      <c r="M64" s="94">
        <f t="shared" si="13"/>
        <v>0</v>
      </c>
      <c r="N64" s="94">
        <f t="shared" si="14"/>
        <v>0</v>
      </c>
      <c r="O64" s="95"/>
      <c r="P64" s="18"/>
      <c r="Q64" s="18"/>
      <c r="R64" s="18"/>
      <c r="S64" s="18"/>
    </row>
    <row r="65" spans="1:19">
      <c r="A65" s="140">
        <v>9060</v>
      </c>
      <c r="B65" s="140" t="s">
        <v>39</v>
      </c>
      <c r="C65" s="140" t="s">
        <v>39</v>
      </c>
      <c r="D65" s="143" t="s">
        <v>7</v>
      </c>
      <c r="E65" s="144">
        <v>43180.770833333336</v>
      </c>
      <c r="F65" s="89">
        <f t="shared" si="7"/>
        <v>43180.770833333336</v>
      </c>
      <c r="G65" s="90" t="str">
        <f t="shared" si="8"/>
        <v>18:30</v>
      </c>
      <c r="H65" s="91" t="str">
        <f t="shared" si="9"/>
        <v>-</v>
      </c>
      <c r="I65" s="92" t="str">
        <f t="shared" si="10"/>
        <v>-</v>
      </c>
      <c r="J65" s="92" t="str">
        <f t="shared" si="11"/>
        <v>-</v>
      </c>
      <c r="K65" s="93">
        <f t="shared" si="12"/>
        <v>0.26666666666666572</v>
      </c>
      <c r="L65" s="93"/>
      <c r="M65" s="94">
        <f t="shared" si="13"/>
        <v>0.26666666666666572</v>
      </c>
      <c r="N65" s="94">
        <f t="shared" si="14"/>
        <v>0</v>
      </c>
      <c r="O65" s="95"/>
    </row>
    <row r="66" spans="1:19">
      <c r="A66" s="140">
        <v>9070</v>
      </c>
      <c r="B66" s="140" t="s">
        <v>39</v>
      </c>
      <c r="C66" s="140" t="s">
        <v>39</v>
      </c>
      <c r="D66" s="143" t="s">
        <v>8</v>
      </c>
      <c r="E66" s="144">
        <v>43180.782523148147</v>
      </c>
      <c r="F66" s="89">
        <f t="shared" si="7"/>
        <v>43180.782523148147</v>
      </c>
      <c r="G66" s="90" t="str">
        <f t="shared" si="8"/>
        <v>18:46</v>
      </c>
      <c r="H66" s="91" t="str">
        <f t="shared" si="9"/>
        <v>-</v>
      </c>
      <c r="I66" s="92" t="str">
        <f t="shared" si="10"/>
        <v>-</v>
      </c>
      <c r="J66" s="92" t="str">
        <f t="shared" si="11"/>
        <v>-</v>
      </c>
      <c r="K66" s="93">
        <f t="shared" si="12"/>
        <v>0</v>
      </c>
      <c r="L66" s="93"/>
      <c r="M66" s="94">
        <f t="shared" si="13"/>
        <v>0</v>
      </c>
      <c r="N66" s="94">
        <f t="shared" si="14"/>
        <v>0</v>
      </c>
      <c r="O66" s="95"/>
    </row>
    <row r="67" spans="1:19">
      <c r="A67" s="140">
        <v>9086</v>
      </c>
      <c r="B67" s="140" t="s">
        <v>39</v>
      </c>
      <c r="C67" s="140" t="s">
        <v>39</v>
      </c>
      <c r="D67" s="143" t="s">
        <v>6</v>
      </c>
      <c r="E67" s="144">
        <v>43181.36613425926</v>
      </c>
      <c r="F67" s="89">
        <f t="shared" si="7"/>
        <v>43181.36613425926</v>
      </c>
      <c r="G67" s="90" t="str">
        <f t="shared" si="8"/>
        <v>8:47</v>
      </c>
      <c r="H67" s="91">
        <f t="shared" si="9"/>
        <v>9.5166666666666693</v>
      </c>
      <c r="I67" s="92">
        <f t="shared" si="10"/>
        <v>8</v>
      </c>
      <c r="J67" s="92" t="str">
        <f t="shared" si="11"/>
        <v>-</v>
      </c>
      <c r="K67" s="93">
        <f t="shared" si="12"/>
        <v>0</v>
      </c>
      <c r="L67" s="93"/>
      <c r="M67" s="94">
        <f t="shared" si="13"/>
        <v>0</v>
      </c>
      <c r="N67" s="94">
        <f t="shared" si="14"/>
        <v>0</v>
      </c>
      <c r="O67" s="95"/>
    </row>
    <row r="68" spans="1:19">
      <c r="A68" s="140">
        <v>9093</v>
      </c>
      <c r="B68" s="140" t="s">
        <v>39</v>
      </c>
      <c r="C68" s="140" t="s">
        <v>39</v>
      </c>
      <c r="D68" s="143" t="s">
        <v>5</v>
      </c>
      <c r="E68" s="144">
        <v>43181.762696759259</v>
      </c>
      <c r="F68" s="89">
        <f t="shared" si="7"/>
        <v>43181.762696759259</v>
      </c>
      <c r="G68" s="90" t="str">
        <f t="shared" si="8"/>
        <v>18:18</v>
      </c>
      <c r="H68" s="91" t="str">
        <f t="shared" si="9"/>
        <v>-</v>
      </c>
      <c r="I68" s="92" t="str">
        <f t="shared" si="10"/>
        <v>-</v>
      </c>
      <c r="J68" s="92" t="str">
        <f t="shared" si="11"/>
        <v>-</v>
      </c>
      <c r="K68" s="93">
        <f t="shared" si="12"/>
        <v>0</v>
      </c>
      <c r="L68" s="93"/>
      <c r="M68" s="94">
        <f t="shared" si="13"/>
        <v>0</v>
      </c>
      <c r="N68" s="94">
        <f t="shared" si="14"/>
        <v>0</v>
      </c>
      <c r="O68" s="95"/>
    </row>
    <row r="69" spans="1:19">
      <c r="A69">
        <v>9106</v>
      </c>
      <c r="B69" t="s">
        <v>39</v>
      </c>
      <c r="C69" t="s">
        <v>39</v>
      </c>
      <c r="D69" s="143" t="s">
        <v>7</v>
      </c>
      <c r="E69" s="144">
        <v>43181.798495370371</v>
      </c>
      <c r="F69" s="89">
        <f t="shared" si="7"/>
        <v>43181.798495370371</v>
      </c>
      <c r="G69" s="90" t="str">
        <f t="shared" si="8"/>
        <v>19:9</v>
      </c>
      <c r="H69" s="91" t="str">
        <f t="shared" si="9"/>
        <v>-</v>
      </c>
      <c r="I69" s="92" t="str">
        <f t="shared" si="10"/>
        <v>-</v>
      </c>
      <c r="J69" s="92" t="str">
        <f t="shared" si="11"/>
        <v>-</v>
      </c>
      <c r="K69" s="93">
        <f t="shared" si="12"/>
        <v>3.1166666666666663</v>
      </c>
      <c r="L69" s="93"/>
      <c r="M69" s="94">
        <f t="shared" si="13"/>
        <v>2</v>
      </c>
      <c r="N69" s="94">
        <f t="shared" si="14"/>
        <v>1.1166666666666663</v>
      </c>
      <c r="O69" s="95"/>
      <c r="P69" s="22"/>
    </row>
    <row r="70" spans="1:19">
      <c r="A70">
        <v>9110</v>
      </c>
      <c r="B70" t="s">
        <v>39</v>
      </c>
      <c r="C70" t="s">
        <v>39</v>
      </c>
      <c r="D70" s="143" t="s">
        <v>8</v>
      </c>
      <c r="E70" s="144">
        <v>43181.927824074075</v>
      </c>
      <c r="F70" s="89">
        <f t="shared" si="7"/>
        <v>43181.927824074075</v>
      </c>
      <c r="G70" s="90" t="str">
        <f t="shared" si="8"/>
        <v>22:16</v>
      </c>
      <c r="H70" s="91" t="str">
        <f t="shared" si="9"/>
        <v>-</v>
      </c>
      <c r="I70" s="92" t="str">
        <f t="shared" si="10"/>
        <v>-</v>
      </c>
      <c r="J70" s="92" t="str">
        <f t="shared" si="11"/>
        <v>-</v>
      </c>
      <c r="K70" s="93">
        <f t="shared" si="12"/>
        <v>0</v>
      </c>
      <c r="L70" s="93"/>
      <c r="M70" s="94">
        <f t="shared" si="13"/>
        <v>0</v>
      </c>
      <c r="N70" s="94">
        <f t="shared" si="14"/>
        <v>0</v>
      </c>
      <c r="O70" s="95"/>
      <c r="P70" s="22"/>
    </row>
    <row r="71" spans="1:19">
      <c r="A71" s="406">
        <v>9124</v>
      </c>
      <c r="B71" s="406" t="s">
        <v>39</v>
      </c>
      <c r="C71" s="406" t="s">
        <v>39</v>
      </c>
      <c r="D71" s="424" t="s">
        <v>109</v>
      </c>
      <c r="E71" s="146">
        <v>43182.354826388888</v>
      </c>
      <c r="F71" s="89">
        <f t="shared" si="7"/>
        <v>43182.354826388888</v>
      </c>
      <c r="G71" s="90" t="str">
        <f t="shared" si="8"/>
        <v>8:30</v>
      </c>
      <c r="H71" s="91">
        <f t="shared" si="9"/>
        <v>9.8000000000000007</v>
      </c>
      <c r="I71" s="92">
        <f t="shared" si="10"/>
        <v>8</v>
      </c>
      <c r="J71" s="92" t="str">
        <f t="shared" si="11"/>
        <v>-</v>
      </c>
      <c r="K71" s="93">
        <f t="shared" si="12"/>
        <v>0</v>
      </c>
      <c r="L71" s="93"/>
      <c r="M71" s="94">
        <f t="shared" si="13"/>
        <v>0</v>
      </c>
      <c r="N71" s="94">
        <f t="shared" si="14"/>
        <v>0</v>
      </c>
      <c r="O71" s="95"/>
      <c r="P71" s="22"/>
    </row>
    <row r="72" spans="1:19">
      <c r="A72">
        <v>9128</v>
      </c>
      <c r="B72" t="s">
        <v>39</v>
      </c>
      <c r="C72" t="s">
        <v>39</v>
      </c>
      <c r="D72" s="143" t="s">
        <v>5</v>
      </c>
      <c r="E72" s="144">
        <v>43182.763171296298</v>
      </c>
      <c r="F72" s="89">
        <f t="shared" ref="F72:F88" si="15">E72</f>
        <v>43182.763171296298</v>
      </c>
      <c r="G72" s="90" t="str">
        <f t="shared" ref="G72:G88" si="16">HOUR(E72)&amp;":"&amp;MINUTE(E72)</f>
        <v>18:18</v>
      </c>
      <c r="H72" s="91" t="str">
        <f t="shared" ref="H72:H88" si="17">IF(D72="上班",(G73-G72)*24,"-")</f>
        <v>-</v>
      </c>
      <c r="I72" s="92" t="str">
        <f t="shared" ref="I72:I88" si="18">IF(D72="上班",IF(H72-1.5&gt;8,8,H72-1.5),"-")</f>
        <v>-</v>
      </c>
      <c r="J72" s="92" t="str">
        <f t="shared" ref="J72:J88" si="19">IF(I72&lt;8,8-I72,"-")</f>
        <v>-</v>
      </c>
      <c r="K72" s="93">
        <f t="shared" ref="K72:K88" si="20">IF(D72="加班",(G73-G72)*24,0)</f>
        <v>0</v>
      </c>
      <c r="L72" s="93"/>
      <c r="M72" s="94">
        <f t="shared" ref="M72:M88" si="21">IF(K72&gt;2,2,K72)</f>
        <v>0</v>
      </c>
      <c r="N72" s="94">
        <f t="shared" ref="N72:N88" si="22">IF(K72&gt;2,K72-2,0)</f>
        <v>0</v>
      </c>
      <c r="O72" s="95"/>
      <c r="P72" s="22"/>
    </row>
    <row r="73" spans="1:19" s="63" customFormat="1">
      <c r="A73" s="63">
        <v>9192</v>
      </c>
      <c r="B73" s="63" t="s">
        <v>39</v>
      </c>
      <c r="C73" s="63" t="s">
        <v>39</v>
      </c>
      <c r="D73" s="181" t="s">
        <v>6</v>
      </c>
      <c r="E73" s="180">
        <v>43185.354756944442</v>
      </c>
      <c r="F73" s="135">
        <f t="shared" si="15"/>
        <v>43185.354756944442</v>
      </c>
      <c r="G73" s="67" t="str">
        <f t="shared" si="16"/>
        <v>8:30</v>
      </c>
      <c r="H73" s="64">
        <f t="shared" si="17"/>
        <v>9.5</v>
      </c>
      <c r="J73" s="66">
        <f>IF(D73="上班",IF(H73-1.5&gt;8,8,H73-1.5),"-")</f>
        <v>8</v>
      </c>
      <c r="K73" s="68">
        <f t="shared" si="20"/>
        <v>0</v>
      </c>
      <c r="L73" s="68"/>
      <c r="M73" s="65">
        <f t="shared" si="21"/>
        <v>0</v>
      </c>
      <c r="N73" s="65">
        <f t="shared" si="22"/>
        <v>0</v>
      </c>
      <c r="O73" s="147" t="s">
        <v>111</v>
      </c>
      <c r="P73" s="169"/>
      <c r="Q73" s="18"/>
      <c r="R73" s="18"/>
      <c r="S73" s="18"/>
    </row>
    <row r="74" spans="1:19" s="63" customFormat="1">
      <c r="A74" s="63">
        <v>9211</v>
      </c>
      <c r="B74" s="63" t="s">
        <v>39</v>
      </c>
      <c r="C74" s="63" t="s">
        <v>39</v>
      </c>
      <c r="D74" s="181" t="s">
        <v>5</v>
      </c>
      <c r="E74" s="180">
        <v>43185.75</v>
      </c>
      <c r="F74" s="135">
        <f t="shared" si="15"/>
        <v>43185.75</v>
      </c>
      <c r="G74" s="67" t="str">
        <f t="shared" si="16"/>
        <v>18:0</v>
      </c>
      <c r="H74" s="64" t="str">
        <f t="shared" si="17"/>
        <v>-</v>
      </c>
      <c r="J74" s="66" t="str">
        <f>IF(D74="上班",IF(H74-1.5&gt;8,8,H74-1.5),"-")</f>
        <v>-</v>
      </c>
      <c r="K74" s="68">
        <f t="shared" si="20"/>
        <v>0</v>
      </c>
      <c r="L74" s="68"/>
      <c r="M74" s="65">
        <f t="shared" si="21"/>
        <v>0</v>
      </c>
      <c r="N74" s="65">
        <f t="shared" si="22"/>
        <v>0</v>
      </c>
      <c r="O74" s="147"/>
      <c r="P74" s="169"/>
      <c r="Q74" s="18"/>
      <c r="R74" s="18"/>
      <c r="S74" s="18"/>
    </row>
    <row r="75" spans="1:19" s="63" customFormat="1">
      <c r="A75" s="63">
        <v>9192</v>
      </c>
      <c r="B75" s="63" t="s">
        <v>39</v>
      </c>
      <c r="C75" s="63" t="s">
        <v>39</v>
      </c>
      <c r="D75" s="181" t="s">
        <v>6</v>
      </c>
      <c r="E75" s="180">
        <v>43186.354756944442</v>
      </c>
      <c r="F75" s="135">
        <f t="shared" si="15"/>
        <v>43186.354756944442</v>
      </c>
      <c r="G75" s="67" t="str">
        <f t="shared" si="16"/>
        <v>8:30</v>
      </c>
      <c r="H75" s="64">
        <f t="shared" si="17"/>
        <v>9.5</v>
      </c>
      <c r="J75" s="66">
        <f>IF(D75="上班",IF(H75-1.5&gt;8,8,H75-1.5),"-")</f>
        <v>8</v>
      </c>
      <c r="K75" s="68">
        <f t="shared" si="20"/>
        <v>0</v>
      </c>
      <c r="L75" s="68"/>
      <c r="M75" s="65">
        <f t="shared" si="21"/>
        <v>0</v>
      </c>
      <c r="N75" s="65">
        <f t="shared" si="22"/>
        <v>0</v>
      </c>
      <c r="O75" s="147" t="s">
        <v>110</v>
      </c>
      <c r="P75" s="169"/>
      <c r="Q75" s="18"/>
      <c r="R75" s="18"/>
      <c r="S75" s="18"/>
    </row>
    <row r="76" spans="1:19" s="63" customFormat="1">
      <c r="A76" s="63">
        <v>9211</v>
      </c>
      <c r="B76" s="63" t="s">
        <v>39</v>
      </c>
      <c r="C76" s="63" t="s">
        <v>39</v>
      </c>
      <c r="D76" s="181" t="s">
        <v>5</v>
      </c>
      <c r="E76" s="180">
        <v>43186.75</v>
      </c>
      <c r="F76" s="135">
        <f t="shared" si="15"/>
        <v>43186.75</v>
      </c>
      <c r="G76" s="67" t="str">
        <f t="shared" si="16"/>
        <v>18:0</v>
      </c>
      <c r="H76" s="64" t="str">
        <f t="shared" si="17"/>
        <v>-</v>
      </c>
      <c r="J76" s="66" t="str">
        <f>IF(D76="上班",IF(H76-1.5&gt;8,8,H76-1.5),"-")</f>
        <v>-</v>
      </c>
      <c r="K76" s="68">
        <f t="shared" si="20"/>
        <v>0</v>
      </c>
      <c r="L76" s="68"/>
      <c r="M76" s="65">
        <f t="shared" si="21"/>
        <v>0</v>
      </c>
      <c r="N76" s="65">
        <f t="shared" si="22"/>
        <v>0</v>
      </c>
      <c r="O76" s="147"/>
      <c r="P76" s="169"/>
      <c r="Q76" s="18"/>
      <c r="R76" s="18"/>
      <c r="S76" s="18"/>
    </row>
    <row r="77" spans="1:19">
      <c r="A77">
        <v>9192</v>
      </c>
      <c r="B77" t="s">
        <v>39</v>
      </c>
      <c r="C77" t="s">
        <v>39</v>
      </c>
      <c r="D77" s="143" t="s">
        <v>6</v>
      </c>
      <c r="E77" s="144">
        <v>43187.359618055554</v>
      </c>
      <c r="F77" s="89">
        <f t="shared" si="15"/>
        <v>43187.359618055554</v>
      </c>
      <c r="G77" s="90" t="str">
        <f t="shared" si="16"/>
        <v>8:37</v>
      </c>
      <c r="H77" s="91">
        <f t="shared" si="17"/>
        <v>9.8999999999999986</v>
      </c>
      <c r="I77" s="92">
        <f t="shared" si="18"/>
        <v>8</v>
      </c>
      <c r="J77" s="92" t="str">
        <f t="shared" si="19"/>
        <v>-</v>
      </c>
      <c r="K77" s="93">
        <f t="shared" si="20"/>
        <v>0</v>
      </c>
      <c r="L77" s="93"/>
      <c r="M77" s="94">
        <f t="shared" si="21"/>
        <v>0</v>
      </c>
      <c r="N77" s="94">
        <f t="shared" si="22"/>
        <v>0</v>
      </c>
      <c r="O77" s="95"/>
      <c r="P77" s="22"/>
    </row>
    <row r="78" spans="1:19">
      <c r="A78">
        <v>9211</v>
      </c>
      <c r="B78" t="s">
        <v>39</v>
      </c>
      <c r="C78" t="s">
        <v>39</v>
      </c>
      <c r="D78" s="143" t="s">
        <v>5</v>
      </c>
      <c r="E78" s="144">
        <v>43187.771527777775</v>
      </c>
      <c r="F78" s="89">
        <f t="shared" si="15"/>
        <v>43187.771527777775</v>
      </c>
      <c r="G78" s="90" t="str">
        <f t="shared" si="16"/>
        <v>18:31</v>
      </c>
      <c r="H78" s="91" t="str">
        <f t="shared" si="17"/>
        <v>-</v>
      </c>
      <c r="I78" s="92" t="str">
        <f t="shared" si="18"/>
        <v>-</v>
      </c>
      <c r="J78" s="92" t="str">
        <f t="shared" si="19"/>
        <v>-</v>
      </c>
      <c r="K78" s="93">
        <f t="shared" si="20"/>
        <v>0</v>
      </c>
      <c r="L78" s="93"/>
      <c r="M78" s="94">
        <f t="shared" si="21"/>
        <v>0</v>
      </c>
      <c r="N78" s="94">
        <f t="shared" si="22"/>
        <v>0</v>
      </c>
      <c r="O78" s="95"/>
      <c r="P78" s="22"/>
    </row>
    <row r="79" spans="1:19">
      <c r="A79">
        <v>9212</v>
      </c>
      <c r="B79" t="s">
        <v>39</v>
      </c>
      <c r="C79" t="s">
        <v>39</v>
      </c>
      <c r="D79" s="143" t="s">
        <v>7</v>
      </c>
      <c r="E79" s="144">
        <v>43187.771574074075</v>
      </c>
      <c r="F79" s="89">
        <f t="shared" si="15"/>
        <v>43187.771574074075</v>
      </c>
      <c r="G79" s="90" t="str">
        <f t="shared" si="16"/>
        <v>18:31</v>
      </c>
      <c r="H79" s="91" t="str">
        <f t="shared" si="17"/>
        <v>-</v>
      </c>
      <c r="I79" s="92" t="str">
        <f t="shared" si="18"/>
        <v>-</v>
      </c>
      <c r="J79" s="92" t="str">
        <f t="shared" si="19"/>
        <v>-</v>
      </c>
      <c r="K79" s="93">
        <f t="shared" si="20"/>
        <v>3</v>
      </c>
      <c r="L79" s="93"/>
      <c r="M79" s="94">
        <f t="shared" si="21"/>
        <v>2</v>
      </c>
      <c r="N79" s="94">
        <f t="shared" si="22"/>
        <v>1</v>
      </c>
      <c r="O79" s="95"/>
      <c r="P79" s="22"/>
    </row>
    <row r="80" spans="1:19">
      <c r="A80">
        <v>9223</v>
      </c>
      <c r="B80" t="s">
        <v>39</v>
      </c>
      <c r="C80" t="s">
        <v>39</v>
      </c>
      <c r="D80" s="143" t="s">
        <v>8</v>
      </c>
      <c r="E80" s="144">
        <v>43187.896979166668</v>
      </c>
      <c r="F80" s="89">
        <f t="shared" si="15"/>
        <v>43187.896979166668</v>
      </c>
      <c r="G80" s="90" t="str">
        <f t="shared" si="16"/>
        <v>21:31</v>
      </c>
      <c r="H80" s="91" t="str">
        <f t="shared" si="17"/>
        <v>-</v>
      </c>
      <c r="I80" s="92" t="str">
        <f t="shared" si="18"/>
        <v>-</v>
      </c>
      <c r="J80" s="92" t="str">
        <f t="shared" si="19"/>
        <v>-</v>
      </c>
      <c r="K80" s="93">
        <f t="shared" si="20"/>
        <v>0</v>
      </c>
      <c r="L80" s="93"/>
      <c r="M80" s="94">
        <f t="shared" si="21"/>
        <v>0</v>
      </c>
      <c r="N80" s="94">
        <f t="shared" si="22"/>
        <v>0</v>
      </c>
      <c r="O80" s="95"/>
      <c r="P80" s="22"/>
    </row>
    <row r="81" spans="1:16">
      <c r="A81">
        <v>9227</v>
      </c>
      <c r="B81" t="s">
        <v>39</v>
      </c>
      <c r="C81" t="s">
        <v>39</v>
      </c>
      <c r="D81" s="143" t="s">
        <v>6</v>
      </c>
      <c r="E81" s="144">
        <v>43188.357118055559</v>
      </c>
      <c r="F81" s="89">
        <f t="shared" si="15"/>
        <v>43188.357118055559</v>
      </c>
      <c r="G81" s="90" t="str">
        <f t="shared" si="16"/>
        <v>8:34</v>
      </c>
      <c r="H81" s="91">
        <f t="shared" si="17"/>
        <v>9.7499999999999982</v>
      </c>
      <c r="I81" s="92">
        <f t="shared" si="18"/>
        <v>8</v>
      </c>
      <c r="J81" s="92" t="str">
        <f t="shared" si="19"/>
        <v>-</v>
      </c>
      <c r="K81" s="93">
        <f t="shared" si="20"/>
        <v>0</v>
      </c>
      <c r="L81" s="93"/>
      <c r="M81" s="94">
        <f t="shared" si="21"/>
        <v>0</v>
      </c>
      <c r="N81" s="94">
        <f t="shared" si="22"/>
        <v>0</v>
      </c>
      <c r="O81" s="95"/>
      <c r="P81" s="22"/>
    </row>
    <row r="82" spans="1:16">
      <c r="A82">
        <v>9237</v>
      </c>
      <c r="B82" t="s">
        <v>39</v>
      </c>
      <c r="C82" t="s">
        <v>39</v>
      </c>
      <c r="D82" s="143" t="s">
        <v>5</v>
      </c>
      <c r="E82" s="144">
        <v>43188.763692129629</v>
      </c>
      <c r="F82" s="89">
        <f t="shared" si="15"/>
        <v>43188.763692129629</v>
      </c>
      <c r="G82" s="90" t="str">
        <f t="shared" si="16"/>
        <v>18:19</v>
      </c>
      <c r="H82" s="91" t="str">
        <f t="shared" si="17"/>
        <v>-</v>
      </c>
      <c r="I82" s="92" t="str">
        <f t="shared" si="18"/>
        <v>-</v>
      </c>
      <c r="J82" s="92" t="str">
        <f t="shared" si="19"/>
        <v>-</v>
      </c>
      <c r="K82" s="93">
        <f t="shared" si="20"/>
        <v>0</v>
      </c>
      <c r="L82" s="93"/>
      <c r="M82" s="94">
        <f t="shared" si="21"/>
        <v>0</v>
      </c>
      <c r="N82" s="94">
        <f t="shared" si="22"/>
        <v>0</v>
      </c>
      <c r="O82" s="95"/>
      <c r="P82" s="22"/>
    </row>
    <row r="83" spans="1:16">
      <c r="A83">
        <v>9241</v>
      </c>
      <c r="B83" t="s">
        <v>39</v>
      </c>
      <c r="C83" t="s">
        <v>39</v>
      </c>
      <c r="D83" s="143" t="s">
        <v>7</v>
      </c>
      <c r="E83" s="144">
        <v>43188.771134259259</v>
      </c>
      <c r="F83" s="89">
        <f t="shared" si="15"/>
        <v>43188.771134259259</v>
      </c>
      <c r="G83" s="90" t="str">
        <f t="shared" si="16"/>
        <v>18:30</v>
      </c>
      <c r="H83" s="91" t="str">
        <f t="shared" si="17"/>
        <v>-</v>
      </c>
      <c r="I83" s="92" t="str">
        <f t="shared" si="18"/>
        <v>-</v>
      </c>
      <c r="J83" s="92" t="str">
        <f t="shared" si="19"/>
        <v>-</v>
      </c>
      <c r="K83" s="93">
        <f t="shared" si="20"/>
        <v>0.96666666666666323</v>
      </c>
      <c r="L83" s="93"/>
      <c r="M83" s="94">
        <f t="shared" si="21"/>
        <v>0.96666666666666323</v>
      </c>
      <c r="N83" s="94">
        <f t="shared" si="22"/>
        <v>0</v>
      </c>
      <c r="O83" s="95"/>
      <c r="P83" s="22"/>
    </row>
    <row r="84" spans="1:16">
      <c r="A84">
        <v>9252</v>
      </c>
      <c r="B84" t="s">
        <v>39</v>
      </c>
      <c r="C84" t="s">
        <v>39</v>
      </c>
      <c r="D84" s="143" t="s">
        <v>8</v>
      </c>
      <c r="E84" s="144">
        <v>43188.811423611114</v>
      </c>
      <c r="F84" s="89">
        <f t="shared" si="15"/>
        <v>43188.811423611114</v>
      </c>
      <c r="G84" s="90" t="str">
        <f t="shared" si="16"/>
        <v>19:28</v>
      </c>
      <c r="H84" s="91" t="str">
        <f t="shared" si="17"/>
        <v>-</v>
      </c>
      <c r="I84" s="92" t="str">
        <f t="shared" si="18"/>
        <v>-</v>
      </c>
      <c r="J84" s="92" t="str">
        <f t="shared" si="19"/>
        <v>-</v>
      </c>
      <c r="K84" s="93">
        <f t="shared" si="20"/>
        <v>0</v>
      </c>
      <c r="L84" s="93"/>
      <c r="M84" s="94">
        <f t="shared" si="21"/>
        <v>0</v>
      </c>
      <c r="N84" s="94">
        <f t="shared" si="22"/>
        <v>0</v>
      </c>
      <c r="O84" s="95"/>
    </row>
    <row r="85" spans="1:16">
      <c r="A85">
        <v>9260</v>
      </c>
      <c r="B85" t="s">
        <v>39</v>
      </c>
      <c r="C85" t="s">
        <v>39</v>
      </c>
      <c r="D85" s="143" t="s">
        <v>6</v>
      </c>
      <c r="E85" s="144">
        <v>43189.360821759263</v>
      </c>
      <c r="F85" s="89">
        <f t="shared" si="15"/>
        <v>43189.360821759263</v>
      </c>
      <c r="G85" s="90" t="str">
        <f t="shared" si="16"/>
        <v>8:39</v>
      </c>
      <c r="H85" s="91">
        <f t="shared" si="17"/>
        <v>9.9166666666666679</v>
      </c>
      <c r="I85" s="92">
        <f t="shared" si="18"/>
        <v>8</v>
      </c>
      <c r="J85" s="92" t="str">
        <f t="shared" si="19"/>
        <v>-</v>
      </c>
      <c r="K85" s="93">
        <f t="shared" si="20"/>
        <v>0</v>
      </c>
      <c r="L85" s="93"/>
      <c r="M85" s="94">
        <f t="shared" si="21"/>
        <v>0</v>
      </c>
      <c r="N85" s="94">
        <f t="shared" si="22"/>
        <v>0</v>
      </c>
      <c r="O85" s="95"/>
    </row>
    <row r="86" spans="1:16">
      <c r="A86">
        <v>9274</v>
      </c>
      <c r="B86" t="s">
        <v>39</v>
      </c>
      <c r="C86" t="s">
        <v>39</v>
      </c>
      <c r="D86" s="143" t="s">
        <v>5</v>
      </c>
      <c r="E86" s="144">
        <v>43189.773657407408</v>
      </c>
      <c r="F86" s="89">
        <f t="shared" si="15"/>
        <v>43189.773657407408</v>
      </c>
      <c r="G86" s="90" t="str">
        <f t="shared" si="16"/>
        <v>18:34</v>
      </c>
      <c r="H86" s="91" t="str">
        <f t="shared" si="17"/>
        <v>-</v>
      </c>
      <c r="I86" s="92" t="str">
        <f t="shared" si="18"/>
        <v>-</v>
      </c>
      <c r="J86" s="92" t="str">
        <f t="shared" si="19"/>
        <v>-</v>
      </c>
      <c r="K86" s="93">
        <f t="shared" si="20"/>
        <v>0</v>
      </c>
      <c r="L86" s="93"/>
      <c r="M86" s="94">
        <f t="shared" si="21"/>
        <v>0</v>
      </c>
      <c r="N86" s="94">
        <f t="shared" si="22"/>
        <v>0</v>
      </c>
      <c r="O86" s="95"/>
    </row>
    <row r="87" spans="1:16">
      <c r="A87">
        <v>9286</v>
      </c>
      <c r="B87" t="s">
        <v>94</v>
      </c>
      <c r="C87" t="s">
        <v>39</v>
      </c>
      <c r="D87" s="143" t="s">
        <v>6</v>
      </c>
      <c r="E87" s="144">
        <v>43190.361967592595</v>
      </c>
      <c r="F87" s="89">
        <f t="shared" si="15"/>
        <v>43190.361967592595</v>
      </c>
      <c r="G87" s="90" t="str">
        <f t="shared" si="16"/>
        <v>8:41</v>
      </c>
      <c r="H87" s="91">
        <f t="shared" si="17"/>
        <v>9.6499999999999986</v>
      </c>
      <c r="I87" s="92">
        <f t="shared" si="18"/>
        <v>8</v>
      </c>
      <c r="J87" s="92" t="str">
        <f t="shared" si="19"/>
        <v>-</v>
      </c>
      <c r="K87" s="93">
        <f t="shared" si="20"/>
        <v>0</v>
      </c>
      <c r="L87" s="93"/>
      <c r="M87" s="94">
        <f t="shared" si="21"/>
        <v>0</v>
      </c>
      <c r="N87" s="94">
        <f t="shared" si="22"/>
        <v>0</v>
      </c>
      <c r="O87" s="95"/>
    </row>
    <row r="88" spans="1:16">
      <c r="A88">
        <v>9293</v>
      </c>
      <c r="B88" t="s">
        <v>39</v>
      </c>
      <c r="C88" t="s">
        <v>39</v>
      </c>
      <c r="D88" s="143" t="s">
        <v>5</v>
      </c>
      <c r="E88" s="144">
        <v>43190.764513888891</v>
      </c>
      <c r="F88" s="89">
        <f t="shared" si="15"/>
        <v>43190.764513888891</v>
      </c>
      <c r="G88" s="90" t="str">
        <f t="shared" si="16"/>
        <v>18:20</v>
      </c>
      <c r="H88" s="91" t="str">
        <f t="shared" si="17"/>
        <v>-</v>
      </c>
      <c r="I88" s="92" t="str">
        <f t="shared" si="18"/>
        <v>-</v>
      </c>
      <c r="J88" s="92" t="str">
        <f t="shared" si="19"/>
        <v>-</v>
      </c>
      <c r="K88" s="93">
        <f t="shared" si="20"/>
        <v>0</v>
      </c>
      <c r="L88" s="93"/>
      <c r="M88" s="94">
        <f t="shared" si="21"/>
        <v>0</v>
      </c>
      <c r="N88" s="94">
        <f t="shared" si="22"/>
        <v>0</v>
      </c>
      <c r="O88" s="95"/>
    </row>
    <row r="91" spans="1:16">
      <c r="D91" s="9" t="s">
        <v>37</v>
      </c>
    </row>
    <row r="92" spans="1:16">
      <c r="D92" s="9" t="s">
        <v>36</v>
      </c>
    </row>
    <row r="93" spans="1:16">
      <c r="D93" s="172" t="s">
        <v>64</v>
      </c>
    </row>
    <row r="94" spans="1:16">
      <c r="D94" t="s">
        <v>67</v>
      </c>
    </row>
    <row r="95" spans="1:16">
      <c r="D95" t="s">
        <v>65</v>
      </c>
    </row>
    <row r="96" spans="1:16">
      <c r="D96" t="s">
        <v>69</v>
      </c>
    </row>
    <row r="97" spans="4:4">
      <c r="D97" t="s">
        <v>70</v>
      </c>
    </row>
    <row r="98" spans="4:4">
      <c r="D98" t="s">
        <v>66</v>
      </c>
    </row>
    <row r="99" spans="4:4">
      <c r="D99" t="s">
        <v>68</v>
      </c>
    </row>
  </sheetData>
  <phoneticPr fontId="18" type="noConversion"/>
  <printOptions horizontalCentered="1"/>
  <pageMargins left="0.23622047244094491" right="0.23622047244094491" top="0.35433070866141736" bottom="0.35433070866141736" header="0.31496062992125984" footer="0.31496062992125984"/>
  <pageSetup paperSize="9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8">
    <pageSetUpPr fitToPage="1"/>
  </sheetPr>
  <dimension ref="A1:U111"/>
  <sheetViews>
    <sheetView workbookViewId="0"/>
  </sheetViews>
  <sheetFormatPr defaultColWidth="8.875"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" style="3"/>
    <col min="5" max="5" width="15.125" style="3" customWidth="1"/>
    <col min="6" max="6" width="6.125" style="16" customWidth="1"/>
    <col min="7" max="7" width="8.625" style="17" customWidth="1" outlineLevel="1"/>
    <col min="8" max="8" width="11.125" style="51" customWidth="1" outlineLevel="1"/>
    <col min="9" max="9" width="10.125" style="21" customWidth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9.125" style="22" customWidth="1"/>
    <col min="15" max="15" width="18.12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nick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184">
        <v>56</v>
      </c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7.25" thickBot="1">
      <c r="D3" s="24" t="s">
        <v>77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SUM(K7:K74)</f>
        <v>43.133333333333333</v>
      </c>
      <c r="L3" s="53">
        <f>J3</f>
        <v>0</v>
      </c>
      <c r="M3" s="53">
        <f>M6-J3</f>
        <v>37.1</v>
      </c>
      <c r="N3" s="53">
        <f>N6</f>
        <v>16.916666666666664</v>
      </c>
      <c r="O3" s="50"/>
    </row>
    <row r="4" spans="1:21">
      <c r="D4" s="134" t="s">
        <v>44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1">
      <c r="D5" s="87">
        <v>0</v>
      </c>
      <c r="E5" s="86">
        <v>0</v>
      </c>
      <c r="F5" s="86">
        <v>0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0.33760416666666665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SUM(I7:I150)</f>
        <v>184</v>
      </c>
      <c r="J6" s="78">
        <f t="shared" ref="J6:N6" si="0">SUM(J7:J150)</f>
        <v>0</v>
      </c>
      <c r="K6" s="78">
        <f t="shared" si="0"/>
        <v>54.100000000000009</v>
      </c>
      <c r="L6" s="78">
        <f t="shared" si="0"/>
        <v>0</v>
      </c>
      <c r="M6" s="78">
        <f t="shared" si="0"/>
        <v>37.1</v>
      </c>
      <c r="N6" s="78">
        <f t="shared" si="0"/>
        <v>16.916666666666664</v>
      </c>
      <c r="O6" s="45"/>
      <c r="Q6" s="47"/>
    </row>
    <row r="7" spans="1:21" s="2" customFormat="1">
      <c r="A7" s="140">
        <v>8491</v>
      </c>
      <c r="B7" s="140" t="s">
        <v>72</v>
      </c>
      <c r="C7" s="140" t="s">
        <v>72</v>
      </c>
      <c r="D7" s="143" t="s">
        <v>6</v>
      </c>
      <c r="E7" s="144">
        <v>43160.362291666665</v>
      </c>
      <c r="F7" s="89">
        <f t="shared" ref="F7" si="1">E7</f>
        <v>43160.362291666665</v>
      </c>
      <c r="G7" s="90" t="str">
        <f t="shared" ref="G7" si="2">HOUR(E7)&amp;":"&amp;MINUTE(E7)</f>
        <v>8:41</v>
      </c>
      <c r="H7" s="91">
        <f t="shared" ref="H7" si="3">IF(D7="上班",(G8-G7)*24,"-")</f>
        <v>10.15</v>
      </c>
      <c r="I7" s="92">
        <f t="shared" ref="I7" si="4">IF(D7="上班",IF(H7-1.5&gt;8,8,H7-1.5),"-")</f>
        <v>8</v>
      </c>
      <c r="J7" s="92" t="str">
        <f t="shared" ref="J7" si="5">IF(I7&lt;8,8-I7,"-")</f>
        <v>-</v>
      </c>
      <c r="K7" s="93">
        <f t="shared" ref="K7" si="6">IF(D7="加班",(G8-G7)*24,0)</f>
        <v>0</v>
      </c>
      <c r="L7" s="93"/>
      <c r="M7" s="94">
        <f t="shared" ref="M7" si="7">IF(K7&gt;2,2,K7)</f>
        <v>0</v>
      </c>
      <c r="N7" s="94">
        <f t="shared" ref="N7" si="8">IF(K7&gt;2,K7-2,0)</f>
        <v>0</v>
      </c>
      <c r="O7" s="20"/>
      <c r="P7" s="8">
        <v>1</v>
      </c>
      <c r="Q7" s="8"/>
      <c r="R7" s="8"/>
      <c r="S7" s="8"/>
    </row>
    <row r="8" spans="1:21">
      <c r="A8" s="140">
        <v>8509</v>
      </c>
      <c r="B8" s="140" t="s">
        <v>71</v>
      </c>
      <c r="C8" s="140" t="s">
        <v>72</v>
      </c>
      <c r="D8" s="143" t="s">
        <v>5</v>
      </c>
      <c r="E8" s="144">
        <v>43160.785150462965</v>
      </c>
      <c r="F8" s="89">
        <f t="shared" ref="F8:F71" si="9">E8</f>
        <v>43160.785150462965</v>
      </c>
      <c r="G8" s="90" t="str">
        <f t="shared" ref="G8:G71" si="10">HOUR(E8)&amp;":"&amp;MINUTE(E8)</f>
        <v>18:50</v>
      </c>
      <c r="H8" s="91" t="str">
        <f t="shared" ref="H8:H71" si="11">IF(D8="上班",(G9-G8)*24,"-")</f>
        <v>-</v>
      </c>
      <c r="I8" s="92" t="str">
        <f t="shared" ref="I8:I71" si="12">IF(D8="上班",IF(H8-1.5&gt;8,8,H8-1.5),"-")</f>
        <v>-</v>
      </c>
      <c r="J8" s="92" t="str">
        <f t="shared" ref="J8:J71" si="13">IF(I8&lt;8,8-I8,"-")</f>
        <v>-</v>
      </c>
      <c r="K8" s="93">
        <f t="shared" ref="K8:K71" si="14">IF(D8="加班",(G9-G8)*24,0)</f>
        <v>0</v>
      </c>
      <c r="L8" s="93"/>
      <c r="M8" s="94">
        <f t="shared" ref="M8:M71" si="15">IF(K8&gt;2,2,K8)</f>
        <v>0</v>
      </c>
      <c r="N8" s="94">
        <f t="shared" ref="N8:N71" si="16">IF(K8&gt;2,K8-2,0)</f>
        <v>0</v>
      </c>
      <c r="O8" s="20"/>
      <c r="P8" s="9">
        <v>2</v>
      </c>
    </row>
    <row r="9" spans="1:21" s="63" customFormat="1">
      <c r="A9" s="140">
        <v>8511</v>
      </c>
      <c r="B9" s="140" t="s">
        <v>71</v>
      </c>
      <c r="C9" s="140" t="s">
        <v>72</v>
      </c>
      <c r="D9" s="143" t="s">
        <v>7</v>
      </c>
      <c r="E9" s="144">
        <v>43160.785185185188</v>
      </c>
      <c r="F9" s="89">
        <f t="shared" si="9"/>
        <v>43160.785185185188</v>
      </c>
      <c r="G9" s="90" t="str">
        <f t="shared" si="10"/>
        <v>18:50</v>
      </c>
      <c r="H9" s="91" t="str">
        <f t="shared" si="11"/>
        <v>-</v>
      </c>
      <c r="I9" s="92" t="str">
        <f t="shared" si="12"/>
        <v>-</v>
      </c>
      <c r="J9" s="92" t="str">
        <f t="shared" si="13"/>
        <v>-</v>
      </c>
      <c r="K9" s="93">
        <f t="shared" si="14"/>
        <v>1.2666666666666675</v>
      </c>
      <c r="L9" s="93"/>
      <c r="M9" s="94">
        <f t="shared" si="15"/>
        <v>1.2666666666666675</v>
      </c>
      <c r="N9" s="94">
        <f t="shared" si="16"/>
        <v>0</v>
      </c>
      <c r="O9" s="20"/>
      <c r="P9" s="18">
        <v>3</v>
      </c>
      <c r="Q9" s="18"/>
      <c r="R9" s="18"/>
      <c r="S9" s="18"/>
    </row>
    <row r="10" spans="1:21" s="63" customFormat="1">
      <c r="A10" s="140">
        <v>8517</v>
      </c>
      <c r="B10" s="140" t="s">
        <v>71</v>
      </c>
      <c r="C10" s="140" t="s">
        <v>72</v>
      </c>
      <c r="D10" s="143" t="s">
        <v>8</v>
      </c>
      <c r="E10" s="144">
        <v>43160.837962962964</v>
      </c>
      <c r="F10" s="89">
        <f t="shared" si="9"/>
        <v>43160.837962962964</v>
      </c>
      <c r="G10" s="90" t="str">
        <f t="shared" si="10"/>
        <v>20:6</v>
      </c>
      <c r="H10" s="91" t="str">
        <f t="shared" si="11"/>
        <v>-</v>
      </c>
      <c r="I10" s="92" t="str">
        <f t="shared" si="12"/>
        <v>-</v>
      </c>
      <c r="J10" s="92" t="str">
        <f t="shared" si="13"/>
        <v>-</v>
      </c>
      <c r="K10" s="93">
        <f t="shared" si="14"/>
        <v>0</v>
      </c>
      <c r="L10" s="93"/>
      <c r="M10" s="94">
        <f t="shared" si="15"/>
        <v>0</v>
      </c>
      <c r="N10" s="94">
        <f t="shared" si="16"/>
        <v>0</v>
      </c>
      <c r="O10" s="20"/>
      <c r="P10" s="18">
        <v>4</v>
      </c>
      <c r="Q10" s="18"/>
      <c r="R10" s="18"/>
      <c r="S10" s="18"/>
    </row>
    <row r="11" spans="1:21" s="2" customFormat="1">
      <c r="A11" s="140">
        <v>8525</v>
      </c>
      <c r="B11" s="140" t="s">
        <v>71</v>
      </c>
      <c r="C11" s="140" t="s">
        <v>72</v>
      </c>
      <c r="D11" s="143" t="s">
        <v>6</v>
      </c>
      <c r="E11" s="144">
        <v>43161.365624999999</v>
      </c>
      <c r="F11" s="89">
        <f t="shared" si="9"/>
        <v>43161.365624999999</v>
      </c>
      <c r="G11" s="90" t="str">
        <f t="shared" si="10"/>
        <v>8:46</v>
      </c>
      <c r="H11" s="91">
        <f t="shared" si="11"/>
        <v>9.966666666666665</v>
      </c>
      <c r="I11" s="92">
        <f t="shared" si="12"/>
        <v>8</v>
      </c>
      <c r="J11" s="92" t="str">
        <f t="shared" si="13"/>
        <v>-</v>
      </c>
      <c r="K11" s="93">
        <f t="shared" si="14"/>
        <v>0</v>
      </c>
      <c r="L11" s="93"/>
      <c r="M11" s="94">
        <f t="shared" si="15"/>
        <v>0</v>
      </c>
      <c r="N11" s="94">
        <f t="shared" si="16"/>
        <v>0</v>
      </c>
      <c r="O11" s="20"/>
      <c r="P11" s="8">
        <v>5</v>
      </c>
      <c r="Q11" s="8"/>
      <c r="R11" s="8"/>
      <c r="S11" s="8"/>
    </row>
    <row r="12" spans="1:21">
      <c r="A12" s="140">
        <v>8540</v>
      </c>
      <c r="B12" s="140" t="s">
        <v>71</v>
      </c>
      <c r="C12" s="140" t="s">
        <v>72</v>
      </c>
      <c r="D12" s="143" t="s">
        <v>5</v>
      </c>
      <c r="E12" s="144">
        <v>43161.780821759261</v>
      </c>
      <c r="F12" s="89">
        <f t="shared" si="9"/>
        <v>43161.780821759261</v>
      </c>
      <c r="G12" s="90" t="str">
        <f t="shared" si="10"/>
        <v>18:44</v>
      </c>
      <c r="H12" s="91" t="str">
        <f t="shared" si="11"/>
        <v>-</v>
      </c>
      <c r="I12" s="92" t="str">
        <f t="shared" si="12"/>
        <v>-</v>
      </c>
      <c r="J12" s="92" t="str">
        <f t="shared" si="13"/>
        <v>-</v>
      </c>
      <c r="K12" s="93">
        <f t="shared" si="14"/>
        <v>0</v>
      </c>
      <c r="L12" s="93"/>
      <c r="M12" s="94">
        <f t="shared" si="15"/>
        <v>0</v>
      </c>
      <c r="N12" s="94">
        <f t="shared" si="16"/>
        <v>0</v>
      </c>
      <c r="O12" s="20"/>
      <c r="P12" s="9">
        <v>6</v>
      </c>
    </row>
    <row r="13" spans="1:21" s="63" customFormat="1">
      <c r="A13" s="140">
        <v>8560</v>
      </c>
      <c r="B13" s="140" t="s">
        <v>72</v>
      </c>
      <c r="C13" s="140" t="s">
        <v>72</v>
      </c>
      <c r="D13" s="143" t="s">
        <v>6</v>
      </c>
      <c r="E13" s="144">
        <v>43164.364525462966</v>
      </c>
      <c r="F13" s="89">
        <f t="shared" si="9"/>
        <v>43164.364525462966</v>
      </c>
      <c r="G13" s="90" t="str">
        <f t="shared" si="10"/>
        <v>8:44</v>
      </c>
      <c r="H13" s="91">
        <f t="shared" si="11"/>
        <v>10.066666666666666</v>
      </c>
      <c r="I13" s="92">
        <f t="shared" si="12"/>
        <v>8</v>
      </c>
      <c r="J13" s="92" t="str">
        <f t="shared" si="13"/>
        <v>-</v>
      </c>
      <c r="K13" s="93">
        <f t="shared" si="14"/>
        <v>0</v>
      </c>
      <c r="L13" s="93"/>
      <c r="M13" s="94">
        <f t="shared" si="15"/>
        <v>0</v>
      </c>
      <c r="N13" s="94">
        <f t="shared" si="16"/>
        <v>0</v>
      </c>
      <c r="O13" s="20"/>
      <c r="P13" s="18">
        <v>7</v>
      </c>
      <c r="Q13" s="18"/>
      <c r="R13" s="18"/>
      <c r="S13" s="18"/>
    </row>
    <row r="14" spans="1:21" s="63" customFormat="1">
      <c r="A14" s="140">
        <v>8582</v>
      </c>
      <c r="B14" s="140" t="s">
        <v>71</v>
      </c>
      <c r="C14" s="140" t="s">
        <v>72</v>
      </c>
      <c r="D14" s="143" t="s">
        <v>5</v>
      </c>
      <c r="E14" s="144">
        <v>43164.783391203702</v>
      </c>
      <c r="F14" s="89">
        <f t="shared" si="9"/>
        <v>43164.783391203702</v>
      </c>
      <c r="G14" s="90" t="str">
        <f t="shared" si="10"/>
        <v>18:48</v>
      </c>
      <c r="H14" s="91" t="str">
        <f t="shared" si="11"/>
        <v>-</v>
      </c>
      <c r="I14" s="92" t="str">
        <f t="shared" si="12"/>
        <v>-</v>
      </c>
      <c r="J14" s="92" t="str">
        <f t="shared" si="13"/>
        <v>-</v>
      </c>
      <c r="K14" s="93">
        <f t="shared" si="14"/>
        <v>0</v>
      </c>
      <c r="L14" s="93"/>
      <c r="M14" s="94">
        <f t="shared" si="15"/>
        <v>0</v>
      </c>
      <c r="N14" s="94">
        <f t="shared" si="16"/>
        <v>0</v>
      </c>
      <c r="O14" s="20"/>
      <c r="P14" s="18">
        <v>8</v>
      </c>
      <c r="Q14" s="18"/>
      <c r="R14" s="18"/>
      <c r="S14" s="18"/>
    </row>
    <row r="15" spans="1:21" s="2" customFormat="1">
      <c r="A15" s="140">
        <v>8583</v>
      </c>
      <c r="B15" s="140" t="s">
        <v>71</v>
      </c>
      <c r="C15" s="140" t="s">
        <v>72</v>
      </c>
      <c r="D15" s="143" t="s">
        <v>7</v>
      </c>
      <c r="E15" s="144">
        <v>43164.783425925925</v>
      </c>
      <c r="F15" s="89">
        <f t="shared" si="9"/>
        <v>43164.783425925925</v>
      </c>
      <c r="G15" s="90" t="str">
        <f t="shared" si="10"/>
        <v>18:48</v>
      </c>
      <c r="H15" s="91" t="str">
        <f t="shared" si="11"/>
        <v>-</v>
      </c>
      <c r="I15" s="92" t="str">
        <f t="shared" si="12"/>
        <v>-</v>
      </c>
      <c r="J15" s="92" t="str">
        <f t="shared" si="13"/>
        <v>-</v>
      </c>
      <c r="K15" s="93">
        <f t="shared" si="14"/>
        <v>1.7166666666666659</v>
      </c>
      <c r="L15" s="93"/>
      <c r="M15" s="94">
        <f t="shared" si="15"/>
        <v>1.7166666666666659</v>
      </c>
      <c r="N15" s="94">
        <f t="shared" si="16"/>
        <v>0</v>
      </c>
      <c r="O15" s="20"/>
      <c r="P15" s="8">
        <v>9</v>
      </c>
      <c r="Q15" s="8"/>
      <c r="R15" s="8"/>
      <c r="S15" s="8"/>
    </row>
    <row r="16" spans="1:21">
      <c r="A16" s="140">
        <v>8588</v>
      </c>
      <c r="B16" s="140" t="s">
        <v>71</v>
      </c>
      <c r="C16" s="140" t="s">
        <v>72</v>
      </c>
      <c r="D16" s="143" t="s">
        <v>8</v>
      </c>
      <c r="E16" s="144">
        <v>43164.855034722219</v>
      </c>
      <c r="F16" s="89">
        <f t="shared" si="9"/>
        <v>43164.855034722219</v>
      </c>
      <c r="G16" s="90" t="str">
        <f t="shared" si="10"/>
        <v>20:31</v>
      </c>
      <c r="H16" s="91" t="str">
        <f t="shared" si="11"/>
        <v>-</v>
      </c>
      <c r="I16" s="92" t="str">
        <f t="shared" si="12"/>
        <v>-</v>
      </c>
      <c r="J16" s="92" t="str">
        <f t="shared" si="13"/>
        <v>-</v>
      </c>
      <c r="K16" s="93">
        <f t="shared" si="14"/>
        <v>0</v>
      </c>
      <c r="L16" s="93"/>
      <c r="M16" s="94">
        <f t="shared" si="15"/>
        <v>0</v>
      </c>
      <c r="N16" s="94">
        <f t="shared" si="16"/>
        <v>0</v>
      </c>
      <c r="O16" s="20"/>
      <c r="P16" s="9">
        <v>10</v>
      </c>
    </row>
    <row r="17" spans="1:19" s="63" customFormat="1">
      <c r="A17" s="140">
        <v>8596</v>
      </c>
      <c r="B17" s="140" t="s">
        <v>72</v>
      </c>
      <c r="C17" s="140" t="s">
        <v>72</v>
      </c>
      <c r="D17" s="143" t="s">
        <v>6</v>
      </c>
      <c r="E17" s="144">
        <v>43165.363182870373</v>
      </c>
      <c r="F17" s="89">
        <f t="shared" si="9"/>
        <v>43165.363182870373</v>
      </c>
      <c r="G17" s="90" t="str">
        <f t="shared" si="10"/>
        <v>8:42</v>
      </c>
      <c r="H17" s="91">
        <f t="shared" si="11"/>
        <v>9.9166666666666679</v>
      </c>
      <c r="I17" s="92">
        <f t="shared" si="12"/>
        <v>8</v>
      </c>
      <c r="J17" s="92" t="str">
        <f t="shared" si="13"/>
        <v>-</v>
      </c>
      <c r="K17" s="93">
        <f t="shared" si="14"/>
        <v>0</v>
      </c>
      <c r="L17" s="93"/>
      <c r="M17" s="94">
        <f t="shared" si="15"/>
        <v>0</v>
      </c>
      <c r="N17" s="94">
        <f t="shared" si="16"/>
        <v>0</v>
      </c>
      <c r="O17" s="20"/>
      <c r="P17" s="18">
        <v>9</v>
      </c>
      <c r="Q17" s="18"/>
      <c r="R17" s="18"/>
      <c r="S17" s="18"/>
    </row>
    <row r="18" spans="1:19" s="63" customFormat="1">
      <c r="A18" s="140">
        <v>8614</v>
      </c>
      <c r="B18" s="140" t="s">
        <v>72</v>
      </c>
      <c r="C18" s="140" t="s">
        <v>72</v>
      </c>
      <c r="D18" s="143" t="s">
        <v>5</v>
      </c>
      <c r="E18" s="144">
        <v>43165.776226851849</v>
      </c>
      <c r="F18" s="89">
        <f t="shared" si="9"/>
        <v>43165.776226851849</v>
      </c>
      <c r="G18" s="90" t="str">
        <f t="shared" si="10"/>
        <v>18:37</v>
      </c>
      <c r="H18" s="91" t="str">
        <f t="shared" si="11"/>
        <v>-</v>
      </c>
      <c r="I18" s="92" t="str">
        <f t="shared" si="12"/>
        <v>-</v>
      </c>
      <c r="J18" s="92" t="str">
        <f t="shared" si="13"/>
        <v>-</v>
      </c>
      <c r="K18" s="93">
        <f t="shared" si="14"/>
        <v>0</v>
      </c>
      <c r="L18" s="93"/>
      <c r="M18" s="94">
        <f t="shared" si="15"/>
        <v>0</v>
      </c>
      <c r="N18" s="94">
        <f t="shared" si="16"/>
        <v>0</v>
      </c>
      <c r="O18" s="20"/>
      <c r="P18" s="18">
        <v>10</v>
      </c>
      <c r="Q18" s="18"/>
      <c r="R18" s="18"/>
      <c r="S18" s="18"/>
    </row>
    <row r="19" spans="1:19" s="2" customFormat="1">
      <c r="A19" s="140">
        <v>8615</v>
      </c>
      <c r="B19" s="140" t="s">
        <v>72</v>
      </c>
      <c r="C19" s="140" t="s">
        <v>72</v>
      </c>
      <c r="D19" s="143" t="s">
        <v>7</v>
      </c>
      <c r="E19" s="144">
        <v>43165.776261574072</v>
      </c>
      <c r="F19" s="89">
        <f t="shared" si="9"/>
        <v>43165.776261574072</v>
      </c>
      <c r="G19" s="90" t="str">
        <f t="shared" si="10"/>
        <v>18:37</v>
      </c>
      <c r="H19" s="91" t="str">
        <f t="shared" si="11"/>
        <v>-</v>
      </c>
      <c r="I19" s="92" t="str">
        <f t="shared" si="12"/>
        <v>-</v>
      </c>
      <c r="J19" s="92" t="str">
        <f t="shared" si="13"/>
        <v>-</v>
      </c>
      <c r="K19" s="93">
        <f t="shared" si="14"/>
        <v>3.0333333333333306</v>
      </c>
      <c r="L19" s="93"/>
      <c r="M19" s="94">
        <f t="shared" si="15"/>
        <v>2</v>
      </c>
      <c r="N19" s="94">
        <f t="shared" si="16"/>
        <v>1.0333333333333306</v>
      </c>
      <c r="O19" s="20"/>
      <c r="P19" s="8">
        <v>11</v>
      </c>
      <c r="Q19" s="8"/>
      <c r="R19" s="8"/>
      <c r="S19" s="8"/>
    </row>
    <row r="20" spans="1:19">
      <c r="A20" s="140">
        <v>8623</v>
      </c>
      <c r="B20" s="140" t="s">
        <v>72</v>
      </c>
      <c r="C20" s="140" t="s">
        <v>72</v>
      </c>
      <c r="D20" s="143" t="s">
        <v>8</v>
      </c>
      <c r="E20" s="144">
        <v>43165.902118055557</v>
      </c>
      <c r="F20" s="89">
        <f t="shared" si="9"/>
        <v>43165.902118055557</v>
      </c>
      <c r="G20" s="90" t="str">
        <f t="shared" si="10"/>
        <v>21:39</v>
      </c>
      <c r="H20" s="91" t="str">
        <f t="shared" si="11"/>
        <v>-</v>
      </c>
      <c r="I20" s="92" t="str">
        <f t="shared" si="12"/>
        <v>-</v>
      </c>
      <c r="J20" s="92" t="str">
        <f t="shared" si="13"/>
        <v>-</v>
      </c>
      <c r="K20" s="93">
        <f t="shared" si="14"/>
        <v>0</v>
      </c>
      <c r="L20" s="93"/>
      <c r="M20" s="94">
        <f t="shared" si="15"/>
        <v>0</v>
      </c>
      <c r="N20" s="94">
        <f t="shared" si="16"/>
        <v>0</v>
      </c>
      <c r="O20" s="20"/>
      <c r="P20" s="9">
        <v>12</v>
      </c>
    </row>
    <row r="21" spans="1:19" s="2" customFormat="1">
      <c r="A21" s="140">
        <v>8628</v>
      </c>
      <c r="B21" s="140" t="s">
        <v>72</v>
      </c>
      <c r="C21" s="140" t="s">
        <v>72</v>
      </c>
      <c r="D21" s="143" t="s">
        <v>6</v>
      </c>
      <c r="E21" s="144">
        <v>43166.364398148151</v>
      </c>
      <c r="F21" s="89">
        <f t="shared" si="9"/>
        <v>43166.364398148151</v>
      </c>
      <c r="G21" s="90" t="str">
        <f t="shared" si="10"/>
        <v>8:44</v>
      </c>
      <c r="H21" s="91">
        <f t="shared" si="11"/>
        <v>9.9</v>
      </c>
      <c r="I21" s="92">
        <f t="shared" si="12"/>
        <v>8</v>
      </c>
      <c r="J21" s="92" t="str">
        <f t="shared" si="13"/>
        <v>-</v>
      </c>
      <c r="K21" s="93">
        <f t="shared" si="14"/>
        <v>0</v>
      </c>
      <c r="L21" s="93"/>
      <c r="M21" s="94">
        <f t="shared" si="15"/>
        <v>0</v>
      </c>
      <c r="N21" s="94">
        <f t="shared" si="16"/>
        <v>0</v>
      </c>
      <c r="O21" s="20"/>
      <c r="P21" s="8">
        <v>13</v>
      </c>
      <c r="Q21" s="8"/>
      <c r="R21" s="8"/>
      <c r="S21" s="8"/>
    </row>
    <row r="22" spans="1:19">
      <c r="A22" s="140">
        <v>8647</v>
      </c>
      <c r="B22" s="140" t="s">
        <v>71</v>
      </c>
      <c r="C22" s="140" t="s">
        <v>72</v>
      </c>
      <c r="D22" s="143" t="s">
        <v>5</v>
      </c>
      <c r="E22" s="144">
        <v>43166.776412037034</v>
      </c>
      <c r="F22" s="89">
        <f t="shared" si="9"/>
        <v>43166.776412037034</v>
      </c>
      <c r="G22" s="90" t="str">
        <f t="shared" si="10"/>
        <v>18:38</v>
      </c>
      <c r="H22" s="91" t="str">
        <f t="shared" si="11"/>
        <v>-</v>
      </c>
      <c r="I22" s="92" t="str">
        <f t="shared" si="12"/>
        <v>-</v>
      </c>
      <c r="J22" s="92" t="str">
        <f t="shared" si="13"/>
        <v>-</v>
      </c>
      <c r="K22" s="93">
        <f t="shared" si="14"/>
        <v>0</v>
      </c>
      <c r="L22" s="93"/>
      <c r="M22" s="94">
        <f t="shared" si="15"/>
        <v>0</v>
      </c>
      <c r="N22" s="94">
        <f t="shared" si="16"/>
        <v>0</v>
      </c>
      <c r="O22" s="20"/>
      <c r="P22" s="9">
        <v>14</v>
      </c>
    </row>
    <row r="23" spans="1:19" s="2" customFormat="1">
      <c r="A23" s="140">
        <v>8648</v>
      </c>
      <c r="B23" s="140" t="s">
        <v>71</v>
      </c>
      <c r="C23" s="140" t="s">
        <v>72</v>
      </c>
      <c r="D23" s="143" t="s">
        <v>7</v>
      </c>
      <c r="E23" s="144">
        <v>43166.77648148148</v>
      </c>
      <c r="F23" s="89">
        <f t="shared" si="9"/>
        <v>43166.77648148148</v>
      </c>
      <c r="G23" s="90" t="str">
        <f t="shared" si="10"/>
        <v>18:38</v>
      </c>
      <c r="H23" s="91" t="str">
        <f t="shared" si="11"/>
        <v>-</v>
      </c>
      <c r="I23" s="92" t="str">
        <f t="shared" si="12"/>
        <v>-</v>
      </c>
      <c r="J23" s="92" t="str">
        <f t="shared" si="13"/>
        <v>-</v>
      </c>
      <c r="K23" s="93">
        <f t="shared" si="14"/>
        <v>1.7333333333333325</v>
      </c>
      <c r="L23" s="93"/>
      <c r="M23" s="94">
        <f t="shared" si="15"/>
        <v>1.7333333333333325</v>
      </c>
      <c r="N23" s="94">
        <f t="shared" si="16"/>
        <v>0</v>
      </c>
      <c r="O23" s="20"/>
      <c r="P23" s="8">
        <v>15</v>
      </c>
      <c r="Q23" s="8"/>
      <c r="R23" s="8"/>
      <c r="S23" s="8"/>
    </row>
    <row r="24" spans="1:19">
      <c r="A24" s="140">
        <v>8655</v>
      </c>
      <c r="B24" s="140" t="s">
        <v>72</v>
      </c>
      <c r="C24" s="140" t="s">
        <v>72</v>
      </c>
      <c r="D24" s="143" t="s">
        <v>8</v>
      </c>
      <c r="E24" s="144">
        <v>43166.848969907405</v>
      </c>
      <c r="F24" s="89">
        <f t="shared" si="9"/>
        <v>43166.848969907405</v>
      </c>
      <c r="G24" s="90" t="str">
        <f t="shared" si="10"/>
        <v>20:22</v>
      </c>
      <c r="H24" s="91" t="str">
        <f t="shared" si="11"/>
        <v>-</v>
      </c>
      <c r="I24" s="92" t="str">
        <f t="shared" si="12"/>
        <v>-</v>
      </c>
      <c r="J24" s="92" t="str">
        <f t="shared" si="13"/>
        <v>-</v>
      </c>
      <c r="K24" s="93">
        <f t="shared" si="14"/>
        <v>0</v>
      </c>
      <c r="L24" s="93"/>
      <c r="M24" s="94">
        <f t="shared" si="15"/>
        <v>0</v>
      </c>
      <c r="N24" s="94">
        <f t="shared" si="16"/>
        <v>0</v>
      </c>
      <c r="O24" s="20"/>
      <c r="P24" s="9">
        <v>16</v>
      </c>
    </row>
    <row r="25" spans="1:19" s="2" customFormat="1">
      <c r="A25" s="140">
        <v>8670</v>
      </c>
      <c r="B25" s="140" t="s">
        <v>71</v>
      </c>
      <c r="C25" s="140" t="s">
        <v>72</v>
      </c>
      <c r="D25" s="143" t="s">
        <v>6</v>
      </c>
      <c r="E25" s="144">
        <v>43167.371180555558</v>
      </c>
      <c r="F25" s="89">
        <f t="shared" si="9"/>
        <v>43167.371180555558</v>
      </c>
      <c r="G25" s="90" t="str">
        <f t="shared" si="10"/>
        <v>8:54</v>
      </c>
      <c r="H25" s="91">
        <f t="shared" si="11"/>
        <v>9.6666666666666679</v>
      </c>
      <c r="I25" s="92">
        <f t="shared" si="12"/>
        <v>8</v>
      </c>
      <c r="J25" s="92" t="str">
        <f t="shared" si="13"/>
        <v>-</v>
      </c>
      <c r="K25" s="93">
        <f t="shared" si="14"/>
        <v>0</v>
      </c>
      <c r="L25" s="93"/>
      <c r="M25" s="94">
        <f t="shared" si="15"/>
        <v>0</v>
      </c>
      <c r="N25" s="94">
        <f t="shared" si="16"/>
        <v>0</v>
      </c>
      <c r="O25" s="20"/>
      <c r="P25" s="8">
        <v>17</v>
      </c>
      <c r="Q25" s="8"/>
      <c r="R25" s="8"/>
      <c r="S25" s="8"/>
    </row>
    <row r="26" spans="1:19">
      <c r="A26" s="140">
        <v>8681</v>
      </c>
      <c r="B26" s="140" t="s">
        <v>71</v>
      </c>
      <c r="C26" s="140" t="s">
        <v>72</v>
      </c>
      <c r="D26" s="143" t="s">
        <v>5</v>
      </c>
      <c r="E26" s="144">
        <v>43167.773796296293</v>
      </c>
      <c r="F26" s="89">
        <f t="shared" si="9"/>
        <v>43167.773796296293</v>
      </c>
      <c r="G26" s="90" t="str">
        <f t="shared" si="10"/>
        <v>18:34</v>
      </c>
      <c r="H26" s="91" t="str">
        <f t="shared" si="11"/>
        <v>-</v>
      </c>
      <c r="I26" s="92" t="str">
        <f t="shared" si="12"/>
        <v>-</v>
      </c>
      <c r="J26" s="92" t="str">
        <f t="shared" si="13"/>
        <v>-</v>
      </c>
      <c r="K26" s="93">
        <f t="shared" si="14"/>
        <v>0</v>
      </c>
      <c r="L26" s="93"/>
      <c r="M26" s="94">
        <f t="shared" si="15"/>
        <v>0</v>
      </c>
      <c r="N26" s="94">
        <f t="shared" si="16"/>
        <v>0</v>
      </c>
      <c r="O26" s="20"/>
      <c r="P26" s="9">
        <v>18</v>
      </c>
    </row>
    <row r="27" spans="1:19" s="2" customFormat="1">
      <c r="A27" s="140">
        <v>8682</v>
      </c>
      <c r="B27" s="140" t="s">
        <v>71</v>
      </c>
      <c r="C27" s="140" t="s">
        <v>72</v>
      </c>
      <c r="D27" s="143" t="s">
        <v>7</v>
      </c>
      <c r="E27" s="144">
        <v>43167.773854166669</v>
      </c>
      <c r="F27" s="89">
        <f t="shared" si="9"/>
        <v>43167.773854166669</v>
      </c>
      <c r="G27" s="90" t="str">
        <f t="shared" si="10"/>
        <v>18:34</v>
      </c>
      <c r="H27" s="91" t="str">
        <f t="shared" si="11"/>
        <v>-</v>
      </c>
      <c r="I27" s="92" t="str">
        <f t="shared" si="12"/>
        <v>-</v>
      </c>
      <c r="J27" s="92" t="str">
        <f t="shared" si="13"/>
        <v>-</v>
      </c>
      <c r="K27" s="93">
        <f t="shared" si="14"/>
        <v>1.5833333333333304</v>
      </c>
      <c r="L27" s="93"/>
      <c r="M27" s="94">
        <f t="shared" si="15"/>
        <v>1.5833333333333304</v>
      </c>
      <c r="N27" s="94">
        <f t="shared" si="16"/>
        <v>0</v>
      </c>
      <c r="O27" s="20"/>
      <c r="P27" s="8">
        <v>19</v>
      </c>
      <c r="Q27" s="8"/>
      <c r="R27" s="8"/>
      <c r="S27" s="8"/>
    </row>
    <row r="28" spans="1:19">
      <c r="A28" s="140">
        <v>8690</v>
      </c>
      <c r="B28" s="140" t="s">
        <v>72</v>
      </c>
      <c r="C28" s="140" t="s">
        <v>72</v>
      </c>
      <c r="D28" s="143" t="s">
        <v>8</v>
      </c>
      <c r="E28" s="144">
        <v>43167.839675925927</v>
      </c>
      <c r="F28" s="89">
        <f t="shared" si="9"/>
        <v>43167.839675925927</v>
      </c>
      <c r="G28" s="90" t="str">
        <f t="shared" si="10"/>
        <v>20:9</v>
      </c>
      <c r="H28" s="91" t="str">
        <f t="shared" si="11"/>
        <v>-</v>
      </c>
      <c r="I28" s="92" t="str">
        <f t="shared" si="12"/>
        <v>-</v>
      </c>
      <c r="J28" s="92" t="str">
        <f t="shared" si="13"/>
        <v>-</v>
      </c>
      <c r="K28" s="93">
        <f t="shared" si="14"/>
        <v>0</v>
      </c>
      <c r="L28" s="93"/>
      <c r="M28" s="94">
        <f t="shared" si="15"/>
        <v>0</v>
      </c>
      <c r="N28" s="94">
        <f t="shared" si="16"/>
        <v>0</v>
      </c>
      <c r="O28" s="20"/>
      <c r="P28" s="9">
        <v>20</v>
      </c>
    </row>
    <row r="29" spans="1:19" s="2" customFormat="1">
      <c r="A29" s="140">
        <v>8692</v>
      </c>
      <c r="B29" s="140" t="s">
        <v>71</v>
      </c>
      <c r="C29" s="140" t="s">
        <v>72</v>
      </c>
      <c r="D29" s="143" t="s">
        <v>6</v>
      </c>
      <c r="E29" s="144">
        <v>43168.362662037034</v>
      </c>
      <c r="F29" s="89">
        <f t="shared" si="9"/>
        <v>43168.362662037034</v>
      </c>
      <c r="G29" s="90" t="str">
        <f t="shared" si="10"/>
        <v>8:42</v>
      </c>
      <c r="H29" s="91">
        <f t="shared" si="11"/>
        <v>9.7166666666666686</v>
      </c>
      <c r="I29" s="92">
        <f t="shared" si="12"/>
        <v>8</v>
      </c>
      <c r="J29" s="92" t="str">
        <f t="shared" si="13"/>
        <v>-</v>
      </c>
      <c r="K29" s="93">
        <f t="shared" si="14"/>
        <v>0</v>
      </c>
      <c r="L29" s="93"/>
      <c r="M29" s="94">
        <f t="shared" si="15"/>
        <v>0</v>
      </c>
      <c r="N29" s="94">
        <f t="shared" si="16"/>
        <v>0</v>
      </c>
      <c r="O29" s="20"/>
      <c r="P29" s="8">
        <v>21</v>
      </c>
      <c r="Q29" s="8"/>
      <c r="R29" s="8"/>
      <c r="S29" s="8"/>
    </row>
    <row r="30" spans="1:19" s="63" customFormat="1">
      <c r="A30" s="140">
        <v>8705</v>
      </c>
      <c r="B30" s="140" t="s">
        <v>72</v>
      </c>
      <c r="C30" s="140" t="s">
        <v>72</v>
      </c>
      <c r="D30" s="143" t="s">
        <v>5</v>
      </c>
      <c r="E30" s="144">
        <v>43168.767766203702</v>
      </c>
      <c r="F30" s="89">
        <f t="shared" si="9"/>
        <v>43168.767766203702</v>
      </c>
      <c r="G30" s="90" t="str">
        <f t="shared" si="10"/>
        <v>18:25</v>
      </c>
      <c r="H30" s="91" t="str">
        <f t="shared" si="11"/>
        <v>-</v>
      </c>
      <c r="I30" s="92" t="str">
        <f t="shared" si="12"/>
        <v>-</v>
      </c>
      <c r="J30" s="92" t="str">
        <f t="shared" si="13"/>
        <v>-</v>
      </c>
      <c r="K30" s="93">
        <f t="shared" si="14"/>
        <v>0</v>
      </c>
      <c r="L30" s="93"/>
      <c r="M30" s="94">
        <f t="shared" si="15"/>
        <v>0</v>
      </c>
      <c r="N30" s="94">
        <f t="shared" si="16"/>
        <v>0</v>
      </c>
      <c r="O30" s="20"/>
      <c r="P30" s="18">
        <v>22</v>
      </c>
      <c r="Q30" s="18"/>
      <c r="R30" s="18"/>
      <c r="S30" s="18"/>
    </row>
    <row r="31" spans="1:19" s="63" customFormat="1">
      <c r="A31" s="140">
        <v>8729</v>
      </c>
      <c r="B31" s="140" t="s">
        <v>71</v>
      </c>
      <c r="C31" s="140" t="s">
        <v>72</v>
      </c>
      <c r="D31" s="143" t="s">
        <v>7</v>
      </c>
      <c r="E31" s="144">
        <v>43170.422361111108</v>
      </c>
      <c r="F31" s="89">
        <f t="shared" si="9"/>
        <v>43170.422361111108</v>
      </c>
      <c r="G31" s="90" t="str">
        <f t="shared" si="10"/>
        <v>10:8</v>
      </c>
      <c r="H31" s="91" t="str">
        <f t="shared" si="11"/>
        <v>-</v>
      </c>
      <c r="I31" s="92" t="str">
        <f t="shared" si="12"/>
        <v>-</v>
      </c>
      <c r="J31" s="92" t="str">
        <f t="shared" si="13"/>
        <v>-</v>
      </c>
      <c r="K31" s="93">
        <f t="shared" si="14"/>
        <v>3.0500000000000012</v>
      </c>
      <c r="L31" s="93"/>
      <c r="M31" s="94">
        <f t="shared" si="15"/>
        <v>2</v>
      </c>
      <c r="N31" s="94">
        <f t="shared" si="16"/>
        <v>1.0500000000000012</v>
      </c>
      <c r="O31" s="20"/>
      <c r="P31" s="18">
        <v>23</v>
      </c>
      <c r="Q31" s="18"/>
      <c r="R31" s="18"/>
      <c r="S31" s="18"/>
    </row>
    <row r="32" spans="1:19" s="63" customFormat="1">
      <c r="A32" s="140">
        <v>8735</v>
      </c>
      <c r="B32" s="140" t="s">
        <v>71</v>
      </c>
      <c r="C32" s="140" t="s">
        <v>72</v>
      </c>
      <c r="D32" s="143" t="s">
        <v>8</v>
      </c>
      <c r="E32" s="144">
        <v>43170.549699074072</v>
      </c>
      <c r="F32" s="89">
        <f t="shared" si="9"/>
        <v>43170.549699074072</v>
      </c>
      <c r="G32" s="90" t="str">
        <f t="shared" si="10"/>
        <v>13:11</v>
      </c>
      <c r="H32" s="91" t="str">
        <f t="shared" si="11"/>
        <v>-</v>
      </c>
      <c r="I32" s="92" t="str">
        <f t="shared" si="12"/>
        <v>-</v>
      </c>
      <c r="J32" s="92" t="str">
        <f t="shared" si="13"/>
        <v>-</v>
      </c>
      <c r="K32" s="93">
        <f t="shared" si="14"/>
        <v>0</v>
      </c>
      <c r="L32" s="93"/>
      <c r="M32" s="94">
        <f t="shared" si="15"/>
        <v>0</v>
      </c>
      <c r="N32" s="94">
        <f t="shared" si="16"/>
        <v>0</v>
      </c>
      <c r="O32" s="20"/>
      <c r="P32" s="18">
        <v>24</v>
      </c>
      <c r="Q32" s="18"/>
      <c r="R32" s="18"/>
      <c r="S32" s="18"/>
    </row>
    <row r="33" spans="1:19" s="2" customFormat="1">
      <c r="A33" s="140">
        <v>8741</v>
      </c>
      <c r="B33" s="140" t="s">
        <v>72</v>
      </c>
      <c r="C33" s="140" t="s">
        <v>72</v>
      </c>
      <c r="D33" s="143" t="s">
        <v>7</v>
      </c>
      <c r="E33" s="144">
        <v>43170.572708333333</v>
      </c>
      <c r="F33" s="89">
        <f t="shared" si="9"/>
        <v>43170.572708333333</v>
      </c>
      <c r="G33" s="90" t="str">
        <f t="shared" si="10"/>
        <v>13:44</v>
      </c>
      <c r="H33" s="91" t="str">
        <f t="shared" si="11"/>
        <v>-</v>
      </c>
      <c r="I33" s="92" t="str">
        <f t="shared" si="12"/>
        <v>-</v>
      </c>
      <c r="J33" s="92" t="str">
        <f t="shared" si="13"/>
        <v>-</v>
      </c>
      <c r="K33" s="93">
        <f t="shared" si="14"/>
        <v>4.0833333333333348</v>
      </c>
      <c r="L33" s="93"/>
      <c r="M33" s="94"/>
      <c r="N33" s="94">
        <v>4</v>
      </c>
      <c r="O33" s="20"/>
      <c r="P33" s="8">
        <v>25</v>
      </c>
      <c r="Q33" s="8"/>
      <c r="R33" s="8"/>
      <c r="S33" s="8"/>
    </row>
    <row r="34" spans="1:19">
      <c r="A34" s="140">
        <v>8746</v>
      </c>
      <c r="B34" s="140" t="s">
        <v>72</v>
      </c>
      <c r="C34" s="140" t="s">
        <v>72</v>
      </c>
      <c r="D34" s="143" t="s">
        <v>8</v>
      </c>
      <c r="E34" s="144">
        <v>43170.742708333331</v>
      </c>
      <c r="F34" s="89">
        <f t="shared" si="9"/>
        <v>43170.742708333331</v>
      </c>
      <c r="G34" s="90" t="str">
        <f t="shared" si="10"/>
        <v>17:49</v>
      </c>
      <c r="H34" s="91" t="str">
        <f t="shared" si="11"/>
        <v>-</v>
      </c>
      <c r="I34" s="92" t="str">
        <f t="shared" si="12"/>
        <v>-</v>
      </c>
      <c r="J34" s="92" t="str">
        <f t="shared" si="13"/>
        <v>-</v>
      </c>
      <c r="K34" s="93">
        <f t="shared" si="14"/>
        <v>0</v>
      </c>
      <c r="L34" s="93"/>
      <c r="M34" s="94">
        <f t="shared" si="15"/>
        <v>0</v>
      </c>
      <c r="N34" s="94">
        <f t="shared" si="16"/>
        <v>0</v>
      </c>
      <c r="O34" s="20"/>
      <c r="P34" s="9">
        <v>26</v>
      </c>
    </row>
    <row r="35" spans="1:19" s="63" customFormat="1">
      <c r="A35" s="140">
        <v>8764</v>
      </c>
      <c r="B35" s="140" t="s">
        <v>71</v>
      </c>
      <c r="C35" s="140" t="s">
        <v>72</v>
      </c>
      <c r="D35" s="143" t="s">
        <v>6</v>
      </c>
      <c r="E35" s="144">
        <v>43171.366435185184</v>
      </c>
      <c r="F35" s="89">
        <f t="shared" si="9"/>
        <v>43171.366435185184</v>
      </c>
      <c r="G35" s="90" t="str">
        <f t="shared" si="10"/>
        <v>8:47</v>
      </c>
      <c r="H35" s="91">
        <f t="shared" si="11"/>
        <v>9.6666666666666661</v>
      </c>
      <c r="I35" s="92">
        <f t="shared" si="12"/>
        <v>8</v>
      </c>
      <c r="J35" s="92" t="str">
        <f t="shared" si="13"/>
        <v>-</v>
      </c>
      <c r="K35" s="93">
        <f t="shared" si="14"/>
        <v>0</v>
      </c>
      <c r="L35" s="93"/>
      <c r="M35" s="94">
        <f t="shared" si="15"/>
        <v>0</v>
      </c>
      <c r="N35" s="94">
        <f t="shared" si="16"/>
        <v>0</v>
      </c>
      <c r="O35" s="20"/>
      <c r="P35" s="18">
        <v>27</v>
      </c>
      <c r="Q35" s="18"/>
      <c r="R35" s="18"/>
      <c r="S35" s="18"/>
    </row>
    <row r="36" spans="1:19" s="63" customFormat="1">
      <c r="A36" s="140">
        <v>8777</v>
      </c>
      <c r="B36" s="140" t="s">
        <v>72</v>
      </c>
      <c r="C36" s="140" t="s">
        <v>72</v>
      </c>
      <c r="D36" s="143" t="s">
        <v>5</v>
      </c>
      <c r="E36" s="144">
        <v>43171.769074074073</v>
      </c>
      <c r="F36" s="89">
        <f t="shared" si="9"/>
        <v>43171.769074074073</v>
      </c>
      <c r="G36" s="90" t="str">
        <f t="shared" si="10"/>
        <v>18:27</v>
      </c>
      <c r="H36" s="91" t="str">
        <f t="shared" si="11"/>
        <v>-</v>
      </c>
      <c r="I36" s="92" t="str">
        <f t="shared" si="12"/>
        <v>-</v>
      </c>
      <c r="J36" s="92" t="str">
        <f t="shared" si="13"/>
        <v>-</v>
      </c>
      <c r="K36" s="93">
        <f t="shared" si="14"/>
        <v>0</v>
      </c>
      <c r="L36" s="93"/>
      <c r="M36" s="94">
        <f t="shared" si="15"/>
        <v>0</v>
      </c>
      <c r="N36" s="94">
        <f t="shared" si="16"/>
        <v>0</v>
      </c>
      <c r="O36" s="20"/>
      <c r="P36" s="18">
        <v>28</v>
      </c>
      <c r="Q36" s="18"/>
      <c r="R36" s="18"/>
      <c r="S36" s="18"/>
    </row>
    <row r="37" spans="1:19" s="63" customFormat="1">
      <c r="A37" s="140">
        <v>8778</v>
      </c>
      <c r="B37" s="140" t="s">
        <v>72</v>
      </c>
      <c r="C37" s="140" t="s">
        <v>72</v>
      </c>
      <c r="D37" s="141" t="s">
        <v>7</v>
      </c>
      <c r="E37" s="142">
        <v>43171.769131944442</v>
      </c>
      <c r="F37" s="89">
        <f t="shared" si="9"/>
        <v>43171.769131944442</v>
      </c>
      <c r="G37" s="90" t="str">
        <f t="shared" si="10"/>
        <v>18:27</v>
      </c>
      <c r="H37" s="91" t="str">
        <f t="shared" si="11"/>
        <v>-</v>
      </c>
      <c r="I37" s="92" t="str">
        <f t="shared" si="12"/>
        <v>-</v>
      </c>
      <c r="J37" s="92" t="str">
        <f t="shared" si="13"/>
        <v>-</v>
      </c>
      <c r="K37" s="93">
        <f t="shared" si="14"/>
        <v>3.3500000000000014</v>
      </c>
      <c r="L37" s="93"/>
      <c r="M37" s="94">
        <f t="shared" si="15"/>
        <v>2</v>
      </c>
      <c r="N37" s="94">
        <f t="shared" si="16"/>
        <v>1.3500000000000014</v>
      </c>
      <c r="O37" s="20"/>
      <c r="P37" s="18"/>
      <c r="Q37" s="18"/>
      <c r="R37" s="18"/>
      <c r="S37" s="18"/>
    </row>
    <row r="38" spans="1:19" s="63" customFormat="1">
      <c r="A38" s="140">
        <v>8796</v>
      </c>
      <c r="B38" s="140" t="s">
        <v>72</v>
      </c>
      <c r="C38" s="140" t="s">
        <v>72</v>
      </c>
      <c r="D38" s="143" t="s">
        <v>8</v>
      </c>
      <c r="E38" s="144">
        <v>43171.909016203703</v>
      </c>
      <c r="F38" s="89">
        <f t="shared" si="9"/>
        <v>43171.909016203703</v>
      </c>
      <c r="G38" s="90" t="str">
        <f t="shared" si="10"/>
        <v>21:48</v>
      </c>
      <c r="H38" s="91" t="str">
        <f t="shared" si="11"/>
        <v>-</v>
      </c>
      <c r="I38" s="92" t="str">
        <f t="shared" si="12"/>
        <v>-</v>
      </c>
      <c r="J38" s="92" t="str">
        <f t="shared" si="13"/>
        <v>-</v>
      </c>
      <c r="K38" s="93">
        <f t="shared" si="14"/>
        <v>0</v>
      </c>
      <c r="L38" s="93"/>
      <c r="M38" s="94">
        <f t="shared" si="15"/>
        <v>0</v>
      </c>
      <c r="N38" s="94">
        <f t="shared" si="16"/>
        <v>0</v>
      </c>
      <c r="O38" s="20"/>
      <c r="P38" s="18"/>
      <c r="Q38" s="18"/>
      <c r="R38" s="18"/>
      <c r="S38" s="18"/>
    </row>
    <row r="39" spans="1:19" s="63" customFormat="1">
      <c r="A39" s="140">
        <v>8804</v>
      </c>
      <c r="B39" s="140" t="s">
        <v>71</v>
      </c>
      <c r="C39" s="140" t="s">
        <v>72</v>
      </c>
      <c r="D39" s="143" t="s">
        <v>6</v>
      </c>
      <c r="E39" s="144">
        <v>43172.366342592592</v>
      </c>
      <c r="F39" s="89">
        <f t="shared" si="9"/>
        <v>43172.366342592592</v>
      </c>
      <c r="G39" s="90" t="str">
        <f t="shared" si="10"/>
        <v>8:47</v>
      </c>
      <c r="H39" s="91">
        <f t="shared" si="11"/>
        <v>9.7666666666666675</v>
      </c>
      <c r="I39" s="92">
        <f t="shared" si="12"/>
        <v>8</v>
      </c>
      <c r="J39" s="92" t="str">
        <f t="shared" si="13"/>
        <v>-</v>
      </c>
      <c r="K39" s="93">
        <f t="shared" si="14"/>
        <v>0</v>
      </c>
      <c r="L39" s="93"/>
      <c r="M39" s="94">
        <f t="shared" si="15"/>
        <v>0</v>
      </c>
      <c r="N39" s="94">
        <f t="shared" si="16"/>
        <v>0</v>
      </c>
      <c r="O39" s="20"/>
      <c r="P39" s="18"/>
      <c r="Q39" s="18"/>
      <c r="R39" s="18"/>
      <c r="S39" s="18"/>
    </row>
    <row r="40" spans="1:19" s="63" customFormat="1">
      <c r="A40" s="140">
        <v>8821</v>
      </c>
      <c r="B40" s="140" t="s">
        <v>72</v>
      </c>
      <c r="C40" s="140" t="s">
        <v>72</v>
      </c>
      <c r="D40" s="143" t="s">
        <v>5</v>
      </c>
      <c r="E40" s="144">
        <v>43172.773298611108</v>
      </c>
      <c r="F40" s="89">
        <f t="shared" si="9"/>
        <v>43172.773298611108</v>
      </c>
      <c r="G40" s="90" t="str">
        <f t="shared" si="10"/>
        <v>18:33</v>
      </c>
      <c r="H40" s="91" t="str">
        <f t="shared" si="11"/>
        <v>-</v>
      </c>
      <c r="I40" s="92" t="str">
        <f t="shared" si="12"/>
        <v>-</v>
      </c>
      <c r="J40" s="92" t="str">
        <f t="shared" si="13"/>
        <v>-</v>
      </c>
      <c r="K40" s="93">
        <f t="shared" si="14"/>
        <v>0</v>
      </c>
      <c r="L40" s="93"/>
      <c r="M40" s="94">
        <f t="shared" si="15"/>
        <v>0</v>
      </c>
      <c r="N40" s="94">
        <f t="shared" si="16"/>
        <v>0</v>
      </c>
      <c r="O40" s="20"/>
      <c r="P40" s="18"/>
      <c r="Q40" s="18"/>
      <c r="R40" s="18"/>
      <c r="S40" s="18"/>
    </row>
    <row r="41" spans="1:19" s="2" customFormat="1">
      <c r="A41" s="140">
        <v>8822</v>
      </c>
      <c r="B41" s="140" t="s">
        <v>72</v>
      </c>
      <c r="C41" s="140" t="s">
        <v>72</v>
      </c>
      <c r="D41" s="143" t="s">
        <v>7</v>
      </c>
      <c r="E41" s="144">
        <v>43172.773344907408</v>
      </c>
      <c r="F41" s="89">
        <f t="shared" si="9"/>
        <v>43172.773344907408</v>
      </c>
      <c r="G41" s="90" t="str">
        <f t="shared" si="10"/>
        <v>18:33</v>
      </c>
      <c r="H41" s="91" t="str">
        <f t="shared" si="11"/>
        <v>-</v>
      </c>
      <c r="I41" s="92" t="str">
        <f t="shared" si="12"/>
        <v>-</v>
      </c>
      <c r="J41" s="92" t="str">
        <f t="shared" si="13"/>
        <v>-</v>
      </c>
      <c r="K41" s="93">
        <f t="shared" si="14"/>
        <v>2.3666666666666663</v>
      </c>
      <c r="L41" s="93"/>
      <c r="M41" s="94">
        <f t="shared" si="15"/>
        <v>2</v>
      </c>
      <c r="N41" s="94">
        <f t="shared" si="16"/>
        <v>0.36666666666666625</v>
      </c>
      <c r="O41" s="20"/>
      <c r="P41" s="8"/>
      <c r="Q41" s="8"/>
      <c r="R41" s="8"/>
      <c r="S41" s="8"/>
    </row>
    <row r="42" spans="1:19">
      <c r="A42" s="140">
        <v>8832</v>
      </c>
      <c r="B42" s="140" t="s">
        <v>71</v>
      </c>
      <c r="C42" s="140" t="s">
        <v>72</v>
      </c>
      <c r="D42" s="143" t="s">
        <v>8</v>
      </c>
      <c r="E42" s="144">
        <v>43172.872094907405</v>
      </c>
      <c r="F42" s="89">
        <f t="shared" si="9"/>
        <v>43172.872094907405</v>
      </c>
      <c r="G42" s="90" t="str">
        <f t="shared" si="10"/>
        <v>20:55</v>
      </c>
      <c r="H42" s="91" t="str">
        <f t="shared" si="11"/>
        <v>-</v>
      </c>
      <c r="I42" s="92" t="str">
        <f t="shared" si="12"/>
        <v>-</v>
      </c>
      <c r="J42" s="92" t="str">
        <f t="shared" si="13"/>
        <v>-</v>
      </c>
      <c r="K42" s="93">
        <f t="shared" si="14"/>
        <v>0</v>
      </c>
      <c r="L42" s="93"/>
      <c r="M42" s="94">
        <f t="shared" si="15"/>
        <v>0</v>
      </c>
      <c r="N42" s="94">
        <f t="shared" si="16"/>
        <v>0</v>
      </c>
      <c r="O42" s="20"/>
    </row>
    <row r="43" spans="1:19" s="16" customFormat="1">
      <c r="A43" s="140">
        <v>8838</v>
      </c>
      <c r="B43" s="140" t="s">
        <v>72</v>
      </c>
      <c r="C43" s="140" t="s">
        <v>72</v>
      </c>
      <c r="D43" s="143" t="s">
        <v>6</v>
      </c>
      <c r="E43" s="144">
        <v>43173.363634259258</v>
      </c>
      <c r="F43" s="89">
        <f t="shared" si="9"/>
        <v>43173.363634259258</v>
      </c>
      <c r="G43" s="90" t="str">
        <f t="shared" si="10"/>
        <v>8:43</v>
      </c>
      <c r="H43" s="91">
        <f t="shared" si="11"/>
        <v>9.783333333333335</v>
      </c>
      <c r="I43" s="92">
        <f t="shared" si="12"/>
        <v>8</v>
      </c>
      <c r="J43" s="92" t="str">
        <f t="shared" si="13"/>
        <v>-</v>
      </c>
      <c r="K43" s="93">
        <f t="shared" si="14"/>
        <v>0</v>
      </c>
      <c r="L43" s="93"/>
      <c r="M43" s="94">
        <f t="shared" si="15"/>
        <v>0</v>
      </c>
      <c r="N43" s="94">
        <f t="shared" si="16"/>
        <v>0</v>
      </c>
      <c r="O43" s="20"/>
      <c r="P43" s="137"/>
      <c r="Q43" s="137"/>
      <c r="R43" s="137"/>
      <c r="S43" s="137"/>
    </row>
    <row r="44" spans="1:19" s="63" customFormat="1">
      <c r="A44" s="422">
        <v>8821</v>
      </c>
      <c r="B44" s="422" t="s">
        <v>72</v>
      </c>
      <c r="C44" s="422" t="s">
        <v>72</v>
      </c>
      <c r="D44" s="181" t="s">
        <v>5</v>
      </c>
      <c r="E44" s="180">
        <v>43173.771215277775</v>
      </c>
      <c r="F44" s="135">
        <f t="shared" si="9"/>
        <v>43173.771215277775</v>
      </c>
      <c r="G44" s="67" t="str">
        <f t="shared" si="10"/>
        <v>18:30</v>
      </c>
      <c r="H44" s="64" t="str">
        <f t="shared" si="11"/>
        <v>-</v>
      </c>
      <c r="I44" s="66" t="str">
        <f t="shared" si="12"/>
        <v>-</v>
      </c>
      <c r="J44" s="66" t="str">
        <f t="shared" si="13"/>
        <v>-</v>
      </c>
      <c r="K44" s="68">
        <f t="shared" si="14"/>
        <v>0</v>
      </c>
      <c r="L44" s="68"/>
      <c r="M44" s="65">
        <f t="shared" si="15"/>
        <v>0</v>
      </c>
      <c r="N44" s="65">
        <f t="shared" si="16"/>
        <v>0</v>
      </c>
      <c r="O44" s="147"/>
      <c r="P44" s="18"/>
      <c r="Q44" s="18"/>
      <c r="R44" s="18"/>
      <c r="S44" s="18"/>
    </row>
    <row r="45" spans="1:19" s="63" customFormat="1">
      <c r="A45" s="422">
        <v>8822</v>
      </c>
      <c r="B45" s="422" t="s">
        <v>72</v>
      </c>
      <c r="C45" s="422" t="s">
        <v>72</v>
      </c>
      <c r="D45" s="181" t="s">
        <v>7</v>
      </c>
      <c r="E45" s="180">
        <v>43173.771261574075</v>
      </c>
      <c r="F45" s="135">
        <f t="shared" si="9"/>
        <v>43173.771261574075</v>
      </c>
      <c r="G45" s="67" t="str">
        <f t="shared" si="10"/>
        <v>18:30</v>
      </c>
      <c r="H45" s="64" t="str">
        <f t="shared" si="11"/>
        <v>-</v>
      </c>
      <c r="I45" s="66" t="str">
        <f t="shared" si="12"/>
        <v>-</v>
      </c>
      <c r="J45" s="66" t="str">
        <f t="shared" si="13"/>
        <v>-</v>
      </c>
      <c r="K45" s="68">
        <f t="shared" si="14"/>
        <v>2.1833333333333336</v>
      </c>
      <c r="L45" s="68"/>
      <c r="M45" s="65">
        <f t="shared" si="15"/>
        <v>2</v>
      </c>
      <c r="N45" s="65">
        <f t="shared" si="16"/>
        <v>0.18333333333333357</v>
      </c>
      <c r="O45" s="147" t="s">
        <v>115</v>
      </c>
      <c r="P45" s="18"/>
      <c r="Q45" s="18"/>
      <c r="R45" s="18"/>
      <c r="S45" s="18"/>
    </row>
    <row r="46" spans="1:19">
      <c r="A46" s="140">
        <v>8867</v>
      </c>
      <c r="B46" s="140" t="s">
        <v>71</v>
      </c>
      <c r="C46" s="140" t="s">
        <v>72</v>
      </c>
      <c r="D46" s="143" t="s">
        <v>8</v>
      </c>
      <c r="E46" s="144">
        <v>43173.862118055556</v>
      </c>
      <c r="F46" s="89">
        <f t="shared" si="9"/>
        <v>43173.862118055556</v>
      </c>
      <c r="G46" s="90" t="str">
        <f t="shared" si="10"/>
        <v>20:41</v>
      </c>
      <c r="H46" s="91" t="str">
        <f t="shared" si="11"/>
        <v>-</v>
      </c>
      <c r="I46" s="92" t="str">
        <f t="shared" si="12"/>
        <v>-</v>
      </c>
      <c r="J46" s="92" t="str">
        <f t="shared" si="13"/>
        <v>-</v>
      </c>
      <c r="K46" s="93">
        <f t="shared" si="14"/>
        <v>0</v>
      </c>
      <c r="L46" s="93"/>
      <c r="M46" s="94">
        <f t="shared" si="15"/>
        <v>0</v>
      </c>
      <c r="N46" s="94">
        <f t="shared" si="16"/>
        <v>0</v>
      </c>
      <c r="O46" s="20"/>
    </row>
    <row r="47" spans="1:19">
      <c r="A47" s="140">
        <v>8872</v>
      </c>
      <c r="B47" s="140" t="s">
        <v>71</v>
      </c>
      <c r="C47" s="140" t="s">
        <v>72</v>
      </c>
      <c r="D47" s="143" t="s">
        <v>6</v>
      </c>
      <c r="E47" s="144">
        <v>43174.363125000003</v>
      </c>
      <c r="F47" s="89">
        <f t="shared" si="9"/>
        <v>43174.363125000003</v>
      </c>
      <c r="G47" s="90" t="str">
        <f t="shared" si="10"/>
        <v>8:42</v>
      </c>
      <c r="H47" s="91">
        <f t="shared" si="11"/>
        <v>9.8000000000000007</v>
      </c>
      <c r="I47" s="92">
        <f t="shared" si="12"/>
        <v>8</v>
      </c>
      <c r="J47" s="92" t="str">
        <f t="shared" si="13"/>
        <v>-</v>
      </c>
      <c r="K47" s="93">
        <f t="shared" si="14"/>
        <v>0</v>
      </c>
      <c r="L47" s="93"/>
      <c r="M47" s="94">
        <f t="shared" si="15"/>
        <v>0</v>
      </c>
      <c r="N47" s="94">
        <f t="shared" si="16"/>
        <v>0</v>
      </c>
      <c r="O47" s="20"/>
    </row>
    <row r="48" spans="1:19" s="2" customFormat="1">
      <c r="A48" s="140">
        <v>8889</v>
      </c>
      <c r="B48" s="140" t="s">
        <v>72</v>
      </c>
      <c r="C48" s="140" t="s">
        <v>72</v>
      </c>
      <c r="D48" s="143" t="s">
        <v>5</v>
      </c>
      <c r="E48" s="144">
        <v>43174.771412037036</v>
      </c>
      <c r="F48" s="89">
        <f t="shared" si="9"/>
        <v>43174.771412037036</v>
      </c>
      <c r="G48" s="90" t="str">
        <f t="shared" si="10"/>
        <v>18:30</v>
      </c>
      <c r="H48" s="91" t="str">
        <f t="shared" si="11"/>
        <v>-</v>
      </c>
      <c r="I48" s="92" t="str">
        <f t="shared" si="12"/>
        <v>-</v>
      </c>
      <c r="J48" s="92" t="str">
        <f t="shared" si="13"/>
        <v>-</v>
      </c>
      <c r="K48" s="93">
        <f t="shared" si="14"/>
        <v>0</v>
      </c>
      <c r="L48" s="93"/>
      <c r="M48" s="94">
        <f t="shared" si="15"/>
        <v>0</v>
      </c>
      <c r="N48" s="94">
        <f t="shared" si="16"/>
        <v>0</v>
      </c>
      <c r="O48" s="20"/>
      <c r="P48" s="8"/>
      <c r="Q48" s="8"/>
      <c r="R48" s="8"/>
      <c r="S48" s="8"/>
    </row>
    <row r="49" spans="1:21">
      <c r="A49" s="140">
        <v>8890</v>
      </c>
      <c r="B49" s="140" t="s">
        <v>72</v>
      </c>
      <c r="C49" s="140" t="s">
        <v>72</v>
      </c>
      <c r="D49" s="143" t="s">
        <v>7</v>
      </c>
      <c r="E49" s="144">
        <v>43174.771469907406</v>
      </c>
      <c r="F49" s="89">
        <f t="shared" si="9"/>
        <v>43174.771469907406</v>
      </c>
      <c r="G49" s="90" t="str">
        <f t="shared" si="10"/>
        <v>18:30</v>
      </c>
      <c r="H49" s="91" t="str">
        <f t="shared" si="11"/>
        <v>-</v>
      </c>
      <c r="I49" s="92" t="str">
        <f t="shared" si="12"/>
        <v>-</v>
      </c>
      <c r="J49" s="92" t="str">
        <f t="shared" si="13"/>
        <v>-</v>
      </c>
      <c r="K49" s="93">
        <f t="shared" si="14"/>
        <v>2.2333333333333334</v>
      </c>
      <c r="L49" s="93"/>
      <c r="M49" s="94">
        <f t="shared" si="15"/>
        <v>2</v>
      </c>
      <c r="N49" s="94">
        <f t="shared" si="16"/>
        <v>0.23333333333333339</v>
      </c>
      <c r="O49" s="20"/>
    </row>
    <row r="50" spans="1:21">
      <c r="A50" s="140">
        <v>8903</v>
      </c>
      <c r="B50" s="140" t="s">
        <v>71</v>
      </c>
      <c r="C50" s="140" t="s">
        <v>72</v>
      </c>
      <c r="D50" s="143" t="s">
        <v>8</v>
      </c>
      <c r="E50" s="144">
        <v>43174.864120370374</v>
      </c>
      <c r="F50" s="89">
        <f t="shared" si="9"/>
        <v>43174.864120370374</v>
      </c>
      <c r="G50" s="90" t="str">
        <f t="shared" si="10"/>
        <v>20:44</v>
      </c>
      <c r="H50" s="91" t="str">
        <f t="shared" si="11"/>
        <v>-</v>
      </c>
      <c r="I50" s="92" t="str">
        <f t="shared" si="12"/>
        <v>-</v>
      </c>
      <c r="J50" s="92" t="str">
        <f t="shared" si="13"/>
        <v>-</v>
      </c>
      <c r="K50" s="93">
        <f t="shared" si="14"/>
        <v>0</v>
      </c>
      <c r="L50" s="93"/>
      <c r="M50" s="94">
        <f t="shared" si="15"/>
        <v>0</v>
      </c>
      <c r="N50" s="94">
        <f t="shared" si="16"/>
        <v>0</v>
      </c>
      <c r="O50" s="20"/>
    </row>
    <row r="51" spans="1:21">
      <c r="A51" s="140">
        <v>8910</v>
      </c>
      <c r="B51" s="140" t="s">
        <v>72</v>
      </c>
      <c r="C51" s="140" t="s">
        <v>72</v>
      </c>
      <c r="D51" s="143" t="s">
        <v>6</v>
      </c>
      <c r="E51" s="144">
        <v>43175.363020833334</v>
      </c>
      <c r="F51" s="89">
        <f t="shared" si="9"/>
        <v>43175.363020833334</v>
      </c>
      <c r="G51" s="90" t="str">
        <f t="shared" si="10"/>
        <v>8:42</v>
      </c>
      <c r="H51" s="91">
        <f t="shared" si="11"/>
        <v>9.7333333333333343</v>
      </c>
      <c r="I51" s="92">
        <f t="shared" si="12"/>
        <v>8</v>
      </c>
      <c r="J51" s="92" t="str">
        <f t="shared" si="13"/>
        <v>-</v>
      </c>
      <c r="K51" s="93">
        <f t="shared" si="14"/>
        <v>0</v>
      </c>
      <c r="L51" s="93"/>
      <c r="M51" s="94">
        <f t="shared" si="15"/>
        <v>0</v>
      </c>
      <c r="N51" s="94">
        <f t="shared" si="16"/>
        <v>0</v>
      </c>
      <c r="O51" s="20"/>
    </row>
    <row r="52" spans="1:21">
      <c r="A52" s="140">
        <v>8920</v>
      </c>
      <c r="B52" s="140" t="s">
        <v>72</v>
      </c>
      <c r="C52" s="140" t="s">
        <v>72</v>
      </c>
      <c r="D52" s="143" t="s">
        <v>5</v>
      </c>
      <c r="E52" s="144">
        <v>43175.768587962964</v>
      </c>
      <c r="F52" s="89">
        <f t="shared" si="9"/>
        <v>43175.768587962964</v>
      </c>
      <c r="G52" s="90" t="str">
        <f t="shared" si="10"/>
        <v>18:26</v>
      </c>
      <c r="H52" s="91" t="str">
        <f t="shared" si="11"/>
        <v>-</v>
      </c>
      <c r="I52" s="92" t="str">
        <f t="shared" si="12"/>
        <v>-</v>
      </c>
      <c r="J52" s="92" t="str">
        <f t="shared" si="13"/>
        <v>-</v>
      </c>
      <c r="K52" s="93">
        <f t="shared" si="14"/>
        <v>0</v>
      </c>
      <c r="L52" s="93"/>
      <c r="M52" s="94">
        <f t="shared" si="15"/>
        <v>0</v>
      </c>
      <c r="N52" s="94">
        <f t="shared" si="16"/>
        <v>0</v>
      </c>
      <c r="O52" s="20"/>
    </row>
    <row r="53" spans="1:21" s="137" customFormat="1">
      <c r="A53" s="140">
        <v>8921</v>
      </c>
      <c r="B53" s="140" t="s">
        <v>72</v>
      </c>
      <c r="C53" s="140" t="s">
        <v>72</v>
      </c>
      <c r="D53" s="143" t="s">
        <v>7</v>
      </c>
      <c r="E53" s="144">
        <v>43175.768645833334</v>
      </c>
      <c r="F53" s="89">
        <f t="shared" si="9"/>
        <v>43175.768645833334</v>
      </c>
      <c r="G53" s="90" t="str">
        <f t="shared" si="10"/>
        <v>18:26</v>
      </c>
      <c r="H53" s="91" t="str">
        <f t="shared" si="11"/>
        <v>-</v>
      </c>
      <c r="I53" s="92" t="str">
        <f t="shared" si="12"/>
        <v>-</v>
      </c>
      <c r="J53" s="92" t="str">
        <f t="shared" si="13"/>
        <v>-</v>
      </c>
      <c r="K53" s="93">
        <f t="shared" si="14"/>
        <v>3.2999999999999989</v>
      </c>
      <c r="L53" s="93"/>
      <c r="M53" s="94">
        <f t="shared" si="15"/>
        <v>2</v>
      </c>
      <c r="N53" s="94">
        <f t="shared" si="16"/>
        <v>1.2999999999999989</v>
      </c>
      <c r="O53" s="20"/>
      <c r="T53" s="16"/>
      <c r="U53" s="16"/>
    </row>
    <row r="54" spans="1:21" s="137" customFormat="1">
      <c r="A54" s="140">
        <v>8938</v>
      </c>
      <c r="B54" s="140" t="s">
        <v>71</v>
      </c>
      <c r="C54" s="140" t="s">
        <v>72</v>
      </c>
      <c r="D54" s="143" t="s">
        <v>8</v>
      </c>
      <c r="E54" s="144">
        <v>43175.905868055554</v>
      </c>
      <c r="F54" s="89">
        <f t="shared" si="9"/>
        <v>43175.905868055554</v>
      </c>
      <c r="G54" s="90" t="str">
        <f t="shared" si="10"/>
        <v>21:44</v>
      </c>
      <c r="H54" s="91" t="str">
        <f t="shared" si="11"/>
        <v>-</v>
      </c>
      <c r="I54" s="92" t="str">
        <f t="shared" si="12"/>
        <v>-</v>
      </c>
      <c r="J54" s="92" t="str">
        <f t="shared" si="13"/>
        <v>-</v>
      </c>
      <c r="K54" s="93">
        <f t="shared" si="14"/>
        <v>0</v>
      </c>
      <c r="L54" s="93"/>
      <c r="M54" s="94">
        <f t="shared" si="15"/>
        <v>0</v>
      </c>
      <c r="N54" s="94">
        <f t="shared" si="16"/>
        <v>0</v>
      </c>
      <c r="O54" s="20"/>
      <c r="T54" s="16"/>
      <c r="U54" s="16"/>
    </row>
    <row r="55" spans="1:21" s="18" customFormat="1">
      <c r="A55" s="140">
        <v>8942</v>
      </c>
      <c r="B55" s="140" t="s">
        <v>71</v>
      </c>
      <c r="C55" s="140" t="s">
        <v>72</v>
      </c>
      <c r="D55" s="143" t="s">
        <v>7</v>
      </c>
      <c r="E55" s="144">
        <v>43176.417395833334</v>
      </c>
      <c r="F55" s="89">
        <f t="shared" si="9"/>
        <v>43176.417395833334</v>
      </c>
      <c r="G55" s="90" t="str">
        <f t="shared" si="10"/>
        <v>10:1</v>
      </c>
      <c r="H55" s="91" t="str">
        <f t="shared" si="11"/>
        <v>-</v>
      </c>
      <c r="I55" s="92" t="str">
        <f t="shared" si="12"/>
        <v>-</v>
      </c>
      <c r="J55" s="92" t="str">
        <f t="shared" si="13"/>
        <v>-</v>
      </c>
      <c r="K55" s="93">
        <f t="shared" si="14"/>
        <v>3.5833333333333326</v>
      </c>
      <c r="L55" s="93"/>
      <c r="M55" s="94">
        <f t="shared" si="15"/>
        <v>2</v>
      </c>
      <c r="N55" s="94">
        <f t="shared" si="16"/>
        <v>1.5833333333333326</v>
      </c>
      <c r="O55" s="20"/>
      <c r="T55" s="63"/>
      <c r="U55" s="63"/>
    </row>
    <row r="56" spans="1:21" s="18" customFormat="1">
      <c r="A56" s="140">
        <v>8956</v>
      </c>
      <c r="B56" s="140" t="s">
        <v>71</v>
      </c>
      <c r="C56" s="140" t="s">
        <v>72</v>
      </c>
      <c r="D56" s="143" t="s">
        <v>8</v>
      </c>
      <c r="E56" s="144">
        <v>43176.567013888889</v>
      </c>
      <c r="F56" s="89">
        <f t="shared" si="9"/>
        <v>43176.567013888889</v>
      </c>
      <c r="G56" s="90" t="str">
        <f t="shared" si="10"/>
        <v>13:36</v>
      </c>
      <c r="H56" s="91" t="str">
        <f t="shared" si="11"/>
        <v>-</v>
      </c>
      <c r="I56" s="92" t="str">
        <f t="shared" si="12"/>
        <v>-</v>
      </c>
      <c r="J56" s="92" t="str">
        <f t="shared" si="13"/>
        <v>-</v>
      </c>
      <c r="K56" s="93">
        <f t="shared" si="14"/>
        <v>0</v>
      </c>
      <c r="L56" s="93"/>
      <c r="M56" s="94">
        <f t="shared" si="15"/>
        <v>0</v>
      </c>
      <c r="N56" s="94">
        <f t="shared" si="16"/>
        <v>0</v>
      </c>
      <c r="O56" s="20"/>
      <c r="T56" s="63"/>
      <c r="U56" s="63"/>
    </row>
    <row r="57" spans="1:21" s="9" customFormat="1">
      <c r="A57" s="140">
        <v>8958</v>
      </c>
      <c r="B57" s="140" t="s">
        <v>71</v>
      </c>
      <c r="C57" s="140" t="s">
        <v>72</v>
      </c>
      <c r="D57" s="143" t="s">
        <v>7</v>
      </c>
      <c r="E57" s="144">
        <v>43176.573819444442</v>
      </c>
      <c r="F57" s="89">
        <f t="shared" si="9"/>
        <v>43176.573819444442</v>
      </c>
      <c r="G57" s="90" t="str">
        <f t="shared" si="10"/>
        <v>13:46</v>
      </c>
      <c r="H57" s="91" t="str">
        <f t="shared" si="11"/>
        <v>-</v>
      </c>
      <c r="I57" s="92" t="str">
        <f t="shared" si="12"/>
        <v>-</v>
      </c>
      <c r="J57" s="92" t="str">
        <f t="shared" si="13"/>
        <v>-</v>
      </c>
      <c r="K57" s="93">
        <f t="shared" si="14"/>
        <v>2.8833333333333311</v>
      </c>
      <c r="L57" s="93"/>
      <c r="M57" s="94"/>
      <c r="N57" s="94">
        <f>K57</f>
        <v>2.8833333333333311</v>
      </c>
      <c r="O57" s="20"/>
      <c r="T57"/>
      <c r="U57"/>
    </row>
    <row r="58" spans="1:21" s="9" customFormat="1">
      <c r="A58" s="140">
        <v>8965</v>
      </c>
      <c r="B58" s="140" t="s">
        <v>72</v>
      </c>
      <c r="C58" s="140" t="s">
        <v>72</v>
      </c>
      <c r="D58" s="143" t="s">
        <v>8</v>
      </c>
      <c r="E58" s="144">
        <v>43176.693854166668</v>
      </c>
      <c r="F58" s="89">
        <f t="shared" si="9"/>
        <v>43176.693854166668</v>
      </c>
      <c r="G58" s="90" t="str">
        <f t="shared" si="10"/>
        <v>16:39</v>
      </c>
      <c r="H58" s="91" t="str">
        <f t="shared" si="11"/>
        <v>-</v>
      </c>
      <c r="I58" s="92" t="str">
        <f t="shared" si="12"/>
        <v>-</v>
      </c>
      <c r="J58" s="92" t="str">
        <f t="shared" si="13"/>
        <v>-</v>
      </c>
      <c r="K58" s="93">
        <f t="shared" si="14"/>
        <v>0</v>
      </c>
      <c r="L58" s="93"/>
      <c r="M58" s="94">
        <f t="shared" si="15"/>
        <v>0</v>
      </c>
      <c r="N58" s="94">
        <f t="shared" si="16"/>
        <v>0</v>
      </c>
      <c r="O58" s="20"/>
      <c r="T58"/>
      <c r="U58"/>
    </row>
    <row r="59" spans="1:21" s="9" customFormat="1">
      <c r="A59" s="140">
        <v>8975</v>
      </c>
      <c r="B59" s="140" t="s">
        <v>72</v>
      </c>
      <c r="C59" s="140" t="s">
        <v>72</v>
      </c>
      <c r="D59" s="143" t="s">
        <v>6</v>
      </c>
      <c r="E59" s="144">
        <v>43178.364583333336</v>
      </c>
      <c r="F59" s="89">
        <f t="shared" si="9"/>
        <v>43178.364583333336</v>
      </c>
      <c r="G59" s="90" t="str">
        <f t="shared" si="10"/>
        <v>8:45</v>
      </c>
      <c r="H59" s="91">
        <f t="shared" si="11"/>
        <v>9.6833333333333353</v>
      </c>
      <c r="I59" s="92">
        <f t="shared" si="12"/>
        <v>8</v>
      </c>
      <c r="J59" s="92" t="str">
        <f t="shared" si="13"/>
        <v>-</v>
      </c>
      <c r="K59" s="93">
        <f t="shared" si="14"/>
        <v>0</v>
      </c>
      <c r="L59" s="93"/>
      <c r="M59" s="94">
        <f t="shared" si="15"/>
        <v>0</v>
      </c>
      <c r="N59" s="94">
        <f t="shared" si="16"/>
        <v>0</v>
      </c>
      <c r="O59" s="20"/>
      <c r="T59"/>
      <c r="U59"/>
    </row>
    <row r="60" spans="1:21" s="18" customFormat="1">
      <c r="A60" s="140">
        <v>8989</v>
      </c>
      <c r="B60" s="140" t="s">
        <v>72</v>
      </c>
      <c r="C60" s="140" t="s">
        <v>72</v>
      </c>
      <c r="D60" s="143" t="s">
        <v>5</v>
      </c>
      <c r="E60" s="144">
        <v>43178.768275462964</v>
      </c>
      <c r="F60" s="89">
        <f t="shared" si="9"/>
        <v>43178.768275462964</v>
      </c>
      <c r="G60" s="90" t="str">
        <f t="shared" si="10"/>
        <v>18:26</v>
      </c>
      <c r="H60" s="91" t="str">
        <f t="shared" si="11"/>
        <v>-</v>
      </c>
      <c r="I60" s="92" t="str">
        <f t="shared" si="12"/>
        <v>-</v>
      </c>
      <c r="J60" s="92" t="str">
        <f t="shared" si="13"/>
        <v>-</v>
      </c>
      <c r="K60" s="93">
        <f t="shared" si="14"/>
        <v>0</v>
      </c>
      <c r="L60" s="93"/>
      <c r="M60" s="94">
        <f t="shared" si="15"/>
        <v>0</v>
      </c>
      <c r="N60" s="94">
        <f t="shared" si="16"/>
        <v>0</v>
      </c>
      <c r="O60" s="20"/>
      <c r="T60" s="63"/>
      <c r="U60" s="63"/>
    </row>
    <row r="61" spans="1:21" s="9" customFormat="1">
      <c r="A61" s="140">
        <v>8990</v>
      </c>
      <c r="B61" s="140" t="s">
        <v>72</v>
      </c>
      <c r="C61" s="140" t="s">
        <v>72</v>
      </c>
      <c r="D61" s="143" t="s">
        <v>7</v>
      </c>
      <c r="E61" s="144">
        <v>43178.768321759257</v>
      </c>
      <c r="F61" s="89">
        <f t="shared" si="9"/>
        <v>43178.768321759257</v>
      </c>
      <c r="G61" s="90" t="str">
        <f t="shared" si="10"/>
        <v>18:26</v>
      </c>
      <c r="H61" s="91" t="str">
        <f t="shared" si="11"/>
        <v>-</v>
      </c>
      <c r="I61" s="92" t="str">
        <f t="shared" si="12"/>
        <v>-</v>
      </c>
      <c r="J61" s="92" t="str">
        <f t="shared" si="13"/>
        <v>-</v>
      </c>
      <c r="K61" s="93">
        <f t="shared" si="14"/>
        <v>2.3666666666666663</v>
      </c>
      <c r="L61" s="93"/>
      <c r="M61" s="94">
        <f t="shared" si="15"/>
        <v>2</v>
      </c>
      <c r="N61" s="94">
        <f t="shared" si="16"/>
        <v>0.36666666666666625</v>
      </c>
      <c r="O61" s="20"/>
      <c r="T61"/>
      <c r="U61"/>
    </row>
    <row r="62" spans="1:21" s="9" customFormat="1">
      <c r="A62" s="140">
        <v>9003</v>
      </c>
      <c r="B62" s="140" t="s">
        <v>71</v>
      </c>
      <c r="C62" s="140" t="s">
        <v>72</v>
      </c>
      <c r="D62" s="143" t="s">
        <v>8</v>
      </c>
      <c r="E62" s="144">
        <v>43178.8672337963</v>
      </c>
      <c r="F62" s="89">
        <f t="shared" si="9"/>
        <v>43178.8672337963</v>
      </c>
      <c r="G62" s="90" t="str">
        <f t="shared" si="10"/>
        <v>20:48</v>
      </c>
      <c r="H62" s="91" t="str">
        <f t="shared" si="11"/>
        <v>-</v>
      </c>
      <c r="I62" s="92" t="str">
        <f t="shared" si="12"/>
        <v>-</v>
      </c>
      <c r="J62" s="92" t="str">
        <f t="shared" si="13"/>
        <v>-</v>
      </c>
      <c r="K62" s="93">
        <f t="shared" si="14"/>
        <v>0</v>
      </c>
      <c r="L62" s="93"/>
      <c r="M62" s="94">
        <f t="shared" si="15"/>
        <v>0</v>
      </c>
      <c r="N62" s="94">
        <f t="shared" si="16"/>
        <v>0</v>
      </c>
      <c r="O62" s="20"/>
      <c r="T62"/>
      <c r="U62"/>
    </row>
    <row r="63" spans="1:21">
      <c r="A63" s="140">
        <v>9012</v>
      </c>
      <c r="B63" s="140" t="s">
        <v>72</v>
      </c>
      <c r="C63" s="140" t="s">
        <v>72</v>
      </c>
      <c r="D63" s="143" t="s">
        <v>6</v>
      </c>
      <c r="E63" s="144">
        <v>43179.366030092591</v>
      </c>
      <c r="F63" s="89">
        <f t="shared" si="9"/>
        <v>43179.366030092591</v>
      </c>
      <c r="G63" s="90" t="str">
        <f t="shared" si="10"/>
        <v>8:47</v>
      </c>
      <c r="H63" s="91">
        <f t="shared" si="11"/>
        <v>9.6833333333333318</v>
      </c>
      <c r="I63" s="92">
        <f t="shared" si="12"/>
        <v>8</v>
      </c>
      <c r="J63" s="92" t="str">
        <f t="shared" si="13"/>
        <v>-</v>
      </c>
      <c r="K63" s="93">
        <f t="shared" si="14"/>
        <v>0</v>
      </c>
      <c r="L63" s="93"/>
      <c r="M63" s="94">
        <f t="shared" si="15"/>
        <v>0</v>
      </c>
      <c r="N63" s="94">
        <f t="shared" si="16"/>
        <v>0</v>
      </c>
      <c r="O63" s="20"/>
    </row>
    <row r="64" spans="1:21">
      <c r="A64" s="140">
        <v>9025</v>
      </c>
      <c r="B64" s="140" t="s">
        <v>72</v>
      </c>
      <c r="C64" s="140" t="s">
        <v>72</v>
      </c>
      <c r="D64" s="143" t="s">
        <v>5</v>
      </c>
      <c r="E64" s="144">
        <v>43179.76971064815</v>
      </c>
      <c r="F64" s="89">
        <f t="shared" si="9"/>
        <v>43179.76971064815</v>
      </c>
      <c r="G64" s="90" t="str">
        <f t="shared" si="10"/>
        <v>18:28</v>
      </c>
      <c r="H64" s="91" t="str">
        <f t="shared" si="11"/>
        <v>-</v>
      </c>
      <c r="I64" s="92" t="str">
        <f t="shared" si="12"/>
        <v>-</v>
      </c>
      <c r="J64" s="92" t="str">
        <f t="shared" si="13"/>
        <v>-</v>
      </c>
      <c r="K64" s="93">
        <f t="shared" si="14"/>
        <v>0</v>
      </c>
      <c r="L64" s="93"/>
      <c r="M64" s="94">
        <f t="shared" si="15"/>
        <v>0</v>
      </c>
      <c r="N64" s="94">
        <f t="shared" si="16"/>
        <v>0</v>
      </c>
      <c r="O64" s="20"/>
    </row>
    <row r="65" spans="1:19">
      <c r="A65">
        <v>9026</v>
      </c>
      <c r="B65" t="s">
        <v>72</v>
      </c>
      <c r="C65" t="s">
        <v>72</v>
      </c>
      <c r="D65" s="143" t="s">
        <v>7</v>
      </c>
      <c r="E65" s="144">
        <v>43179.769756944443</v>
      </c>
      <c r="F65" s="89">
        <f t="shared" si="9"/>
        <v>43179.769756944443</v>
      </c>
      <c r="G65" s="90" t="str">
        <f t="shared" si="10"/>
        <v>18:28</v>
      </c>
      <c r="H65" s="91" t="str">
        <f t="shared" si="11"/>
        <v>-</v>
      </c>
      <c r="I65" s="92" t="str">
        <f t="shared" si="12"/>
        <v>-</v>
      </c>
      <c r="J65" s="92" t="str">
        <f t="shared" si="13"/>
        <v>-</v>
      </c>
      <c r="K65" s="93">
        <f t="shared" si="14"/>
        <v>3.3333333333335879E-2</v>
      </c>
      <c r="L65" s="93"/>
      <c r="N65" s="94">
        <f>IF(K65&gt;2,2,K65)</f>
        <v>3.3333333333335879E-2</v>
      </c>
      <c r="O65" s="20"/>
    </row>
    <row r="66" spans="1:19">
      <c r="A66">
        <v>9030</v>
      </c>
      <c r="B66" t="s">
        <v>72</v>
      </c>
      <c r="C66" t="s">
        <v>72</v>
      </c>
      <c r="D66" s="143" t="s">
        <v>8</v>
      </c>
      <c r="E66" s="144">
        <v>43179.771481481483</v>
      </c>
      <c r="F66" s="89">
        <f t="shared" si="9"/>
        <v>43179.771481481483</v>
      </c>
      <c r="G66" s="90" t="str">
        <f t="shared" si="10"/>
        <v>18:30</v>
      </c>
      <c r="H66" s="91" t="str">
        <f t="shared" si="11"/>
        <v>-</v>
      </c>
      <c r="I66" s="92" t="str">
        <f t="shared" si="12"/>
        <v>-</v>
      </c>
      <c r="J66" s="92" t="str">
        <f t="shared" si="13"/>
        <v>-</v>
      </c>
      <c r="K66" s="93">
        <f t="shared" si="14"/>
        <v>0</v>
      </c>
      <c r="L66" s="93"/>
      <c r="M66" s="94">
        <f t="shared" si="15"/>
        <v>0</v>
      </c>
      <c r="N66" s="94">
        <f t="shared" si="16"/>
        <v>0</v>
      </c>
      <c r="O66" s="20"/>
    </row>
    <row r="67" spans="1:19">
      <c r="A67">
        <v>9037</v>
      </c>
      <c r="B67" t="s">
        <v>71</v>
      </c>
      <c r="C67" t="s">
        <v>72</v>
      </c>
      <c r="D67" s="143" t="s">
        <v>7</v>
      </c>
      <c r="E67" s="144">
        <v>43179.791238425925</v>
      </c>
      <c r="F67" s="89">
        <f t="shared" si="9"/>
        <v>43179.791238425925</v>
      </c>
      <c r="G67" s="90" t="str">
        <f t="shared" si="10"/>
        <v>18:59</v>
      </c>
      <c r="H67" s="91" t="str">
        <f t="shared" si="11"/>
        <v>-</v>
      </c>
      <c r="I67" s="92" t="str">
        <f t="shared" si="12"/>
        <v>-</v>
      </c>
      <c r="J67" s="92" t="str">
        <f t="shared" si="13"/>
        <v>-</v>
      </c>
      <c r="K67" s="93">
        <f t="shared" si="14"/>
        <v>2.2166666666666641</v>
      </c>
      <c r="L67" s="93"/>
      <c r="M67" s="94">
        <f t="shared" si="15"/>
        <v>2</v>
      </c>
      <c r="N67" s="94">
        <f t="shared" si="16"/>
        <v>0.21666666666666412</v>
      </c>
      <c r="O67" s="20"/>
    </row>
    <row r="68" spans="1:19">
      <c r="A68">
        <v>9043</v>
      </c>
      <c r="B68" t="s">
        <v>71</v>
      </c>
      <c r="C68" t="s">
        <v>72</v>
      </c>
      <c r="D68" s="143" t="s">
        <v>8</v>
      </c>
      <c r="E68" s="144">
        <v>43179.883935185186</v>
      </c>
      <c r="F68" s="89">
        <f t="shared" si="9"/>
        <v>43179.883935185186</v>
      </c>
      <c r="G68" s="90" t="str">
        <f t="shared" si="10"/>
        <v>21:12</v>
      </c>
      <c r="H68" s="91" t="str">
        <f t="shared" si="11"/>
        <v>-</v>
      </c>
      <c r="I68" s="92" t="str">
        <f t="shared" si="12"/>
        <v>-</v>
      </c>
      <c r="J68" s="92" t="str">
        <f t="shared" si="13"/>
        <v>-</v>
      </c>
      <c r="K68" s="93">
        <f t="shared" si="14"/>
        <v>0</v>
      </c>
      <c r="L68" s="93"/>
      <c r="M68" s="94">
        <f t="shared" si="15"/>
        <v>0</v>
      </c>
      <c r="N68" s="94">
        <f t="shared" si="16"/>
        <v>0</v>
      </c>
      <c r="O68" s="20"/>
    </row>
    <row r="69" spans="1:19">
      <c r="A69">
        <v>9047</v>
      </c>
      <c r="B69" t="s">
        <v>72</v>
      </c>
      <c r="C69" t="s">
        <v>72</v>
      </c>
      <c r="D69" s="143" t="s">
        <v>6</v>
      </c>
      <c r="E69" s="144">
        <v>43180.364814814813</v>
      </c>
      <c r="F69" s="89">
        <f t="shared" si="9"/>
        <v>43180.364814814813</v>
      </c>
      <c r="G69" s="90" t="str">
        <f t="shared" si="10"/>
        <v>8:45</v>
      </c>
      <c r="H69" s="91">
        <f t="shared" si="11"/>
        <v>9.7500000000000018</v>
      </c>
      <c r="I69" s="92">
        <f t="shared" si="12"/>
        <v>8</v>
      </c>
      <c r="J69" s="92" t="str">
        <f t="shared" si="13"/>
        <v>-</v>
      </c>
      <c r="K69" s="93">
        <f t="shared" si="14"/>
        <v>0</v>
      </c>
      <c r="L69" s="93"/>
      <c r="M69" s="94">
        <f t="shared" si="15"/>
        <v>0</v>
      </c>
      <c r="N69" s="94">
        <f t="shared" si="16"/>
        <v>0</v>
      </c>
      <c r="O69" s="20"/>
    </row>
    <row r="70" spans="1:19">
      <c r="A70">
        <v>9064</v>
      </c>
      <c r="B70" t="s">
        <v>72</v>
      </c>
      <c r="C70" t="s">
        <v>72</v>
      </c>
      <c r="D70" s="143" t="s">
        <v>5</v>
      </c>
      <c r="E70" s="144">
        <v>43180.770972222221</v>
      </c>
      <c r="F70" s="89">
        <f t="shared" si="9"/>
        <v>43180.770972222221</v>
      </c>
      <c r="G70" s="90" t="str">
        <f t="shared" si="10"/>
        <v>18:30</v>
      </c>
      <c r="H70" s="91" t="str">
        <f t="shared" si="11"/>
        <v>-</v>
      </c>
      <c r="I70" s="92" t="str">
        <f t="shared" si="12"/>
        <v>-</v>
      </c>
      <c r="J70" s="92" t="str">
        <f t="shared" si="13"/>
        <v>-</v>
      </c>
      <c r="K70" s="93">
        <f t="shared" si="14"/>
        <v>0</v>
      </c>
      <c r="L70" s="93"/>
      <c r="M70" s="94">
        <f t="shared" si="15"/>
        <v>0</v>
      </c>
      <c r="N70" s="94">
        <f t="shared" si="16"/>
        <v>0</v>
      </c>
      <c r="O70" s="20"/>
    </row>
    <row r="71" spans="1:19">
      <c r="A71">
        <v>9065</v>
      </c>
      <c r="B71" t="s">
        <v>72</v>
      </c>
      <c r="C71" t="s">
        <v>72</v>
      </c>
      <c r="D71" s="143" t="s">
        <v>7</v>
      </c>
      <c r="E71" s="144">
        <v>43180.771018518521</v>
      </c>
      <c r="F71" s="89">
        <f t="shared" si="9"/>
        <v>43180.771018518521</v>
      </c>
      <c r="G71" s="90" t="str">
        <f t="shared" si="10"/>
        <v>18:30</v>
      </c>
      <c r="H71" s="91" t="str">
        <f t="shared" si="11"/>
        <v>-</v>
      </c>
      <c r="I71" s="92" t="str">
        <f t="shared" si="12"/>
        <v>-</v>
      </c>
      <c r="J71" s="92" t="str">
        <f t="shared" si="13"/>
        <v>-</v>
      </c>
      <c r="K71" s="93">
        <f t="shared" si="14"/>
        <v>2.1499999999999977</v>
      </c>
      <c r="L71" s="93"/>
      <c r="M71" s="94">
        <f t="shared" si="15"/>
        <v>2</v>
      </c>
      <c r="N71" s="94">
        <f t="shared" si="16"/>
        <v>0.14999999999999769</v>
      </c>
      <c r="O71" s="20"/>
    </row>
    <row r="72" spans="1:19">
      <c r="A72">
        <v>9078</v>
      </c>
      <c r="B72" t="s">
        <v>71</v>
      </c>
      <c r="C72" t="s">
        <v>72</v>
      </c>
      <c r="D72" s="143" t="s">
        <v>8</v>
      </c>
      <c r="E72" s="144">
        <v>43180.860636574071</v>
      </c>
      <c r="F72" s="89">
        <f t="shared" ref="F72:F100" si="17">E72</f>
        <v>43180.860636574071</v>
      </c>
      <c r="G72" s="90" t="str">
        <f t="shared" ref="G72:G100" si="18">HOUR(E72)&amp;":"&amp;MINUTE(E72)</f>
        <v>20:39</v>
      </c>
      <c r="H72" s="91" t="str">
        <f t="shared" ref="H72:H100" si="19">IF(D72="上班",(G73-G72)*24,"-")</f>
        <v>-</v>
      </c>
      <c r="I72" s="92" t="str">
        <f t="shared" ref="I72:I100" si="20">IF(D72="上班",IF(H72-1.5&gt;8,8,H72-1.5),"-")</f>
        <v>-</v>
      </c>
      <c r="J72" s="92" t="str">
        <f t="shared" ref="J72:J100" si="21">IF(I72&lt;8,8-I72,"-")</f>
        <v>-</v>
      </c>
      <c r="K72" s="93">
        <f t="shared" ref="K72:K100" si="22">IF(D72="加班",(G73-G72)*24,0)</f>
        <v>0</v>
      </c>
      <c r="L72" s="93"/>
      <c r="M72" s="94">
        <f t="shared" ref="M72:M100" si="23">IF(K72&gt;2,2,K72)</f>
        <v>0</v>
      </c>
      <c r="N72" s="94">
        <f t="shared" ref="N72:N100" si="24">IF(K72&gt;2,K72-2,0)</f>
        <v>0</v>
      </c>
      <c r="O72" s="20"/>
    </row>
    <row r="73" spans="1:19">
      <c r="A73">
        <v>9084</v>
      </c>
      <c r="B73" t="s">
        <v>72</v>
      </c>
      <c r="C73" t="s">
        <v>72</v>
      </c>
      <c r="D73" s="143" t="s">
        <v>6</v>
      </c>
      <c r="E73" s="144">
        <v>43181.36414351852</v>
      </c>
      <c r="F73" s="89">
        <f t="shared" si="17"/>
        <v>43181.36414351852</v>
      </c>
      <c r="G73" s="90" t="str">
        <f t="shared" si="18"/>
        <v>8:44</v>
      </c>
      <c r="H73" s="91">
        <f t="shared" si="19"/>
        <v>9.6</v>
      </c>
      <c r="I73" s="92">
        <f t="shared" si="20"/>
        <v>8</v>
      </c>
      <c r="J73" s="92" t="str">
        <f t="shared" si="21"/>
        <v>-</v>
      </c>
      <c r="K73" s="93">
        <f t="shared" si="22"/>
        <v>0</v>
      </c>
      <c r="L73" s="93"/>
      <c r="M73" s="94">
        <f t="shared" si="23"/>
        <v>0</v>
      </c>
      <c r="N73" s="94">
        <f t="shared" si="24"/>
        <v>0</v>
      </c>
      <c r="O73" s="20"/>
    </row>
    <row r="74" spans="1:19">
      <c r="A74">
        <v>9096</v>
      </c>
      <c r="B74" t="s">
        <v>72</v>
      </c>
      <c r="C74" t="s">
        <v>72</v>
      </c>
      <c r="D74" s="143" t="s">
        <v>5</v>
      </c>
      <c r="E74" s="144">
        <v>43181.764143518521</v>
      </c>
      <c r="F74" s="89">
        <f t="shared" si="17"/>
        <v>43181.764143518521</v>
      </c>
      <c r="G74" s="90" t="str">
        <f t="shared" si="18"/>
        <v>18:20</v>
      </c>
      <c r="H74" s="91" t="str">
        <f t="shared" si="19"/>
        <v>-</v>
      </c>
      <c r="I74" s="92" t="str">
        <f t="shared" si="20"/>
        <v>-</v>
      </c>
      <c r="J74" s="92" t="str">
        <f t="shared" si="21"/>
        <v>-</v>
      </c>
      <c r="K74" s="93">
        <f t="shared" si="22"/>
        <v>0</v>
      </c>
      <c r="L74" s="93"/>
      <c r="M74" s="94">
        <f t="shared" si="23"/>
        <v>0</v>
      </c>
      <c r="N74" s="94">
        <f t="shared" si="24"/>
        <v>0</v>
      </c>
      <c r="O74" s="20"/>
    </row>
    <row r="75" spans="1:19">
      <c r="A75">
        <v>9097</v>
      </c>
      <c r="B75" t="s">
        <v>72</v>
      </c>
      <c r="C75" t="s">
        <v>72</v>
      </c>
      <c r="D75" s="143" t="s">
        <v>7</v>
      </c>
      <c r="E75" s="144">
        <v>43181.764189814814</v>
      </c>
      <c r="F75" s="89">
        <f t="shared" si="17"/>
        <v>43181.764189814814</v>
      </c>
      <c r="G75" s="90" t="str">
        <f t="shared" si="18"/>
        <v>18:20</v>
      </c>
      <c r="H75" s="91" t="str">
        <f t="shared" si="19"/>
        <v>-</v>
      </c>
      <c r="I75" s="92" t="str">
        <f t="shared" si="20"/>
        <v>-</v>
      </c>
      <c r="J75" s="92" t="str">
        <f t="shared" si="21"/>
        <v>-</v>
      </c>
      <c r="K75" s="93">
        <f t="shared" si="22"/>
        <v>0.76666666666666927</v>
      </c>
      <c r="L75" s="93"/>
      <c r="N75" s="94">
        <f>IF(K75&gt;2,2,K75)</f>
        <v>0.76666666666666927</v>
      </c>
      <c r="O75" s="20"/>
    </row>
    <row r="76" spans="1:19">
      <c r="A76">
        <v>9104</v>
      </c>
      <c r="B76" t="s">
        <v>71</v>
      </c>
      <c r="C76" t="s">
        <v>72</v>
      </c>
      <c r="D76" s="143" t="s">
        <v>8</v>
      </c>
      <c r="E76" s="144">
        <v>43181.796226851853</v>
      </c>
      <c r="F76" s="89">
        <f t="shared" si="17"/>
        <v>43181.796226851853</v>
      </c>
      <c r="G76" s="90" t="str">
        <f t="shared" si="18"/>
        <v>19:6</v>
      </c>
      <c r="H76" s="91" t="str">
        <f t="shared" si="19"/>
        <v>-</v>
      </c>
      <c r="I76" s="92" t="str">
        <f t="shared" si="20"/>
        <v>-</v>
      </c>
      <c r="J76" s="92" t="str">
        <f t="shared" si="21"/>
        <v>-</v>
      </c>
      <c r="K76" s="93">
        <f t="shared" si="22"/>
        <v>0</v>
      </c>
      <c r="L76" s="93"/>
      <c r="M76" s="94">
        <f t="shared" si="23"/>
        <v>0</v>
      </c>
      <c r="N76" s="94">
        <f t="shared" si="24"/>
        <v>0</v>
      </c>
      <c r="O76" s="20"/>
    </row>
    <row r="77" spans="1:19" s="16" customFormat="1">
      <c r="A77" s="16">
        <v>9097</v>
      </c>
      <c r="B77" s="16" t="s">
        <v>72</v>
      </c>
      <c r="C77" s="16" t="s">
        <v>72</v>
      </c>
      <c r="D77" s="138" t="s">
        <v>7</v>
      </c>
      <c r="E77" s="146">
        <v>43181.805856481478</v>
      </c>
      <c r="F77" s="31">
        <f t="shared" si="17"/>
        <v>43181.805856481478</v>
      </c>
      <c r="G77" s="32" t="str">
        <f t="shared" si="18"/>
        <v>19:20</v>
      </c>
      <c r="H77" s="33" t="str">
        <f t="shared" si="19"/>
        <v>-</v>
      </c>
      <c r="I77" s="58" t="str">
        <f t="shared" si="20"/>
        <v>-</v>
      </c>
      <c r="J77" s="58" t="str">
        <f t="shared" si="21"/>
        <v>-</v>
      </c>
      <c r="K77" s="34">
        <f t="shared" si="22"/>
        <v>3.1000000000000023</v>
      </c>
      <c r="L77" s="34"/>
      <c r="M77" s="35">
        <f t="shared" si="23"/>
        <v>2</v>
      </c>
      <c r="N77" s="35">
        <f t="shared" si="24"/>
        <v>1.1000000000000023</v>
      </c>
      <c r="O77" s="147" t="s">
        <v>115</v>
      </c>
      <c r="P77" s="137"/>
      <c r="Q77" s="137"/>
      <c r="R77" s="137"/>
      <c r="S77" s="137"/>
    </row>
    <row r="78" spans="1:19">
      <c r="A78">
        <v>9113</v>
      </c>
      <c r="B78" t="s">
        <v>71</v>
      </c>
      <c r="C78" t="s">
        <v>72</v>
      </c>
      <c r="D78" s="143" t="s">
        <v>8</v>
      </c>
      <c r="E78" s="144">
        <v>43181.934814814813</v>
      </c>
      <c r="F78" s="89">
        <f t="shared" si="17"/>
        <v>43181.934814814813</v>
      </c>
      <c r="G78" s="90" t="str">
        <f t="shared" si="18"/>
        <v>22:26</v>
      </c>
      <c r="H78" s="91" t="str">
        <f t="shared" si="19"/>
        <v>-</v>
      </c>
      <c r="I78" s="92" t="str">
        <f t="shared" si="20"/>
        <v>-</v>
      </c>
      <c r="J78" s="92" t="str">
        <f t="shared" si="21"/>
        <v>-</v>
      </c>
      <c r="K78" s="93">
        <f t="shared" si="22"/>
        <v>0</v>
      </c>
      <c r="L78" s="93"/>
      <c r="M78" s="94">
        <f t="shared" si="23"/>
        <v>0</v>
      </c>
      <c r="N78" s="94">
        <f t="shared" si="24"/>
        <v>0</v>
      </c>
      <c r="O78" s="20"/>
    </row>
    <row r="79" spans="1:19">
      <c r="A79">
        <v>9121</v>
      </c>
      <c r="B79" t="s">
        <v>72</v>
      </c>
      <c r="C79" t="s">
        <v>72</v>
      </c>
      <c r="D79" s="143" t="s">
        <v>6</v>
      </c>
      <c r="E79" s="144">
        <v>43182.365787037037</v>
      </c>
      <c r="F79" s="89">
        <f t="shared" si="17"/>
        <v>43182.365787037037</v>
      </c>
      <c r="G79" s="90" t="str">
        <f t="shared" si="18"/>
        <v>8:46</v>
      </c>
      <c r="H79" s="91">
        <f t="shared" si="19"/>
        <v>9.6666666666666679</v>
      </c>
      <c r="I79" s="92">
        <f t="shared" si="20"/>
        <v>8</v>
      </c>
      <c r="J79" s="92" t="str">
        <f t="shared" si="21"/>
        <v>-</v>
      </c>
      <c r="K79" s="93">
        <f t="shared" si="22"/>
        <v>0</v>
      </c>
      <c r="L79" s="93"/>
      <c r="M79" s="94">
        <f t="shared" si="23"/>
        <v>0</v>
      </c>
      <c r="N79" s="94">
        <f t="shared" si="24"/>
        <v>0</v>
      </c>
      <c r="O79" s="20"/>
    </row>
    <row r="80" spans="1:19">
      <c r="A80">
        <v>9130</v>
      </c>
      <c r="B80" t="s">
        <v>72</v>
      </c>
      <c r="C80" t="s">
        <v>72</v>
      </c>
      <c r="D80" s="143" t="s">
        <v>5</v>
      </c>
      <c r="E80" s="144">
        <v>43182.768171296295</v>
      </c>
      <c r="F80" s="89">
        <f t="shared" si="17"/>
        <v>43182.768171296295</v>
      </c>
      <c r="G80" s="90" t="str">
        <f t="shared" si="18"/>
        <v>18:26</v>
      </c>
      <c r="H80" s="91" t="str">
        <f t="shared" si="19"/>
        <v>-</v>
      </c>
      <c r="I80" s="92" t="str">
        <f t="shared" si="20"/>
        <v>-</v>
      </c>
      <c r="J80" s="92" t="str">
        <f t="shared" si="21"/>
        <v>-</v>
      </c>
      <c r="K80" s="93">
        <f t="shared" si="22"/>
        <v>0</v>
      </c>
      <c r="L80" s="93"/>
      <c r="M80" s="94">
        <f t="shared" si="23"/>
        <v>0</v>
      </c>
      <c r="N80" s="94">
        <f t="shared" si="24"/>
        <v>0</v>
      </c>
      <c r="O80" s="20"/>
    </row>
    <row r="81" spans="1:15">
      <c r="A81">
        <v>9140</v>
      </c>
      <c r="B81" t="s">
        <v>72</v>
      </c>
      <c r="C81" t="s">
        <v>72</v>
      </c>
      <c r="D81" s="143" t="s">
        <v>6</v>
      </c>
      <c r="E81" s="144">
        <v>43185.364085648151</v>
      </c>
      <c r="F81" s="89">
        <f t="shared" si="17"/>
        <v>43185.364085648151</v>
      </c>
      <c r="G81" s="90" t="str">
        <f t="shared" si="18"/>
        <v>8:44</v>
      </c>
      <c r="H81" s="91">
        <f t="shared" si="19"/>
        <v>9.6833333333333353</v>
      </c>
      <c r="I81" s="92">
        <f t="shared" si="20"/>
        <v>8</v>
      </c>
      <c r="J81" s="92" t="str">
        <f t="shared" si="21"/>
        <v>-</v>
      </c>
      <c r="K81" s="93">
        <f t="shared" si="22"/>
        <v>0</v>
      </c>
      <c r="L81" s="93"/>
      <c r="M81" s="94">
        <f t="shared" si="23"/>
        <v>0</v>
      </c>
      <c r="N81" s="94">
        <f t="shared" si="24"/>
        <v>0</v>
      </c>
      <c r="O81" s="20"/>
    </row>
    <row r="82" spans="1:15">
      <c r="A82">
        <v>9147</v>
      </c>
      <c r="B82" t="s">
        <v>72</v>
      </c>
      <c r="C82" t="s">
        <v>72</v>
      </c>
      <c r="D82" s="143" t="s">
        <v>5</v>
      </c>
      <c r="E82" s="144">
        <v>43185.767766203702</v>
      </c>
      <c r="F82" s="89">
        <f t="shared" si="17"/>
        <v>43185.767766203702</v>
      </c>
      <c r="G82" s="90" t="str">
        <f t="shared" si="18"/>
        <v>18:25</v>
      </c>
      <c r="H82" s="91" t="str">
        <f t="shared" si="19"/>
        <v>-</v>
      </c>
      <c r="I82" s="92" t="str">
        <f t="shared" si="20"/>
        <v>-</v>
      </c>
      <c r="J82" s="92" t="str">
        <f t="shared" si="21"/>
        <v>-</v>
      </c>
      <c r="K82" s="93">
        <f t="shared" si="22"/>
        <v>0</v>
      </c>
      <c r="L82" s="93"/>
      <c r="M82" s="94">
        <f t="shared" si="23"/>
        <v>0</v>
      </c>
      <c r="N82" s="94">
        <f t="shared" si="24"/>
        <v>0</v>
      </c>
      <c r="O82" s="20"/>
    </row>
    <row r="83" spans="1:15">
      <c r="A83">
        <v>9148</v>
      </c>
      <c r="B83" t="s">
        <v>72</v>
      </c>
      <c r="C83" t="s">
        <v>72</v>
      </c>
      <c r="D83" s="143" t="s">
        <v>7</v>
      </c>
      <c r="E83" s="144">
        <v>43185.767824074072</v>
      </c>
      <c r="F83" s="89">
        <f t="shared" si="17"/>
        <v>43185.767824074072</v>
      </c>
      <c r="G83" s="90" t="str">
        <f t="shared" si="18"/>
        <v>18:25</v>
      </c>
      <c r="H83" s="91" t="str">
        <f t="shared" si="19"/>
        <v>-</v>
      </c>
      <c r="I83" s="92" t="str">
        <f t="shared" si="20"/>
        <v>-</v>
      </c>
      <c r="J83" s="92" t="str">
        <f t="shared" si="21"/>
        <v>-</v>
      </c>
      <c r="K83" s="93">
        <f t="shared" si="22"/>
        <v>1.5333333333333306</v>
      </c>
      <c r="L83" s="93"/>
      <c r="M83" s="94">
        <f t="shared" si="23"/>
        <v>1.5333333333333306</v>
      </c>
      <c r="N83" s="94">
        <f t="shared" si="24"/>
        <v>0</v>
      </c>
      <c r="O83" s="20"/>
    </row>
    <row r="84" spans="1:15">
      <c r="A84">
        <v>9158</v>
      </c>
      <c r="B84" t="s">
        <v>72</v>
      </c>
      <c r="C84" t="s">
        <v>72</v>
      </c>
      <c r="D84" s="143" t="s">
        <v>8</v>
      </c>
      <c r="E84" s="144">
        <v>43185.831458333334</v>
      </c>
      <c r="F84" s="89">
        <f t="shared" si="17"/>
        <v>43185.831458333334</v>
      </c>
      <c r="G84" s="90" t="str">
        <f t="shared" si="18"/>
        <v>19:57</v>
      </c>
      <c r="H84" s="91" t="str">
        <f t="shared" si="19"/>
        <v>-</v>
      </c>
      <c r="I84" s="92" t="str">
        <f t="shared" si="20"/>
        <v>-</v>
      </c>
      <c r="J84" s="92" t="str">
        <f t="shared" si="21"/>
        <v>-</v>
      </c>
      <c r="K84" s="93">
        <f t="shared" si="22"/>
        <v>0</v>
      </c>
      <c r="L84" s="93"/>
      <c r="M84" s="94">
        <f t="shared" si="23"/>
        <v>0</v>
      </c>
      <c r="N84" s="94">
        <f t="shared" si="24"/>
        <v>0</v>
      </c>
      <c r="O84" s="20"/>
    </row>
    <row r="85" spans="1:15">
      <c r="A85">
        <v>9166</v>
      </c>
      <c r="B85" t="s">
        <v>72</v>
      </c>
      <c r="C85" t="s">
        <v>72</v>
      </c>
      <c r="D85" s="143" t="s">
        <v>6</v>
      </c>
      <c r="E85" s="144">
        <v>43186.364432870374</v>
      </c>
      <c r="F85" s="89">
        <f t="shared" si="17"/>
        <v>43186.364432870374</v>
      </c>
      <c r="G85" s="90" t="str">
        <f t="shared" si="18"/>
        <v>8:44</v>
      </c>
      <c r="H85" s="91">
        <f t="shared" si="19"/>
        <v>9.8166666666666682</v>
      </c>
      <c r="I85" s="92">
        <f t="shared" si="20"/>
        <v>8</v>
      </c>
      <c r="J85" s="92" t="str">
        <f t="shared" si="21"/>
        <v>-</v>
      </c>
      <c r="K85" s="93">
        <f t="shared" si="22"/>
        <v>0</v>
      </c>
      <c r="L85" s="93"/>
      <c r="M85" s="94">
        <f t="shared" si="23"/>
        <v>0</v>
      </c>
      <c r="N85" s="94">
        <f t="shared" si="24"/>
        <v>0</v>
      </c>
      <c r="O85" s="20"/>
    </row>
    <row r="86" spans="1:15">
      <c r="A86">
        <v>9176</v>
      </c>
      <c r="B86" t="s">
        <v>71</v>
      </c>
      <c r="C86" t="s">
        <v>72</v>
      </c>
      <c r="D86" s="143" t="s">
        <v>5</v>
      </c>
      <c r="E86" s="144">
        <v>43186.773310185185</v>
      </c>
      <c r="F86" s="89">
        <f t="shared" si="17"/>
        <v>43186.773310185185</v>
      </c>
      <c r="G86" s="90" t="str">
        <f t="shared" si="18"/>
        <v>18:33</v>
      </c>
      <c r="H86" s="91" t="str">
        <f t="shared" si="19"/>
        <v>-</v>
      </c>
      <c r="I86" s="92" t="str">
        <f t="shared" si="20"/>
        <v>-</v>
      </c>
      <c r="J86" s="92" t="str">
        <f t="shared" si="21"/>
        <v>-</v>
      </c>
      <c r="K86" s="93">
        <f t="shared" si="22"/>
        <v>0</v>
      </c>
      <c r="L86" s="93"/>
      <c r="M86" s="94">
        <f t="shared" si="23"/>
        <v>0</v>
      </c>
      <c r="N86" s="94">
        <f t="shared" si="24"/>
        <v>0</v>
      </c>
      <c r="O86" s="20"/>
    </row>
    <row r="87" spans="1:15">
      <c r="A87">
        <v>9177</v>
      </c>
      <c r="B87" t="s">
        <v>71</v>
      </c>
      <c r="C87" t="s">
        <v>72</v>
      </c>
      <c r="D87" s="143" t="s">
        <v>7</v>
      </c>
      <c r="E87" s="144">
        <v>43186.773344907408</v>
      </c>
      <c r="F87" s="89">
        <f t="shared" si="17"/>
        <v>43186.773344907408</v>
      </c>
      <c r="G87" s="90" t="str">
        <f t="shared" si="18"/>
        <v>18:33</v>
      </c>
      <c r="H87" s="91" t="str">
        <f t="shared" si="19"/>
        <v>-</v>
      </c>
      <c r="I87" s="92" t="str">
        <f t="shared" si="20"/>
        <v>-</v>
      </c>
      <c r="J87" s="92" t="str">
        <f t="shared" si="21"/>
        <v>-</v>
      </c>
      <c r="K87" s="93">
        <f t="shared" si="22"/>
        <v>1.4500000000000002</v>
      </c>
      <c r="L87" s="93"/>
      <c r="M87" s="94">
        <f t="shared" si="23"/>
        <v>1.4500000000000002</v>
      </c>
      <c r="N87" s="94">
        <f t="shared" si="24"/>
        <v>0</v>
      </c>
      <c r="O87" s="20"/>
    </row>
    <row r="88" spans="1:15">
      <c r="A88">
        <v>9185</v>
      </c>
      <c r="B88" t="s">
        <v>71</v>
      </c>
      <c r="C88" t="s">
        <v>72</v>
      </c>
      <c r="D88" s="143" t="s">
        <v>8</v>
      </c>
      <c r="E88" s="144">
        <v>43186.833564814813</v>
      </c>
      <c r="F88" s="89">
        <f t="shared" si="17"/>
        <v>43186.833564814813</v>
      </c>
      <c r="G88" s="90" t="str">
        <f t="shared" si="18"/>
        <v>20:0</v>
      </c>
      <c r="H88" s="91" t="str">
        <f t="shared" si="19"/>
        <v>-</v>
      </c>
      <c r="I88" s="92" t="str">
        <f t="shared" si="20"/>
        <v>-</v>
      </c>
      <c r="J88" s="92" t="str">
        <f t="shared" si="21"/>
        <v>-</v>
      </c>
      <c r="K88" s="93">
        <f t="shared" si="22"/>
        <v>0</v>
      </c>
      <c r="L88" s="93"/>
      <c r="M88" s="94">
        <f t="shared" si="23"/>
        <v>0</v>
      </c>
      <c r="N88" s="94">
        <f t="shared" si="24"/>
        <v>0</v>
      </c>
      <c r="O88" s="20"/>
    </row>
    <row r="89" spans="1:15">
      <c r="A89">
        <v>9195</v>
      </c>
      <c r="B89" t="s">
        <v>72</v>
      </c>
      <c r="C89" t="s">
        <v>72</v>
      </c>
      <c r="D89" s="143" t="s">
        <v>6</v>
      </c>
      <c r="E89" s="144">
        <v>43187.364629629628</v>
      </c>
      <c r="F89" s="89">
        <f t="shared" si="17"/>
        <v>43187.364629629628</v>
      </c>
      <c r="G89" s="90" t="str">
        <f t="shared" si="18"/>
        <v>8:45</v>
      </c>
      <c r="H89" s="91">
        <f t="shared" si="19"/>
        <v>9.7500000000000018</v>
      </c>
      <c r="I89" s="92">
        <f t="shared" si="20"/>
        <v>8</v>
      </c>
      <c r="J89" s="92" t="str">
        <f t="shared" si="21"/>
        <v>-</v>
      </c>
      <c r="K89" s="93">
        <f t="shared" si="22"/>
        <v>0</v>
      </c>
      <c r="L89" s="93"/>
      <c r="M89" s="94">
        <f t="shared" si="23"/>
        <v>0</v>
      </c>
      <c r="N89" s="94">
        <f t="shared" si="24"/>
        <v>0</v>
      </c>
      <c r="O89" s="20"/>
    </row>
    <row r="90" spans="1:15">
      <c r="A90">
        <v>9205</v>
      </c>
      <c r="B90" t="s">
        <v>72</v>
      </c>
      <c r="C90" t="s">
        <v>72</v>
      </c>
      <c r="D90" s="143" t="s">
        <v>5</v>
      </c>
      <c r="E90" s="144">
        <v>43187.771296296298</v>
      </c>
      <c r="F90" s="89">
        <f t="shared" si="17"/>
        <v>43187.771296296298</v>
      </c>
      <c r="G90" s="90" t="str">
        <f t="shared" si="18"/>
        <v>18:30</v>
      </c>
      <c r="H90" s="91" t="str">
        <f t="shared" si="19"/>
        <v>-</v>
      </c>
      <c r="I90" s="92" t="str">
        <f t="shared" si="20"/>
        <v>-</v>
      </c>
      <c r="J90" s="92" t="str">
        <f t="shared" si="21"/>
        <v>-</v>
      </c>
      <c r="K90" s="93">
        <f t="shared" si="22"/>
        <v>0</v>
      </c>
      <c r="L90" s="93"/>
      <c r="M90" s="94">
        <f t="shared" si="23"/>
        <v>0</v>
      </c>
      <c r="N90" s="94">
        <f t="shared" si="24"/>
        <v>0</v>
      </c>
      <c r="O90" s="20"/>
    </row>
    <row r="91" spans="1:15">
      <c r="A91">
        <v>9206</v>
      </c>
      <c r="B91" t="s">
        <v>72</v>
      </c>
      <c r="C91" t="s">
        <v>72</v>
      </c>
      <c r="D91" s="143" t="s">
        <v>7</v>
      </c>
      <c r="E91" s="144">
        <v>43187.771377314813</v>
      </c>
      <c r="F91" s="89">
        <f t="shared" si="17"/>
        <v>43187.771377314813</v>
      </c>
      <c r="G91" s="90" t="str">
        <f t="shared" si="18"/>
        <v>18:30</v>
      </c>
      <c r="H91" s="91" t="str">
        <f t="shared" si="19"/>
        <v>-</v>
      </c>
      <c r="I91" s="92" t="str">
        <f t="shared" si="20"/>
        <v>-</v>
      </c>
      <c r="J91" s="92" t="str">
        <f t="shared" si="21"/>
        <v>-</v>
      </c>
      <c r="K91" s="93">
        <f t="shared" si="22"/>
        <v>2.2999999999999998</v>
      </c>
      <c r="L91" s="93"/>
      <c r="M91" s="94">
        <f t="shared" si="23"/>
        <v>2</v>
      </c>
      <c r="N91" s="94">
        <f t="shared" si="24"/>
        <v>0.29999999999999982</v>
      </c>
      <c r="O91" s="20"/>
    </row>
    <row r="92" spans="1:15">
      <c r="A92">
        <v>9222</v>
      </c>
      <c r="B92" t="s">
        <v>97</v>
      </c>
      <c r="C92" t="s">
        <v>72</v>
      </c>
      <c r="D92" s="143" t="s">
        <v>8</v>
      </c>
      <c r="E92" s="144">
        <v>43187.866747685184</v>
      </c>
      <c r="F92" s="89">
        <f t="shared" si="17"/>
        <v>43187.866747685184</v>
      </c>
      <c r="G92" s="90" t="str">
        <f t="shared" si="18"/>
        <v>20:48</v>
      </c>
      <c r="H92" s="91" t="str">
        <f t="shared" si="19"/>
        <v>-</v>
      </c>
      <c r="I92" s="92" t="str">
        <f t="shared" si="20"/>
        <v>-</v>
      </c>
      <c r="J92" s="92" t="str">
        <f t="shared" si="21"/>
        <v>-</v>
      </c>
      <c r="K92" s="93">
        <f t="shared" si="22"/>
        <v>0</v>
      </c>
      <c r="L92" s="93"/>
      <c r="M92" s="94">
        <f t="shared" si="23"/>
        <v>0</v>
      </c>
      <c r="N92" s="94">
        <f t="shared" si="24"/>
        <v>0</v>
      </c>
      <c r="O92" s="20"/>
    </row>
    <row r="93" spans="1:15">
      <c r="A93">
        <v>9229</v>
      </c>
      <c r="B93" t="s">
        <v>72</v>
      </c>
      <c r="C93" t="s">
        <v>72</v>
      </c>
      <c r="D93" s="143" t="s">
        <v>6</v>
      </c>
      <c r="E93" s="144">
        <v>43188.364247685182</v>
      </c>
      <c r="F93" s="89">
        <f t="shared" si="17"/>
        <v>43188.364247685182</v>
      </c>
      <c r="G93" s="90" t="str">
        <f t="shared" si="18"/>
        <v>8:44</v>
      </c>
      <c r="H93" s="91">
        <f t="shared" si="19"/>
        <v>9.8000000000000007</v>
      </c>
      <c r="I93" s="92">
        <f t="shared" si="20"/>
        <v>8</v>
      </c>
      <c r="J93" s="92" t="str">
        <f t="shared" si="21"/>
        <v>-</v>
      </c>
      <c r="K93" s="93">
        <f t="shared" si="22"/>
        <v>0</v>
      </c>
      <c r="L93" s="93"/>
      <c r="M93" s="94">
        <f t="shared" si="23"/>
        <v>0</v>
      </c>
      <c r="N93" s="94">
        <f t="shared" si="24"/>
        <v>0</v>
      </c>
      <c r="O93" s="20"/>
    </row>
    <row r="94" spans="1:15">
      <c r="A94">
        <v>9243</v>
      </c>
      <c r="B94" t="s">
        <v>71</v>
      </c>
      <c r="C94" t="s">
        <v>72</v>
      </c>
      <c r="D94" s="143" t="s">
        <v>5</v>
      </c>
      <c r="E94" s="144">
        <v>43188.772650462961</v>
      </c>
      <c r="F94" s="89">
        <f t="shared" si="17"/>
        <v>43188.772650462961</v>
      </c>
      <c r="G94" s="90" t="str">
        <f t="shared" si="18"/>
        <v>18:32</v>
      </c>
      <c r="H94" s="91" t="str">
        <f t="shared" si="19"/>
        <v>-</v>
      </c>
      <c r="I94" s="92" t="str">
        <f t="shared" si="20"/>
        <v>-</v>
      </c>
      <c r="J94" s="92" t="str">
        <f t="shared" si="21"/>
        <v>-</v>
      </c>
      <c r="K94" s="93">
        <f t="shared" si="22"/>
        <v>0</v>
      </c>
      <c r="L94" s="93"/>
      <c r="M94" s="94">
        <f t="shared" si="23"/>
        <v>0</v>
      </c>
      <c r="N94" s="94">
        <f t="shared" si="24"/>
        <v>0</v>
      </c>
      <c r="O94" s="20"/>
    </row>
    <row r="95" spans="1:15">
      <c r="A95">
        <v>9244</v>
      </c>
      <c r="B95" t="s">
        <v>71</v>
      </c>
      <c r="C95" t="s">
        <v>72</v>
      </c>
      <c r="D95" s="143" t="s">
        <v>7</v>
      </c>
      <c r="E95" s="144">
        <v>43188.772685185184</v>
      </c>
      <c r="F95" s="89">
        <f t="shared" si="17"/>
        <v>43188.772685185184</v>
      </c>
      <c r="G95" s="90" t="str">
        <f t="shared" si="18"/>
        <v>18:32</v>
      </c>
      <c r="H95" s="91" t="str">
        <f t="shared" si="19"/>
        <v>-</v>
      </c>
      <c r="I95" s="92" t="str">
        <f t="shared" si="20"/>
        <v>-</v>
      </c>
      <c r="J95" s="92" t="str">
        <f t="shared" si="21"/>
        <v>-</v>
      </c>
      <c r="K95" s="93">
        <f t="shared" si="22"/>
        <v>1.8166666666666682</v>
      </c>
      <c r="L95" s="93"/>
      <c r="M95" s="94">
        <f t="shared" si="23"/>
        <v>1.8166666666666682</v>
      </c>
      <c r="N95" s="94">
        <f t="shared" si="24"/>
        <v>0</v>
      </c>
      <c r="O95" s="20"/>
    </row>
    <row r="96" spans="1:15">
      <c r="A96">
        <v>9256</v>
      </c>
      <c r="B96" t="s">
        <v>71</v>
      </c>
      <c r="C96" t="s">
        <v>72</v>
      </c>
      <c r="D96" s="143" t="s">
        <v>8</v>
      </c>
      <c r="E96" s="144">
        <v>43188.848252314812</v>
      </c>
      <c r="F96" s="89">
        <f t="shared" si="17"/>
        <v>43188.848252314812</v>
      </c>
      <c r="G96" s="90" t="str">
        <f t="shared" si="18"/>
        <v>20:21</v>
      </c>
      <c r="H96" s="91" t="str">
        <f t="shared" si="19"/>
        <v>-</v>
      </c>
      <c r="I96" s="92" t="str">
        <f t="shared" si="20"/>
        <v>-</v>
      </c>
      <c r="J96" s="92" t="str">
        <f t="shared" si="21"/>
        <v>-</v>
      </c>
      <c r="K96" s="93">
        <f t="shared" si="22"/>
        <v>0</v>
      </c>
      <c r="L96" s="93"/>
      <c r="M96" s="94">
        <f t="shared" si="23"/>
        <v>0</v>
      </c>
      <c r="N96" s="94">
        <f t="shared" si="24"/>
        <v>0</v>
      </c>
      <c r="O96" s="20"/>
    </row>
    <row r="97" spans="1:15">
      <c r="A97">
        <v>9261</v>
      </c>
      <c r="B97" t="s">
        <v>71</v>
      </c>
      <c r="C97" t="s">
        <v>72</v>
      </c>
      <c r="D97" s="143" t="s">
        <v>6</v>
      </c>
      <c r="E97" s="144">
        <v>43189.364664351851</v>
      </c>
      <c r="F97" s="89">
        <f t="shared" si="17"/>
        <v>43189.364664351851</v>
      </c>
      <c r="G97" s="90" t="str">
        <f t="shared" si="18"/>
        <v>8:45</v>
      </c>
      <c r="H97" s="91">
        <f t="shared" si="19"/>
        <v>9.8666666666666671</v>
      </c>
      <c r="I97" s="92">
        <f t="shared" si="20"/>
        <v>8</v>
      </c>
      <c r="J97" s="92" t="str">
        <f t="shared" si="21"/>
        <v>-</v>
      </c>
      <c r="K97" s="93">
        <f t="shared" si="22"/>
        <v>0</v>
      </c>
      <c r="L97" s="93"/>
      <c r="M97" s="94">
        <f t="shared" si="23"/>
        <v>0</v>
      </c>
      <c r="N97" s="94">
        <f t="shared" si="24"/>
        <v>0</v>
      </c>
      <c r="O97" s="20"/>
    </row>
    <row r="98" spans="1:15">
      <c r="A98">
        <v>9276</v>
      </c>
      <c r="B98" t="s">
        <v>72</v>
      </c>
      <c r="C98" t="s">
        <v>72</v>
      </c>
      <c r="D98" s="143" t="s">
        <v>5</v>
      </c>
      <c r="E98" s="144">
        <v>43189.775706018518</v>
      </c>
      <c r="F98" s="89">
        <f t="shared" si="17"/>
        <v>43189.775706018518</v>
      </c>
      <c r="G98" s="90" t="str">
        <f t="shared" si="18"/>
        <v>18:37</v>
      </c>
      <c r="H98" s="91" t="str">
        <f t="shared" si="19"/>
        <v>-</v>
      </c>
      <c r="I98" s="92" t="str">
        <f t="shared" si="20"/>
        <v>-</v>
      </c>
      <c r="J98" s="92" t="str">
        <f t="shared" si="21"/>
        <v>-</v>
      </c>
      <c r="K98" s="93">
        <f t="shared" si="22"/>
        <v>0</v>
      </c>
      <c r="L98" s="93"/>
      <c r="M98" s="94">
        <f t="shared" si="23"/>
        <v>0</v>
      </c>
      <c r="N98" s="94">
        <f t="shared" si="24"/>
        <v>0</v>
      </c>
      <c r="O98" s="20"/>
    </row>
    <row r="99" spans="1:15">
      <c r="A99">
        <v>9283</v>
      </c>
      <c r="B99" t="s">
        <v>71</v>
      </c>
      <c r="C99" t="s">
        <v>72</v>
      </c>
      <c r="D99" s="143" t="s">
        <v>6</v>
      </c>
      <c r="E99" s="144">
        <v>43190.361689814818</v>
      </c>
      <c r="F99" s="89">
        <f t="shared" si="17"/>
        <v>43190.361689814818</v>
      </c>
      <c r="G99" s="90" t="str">
        <f t="shared" si="18"/>
        <v>8:40</v>
      </c>
      <c r="H99" s="91">
        <f t="shared" si="19"/>
        <v>9.716666666666665</v>
      </c>
      <c r="I99" s="92">
        <f t="shared" si="20"/>
        <v>8</v>
      </c>
      <c r="J99" s="92" t="str">
        <f t="shared" si="21"/>
        <v>-</v>
      </c>
      <c r="K99" s="93">
        <f t="shared" si="22"/>
        <v>0</v>
      </c>
      <c r="L99" s="93"/>
      <c r="M99" s="94">
        <f t="shared" si="23"/>
        <v>0</v>
      </c>
      <c r="N99" s="94">
        <f t="shared" si="24"/>
        <v>0</v>
      </c>
      <c r="O99" s="20"/>
    </row>
    <row r="100" spans="1:15">
      <c r="A100">
        <v>9294</v>
      </c>
      <c r="B100" t="s">
        <v>71</v>
      </c>
      <c r="C100" t="s">
        <v>72</v>
      </c>
      <c r="D100" s="143" t="s">
        <v>5</v>
      </c>
      <c r="E100" s="144">
        <v>43190.766122685185</v>
      </c>
      <c r="F100" s="89">
        <f t="shared" si="17"/>
        <v>43190.766122685185</v>
      </c>
      <c r="G100" s="90" t="str">
        <f t="shared" si="18"/>
        <v>18:23</v>
      </c>
      <c r="H100" s="91" t="str">
        <f t="shared" si="19"/>
        <v>-</v>
      </c>
      <c r="I100" s="92" t="str">
        <f t="shared" si="20"/>
        <v>-</v>
      </c>
      <c r="J100" s="92" t="str">
        <f t="shared" si="21"/>
        <v>-</v>
      </c>
      <c r="K100" s="93">
        <f t="shared" si="22"/>
        <v>0</v>
      </c>
      <c r="L100" s="93"/>
      <c r="M100" s="94">
        <f t="shared" si="23"/>
        <v>0</v>
      </c>
      <c r="N100" s="94">
        <f t="shared" si="24"/>
        <v>0</v>
      </c>
      <c r="O100" s="20"/>
    </row>
    <row r="103" spans="1:15">
      <c r="D103" s="9" t="s">
        <v>37</v>
      </c>
    </row>
    <row r="104" spans="1:15">
      <c r="D104" s="9" t="s">
        <v>36</v>
      </c>
    </row>
    <row r="105" spans="1:15">
      <c r="D105" s="172" t="s">
        <v>64</v>
      </c>
    </row>
    <row r="106" spans="1:15">
      <c r="D106" t="s">
        <v>67</v>
      </c>
    </row>
    <row r="107" spans="1:15">
      <c r="D107" t="s">
        <v>65</v>
      </c>
    </row>
    <row r="108" spans="1:15">
      <c r="D108" t="s">
        <v>69</v>
      </c>
    </row>
    <row r="109" spans="1:15">
      <c r="D109" t="s">
        <v>70</v>
      </c>
    </row>
    <row r="110" spans="1:15">
      <c r="D110" t="s">
        <v>66</v>
      </c>
    </row>
    <row r="111" spans="1:15">
      <c r="D111" t="s">
        <v>68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7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>
    <pageSetUpPr fitToPage="1"/>
  </sheetPr>
  <dimension ref="A1:U107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5.125" style="3" customWidth="1"/>
    <col min="6" max="6" width="6.1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8.625" style="22" customWidth="1"/>
    <col min="15" max="15" width="16.37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B29</f>
        <v>jason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184"/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7.25" thickBot="1">
      <c r="D3" s="24" t="s">
        <v>77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SUM(K7:K72)</f>
        <v>30.033333333333342</v>
      </c>
      <c r="L3" s="53">
        <f>J3</f>
        <v>0</v>
      </c>
      <c r="M3" s="53">
        <f>M6-J3</f>
        <v>31.300000000000004</v>
      </c>
      <c r="N3" s="53">
        <f>N6</f>
        <v>8.2666666666666657</v>
      </c>
      <c r="O3" s="50"/>
    </row>
    <row r="4" spans="1:21">
      <c r="D4" s="134" t="s">
        <v>44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1">
      <c r="D5" s="87">
        <v>0</v>
      </c>
      <c r="E5" s="86">
        <v>0</v>
      </c>
      <c r="F5" s="86">
        <v>0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0.24729166666666669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SUM(I7:I150)</f>
        <v>184</v>
      </c>
      <c r="J6" s="78">
        <f t="shared" ref="J6:N6" si="0">SUM(J7:J150)</f>
        <v>0</v>
      </c>
      <c r="K6" s="78">
        <f t="shared" si="0"/>
        <v>39.56666666666667</v>
      </c>
      <c r="L6" s="78">
        <f t="shared" si="0"/>
        <v>0</v>
      </c>
      <c r="M6" s="78">
        <f t="shared" si="0"/>
        <v>31.300000000000004</v>
      </c>
      <c r="N6" s="78">
        <f t="shared" si="0"/>
        <v>8.2666666666666657</v>
      </c>
      <c r="O6" s="45"/>
      <c r="Q6" s="47"/>
    </row>
    <row r="7" spans="1:21" s="16" customFormat="1">
      <c r="A7" s="140">
        <v>8495</v>
      </c>
      <c r="B7" s="140" t="s">
        <v>73</v>
      </c>
      <c r="C7" s="140" t="s">
        <v>73</v>
      </c>
      <c r="D7" s="141" t="s">
        <v>6</v>
      </c>
      <c r="E7" s="142">
        <v>43160.370567129627</v>
      </c>
      <c r="F7" s="89">
        <f t="shared" ref="F7" si="1">E7</f>
        <v>43160.370567129627</v>
      </c>
      <c r="G7" s="90" t="str">
        <f t="shared" ref="G7" si="2">HOUR(E7)&amp;":"&amp;MINUTE(E7)</f>
        <v>8:53</v>
      </c>
      <c r="H7" s="91">
        <f t="shared" ref="H7" si="3">IF(D7="上班",(G8-G7)*24,"-")</f>
        <v>9.6166666666666689</v>
      </c>
      <c r="I7" s="92">
        <f t="shared" ref="I7" si="4">IF(D7="上班",IF(H7-1.5&gt;8,8,H7-1.5),"-")</f>
        <v>8</v>
      </c>
      <c r="J7" s="92" t="str">
        <f t="shared" ref="J7" si="5">IF(I7&lt;8,8-I7,"-")</f>
        <v>-</v>
      </c>
      <c r="K7" s="93">
        <f t="shared" ref="K7" si="6">IF(D7="加班",(G8-G7)*24,0)</f>
        <v>0</v>
      </c>
      <c r="L7" s="93"/>
      <c r="M7" s="94">
        <f t="shared" ref="M7" si="7">IF(K7&gt;2,2,K7)</f>
        <v>0</v>
      </c>
      <c r="N7" s="94">
        <f t="shared" ref="N7" si="8">IF(K7&gt;2,K7-2,0)</f>
        <v>0</v>
      </c>
      <c r="O7" s="20"/>
      <c r="P7" s="137">
        <v>1</v>
      </c>
      <c r="Q7" s="137"/>
      <c r="R7" s="137"/>
      <c r="S7" s="137"/>
    </row>
    <row r="8" spans="1:21" s="16" customFormat="1">
      <c r="A8" s="140">
        <v>8501</v>
      </c>
      <c r="B8" s="140" t="s">
        <v>73</v>
      </c>
      <c r="C8" s="140" t="s">
        <v>73</v>
      </c>
      <c r="D8" s="143" t="s">
        <v>5</v>
      </c>
      <c r="E8" s="144">
        <v>43160.770902777775</v>
      </c>
      <c r="F8" s="89">
        <f t="shared" ref="F8:F71" si="9">E8</f>
        <v>43160.770902777775</v>
      </c>
      <c r="G8" s="90" t="str">
        <f t="shared" ref="G8:G71" si="10">HOUR(E8)&amp;":"&amp;MINUTE(E8)</f>
        <v>18:30</v>
      </c>
      <c r="H8" s="91" t="str">
        <f t="shared" ref="H8:H71" si="11">IF(D8="上班",(G9-G8)*24,"-")</f>
        <v>-</v>
      </c>
      <c r="I8" s="92" t="str">
        <f t="shared" ref="I8:I71" si="12">IF(D8="上班",IF(H8-1.5&gt;8,8,H8-1.5),"-")</f>
        <v>-</v>
      </c>
      <c r="J8" s="92" t="str">
        <f t="shared" ref="J8:J71" si="13">IF(I8&lt;8,8-I8,"-")</f>
        <v>-</v>
      </c>
      <c r="K8" s="93">
        <f t="shared" ref="K8:K71" si="14">IF(D8="加班",(G9-G8)*24,0)</f>
        <v>0</v>
      </c>
      <c r="L8" s="93"/>
      <c r="M8" s="94">
        <f t="shared" ref="M8:M71" si="15">IF(K8&gt;2,2,K8)</f>
        <v>0</v>
      </c>
      <c r="N8" s="94">
        <f t="shared" ref="N8:N71" si="16">IF(K8&gt;2,K8-2,0)</f>
        <v>0</v>
      </c>
      <c r="O8" s="20"/>
      <c r="P8" s="137">
        <v>2</v>
      </c>
      <c r="Q8" s="137"/>
      <c r="R8" s="137"/>
      <c r="S8" s="137"/>
    </row>
    <row r="9" spans="1:21" s="2" customFormat="1">
      <c r="A9" s="140">
        <v>8503</v>
      </c>
      <c r="B9" s="140" t="s">
        <v>73</v>
      </c>
      <c r="C9" s="140" t="s">
        <v>73</v>
      </c>
      <c r="D9" s="143" t="s">
        <v>7</v>
      </c>
      <c r="E9" s="144">
        <v>43160.770983796298</v>
      </c>
      <c r="F9" s="89">
        <f t="shared" si="9"/>
        <v>43160.770983796298</v>
      </c>
      <c r="G9" s="90" t="str">
        <f t="shared" si="10"/>
        <v>18:30</v>
      </c>
      <c r="H9" s="91" t="str">
        <f t="shared" si="11"/>
        <v>-</v>
      </c>
      <c r="I9" s="92" t="str">
        <f t="shared" si="12"/>
        <v>-</v>
      </c>
      <c r="J9" s="92" t="str">
        <f t="shared" si="13"/>
        <v>-</v>
      </c>
      <c r="K9" s="93">
        <f t="shared" si="14"/>
        <v>1.033333333333335</v>
      </c>
      <c r="L9" s="93"/>
      <c r="M9" s="94">
        <f t="shared" si="15"/>
        <v>1.033333333333335</v>
      </c>
      <c r="N9" s="94">
        <f t="shared" si="16"/>
        <v>0</v>
      </c>
      <c r="O9" s="20"/>
      <c r="P9" s="8">
        <v>3</v>
      </c>
      <c r="Q9" s="8"/>
      <c r="R9" s="8"/>
      <c r="S9" s="8"/>
    </row>
    <row r="10" spans="1:21">
      <c r="A10" s="140">
        <v>8515</v>
      </c>
      <c r="B10" s="140" t="s">
        <v>73</v>
      </c>
      <c r="C10" s="140" t="s">
        <v>73</v>
      </c>
      <c r="D10" s="143" t="s">
        <v>8</v>
      </c>
      <c r="E10" s="144">
        <v>43160.814201388886</v>
      </c>
      <c r="F10" s="89">
        <f t="shared" si="9"/>
        <v>43160.814201388886</v>
      </c>
      <c r="G10" s="90" t="str">
        <f t="shared" si="10"/>
        <v>19:32</v>
      </c>
      <c r="H10" s="91" t="str">
        <f t="shared" si="11"/>
        <v>-</v>
      </c>
      <c r="I10" s="92" t="str">
        <f t="shared" si="12"/>
        <v>-</v>
      </c>
      <c r="J10" s="92" t="str">
        <f t="shared" si="13"/>
        <v>-</v>
      </c>
      <c r="K10" s="93">
        <f t="shared" si="14"/>
        <v>0</v>
      </c>
      <c r="L10" s="93"/>
      <c r="M10" s="94">
        <f t="shared" si="15"/>
        <v>0</v>
      </c>
      <c r="N10" s="94">
        <f t="shared" si="16"/>
        <v>0</v>
      </c>
      <c r="O10" s="20"/>
      <c r="P10" s="9">
        <v>4</v>
      </c>
    </row>
    <row r="11" spans="1:21" s="394" customFormat="1">
      <c r="A11" s="140">
        <v>8528</v>
      </c>
      <c r="B11" s="140" t="s">
        <v>73</v>
      </c>
      <c r="C11" s="140" t="s">
        <v>73</v>
      </c>
      <c r="D11" s="143" t="s">
        <v>6</v>
      </c>
      <c r="E11" s="144">
        <v>43161.370648148149</v>
      </c>
      <c r="F11" s="89">
        <f t="shared" si="9"/>
        <v>43161.370648148149</v>
      </c>
      <c r="G11" s="90" t="str">
        <f t="shared" si="10"/>
        <v>8:53</v>
      </c>
      <c r="H11" s="91">
        <f t="shared" si="11"/>
        <v>9.6166666666666689</v>
      </c>
      <c r="I11" s="92">
        <f t="shared" si="12"/>
        <v>8</v>
      </c>
      <c r="J11" s="92" t="str">
        <f t="shared" si="13"/>
        <v>-</v>
      </c>
      <c r="K11" s="93">
        <f t="shared" si="14"/>
        <v>0</v>
      </c>
      <c r="L11" s="93"/>
      <c r="M11" s="94">
        <f t="shared" si="15"/>
        <v>0</v>
      </c>
      <c r="N11" s="94">
        <f t="shared" si="16"/>
        <v>0</v>
      </c>
      <c r="O11" s="20"/>
      <c r="P11" s="394">
        <v>5</v>
      </c>
    </row>
    <row r="12" spans="1:21" s="394" customFormat="1">
      <c r="A12" s="140">
        <v>8501</v>
      </c>
      <c r="B12" s="140" t="s">
        <v>73</v>
      </c>
      <c r="C12" s="140" t="s">
        <v>73</v>
      </c>
      <c r="D12" s="143" t="s">
        <v>5</v>
      </c>
      <c r="E12" s="144">
        <v>43161.770902777775</v>
      </c>
      <c r="F12" s="89">
        <f t="shared" si="9"/>
        <v>43161.770902777775</v>
      </c>
      <c r="G12" s="90" t="str">
        <f t="shared" si="10"/>
        <v>18:30</v>
      </c>
      <c r="H12" s="91" t="str">
        <f t="shared" si="11"/>
        <v>-</v>
      </c>
      <c r="I12" s="92" t="str">
        <f t="shared" si="12"/>
        <v>-</v>
      </c>
      <c r="J12" s="92" t="str">
        <f t="shared" si="13"/>
        <v>-</v>
      </c>
      <c r="K12" s="93">
        <f t="shared" si="14"/>
        <v>0</v>
      </c>
      <c r="L12" s="93"/>
      <c r="M12" s="94">
        <f t="shared" si="15"/>
        <v>0</v>
      </c>
      <c r="N12" s="94">
        <f t="shared" si="16"/>
        <v>0</v>
      </c>
      <c r="O12" s="20"/>
      <c r="P12" s="394">
        <v>6</v>
      </c>
    </row>
    <row r="13" spans="1:21" s="16" customFormat="1">
      <c r="A13" s="140">
        <v>8503</v>
      </c>
      <c r="B13" s="140" t="s">
        <v>73</v>
      </c>
      <c r="C13" s="140" t="s">
        <v>73</v>
      </c>
      <c r="D13" s="143" t="s">
        <v>7</v>
      </c>
      <c r="E13" s="144">
        <v>43161.770983796298</v>
      </c>
      <c r="F13" s="89">
        <f t="shared" si="9"/>
        <v>43161.770983796298</v>
      </c>
      <c r="G13" s="90" t="str">
        <f t="shared" si="10"/>
        <v>18:30</v>
      </c>
      <c r="H13" s="91" t="str">
        <f t="shared" si="11"/>
        <v>-</v>
      </c>
      <c r="I13" s="92" t="str">
        <f t="shared" si="12"/>
        <v>-</v>
      </c>
      <c r="J13" s="92" t="str">
        <f t="shared" si="13"/>
        <v>-</v>
      </c>
      <c r="K13" s="93">
        <f t="shared" si="14"/>
        <v>0.73333333333333339</v>
      </c>
      <c r="L13" s="93"/>
      <c r="M13" s="94">
        <f t="shared" si="15"/>
        <v>0.73333333333333339</v>
      </c>
      <c r="N13" s="94">
        <f t="shared" si="16"/>
        <v>0</v>
      </c>
      <c r="O13" s="20"/>
      <c r="P13" s="137">
        <v>7</v>
      </c>
      <c r="Q13" s="137"/>
      <c r="R13" s="137"/>
      <c r="S13" s="137"/>
    </row>
    <row r="14" spans="1:21" s="16" customFormat="1">
      <c r="A14" s="140">
        <v>8543</v>
      </c>
      <c r="B14" s="140" t="s">
        <v>73</v>
      </c>
      <c r="C14" s="140" t="s">
        <v>73</v>
      </c>
      <c r="D14" s="143" t="s">
        <v>8</v>
      </c>
      <c r="E14" s="144">
        <v>43161.801782407405</v>
      </c>
      <c r="F14" s="89">
        <f t="shared" si="9"/>
        <v>43161.801782407405</v>
      </c>
      <c r="G14" s="90" t="str">
        <f t="shared" si="10"/>
        <v>19:14</v>
      </c>
      <c r="H14" s="91" t="str">
        <f t="shared" si="11"/>
        <v>-</v>
      </c>
      <c r="I14" s="92" t="str">
        <f t="shared" si="12"/>
        <v>-</v>
      </c>
      <c r="J14" s="92" t="str">
        <f t="shared" si="13"/>
        <v>-</v>
      </c>
      <c r="K14" s="93">
        <f t="shared" si="14"/>
        <v>0</v>
      </c>
      <c r="L14" s="93"/>
      <c r="M14" s="94">
        <f t="shared" si="15"/>
        <v>0</v>
      </c>
      <c r="N14" s="94">
        <f t="shared" si="16"/>
        <v>0</v>
      </c>
      <c r="O14" s="20"/>
      <c r="P14" s="137">
        <v>8</v>
      </c>
      <c r="Q14" s="137"/>
      <c r="R14" s="137"/>
      <c r="S14" s="137"/>
    </row>
    <row r="15" spans="1:21" s="2" customFormat="1">
      <c r="A15" s="140">
        <v>8564</v>
      </c>
      <c r="B15" s="140" t="s">
        <v>73</v>
      </c>
      <c r="C15" s="140" t="s">
        <v>73</v>
      </c>
      <c r="D15" s="143" t="s">
        <v>6</v>
      </c>
      <c r="E15" s="144">
        <v>43164.36991898148</v>
      </c>
      <c r="F15" s="89">
        <f t="shared" si="9"/>
        <v>43164.36991898148</v>
      </c>
      <c r="G15" s="90" t="str">
        <f t="shared" si="10"/>
        <v>8:52</v>
      </c>
      <c r="H15" s="91">
        <f t="shared" si="11"/>
        <v>9.6666666666666679</v>
      </c>
      <c r="I15" s="92">
        <f t="shared" si="12"/>
        <v>8</v>
      </c>
      <c r="J15" s="92" t="str">
        <f t="shared" si="13"/>
        <v>-</v>
      </c>
      <c r="K15" s="93">
        <f t="shared" si="14"/>
        <v>0</v>
      </c>
      <c r="L15" s="93"/>
      <c r="M15" s="94">
        <f t="shared" si="15"/>
        <v>0</v>
      </c>
      <c r="N15" s="94">
        <f t="shared" si="16"/>
        <v>0</v>
      </c>
      <c r="O15" s="20"/>
      <c r="P15" s="8">
        <v>9</v>
      </c>
      <c r="Q15" s="8"/>
      <c r="R15" s="8"/>
      <c r="S15" s="8"/>
    </row>
    <row r="16" spans="1:21">
      <c r="A16" s="140">
        <v>8579</v>
      </c>
      <c r="B16" s="140" t="s">
        <v>73</v>
      </c>
      <c r="C16" s="140" t="s">
        <v>73</v>
      </c>
      <c r="D16" s="143" t="s">
        <v>5</v>
      </c>
      <c r="E16" s="144">
        <v>43164.772824074076</v>
      </c>
      <c r="F16" s="89">
        <f t="shared" si="9"/>
        <v>43164.772824074076</v>
      </c>
      <c r="G16" s="90" t="str">
        <f t="shared" si="10"/>
        <v>18:32</v>
      </c>
      <c r="H16" s="91" t="str">
        <f t="shared" si="11"/>
        <v>-</v>
      </c>
      <c r="I16" s="92" t="str">
        <f t="shared" si="12"/>
        <v>-</v>
      </c>
      <c r="J16" s="92" t="str">
        <f t="shared" si="13"/>
        <v>-</v>
      </c>
      <c r="K16" s="93">
        <f t="shared" si="14"/>
        <v>0</v>
      </c>
      <c r="L16" s="93"/>
      <c r="M16" s="94">
        <f t="shared" si="15"/>
        <v>0</v>
      </c>
      <c r="N16" s="94">
        <f t="shared" si="16"/>
        <v>0</v>
      </c>
      <c r="O16" s="20"/>
      <c r="P16" s="9">
        <v>10</v>
      </c>
    </row>
    <row r="17" spans="1:19" s="16" customFormat="1">
      <c r="A17" s="140">
        <v>8580</v>
      </c>
      <c r="B17" s="140" t="s">
        <v>73</v>
      </c>
      <c r="C17" s="140" t="s">
        <v>73</v>
      </c>
      <c r="D17" s="143" t="s">
        <v>7</v>
      </c>
      <c r="E17" s="144">
        <v>43164.772986111115</v>
      </c>
      <c r="F17" s="89">
        <f t="shared" si="9"/>
        <v>43164.772986111115</v>
      </c>
      <c r="G17" s="90" t="str">
        <f t="shared" si="10"/>
        <v>18:33</v>
      </c>
      <c r="H17" s="91" t="str">
        <f t="shared" si="11"/>
        <v>-</v>
      </c>
      <c r="I17" s="92" t="str">
        <f t="shared" si="12"/>
        <v>-</v>
      </c>
      <c r="J17" s="92" t="str">
        <f t="shared" si="13"/>
        <v>-</v>
      </c>
      <c r="K17" s="93">
        <f t="shared" si="14"/>
        <v>1.4833333333333334</v>
      </c>
      <c r="L17" s="93"/>
      <c r="M17" s="94">
        <f t="shared" si="15"/>
        <v>1.4833333333333334</v>
      </c>
      <c r="N17" s="94">
        <f t="shared" si="16"/>
        <v>0</v>
      </c>
      <c r="O17" s="20"/>
      <c r="P17" s="137">
        <v>11</v>
      </c>
      <c r="Q17" s="137"/>
      <c r="R17" s="137"/>
      <c r="S17" s="137"/>
    </row>
    <row r="18" spans="1:19" s="16" customFormat="1">
      <c r="A18" s="140">
        <v>8585</v>
      </c>
      <c r="B18" s="140" t="s">
        <v>73</v>
      </c>
      <c r="C18" s="140" t="s">
        <v>73</v>
      </c>
      <c r="D18" s="143" t="s">
        <v>8</v>
      </c>
      <c r="E18" s="144">
        <v>43164.834791666668</v>
      </c>
      <c r="F18" s="89">
        <f t="shared" si="9"/>
        <v>43164.834791666668</v>
      </c>
      <c r="G18" s="90" t="str">
        <f t="shared" si="10"/>
        <v>20:2</v>
      </c>
      <c r="H18" s="91" t="str">
        <f t="shared" si="11"/>
        <v>-</v>
      </c>
      <c r="I18" s="92" t="str">
        <f t="shared" si="12"/>
        <v>-</v>
      </c>
      <c r="J18" s="92" t="str">
        <f t="shared" si="13"/>
        <v>-</v>
      </c>
      <c r="K18" s="93">
        <f t="shared" si="14"/>
        <v>0</v>
      </c>
      <c r="L18" s="93"/>
      <c r="M18" s="94">
        <f t="shared" si="15"/>
        <v>0</v>
      </c>
      <c r="N18" s="94">
        <f t="shared" si="16"/>
        <v>0</v>
      </c>
      <c r="O18" s="20"/>
      <c r="P18" s="137">
        <v>12</v>
      </c>
      <c r="Q18" s="137"/>
      <c r="R18" s="137"/>
      <c r="S18" s="137"/>
    </row>
    <row r="19" spans="1:19" s="63" customFormat="1">
      <c r="A19" s="140">
        <v>8598</v>
      </c>
      <c r="B19" s="140" t="s">
        <v>73</v>
      </c>
      <c r="C19" s="140" t="s">
        <v>73</v>
      </c>
      <c r="D19" s="143" t="s">
        <v>6</v>
      </c>
      <c r="E19" s="144">
        <v>43165.369328703702</v>
      </c>
      <c r="F19" s="89">
        <f t="shared" si="9"/>
        <v>43165.369328703702</v>
      </c>
      <c r="G19" s="90" t="str">
        <f t="shared" si="10"/>
        <v>8:51</v>
      </c>
      <c r="H19" s="91">
        <f t="shared" si="11"/>
        <v>9.5499999999999989</v>
      </c>
      <c r="I19" s="92">
        <f t="shared" si="12"/>
        <v>8</v>
      </c>
      <c r="J19" s="92" t="str">
        <f t="shared" si="13"/>
        <v>-</v>
      </c>
      <c r="K19" s="93">
        <f t="shared" si="14"/>
        <v>0</v>
      </c>
      <c r="L19" s="93"/>
      <c r="M19" s="94">
        <f t="shared" si="15"/>
        <v>0</v>
      </c>
      <c r="N19" s="94">
        <f t="shared" si="16"/>
        <v>0</v>
      </c>
      <c r="O19" s="20"/>
      <c r="P19" s="18">
        <v>13</v>
      </c>
      <c r="Q19" s="18"/>
      <c r="R19" s="18"/>
      <c r="S19" s="18"/>
    </row>
    <row r="20" spans="1:19" s="63" customFormat="1">
      <c r="A20" s="140">
        <v>8608</v>
      </c>
      <c r="B20" s="140" t="s">
        <v>73</v>
      </c>
      <c r="C20" s="140" t="s">
        <v>73</v>
      </c>
      <c r="D20" s="143" t="s">
        <v>5</v>
      </c>
      <c r="E20" s="144">
        <v>43165.766770833332</v>
      </c>
      <c r="F20" s="89">
        <f t="shared" si="9"/>
        <v>43165.766770833332</v>
      </c>
      <c r="G20" s="90" t="str">
        <f t="shared" si="10"/>
        <v>18:24</v>
      </c>
      <c r="H20" s="91" t="str">
        <f t="shared" si="11"/>
        <v>-</v>
      </c>
      <c r="I20" s="92" t="str">
        <f t="shared" si="12"/>
        <v>-</v>
      </c>
      <c r="J20" s="92" t="str">
        <f t="shared" si="13"/>
        <v>-</v>
      </c>
      <c r="K20" s="93">
        <f t="shared" si="14"/>
        <v>0</v>
      </c>
      <c r="L20" s="93"/>
      <c r="M20" s="94">
        <f t="shared" si="15"/>
        <v>0</v>
      </c>
      <c r="N20" s="94">
        <f t="shared" si="16"/>
        <v>0</v>
      </c>
      <c r="O20" s="20"/>
      <c r="P20" s="18">
        <v>14</v>
      </c>
      <c r="Q20" s="18"/>
      <c r="R20" s="18"/>
      <c r="S20" s="18"/>
    </row>
    <row r="21" spans="1:19" s="323" customFormat="1">
      <c r="A21" s="140">
        <v>8618</v>
      </c>
      <c r="B21" s="140" t="s">
        <v>73</v>
      </c>
      <c r="C21" s="140" t="s">
        <v>73</v>
      </c>
      <c r="D21" s="143" t="s">
        <v>7</v>
      </c>
      <c r="E21" s="144">
        <v>43165.78702546296</v>
      </c>
      <c r="F21" s="89">
        <f t="shared" si="9"/>
        <v>43165.78702546296</v>
      </c>
      <c r="G21" s="90" t="str">
        <f t="shared" si="10"/>
        <v>18:53</v>
      </c>
      <c r="H21" s="91" t="str">
        <f t="shared" si="11"/>
        <v>-</v>
      </c>
      <c r="I21" s="92" t="str">
        <f t="shared" si="12"/>
        <v>-</v>
      </c>
      <c r="J21" s="92" t="str">
        <f t="shared" si="13"/>
        <v>-</v>
      </c>
      <c r="K21" s="93">
        <f t="shared" si="14"/>
        <v>2.1333333333333337</v>
      </c>
      <c r="L21" s="93"/>
      <c r="M21" s="94">
        <f t="shared" si="15"/>
        <v>2</v>
      </c>
      <c r="N21" s="94">
        <f t="shared" si="16"/>
        <v>0.13333333333333375</v>
      </c>
      <c r="O21" s="20"/>
      <c r="P21" s="323">
        <v>15</v>
      </c>
    </row>
    <row r="22" spans="1:19" s="63" customFormat="1">
      <c r="A22" s="140">
        <v>8620</v>
      </c>
      <c r="B22" s="140" t="s">
        <v>73</v>
      </c>
      <c r="C22" s="140" t="s">
        <v>73</v>
      </c>
      <c r="D22" s="143" t="s">
        <v>8</v>
      </c>
      <c r="E22" s="144">
        <v>43165.876226851855</v>
      </c>
      <c r="F22" s="89">
        <f t="shared" si="9"/>
        <v>43165.876226851855</v>
      </c>
      <c r="G22" s="90" t="str">
        <f t="shared" si="10"/>
        <v>21:1</v>
      </c>
      <c r="H22" s="91" t="str">
        <f t="shared" si="11"/>
        <v>-</v>
      </c>
      <c r="I22" s="92" t="str">
        <f t="shared" si="12"/>
        <v>-</v>
      </c>
      <c r="J22" s="92" t="str">
        <f t="shared" si="13"/>
        <v>-</v>
      </c>
      <c r="K22" s="93">
        <f t="shared" si="14"/>
        <v>0</v>
      </c>
      <c r="L22" s="93"/>
      <c r="M22" s="94">
        <f t="shared" si="15"/>
        <v>0</v>
      </c>
      <c r="N22" s="94">
        <f t="shared" si="16"/>
        <v>0</v>
      </c>
      <c r="O22" s="20"/>
      <c r="P22" s="18">
        <v>16</v>
      </c>
      <c r="Q22" s="18"/>
      <c r="R22" s="18"/>
      <c r="S22" s="18"/>
    </row>
    <row r="23" spans="1:19" s="63" customFormat="1">
      <c r="A23" s="140">
        <v>8633</v>
      </c>
      <c r="B23" s="140" t="s">
        <v>73</v>
      </c>
      <c r="C23" s="140" t="s">
        <v>73</v>
      </c>
      <c r="D23" s="143" t="s">
        <v>6</v>
      </c>
      <c r="E23" s="144">
        <v>43166.370625000003</v>
      </c>
      <c r="F23" s="89">
        <f t="shared" si="9"/>
        <v>43166.370625000003</v>
      </c>
      <c r="G23" s="90" t="str">
        <f t="shared" si="10"/>
        <v>8:53</v>
      </c>
      <c r="H23" s="91">
        <f t="shared" si="11"/>
        <v>9.6000000000000014</v>
      </c>
      <c r="I23" s="92">
        <f t="shared" si="12"/>
        <v>8</v>
      </c>
      <c r="J23" s="92" t="str">
        <f t="shared" si="13"/>
        <v>-</v>
      </c>
      <c r="K23" s="93">
        <f t="shared" si="14"/>
        <v>0</v>
      </c>
      <c r="L23" s="93"/>
      <c r="M23" s="94">
        <f t="shared" si="15"/>
        <v>0</v>
      </c>
      <c r="N23" s="94">
        <f t="shared" si="16"/>
        <v>0</v>
      </c>
      <c r="O23" s="20"/>
      <c r="P23" s="18">
        <v>17</v>
      </c>
      <c r="Q23" s="18"/>
      <c r="R23" s="18"/>
      <c r="S23" s="18"/>
    </row>
    <row r="24" spans="1:19" s="63" customFormat="1">
      <c r="A24" s="140">
        <v>8642</v>
      </c>
      <c r="B24" s="140" t="s">
        <v>73</v>
      </c>
      <c r="C24" s="140" t="s">
        <v>73</v>
      </c>
      <c r="D24" s="143" t="s">
        <v>5</v>
      </c>
      <c r="E24" s="144">
        <v>43166.770324074074</v>
      </c>
      <c r="F24" s="89">
        <f t="shared" si="9"/>
        <v>43166.770324074074</v>
      </c>
      <c r="G24" s="90" t="str">
        <f t="shared" si="10"/>
        <v>18:29</v>
      </c>
      <c r="H24" s="91" t="str">
        <f t="shared" si="11"/>
        <v>-</v>
      </c>
      <c r="I24" s="92" t="str">
        <f t="shared" si="12"/>
        <v>-</v>
      </c>
      <c r="J24" s="92" t="str">
        <f t="shared" si="13"/>
        <v>-</v>
      </c>
      <c r="K24" s="93">
        <f t="shared" si="14"/>
        <v>0</v>
      </c>
      <c r="L24" s="93"/>
      <c r="M24" s="94">
        <f t="shared" si="15"/>
        <v>0</v>
      </c>
      <c r="N24" s="94">
        <f t="shared" si="16"/>
        <v>0</v>
      </c>
      <c r="O24" s="20"/>
      <c r="P24" s="18">
        <v>18</v>
      </c>
      <c r="Q24" s="18"/>
      <c r="R24" s="18"/>
      <c r="S24" s="18"/>
    </row>
    <row r="25" spans="1:19" s="2" customFormat="1">
      <c r="A25" s="140">
        <v>8643</v>
      </c>
      <c r="B25" s="140" t="s">
        <v>73</v>
      </c>
      <c r="C25" s="140" t="s">
        <v>73</v>
      </c>
      <c r="D25" s="143" t="s">
        <v>7</v>
      </c>
      <c r="E25" s="144">
        <v>43166.770335648151</v>
      </c>
      <c r="F25" s="89">
        <f t="shared" si="9"/>
        <v>43166.770335648151</v>
      </c>
      <c r="G25" s="90" t="str">
        <f t="shared" si="10"/>
        <v>18:29</v>
      </c>
      <c r="H25" s="91" t="str">
        <f t="shared" si="11"/>
        <v>-</v>
      </c>
      <c r="I25" s="92" t="str">
        <f t="shared" si="12"/>
        <v>-</v>
      </c>
      <c r="J25" s="92" t="str">
        <f t="shared" si="13"/>
        <v>-</v>
      </c>
      <c r="K25" s="93">
        <f t="shared" si="14"/>
        <v>2.0500000000000007</v>
      </c>
      <c r="L25" s="93"/>
      <c r="M25" s="94">
        <f t="shared" si="15"/>
        <v>2</v>
      </c>
      <c r="N25" s="94">
        <f t="shared" si="16"/>
        <v>5.0000000000000711E-2</v>
      </c>
      <c r="O25" s="20"/>
      <c r="P25" s="8">
        <v>19</v>
      </c>
      <c r="Q25" s="8"/>
      <c r="R25" s="8"/>
      <c r="S25" s="8"/>
    </row>
    <row r="26" spans="1:19">
      <c r="A26" s="140">
        <v>8657</v>
      </c>
      <c r="B26" s="140" t="s">
        <v>73</v>
      </c>
      <c r="C26" s="140" t="s">
        <v>73</v>
      </c>
      <c r="D26" s="143" t="s">
        <v>8</v>
      </c>
      <c r="E26" s="144">
        <v>43166.855914351851</v>
      </c>
      <c r="F26" s="89">
        <f t="shared" si="9"/>
        <v>43166.855914351851</v>
      </c>
      <c r="G26" s="90" t="str">
        <f t="shared" si="10"/>
        <v>20:32</v>
      </c>
      <c r="H26" s="91" t="str">
        <f t="shared" si="11"/>
        <v>-</v>
      </c>
      <c r="I26" s="92" t="str">
        <f t="shared" si="12"/>
        <v>-</v>
      </c>
      <c r="J26" s="92" t="str">
        <f t="shared" si="13"/>
        <v>-</v>
      </c>
      <c r="K26" s="93">
        <f t="shared" si="14"/>
        <v>0</v>
      </c>
      <c r="L26" s="93"/>
      <c r="M26" s="94">
        <f t="shared" si="15"/>
        <v>0</v>
      </c>
      <c r="N26" s="94">
        <f t="shared" si="16"/>
        <v>0</v>
      </c>
      <c r="O26" s="20"/>
      <c r="P26" s="9">
        <v>20</v>
      </c>
    </row>
    <row r="27" spans="1:19" s="2" customFormat="1">
      <c r="A27" s="140">
        <v>8671</v>
      </c>
      <c r="B27" s="140" t="s">
        <v>73</v>
      </c>
      <c r="C27" s="140" t="s">
        <v>73</v>
      </c>
      <c r="D27" s="143" t="s">
        <v>6</v>
      </c>
      <c r="E27" s="144">
        <v>43167.371261574073</v>
      </c>
      <c r="F27" s="89">
        <f t="shared" si="9"/>
        <v>43167.371261574073</v>
      </c>
      <c r="G27" s="90" t="str">
        <f t="shared" si="10"/>
        <v>8:54</v>
      </c>
      <c r="H27" s="91">
        <f t="shared" si="11"/>
        <v>9.6000000000000014</v>
      </c>
      <c r="I27" s="92">
        <f t="shared" si="12"/>
        <v>8</v>
      </c>
      <c r="J27" s="92" t="str">
        <f t="shared" si="13"/>
        <v>-</v>
      </c>
      <c r="K27" s="93">
        <f t="shared" si="14"/>
        <v>0</v>
      </c>
      <c r="L27" s="93"/>
      <c r="M27" s="94">
        <f t="shared" si="15"/>
        <v>0</v>
      </c>
      <c r="N27" s="94">
        <f t="shared" si="16"/>
        <v>0</v>
      </c>
      <c r="O27" s="20"/>
      <c r="P27" s="8">
        <v>1</v>
      </c>
      <c r="Q27" s="8"/>
      <c r="R27" s="8"/>
      <c r="S27" s="8"/>
    </row>
    <row r="28" spans="1:19">
      <c r="A28" s="140">
        <v>8677</v>
      </c>
      <c r="B28" s="140" t="s">
        <v>73</v>
      </c>
      <c r="C28" s="140" t="s">
        <v>73</v>
      </c>
      <c r="D28" s="143" t="s">
        <v>5</v>
      </c>
      <c r="E28" s="144">
        <v>43167.770868055559</v>
      </c>
      <c r="F28" s="89">
        <f t="shared" si="9"/>
        <v>43167.770868055559</v>
      </c>
      <c r="G28" s="90" t="str">
        <f t="shared" si="10"/>
        <v>18:30</v>
      </c>
      <c r="H28" s="91" t="str">
        <f t="shared" si="11"/>
        <v>-</v>
      </c>
      <c r="I28" s="92" t="str">
        <f t="shared" si="12"/>
        <v>-</v>
      </c>
      <c r="J28" s="92" t="str">
        <f t="shared" si="13"/>
        <v>-</v>
      </c>
      <c r="K28" s="93">
        <f t="shared" si="14"/>
        <v>0</v>
      </c>
      <c r="L28" s="93"/>
      <c r="M28" s="94">
        <f t="shared" si="15"/>
        <v>0</v>
      </c>
      <c r="N28" s="94">
        <f t="shared" si="16"/>
        <v>0</v>
      </c>
      <c r="O28" s="20"/>
      <c r="P28" s="9">
        <v>2</v>
      </c>
    </row>
    <row r="29" spans="1:19" s="2" customFormat="1">
      <c r="A29" s="140">
        <v>8685</v>
      </c>
      <c r="B29" s="140" t="s">
        <v>73</v>
      </c>
      <c r="C29" s="140" t="s">
        <v>73</v>
      </c>
      <c r="D29" s="143" t="s">
        <v>7</v>
      </c>
      <c r="E29" s="144">
        <v>43167.781597222223</v>
      </c>
      <c r="F29" s="89">
        <f t="shared" si="9"/>
        <v>43167.781597222223</v>
      </c>
      <c r="G29" s="90" t="str">
        <f t="shared" si="10"/>
        <v>18:45</v>
      </c>
      <c r="H29" s="91" t="str">
        <f t="shared" si="11"/>
        <v>-</v>
      </c>
      <c r="I29" s="92" t="str">
        <f t="shared" si="12"/>
        <v>-</v>
      </c>
      <c r="J29" s="92" t="str">
        <f t="shared" si="13"/>
        <v>-</v>
      </c>
      <c r="K29" s="93">
        <f t="shared" si="14"/>
        <v>0.35000000000000142</v>
      </c>
      <c r="L29" s="93"/>
      <c r="M29" s="94">
        <f t="shared" si="15"/>
        <v>0.35000000000000142</v>
      </c>
      <c r="N29" s="94">
        <f t="shared" si="16"/>
        <v>0</v>
      </c>
      <c r="O29" s="20"/>
      <c r="P29" s="8">
        <v>3</v>
      </c>
      <c r="Q29" s="8"/>
      <c r="R29" s="8"/>
      <c r="S29" s="8"/>
    </row>
    <row r="30" spans="1:19">
      <c r="A30" s="140">
        <v>8686</v>
      </c>
      <c r="B30" s="140" t="s">
        <v>73</v>
      </c>
      <c r="C30" s="140" t="s">
        <v>73</v>
      </c>
      <c r="D30" s="143" t="s">
        <v>8</v>
      </c>
      <c r="E30" s="144">
        <v>43167.795949074076</v>
      </c>
      <c r="F30" s="89">
        <f t="shared" si="9"/>
        <v>43167.795949074076</v>
      </c>
      <c r="G30" s="90" t="str">
        <f t="shared" si="10"/>
        <v>19:6</v>
      </c>
      <c r="H30" s="91" t="str">
        <f t="shared" si="11"/>
        <v>-</v>
      </c>
      <c r="I30" s="92" t="str">
        <f t="shared" si="12"/>
        <v>-</v>
      </c>
      <c r="J30" s="92" t="str">
        <f t="shared" si="13"/>
        <v>-</v>
      </c>
      <c r="K30" s="93">
        <f t="shared" si="14"/>
        <v>0</v>
      </c>
      <c r="L30" s="93"/>
      <c r="M30" s="94">
        <f t="shared" si="15"/>
        <v>0</v>
      </c>
      <c r="N30" s="94">
        <f t="shared" si="16"/>
        <v>0</v>
      </c>
      <c r="O30" s="20"/>
      <c r="P30" s="9">
        <v>4</v>
      </c>
    </row>
    <row r="31" spans="1:19" s="63" customFormat="1">
      <c r="A31" s="140">
        <v>8700</v>
      </c>
      <c r="B31" s="140" t="s">
        <v>73</v>
      </c>
      <c r="C31" s="140" t="s">
        <v>73</v>
      </c>
      <c r="D31" s="143" t="s">
        <v>6</v>
      </c>
      <c r="E31" s="144">
        <v>43168.37295138889</v>
      </c>
      <c r="F31" s="89">
        <f t="shared" si="9"/>
        <v>43168.37295138889</v>
      </c>
      <c r="G31" s="90" t="str">
        <f t="shared" si="10"/>
        <v>8:57</v>
      </c>
      <c r="H31" s="91">
        <f t="shared" si="11"/>
        <v>9.5500000000000025</v>
      </c>
      <c r="I31" s="92">
        <f t="shared" si="12"/>
        <v>8</v>
      </c>
      <c r="J31" s="92" t="str">
        <f t="shared" si="13"/>
        <v>-</v>
      </c>
      <c r="K31" s="93">
        <f t="shared" si="14"/>
        <v>0</v>
      </c>
      <c r="L31" s="93"/>
      <c r="M31" s="94">
        <f t="shared" si="15"/>
        <v>0</v>
      </c>
      <c r="N31" s="94">
        <f t="shared" si="16"/>
        <v>0</v>
      </c>
      <c r="O31" s="20"/>
      <c r="P31" s="18">
        <v>5</v>
      </c>
      <c r="Q31" s="18"/>
      <c r="R31" s="18"/>
      <c r="S31" s="18"/>
    </row>
    <row r="32" spans="1:19">
      <c r="A32" s="140">
        <v>8709</v>
      </c>
      <c r="B32" s="140" t="s">
        <v>73</v>
      </c>
      <c r="C32" s="140" t="s">
        <v>73</v>
      </c>
      <c r="D32" s="143" t="s">
        <v>5</v>
      </c>
      <c r="E32" s="144">
        <v>43168.771168981482</v>
      </c>
      <c r="F32" s="89">
        <f t="shared" si="9"/>
        <v>43168.771168981482</v>
      </c>
      <c r="G32" s="90" t="str">
        <f t="shared" si="10"/>
        <v>18:30</v>
      </c>
      <c r="H32" s="91" t="str">
        <f t="shared" si="11"/>
        <v>-</v>
      </c>
      <c r="I32" s="92" t="str">
        <f t="shared" si="12"/>
        <v>-</v>
      </c>
      <c r="J32" s="92" t="str">
        <f t="shared" si="13"/>
        <v>-</v>
      </c>
      <c r="K32" s="93">
        <f t="shared" si="14"/>
        <v>0</v>
      </c>
      <c r="L32" s="93"/>
      <c r="M32" s="94">
        <f t="shared" si="15"/>
        <v>0</v>
      </c>
      <c r="N32" s="94">
        <f t="shared" si="16"/>
        <v>0</v>
      </c>
      <c r="O32" s="20"/>
      <c r="P32" s="9">
        <v>6</v>
      </c>
    </row>
    <row r="33" spans="1:19" s="2" customFormat="1">
      <c r="A33" s="140">
        <v>8769</v>
      </c>
      <c r="B33" s="140" t="s">
        <v>73</v>
      </c>
      <c r="C33" s="140" t="s">
        <v>73</v>
      </c>
      <c r="D33" s="143" t="s">
        <v>6</v>
      </c>
      <c r="E33" s="144">
        <v>43171.371828703705</v>
      </c>
      <c r="F33" s="89">
        <f t="shared" si="9"/>
        <v>43171.371828703705</v>
      </c>
      <c r="G33" s="90" t="str">
        <f t="shared" si="10"/>
        <v>8:55</v>
      </c>
      <c r="H33" s="91">
        <f t="shared" si="11"/>
        <v>9.5666666666666682</v>
      </c>
      <c r="I33" s="92">
        <f t="shared" si="12"/>
        <v>8</v>
      </c>
      <c r="J33" s="92" t="str">
        <f t="shared" si="13"/>
        <v>-</v>
      </c>
      <c r="K33" s="93">
        <f t="shared" si="14"/>
        <v>0</v>
      </c>
      <c r="L33" s="93"/>
      <c r="M33" s="94">
        <f t="shared" si="15"/>
        <v>0</v>
      </c>
      <c r="N33" s="94">
        <f t="shared" si="16"/>
        <v>0</v>
      </c>
      <c r="O33" s="20"/>
      <c r="P33" s="8">
        <v>7</v>
      </c>
      <c r="Q33" s="8"/>
      <c r="R33" s="8"/>
      <c r="S33" s="8"/>
    </row>
    <row r="34" spans="1:19">
      <c r="A34" s="140">
        <v>8780</v>
      </c>
      <c r="B34" s="140" t="s">
        <v>87</v>
      </c>
      <c r="C34" s="140" t="s">
        <v>73</v>
      </c>
      <c r="D34" s="143" t="s">
        <v>5</v>
      </c>
      <c r="E34" s="144">
        <v>43171.77070601852</v>
      </c>
      <c r="F34" s="89">
        <f t="shared" si="9"/>
        <v>43171.77070601852</v>
      </c>
      <c r="G34" s="90" t="str">
        <f t="shared" si="10"/>
        <v>18:29</v>
      </c>
      <c r="H34" s="91" t="str">
        <f t="shared" si="11"/>
        <v>-</v>
      </c>
      <c r="I34" s="92" t="str">
        <f t="shared" si="12"/>
        <v>-</v>
      </c>
      <c r="J34" s="92" t="str">
        <f t="shared" si="13"/>
        <v>-</v>
      </c>
      <c r="K34" s="93">
        <f t="shared" si="14"/>
        <v>0</v>
      </c>
      <c r="L34" s="93"/>
      <c r="M34" s="94">
        <f t="shared" si="15"/>
        <v>0</v>
      </c>
      <c r="N34" s="94">
        <f t="shared" si="16"/>
        <v>0</v>
      </c>
      <c r="O34" s="20"/>
      <c r="P34" s="9">
        <v>8</v>
      </c>
    </row>
    <row r="35" spans="1:19" s="2" customFormat="1">
      <c r="A35" s="140">
        <v>8789</v>
      </c>
      <c r="B35" s="140" t="s">
        <v>87</v>
      </c>
      <c r="C35" s="140" t="s">
        <v>73</v>
      </c>
      <c r="D35" s="143" t="s">
        <v>7</v>
      </c>
      <c r="E35" s="144">
        <v>43171.798321759263</v>
      </c>
      <c r="F35" s="89">
        <f t="shared" si="9"/>
        <v>43171.798321759263</v>
      </c>
      <c r="G35" s="90" t="str">
        <f t="shared" si="10"/>
        <v>19:9</v>
      </c>
      <c r="H35" s="91" t="str">
        <f t="shared" si="11"/>
        <v>-</v>
      </c>
      <c r="I35" s="92" t="str">
        <f t="shared" si="12"/>
        <v>-</v>
      </c>
      <c r="J35" s="92" t="str">
        <f t="shared" si="13"/>
        <v>-</v>
      </c>
      <c r="K35" s="93">
        <f t="shared" si="14"/>
        <v>2.6000000000000014</v>
      </c>
      <c r="L35" s="93"/>
      <c r="M35" s="94">
        <f t="shared" si="15"/>
        <v>2</v>
      </c>
      <c r="N35" s="94">
        <f t="shared" si="16"/>
        <v>0.60000000000000142</v>
      </c>
      <c r="O35" s="20"/>
      <c r="P35" s="8">
        <v>9</v>
      </c>
      <c r="Q35" s="8"/>
      <c r="R35" s="8"/>
      <c r="S35" s="8"/>
    </row>
    <row r="36" spans="1:19">
      <c r="A36" s="140">
        <v>8794</v>
      </c>
      <c r="B36" s="140" t="s">
        <v>73</v>
      </c>
      <c r="C36" s="140" t="s">
        <v>73</v>
      </c>
      <c r="D36" s="143" t="s">
        <v>8</v>
      </c>
      <c r="E36" s="144">
        <v>43171.9062962963</v>
      </c>
      <c r="F36" s="89">
        <f t="shared" si="9"/>
        <v>43171.9062962963</v>
      </c>
      <c r="G36" s="90" t="str">
        <f t="shared" si="10"/>
        <v>21:45</v>
      </c>
      <c r="H36" s="91" t="str">
        <f t="shared" si="11"/>
        <v>-</v>
      </c>
      <c r="I36" s="92" t="str">
        <f t="shared" si="12"/>
        <v>-</v>
      </c>
      <c r="J36" s="92" t="str">
        <f t="shared" si="13"/>
        <v>-</v>
      </c>
      <c r="K36" s="93">
        <f t="shared" si="14"/>
        <v>0</v>
      </c>
      <c r="L36" s="93"/>
      <c r="M36" s="94">
        <f t="shared" si="15"/>
        <v>0</v>
      </c>
      <c r="N36" s="94">
        <f t="shared" si="16"/>
        <v>0</v>
      </c>
      <c r="O36" s="20"/>
      <c r="P36" s="9">
        <v>10</v>
      </c>
    </row>
    <row r="37" spans="1:19" s="2" customFormat="1">
      <c r="A37" s="140">
        <v>8808</v>
      </c>
      <c r="B37" s="140" t="s">
        <v>73</v>
      </c>
      <c r="C37" s="140" t="s">
        <v>73</v>
      </c>
      <c r="D37" s="143" t="s">
        <v>6</v>
      </c>
      <c r="E37" s="144">
        <v>43172.369884259257</v>
      </c>
      <c r="F37" s="89">
        <f t="shared" si="9"/>
        <v>43172.369884259257</v>
      </c>
      <c r="G37" s="90" t="str">
        <f t="shared" si="10"/>
        <v>8:52</v>
      </c>
      <c r="H37" s="91">
        <f t="shared" si="11"/>
        <v>9.6499999999999986</v>
      </c>
      <c r="I37" s="92">
        <f t="shared" si="12"/>
        <v>8</v>
      </c>
      <c r="J37" s="92" t="str">
        <f t="shared" si="13"/>
        <v>-</v>
      </c>
      <c r="K37" s="93">
        <f t="shared" si="14"/>
        <v>0</v>
      </c>
      <c r="L37" s="93"/>
      <c r="M37" s="94">
        <f t="shared" si="15"/>
        <v>0</v>
      </c>
      <c r="N37" s="94">
        <f t="shared" si="16"/>
        <v>0</v>
      </c>
      <c r="O37" s="20"/>
      <c r="P37" s="8">
        <v>11</v>
      </c>
      <c r="Q37" s="8"/>
      <c r="R37" s="8"/>
      <c r="S37" s="8"/>
    </row>
    <row r="38" spans="1:19">
      <c r="A38" s="140">
        <v>8816</v>
      </c>
      <c r="B38" s="140" t="s">
        <v>73</v>
      </c>
      <c r="C38" s="140" t="s">
        <v>73</v>
      </c>
      <c r="D38" s="143" t="s">
        <v>5</v>
      </c>
      <c r="E38" s="144">
        <v>43172.772013888891</v>
      </c>
      <c r="F38" s="89">
        <f t="shared" si="9"/>
        <v>43172.772013888891</v>
      </c>
      <c r="G38" s="90" t="str">
        <f t="shared" si="10"/>
        <v>18:31</v>
      </c>
      <c r="H38" s="91" t="str">
        <f t="shared" si="11"/>
        <v>-</v>
      </c>
      <c r="I38" s="92" t="str">
        <f t="shared" si="12"/>
        <v>-</v>
      </c>
      <c r="J38" s="92" t="str">
        <f t="shared" si="13"/>
        <v>-</v>
      </c>
      <c r="K38" s="93">
        <f t="shared" si="14"/>
        <v>0</v>
      </c>
      <c r="L38" s="93"/>
      <c r="M38" s="94">
        <f t="shared" si="15"/>
        <v>0</v>
      </c>
      <c r="N38" s="94">
        <f t="shared" si="16"/>
        <v>0</v>
      </c>
      <c r="O38" s="20"/>
      <c r="P38" s="9">
        <v>12</v>
      </c>
    </row>
    <row r="39" spans="1:19" s="2" customFormat="1">
      <c r="A39" s="140">
        <v>8824</v>
      </c>
      <c r="B39" s="140" t="s">
        <v>73</v>
      </c>
      <c r="C39" s="140" t="s">
        <v>73</v>
      </c>
      <c r="D39" s="143" t="s">
        <v>7</v>
      </c>
      <c r="E39" s="144">
        <v>43172.775231481479</v>
      </c>
      <c r="F39" s="89">
        <f t="shared" si="9"/>
        <v>43172.775231481479</v>
      </c>
      <c r="G39" s="90" t="str">
        <f t="shared" si="10"/>
        <v>18:36</v>
      </c>
      <c r="H39" s="91" t="str">
        <f t="shared" si="11"/>
        <v>-</v>
      </c>
      <c r="I39" s="92" t="str">
        <f t="shared" si="12"/>
        <v>-</v>
      </c>
      <c r="J39" s="92" t="str">
        <f t="shared" si="13"/>
        <v>-</v>
      </c>
      <c r="K39" s="93">
        <f t="shared" si="14"/>
        <v>3.2166666666666659</v>
      </c>
      <c r="L39" s="93"/>
      <c r="M39" s="94">
        <f t="shared" si="15"/>
        <v>2</v>
      </c>
      <c r="N39" s="94">
        <f t="shared" si="16"/>
        <v>1.2166666666666659</v>
      </c>
      <c r="O39" s="20"/>
      <c r="P39" s="8">
        <v>13</v>
      </c>
      <c r="Q39" s="8"/>
      <c r="R39" s="8"/>
      <c r="S39" s="8"/>
    </row>
    <row r="40" spans="1:19">
      <c r="A40" s="140">
        <v>8835</v>
      </c>
      <c r="B40" s="140" t="s">
        <v>73</v>
      </c>
      <c r="C40" s="140" t="s">
        <v>73</v>
      </c>
      <c r="D40" s="143" t="s">
        <v>8</v>
      </c>
      <c r="E40" s="144">
        <v>43172.909479166665</v>
      </c>
      <c r="F40" s="89">
        <f t="shared" si="9"/>
        <v>43172.909479166665</v>
      </c>
      <c r="G40" s="90" t="str">
        <f t="shared" si="10"/>
        <v>21:49</v>
      </c>
      <c r="H40" s="91" t="str">
        <f t="shared" si="11"/>
        <v>-</v>
      </c>
      <c r="I40" s="92" t="str">
        <f t="shared" si="12"/>
        <v>-</v>
      </c>
      <c r="J40" s="92" t="str">
        <f t="shared" si="13"/>
        <v>-</v>
      </c>
      <c r="K40" s="93">
        <f t="shared" si="14"/>
        <v>0</v>
      </c>
      <c r="L40" s="93"/>
      <c r="M40" s="94">
        <f t="shared" si="15"/>
        <v>0</v>
      </c>
      <c r="N40" s="94">
        <f t="shared" si="16"/>
        <v>0</v>
      </c>
      <c r="O40" s="20"/>
      <c r="P40" s="9">
        <v>14</v>
      </c>
    </row>
    <row r="41" spans="1:19" s="2" customFormat="1">
      <c r="A41" s="140">
        <v>8844</v>
      </c>
      <c r="B41" s="140" t="s">
        <v>73</v>
      </c>
      <c r="C41" s="140" t="s">
        <v>73</v>
      </c>
      <c r="D41" s="143" t="s">
        <v>6</v>
      </c>
      <c r="E41" s="144">
        <v>43173.371423611112</v>
      </c>
      <c r="F41" s="89">
        <f t="shared" si="9"/>
        <v>43173.371423611112</v>
      </c>
      <c r="G41" s="90" t="str">
        <f t="shared" si="10"/>
        <v>8:54</v>
      </c>
      <c r="H41" s="91">
        <f t="shared" si="11"/>
        <v>9.6166666666666636</v>
      </c>
      <c r="I41" s="92">
        <f t="shared" si="12"/>
        <v>8</v>
      </c>
      <c r="J41" s="92" t="str">
        <f t="shared" si="13"/>
        <v>-</v>
      </c>
      <c r="K41" s="93">
        <f t="shared" si="14"/>
        <v>0</v>
      </c>
      <c r="L41" s="93"/>
      <c r="M41" s="94">
        <f t="shared" si="15"/>
        <v>0</v>
      </c>
      <c r="N41" s="94">
        <f t="shared" si="16"/>
        <v>0</v>
      </c>
      <c r="O41" s="20"/>
      <c r="P41" s="8">
        <v>15</v>
      </c>
      <c r="Q41" s="8"/>
      <c r="R41" s="8"/>
      <c r="S41" s="8"/>
    </row>
    <row r="42" spans="1:19">
      <c r="A42" s="140">
        <v>8853</v>
      </c>
      <c r="B42" s="140" t="s">
        <v>87</v>
      </c>
      <c r="C42" s="140" t="s">
        <v>73</v>
      </c>
      <c r="D42" s="143" t="s">
        <v>5</v>
      </c>
      <c r="E42" s="144">
        <v>43173.771828703706</v>
      </c>
      <c r="F42" s="89">
        <f t="shared" si="9"/>
        <v>43173.771828703706</v>
      </c>
      <c r="G42" s="90" t="str">
        <f t="shared" si="10"/>
        <v>18:31</v>
      </c>
      <c r="H42" s="91" t="str">
        <f t="shared" si="11"/>
        <v>-</v>
      </c>
      <c r="I42" s="92" t="str">
        <f t="shared" si="12"/>
        <v>-</v>
      </c>
      <c r="J42" s="92" t="str">
        <f t="shared" si="13"/>
        <v>-</v>
      </c>
      <c r="K42" s="93">
        <f t="shared" si="14"/>
        <v>0</v>
      </c>
      <c r="L42" s="93"/>
      <c r="M42" s="94">
        <f t="shared" si="15"/>
        <v>0</v>
      </c>
      <c r="N42" s="94">
        <f t="shared" si="16"/>
        <v>0</v>
      </c>
      <c r="O42" s="20"/>
      <c r="P42" s="9">
        <v>16</v>
      </c>
    </row>
    <row r="43" spans="1:19" s="2" customFormat="1">
      <c r="A43" s="140">
        <v>8854</v>
      </c>
      <c r="B43" s="140" t="s">
        <v>87</v>
      </c>
      <c r="C43" s="140" t="s">
        <v>73</v>
      </c>
      <c r="D43" s="143" t="s">
        <v>7</v>
      </c>
      <c r="E43" s="144">
        <v>43173.771863425929</v>
      </c>
      <c r="F43" s="89">
        <f t="shared" si="9"/>
        <v>43173.771863425929</v>
      </c>
      <c r="G43" s="90" t="str">
        <f t="shared" si="10"/>
        <v>18:31</v>
      </c>
      <c r="H43" s="91" t="str">
        <f t="shared" si="11"/>
        <v>-</v>
      </c>
      <c r="I43" s="92" t="str">
        <f t="shared" si="12"/>
        <v>-</v>
      </c>
      <c r="J43" s="92" t="str">
        <f t="shared" si="13"/>
        <v>-</v>
      </c>
      <c r="K43" s="93">
        <f t="shared" si="14"/>
        <v>1.9666666666666703</v>
      </c>
      <c r="L43" s="93"/>
      <c r="M43" s="94">
        <f t="shared" si="15"/>
        <v>1.9666666666666703</v>
      </c>
      <c r="N43" s="94">
        <f t="shared" si="16"/>
        <v>0</v>
      </c>
      <c r="O43" s="20"/>
      <c r="P43" s="8">
        <v>17</v>
      </c>
      <c r="Q43" s="8"/>
      <c r="R43" s="8"/>
      <c r="S43" s="8"/>
    </row>
    <row r="44" spans="1:19" s="63" customFormat="1">
      <c r="A44" s="140">
        <v>8863</v>
      </c>
      <c r="B44" s="140" t="s">
        <v>73</v>
      </c>
      <c r="C44" s="140" t="s">
        <v>73</v>
      </c>
      <c r="D44" s="143" t="s">
        <v>8</v>
      </c>
      <c r="E44" s="144">
        <v>43173.854097222225</v>
      </c>
      <c r="F44" s="89">
        <f t="shared" si="9"/>
        <v>43173.854097222225</v>
      </c>
      <c r="G44" s="90" t="str">
        <f t="shared" si="10"/>
        <v>20:29</v>
      </c>
      <c r="H44" s="91" t="str">
        <f t="shared" si="11"/>
        <v>-</v>
      </c>
      <c r="I44" s="92" t="str">
        <f t="shared" si="12"/>
        <v>-</v>
      </c>
      <c r="J44" s="92" t="str">
        <f t="shared" si="13"/>
        <v>-</v>
      </c>
      <c r="K44" s="93">
        <f t="shared" si="14"/>
        <v>0</v>
      </c>
      <c r="L44" s="93"/>
      <c r="M44" s="94">
        <f t="shared" si="15"/>
        <v>0</v>
      </c>
      <c r="N44" s="94">
        <f t="shared" si="16"/>
        <v>0</v>
      </c>
      <c r="O44" s="20"/>
      <c r="P44" s="18">
        <v>18</v>
      </c>
      <c r="Q44" s="18"/>
      <c r="R44" s="18"/>
      <c r="S44" s="18"/>
    </row>
    <row r="45" spans="1:19" s="2" customFormat="1">
      <c r="A45" s="140">
        <v>8878</v>
      </c>
      <c r="B45" s="140" t="s">
        <v>73</v>
      </c>
      <c r="C45" s="140" t="s">
        <v>73</v>
      </c>
      <c r="D45" s="143" t="s">
        <v>6</v>
      </c>
      <c r="E45" s="144">
        <v>43174.369722222225</v>
      </c>
      <c r="F45" s="89">
        <f t="shared" si="9"/>
        <v>43174.369722222225</v>
      </c>
      <c r="G45" s="90" t="str">
        <f t="shared" si="10"/>
        <v>8:52</v>
      </c>
      <c r="H45" s="91">
        <f t="shared" si="11"/>
        <v>9.6666666666666679</v>
      </c>
      <c r="I45" s="92">
        <f t="shared" si="12"/>
        <v>8</v>
      </c>
      <c r="J45" s="92" t="str">
        <f t="shared" si="13"/>
        <v>-</v>
      </c>
      <c r="K45" s="93">
        <f t="shared" si="14"/>
        <v>0</v>
      </c>
      <c r="L45" s="93"/>
      <c r="M45" s="94">
        <f t="shared" si="15"/>
        <v>0</v>
      </c>
      <c r="N45" s="94">
        <f t="shared" si="16"/>
        <v>0</v>
      </c>
      <c r="O45" s="20"/>
      <c r="P45" s="8">
        <v>19</v>
      </c>
      <c r="Q45" s="8"/>
      <c r="R45" s="8"/>
      <c r="S45" s="8"/>
    </row>
    <row r="46" spans="1:19">
      <c r="A46" s="140">
        <v>8894</v>
      </c>
      <c r="B46" s="140" t="s">
        <v>87</v>
      </c>
      <c r="C46" s="140" t="s">
        <v>73</v>
      </c>
      <c r="D46" s="143" t="s">
        <v>5</v>
      </c>
      <c r="E46" s="144">
        <v>43174.772534722222</v>
      </c>
      <c r="F46" s="89">
        <f t="shared" si="9"/>
        <v>43174.772534722222</v>
      </c>
      <c r="G46" s="90" t="str">
        <f t="shared" si="10"/>
        <v>18:32</v>
      </c>
      <c r="H46" s="91" t="str">
        <f t="shared" si="11"/>
        <v>-</v>
      </c>
      <c r="I46" s="92" t="str">
        <f t="shared" si="12"/>
        <v>-</v>
      </c>
      <c r="J46" s="92" t="str">
        <f t="shared" si="13"/>
        <v>-</v>
      </c>
      <c r="K46" s="93">
        <f t="shared" si="14"/>
        <v>0</v>
      </c>
      <c r="L46" s="93"/>
      <c r="M46" s="94">
        <f t="shared" si="15"/>
        <v>0</v>
      </c>
      <c r="N46" s="94">
        <f t="shared" si="16"/>
        <v>0</v>
      </c>
      <c r="O46" s="20"/>
      <c r="P46" s="9">
        <v>20</v>
      </c>
    </row>
    <row r="47" spans="1:19" s="2" customFormat="1">
      <c r="A47" s="140">
        <v>8896</v>
      </c>
      <c r="B47" s="140" t="s">
        <v>87</v>
      </c>
      <c r="C47" s="140" t="s">
        <v>73</v>
      </c>
      <c r="D47" s="143" t="s">
        <v>7</v>
      </c>
      <c r="E47" s="144">
        <v>43174.775324074071</v>
      </c>
      <c r="F47" s="89">
        <f t="shared" si="9"/>
        <v>43174.775324074071</v>
      </c>
      <c r="G47" s="90" t="str">
        <f t="shared" si="10"/>
        <v>18:36</v>
      </c>
      <c r="H47" s="91" t="str">
        <f t="shared" si="11"/>
        <v>-</v>
      </c>
      <c r="I47" s="92" t="str">
        <f t="shared" si="12"/>
        <v>-</v>
      </c>
      <c r="J47" s="92" t="str">
        <f t="shared" si="13"/>
        <v>-</v>
      </c>
      <c r="K47" s="93">
        <f t="shared" si="14"/>
        <v>1.7833333333333323</v>
      </c>
      <c r="L47" s="93"/>
      <c r="M47" s="94">
        <f t="shared" si="15"/>
        <v>1.7833333333333323</v>
      </c>
      <c r="N47" s="94">
        <f t="shared" si="16"/>
        <v>0</v>
      </c>
      <c r="O47" s="20"/>
      <c r="P47" s="8">
        <v>21</v>
      </c>
      <c r="Q47" s="8"/>
      <c r="R47" s="8"/>
      <c r="S47" s="8"/>
    </row>
    <row r="48" spans="1:19">
      <c r="A48" s="140">
        <v>8900</v>
      </c>
      <c r="B48" s="140" t="s">
        <v>73</v>
      </c>
      <c r="C48" s="140" t="s">
        <v>73</v>
      </c>
      <c r="D48" s="143" t="s">
        <v>8</v>
      </c>
      <c r="E48" s="144">
        <v>43174.849930555552</v>
      </c>
      <c r="F48" s="89">
        <f t="shared" si="9"/>
        <v>43174.849930555552</v>
      </c>
      <c r="G48" s="90" t="str">
        <f t="shared" si="10"/>
        <v>20:23</v>
      </c>
      <c r="H48" s="91" t="str">
        <f t="shared" si="11"/>
        <v>-</v>
      </c>
      <c r="I48" s="92" t="str">
        <f t="shared" si="12"/>
        <v>-</v>
      </c>
      <c r="J48" s="92" t="str">
        <f t="shared" si="13"/>
        <v>-</v>
      </c>
      <c r="K48" s="93">
        <f t="shared" si="14"/>
        <v>0</v>
      </c>
      <c r="L48" s="93"/>
      <c r="M48" s="94">
        <f t="shared" si="15"/>
        <v>0</v>
      </c>
      <c r="N48" s="94">
        <f t="shared" si="16"/>
        <v>0</v>
      </c>
      <c r="O48" s="20"/>
      <c r="P48" s="9">
        <v>22</v>
      </c>
    </row>
    <row r="49" spans="1:21" s="63" customFormat="1">
      <c r="A49" s="140">
        <v>8914</v>
      </c>
      <c r="B49" s="140" t="s">
        <v>73</v>
      </c>
      <c r="C49" s="140" t="s">
        <v>73</v>
      </c>
      <c r="D49" s="143" t="s">
        <v>6</v>
      </c>
      <c r="E49" s="144">
        <v>43175.370972222219</v>
      </c>
      <c r="F49" s="89">
        <f t="shared" si="9"/>
        <v>43175.370972222219</v>
      </c>
      <c r="G49" s="90" t="str">
        <f t="shared" si="10"/>
        <v>8:54</v>
      </c>
      <c r="H49" s="91">
        <f t="shared" si="11"/>
        <v>9.68333333333333</v>
      </c>
      <c r="I49" s="92">
        <f t="shared" si="12"/>
        <v>8</v>
      </c>
      <c r="J49" s="92" t="str">
        <f t="shared" si="13"/>
        <v>-</v>
      </c>
      <c r="K49" s="93">
        <f t="shared" si="14"/>
        <v>0</v>
      </c>
      <c r="L49" s="93"/>
      <c r="M49" s="94">
        <f t="shared" si="15"/>
        <v>0</v>
      </c>
      <c r="N49" s="94">
        <f t="shared" si="16"/>
        <v>0</v>
      </c>
      <c r="O49" s="20"/>
      <c r="P49" s="18">
        <v>23</v>
      </c>
      <c r="Q49" s="18"/>
      <c r="R49" s="18"/>
      <c r="S49" s="18"/>
    </row>
    <row r="50" spans="1:21">
      <c r="A50" s="140">
        <v>8929</v>
      </c>
      <c r="B50" s="140" t="s">
        <v>73</v>
      </c>
      <c r="C50" s="140" t="s">
        <v>73</v>
      </c>
      <c r="D50" s="143" t="s">
        <v>5</v>
      </c>
      <c r="E50" s="144">
        <v>43175.774571759262</v>
      </c>
      <c r="F50" s="89">
        <f t="shared" si="9"/>
        <v>43175.774571759262</v>
      </c>
      <c r="G50" s="90" t="str">
        <f t="shared" si="10"/>
        <v>18:35</v>
      </c>
      <c r="H50" s="91" t="str">
        <f t="shared" si="11"/>
        <v>-</v>
      </c>
      <c r="I50" s="92" t="str">
        <f t="shared" si="12"/>
        <v>-</v>
      </c>
      <c r="J50" s="92" t="str">
        <f t="shared" si="13"/>
        <v>-</v>
      </c>
      <c r="K50" s="93">
        <f t="shared" si="14"/>
        <v>0</v>
      </c>
      <c r="L50" s="93"/>
      <c r="M50" s="94">
        <f t="shared" si="15"/>
        <v>0</v>
      </c>
      <c r="N50" s="94">
        <f t="shared" si="16"/>
        <v>0</v>
      </c>
      <c r="O50" s="20"/>
      <c r="P50" s="9">
        <v>24</v>
      </c>
    </row>
    <row r="51" spans="1:21" s="9" customFormat="1">
      <c r="A51" s="140">
        <v>8930</v>
      </c>
      <c r="B51" s="140" t="s">
        <v>73</v>
      </c>
      <c r="C51" s="140" t="s">
        <v>73</v>
      </c>
      <c r="D51" s="143" t="s">
        <v>7</v>
      </c>
      <c r="E51" s="144">
        <v>43175.774606481478</v>
      </c>
      <c r="F51" s="89">
        <f t="shared" si="9"/>
        <v>43175.774606481478</v>
      </c>
      <c r="G51" s="90" t="str">
        <f t="shared" si="10"/>
        <v>18:35</v>
      </c>
      <c r="H51" s="91" t="str">
        <f t="shared" si="11"/>
        <v>-</v>
      </c>
      <c r="I51" s="92" t="str">
        <f t="shared" si="12"/>
        <v>-</v>
      </c>
      <c r="J51" s="92" t="str">
        <f t="shared" si="13"/>
        <v>-</v>
      </c>
      <c r="K51" s="93">
        <f t="shared" si="14"/>
        <v>0.75</v>
      </c>
      <c r="L51" s="93"/>
      <c r="M51" s="94">
        <f t="shared" si="15"/>
        <v>0.75</v>
      </c>
      <c r="N51" s="94">
        <f t="shared" si="16"/>
        <v>0</v>
      </c>
      <c r="O51" s="20"/>
      <c r="T51"/>
      <c r="U51"/>
    </row>
    <row r="52" spans="1:21" s="9" customFormat="1">
      <c r="A52" s="140">
        <v>8934</v>
      </c>
      <c r="B52" s="140" t="s">
        <v>73</v>
      </c>
      <c r="C52" s="140" t="s">
        <v>73</v>
      </c>
      <c r="D52" s="143" t="s">
        <v>8</v>
      </c>
      <c r="E52" s="144">
        <v>43175.806134259263</v>
      </c>
      <c r="F52" s="89">
        <f t="shared" si="9"/>
        <v>43175.806134259263</v>
      </c>
      <c r="G52" s="90" t="str">
        <f t="shared" si="10"/>
        <v>19:20</v>
      </c>
      <c r="H52" s="91" t="str">
        <f t="shared" si="11"/>
        <v>-</v>
      </c>
      <c r="I52" s="92" t="str">
        <f t="shared" si="12"/>
        <v>-</v>
      </c>
      <c r="J52" s="92" t="str">
        <f t="shared" si="13"/>
        <v>-</v>
      </c>
      <c r="K52" s="93">
        <f t="shared" si="14"/>
        <v>0</v>
      </c>
      <c r="L52" s="93"/>
      <c r="M52" s="94">
        <f t="shared" si="15"/>
        <v>0</v>
      </c>
      <c r="N52" s="94">
        <f t="shared" si="16"/>
        <v>0</v>
      </c>
      <c r="O52" s="20"/>
      <c r="T52"/>
      <c r="U52"/>
    </row>
    <row r="53" spans="1:21" s="9" customFormat="1">
      <c r="A53" s="140">
        <v>8944</v>
      </c>
      <c r="B53" s="140" t="s">
        <v>73</v>
      </c>
      <c r="C53" s="140" t="s">
        <v>73</v>
      </c>
      <c r="D53" s="143" t="s">
        <v>7</v>
      </c>
      <c r="E53" s="144">
        <v>43176.426030092596</v>
      </c>
      <c r="F53" s="89">
        <f t="shared" si="9"/>
        <v>43176.426030092596</v>
      </c>
      <c r="G53" s="90" t="str">
        <f t="shared" si="10"/>
        <v>10:13</v>
      </c>
      <c r="H53" s="91" t="str">
        <f t="shared" si="11"/>
        <v>-</v>
      </c>
      <c r="I53" s="92" t="str">
        <f t="shared" si="12"/>
        <v>-</v>
      </c>
      <c r="J53" s="92" t="str">
        <f t="shared" si="13"/>
        <v>-</v>
      </c>
      <c r="K53" s="93">
        <f t="shared" si="14"/>
        <v>1.8666666666666667</v>
      </c>
      <c r="L53" s="93"/>
      <c r="M53" s="447"/>
      <c r="N53" s="94">
        <f>IF(K53&gt;2,2,K53)</f>
        <v>1.8666666666666667</v>
      </c>
      <c r="O53" s="20"/>
      <c r="T53"/>
      <c r="U53"/>
    </row>
    <row r="54" spans="1:21" s="18" customFormat="1">
      <c r="A54" s="140">
        <v>8952</v>
      </c>
      <c r="B54" s="140" t="s">
        <v>73</v>
      </c>
      <c r="C54" s="140" t="s">
        <v>73</v>
      </c>
      <c r="D54" s="143" t="s">
        <v>8</v>
      </c>
      <c r="E54" s="144">
        <v>43176.503946759258</v>
      </c>
      <c r="F54" s="89">
        <f t="shared" si="9"/>
        <v>43176.503946759258</v>
      </c>
      <c r="G54" s="90" t="str">
        <f t="shared" si="10"/>
        <v>12:5</v>
      </c>
      <c r="H54" s="91" t="str">
        <f t="shared" si="11"/>
        <v>-</v>
      </c>
      <c r="I54" s="92" t="str">
        <f t="shared" si="12"/>
        <v>-</v>
      </c>
      <c r="J54" s="92" t="str">
        <f t="shared" si="13"/>
        <v>-</v>
      </c>
      <c r="K54" s="93">
        <f t="shared" si="14"/>
        <v>0</v>
      </c>
      <c r="L54" s="93"/>
      <c r="M54" s="463">
        <f t="shared" si="15"/>
        <v>0</v>
      </c>
      <c r="N54" s="94">
        <f t="shared" si="16"/>
        <v>0</v>
      </c>
      <c r="O54" s="20"/>
      <c r="T54" s="63"/>
      <c r="U54" s="63"/>
    </row>
    <row r="55" spans="1:21" s="18" customFormat="1">
      <c r="A55" s="140">
        <v>8957</v>
      </c>
      <c r="B55" s="140" t="s">
        <v>73</v>
      </c>
      <c r="C55" s="140" t="s">
        <v>73</v>
      </c>
      <c r="D55" s="143" t="s">
        <v>7</v>
      </c>
      <c r="E55" s="144">
        <v>43176.567928240744</v>
      </c>
      <c r="F55" s="89">
        <f t="shared" si="9"/>
        <v>43176.567928240744</v>
      </c>
      <c r="G55" s="90" t="str">
        <f t="shared" si="10"/>
        <v>13:37</v>
      </c>
      <c r="H55" s="91" t="str">
        <f t="shared" si="11"/>
        <v>-</v>
      </c>
      <c r="I55" s="92" t="str">
        <f t="shared" si="12"/>
        <v>-</v>
      </c>
      <c r="J55" s="92" t="str">
        <f t="shared" si="13"/>
        <v>-</v>
      </c>
      <c r="K55" s="93">
        <f t="shared" si="14"/>
        <v>2.8000000000000007</v>
      </c>
      <c r="L55" s="93"/>
      <c r="M55" s="94">
        <f t="shared" si="15"/>
        <v>2</v>
      </c>
      <c r="N55" s="94">
        <f t="shared" si="16"/>
        <v>0.80000000000000071</v>
      </c>
      <c r="O55" s="20"/>
      <c r="T55" s="63"/>
      <c r="U55" s="63"/>
    </row>
    <row r="56" spans="1:21">
      <c r="A56" s="140">
        <v>8964</v>
      </c>
      <c r="B56" s="140" t="s">
        <v>87</v>
      </c>
      <c r="C56" s="140" t="s">
        <v>73</v>
      </c>
      <c r="D56" s="143" t="s">
        <v>8</v>
      </c>
      <c r="E56" s="144">
        <v>43176.684062499997</v>
      </c>
      <c r="F56" s="89">
        <f t="shared" si="9"/>
        <v>43176.684062499997</v>
      </c>
      <c r="G56" s="90" t="str">
        <f t="shared" si="10"/>
        <v>16:25</v>
      </c>
      <c r="H56" s="91" t="str">
        <f t="shared" si="11"/>
        <v>-</v>
      </c>
      <c r="I56" s="92" t="str">
        <f t="shared" si="12"/>
        <v>-</v>
      </c>
      <c r="J56" s="92" t="str">
        <f t="shared" si="13"/>
        <v>-</v>
      </c>
      <c r="K56" s="93">
        <f t="shared" si="14"/>
        <v>0</v>
      </c>
      <c r="L56" s="93"/>
      <c r="M56" s="94">
        <f t="shared" si="15"/>
        <v>0</v>
      </c>
      <c r="N56" s="94">
        <f t="shared" si="16"/>
        <v>0</v>
      </c>
      <c r="O56" s="20"/>
    </row>
    <row r="57" spans="1:21">
      <c r="A57" s="140">
        <v>8979</v>
      </c>
      <c r="B57" s="140" t="s">
        <v>73</v>
      </c>
      <c r="C57" s="140" t="s">
        <v>73</v>
      </c>
      <c r="D57" s="143" t="s">
        <v>6</v>
      </c>
      <c r="E57" s="144">
        <v>43178.370821759258</v>
      </c>
      <c r="F57" s="89">
        <f t="shared" si="9"/>
        <v>43178.370821759258</v>
      </c>
      <c r="G57" s="90" t="str">
        <f t="shared" si="10"/>
        <v>8:53</v>
      </c>
      <c r="H57" s="91">
        <f t="shared" si="11"/>
        <v>9.5666666666666664</v>
      </c>
      <c r="I57" s="92">
        <f t="shared" si="12"/>
        <v>8</v>
      </c>
      <c r="J57" s="92" t="str">
        <f t="shared" si="13"/>
        <v>-</v>
      </c>
      <c r="K57" s="93">
        <f t="shared" si="14"/>
        <v>0</v>
      </c>
      <c r="L57" s="93"/>
      <c r="M57" s="94">
        <f t="shared" si="15"/>
        <v>0</v>
      </c>
      <c r="N57" s="94">
        <f t="shared" si="16"/>
        <v>0</v>
      </c>
      <c r="O57" s="20"/>
    </row>
    <row r="58" spans="1:21">
      <c r="A58" s="140">
        <v>8991</v>
      </c>
      <c r="B58" s="140" t="s">
        <v>87</v>
      </c>
      <c r="C58" s="140" t="s">
        <v>73</v>
      </c>
      <c r="D58" s="143" t="s">
        <v>5</v>
      </c>
      <c r="E58" s="144">
        <v>43178.769166666665</v>
      </c>
      <c r="F58" s="89">
        <f t="shared" si="9"/>
        <v>43178.769166666665</v>
      </c>
      <c r="G58" s="90" t="str">
        <f t="shared" si="10"/>
        <v>18:27</v>
      </c>
      <c r="H58" s="91" t="str">
        <f t="shared" si="11"/>
        <v>-</v>
      </c>
      <c r="I58" s="92" t="str">
        <f t="shared" si="12"/>
        <v>-</v>
      </c>
      <c r="J58" s="92" t="str">
        <f t="shared" si="13"/>
        <v>-</v>
      </c>
      <c r="K58" s="93">
        <f t="shared" si="14"/>
        <v>0</v>
      </c>
      <c r="L58" s="93"/>
      <c r="M58" s="94">
        <f t="shared" si="15"/>
        <v>0</v>
      </c>
      <c r="N58" s="94">
        <f t="shared" si="16"/>
        <v>0</v>
      </c>
      <c r="O58" s="20"/>
    </row>
    <row r="59" spans="1:21">
      <c r="A59" s="140">
        <v>8997</v>
      </c>
      <c r="B59" s="140" t="s">
        <v>87</v>
      </c>
      <c r="C59" s="140" t="s">
        <v>73</v>
      </c>
      <c r="D59" s="143" t="s">
        <v>7</v>
      </c>
      <c r="E59" s="144">
        <v>43178.793032407404</v>
      </c>
      <c r="F59" s="89">
        <f t="shared" si="9"/>
        <v>43178.793032407404</v>
      </c>
      <c r="G59" s="90" t="str">
        <f t="shared" si="10"/>
        <v>19:1</v>
      </c>
      <c r="H59" s="91" t="str">
        <f t="shared" si="11"/>
        <v>-</v>
      </c>
      <c r="I59" s="92" t="str">
        <f t="shared" si="12"/>
        <v>-</v>
      </c>
      <c r="J59" s="92" t="str">
        <f t="shared" si="13"/>
        <v>-</v>
      </c>
      <c r="K59" s="93">
        <f t="shared" si="14"/>
        <v>1.5499999999999998</v>
      </c>
      <c r="L59" s="93"/>
      <c r="M59" s="94">
        <f t="shared" si="15"/>
        <v>1.5499999999999998</v>
      </c>
      <c r="N59" s="94">
        <f t="shared" si="16"/>
        <v>0</v>
      </c>
      <c r="O59" s="20"/>
    </row>
    <row r="60" spans="1:21">
      <c r="A60" s="140">
        <v>9001</v>
      </c>
      <c r="B60" s="140" t="s">
        <v>73</v>
      </c>
      <c r="C60" s="140" t="s">
        <v>73</v>
      </c>
      <c r="D60" s="143" t="s">
        <v>8</v>
      </c>
      <c r="E60" s="144">
        <v>43178.857222222221</v>
      </c>
      <c r="F60" s="89">
        <f t="shared" si="9"/>
        <v>43178.857222222221</v>
      </c>
      <c r="G60" s="90" t="str">
        <f t="shared" si="10"/>
        <v>20:34</v>
      </c>
      <c r="H60" s="91" t="str">
        <f t="shared" si="11"/>
        <v>-</v>
      </c>
      <c r="I60" s="92" t="str">
        <f t="shared" si="12"/>
        <v>-</v>
      </c>
      <c r="J60" s="92" t="str">
        <f t="shared" si="13"/>
        <v>-</v>
      </c>
      <c r="K60" s="93">
        <f t="shared" si="14"/>
        <v>0</v>
      </c>
      <c r="L60" s="93"/>
      <c r="M60" s="94">
        <f t="shared" si="15"/>
        <v>0</v>
      </c>
      <c r="N60" s="94">
        <f t="shared" si="16"/>
        <v>0</v>
      </c>
      <c r="O60" s="20"/>
    </row>
    <row r="61" spans="1:21">
      <c r="A61" s="140">
        <v>9015</v>
      </c>
      <c r="B61" s="140" t="s">
        <v>73</v>
      </c>
      <c r="C61" s="140" t="s">
        <v>73</v>
      </c>
      <c r="D61" s="143" t="s">
        <v>6</v>
      </c>
      <c r="E61" s="144">
        <v>43179.370300925926</v>
      </c>
      <c r="F61" s="89">
        <f t="shared" si="9"/>
        <v>43179.370300925926</v>
      </c>
      <c r="G61" s="90" t="str">
        <f t="shared" si="10"/>
        <v>8:53</v>
      </c>
      <c r="H61" s="91">
        <f t="shared" si="11"/>
        <v>9.5166666666666657</v>
      </c>
      <c r="I61" s="92">
        <f t="shared" si="12"/>
        <v>8</v>
      </c>
      <c r="J61" s="92" t="str">
        <f t="shared" si="13"/>
        <v>-</v>
      </c>
      <c r="K61" s="93">
        <f t="shared" si="14"/>
        <v>0</v>
      </c>
      <c r="L61" s="93"/>
      <c r="M61" s="94">
        <f t="shared" si="15"/>
        <v>0</v>
      </c>
      <c r="N61" s="94">
        <f t="shared" si="16"/>
        <v>0</v>
      </c>
      <c r="O61" s="20"/>
    </row>
    <row r="62" spans="1:21">
      <c r="A62" s="140">
        <v>9022</v>
      </c>
      <c r="B62" s="140" t="s">
        <v>87</v>
      </c>
      <c r="C62" s="140" t="s">
        <v>73</v>
      </c>
      <c r="D62" s="143" t="s">
        <v>5</v>
      </c>
      <c r="E62" s="144">
        <v>43179.766759259262</v>
      </c>
      <c r="F62" s="89">
        <f t="shared" si="9"/>
        <v>43179.766759259262</v>
      </c>
      <c r="G62" s="90" t="str">
        <f t="shared" si="10"/>
        <v>18:24</v>
      </c>
      <c r="H62" s="91" t="str">
        <f t="shared" si="11"/>
        <v>-</v>
      </c>
      <c r="I62" s="92" t="str">
        <f t="shared" si="12"/>
        <v>-</v>
      </c>
      <c r="J62" s="92" t="str">
        <f t="shared" si="13"/>
        <v>-</v>
      </c>
      <c r="K62" s="93">
        <f t="shared" si="14"/>
        <v>0</v>
      </c>
      <c r="L62" s="93"/>
      <c r="M62" s="94">
        <f t="shared" si="15"/>
        <v>0</v>
      </c>
      <c r="N62" s="94">
        <f t="shared" si="16"/>
        <v>0</v>
      </c>
      <c r="O62" s="20"/>
    </row>
    <row r="63" spans="1:21">
      <c r="A63" s="140">
        <v>9038</v>
      </c>
      <c r="B63" s="140" t="s">
        <v>87</v>
      </c>
      <c r="C63" s="140" t="s">
        <v>73</v>
      </c>
      <c r="D63" s="143" t="s">
        <v>7</v>
      </c>
      <c r="E63" s="144">
        <v>43179.795983796299</v>
      </c>
      <c r="F63" s="89">
        <f t="shared" si="9"/>
        <v>43179.795983796299</v>
      </c>
      <c r="G63" s="90" t="str">
        <f t="shared" si="10"/>
        <v>19:6</v>
      </c>
      <c r="H63" s="91" t="str">
        <f t="shared" si="11"/>
        <v>-</v>
      </c>
      <c r="I63" s="92" t="str">
        <f t="shared" si="12"/>
        <v>-</v>
      </c>
      <c r="J63" s="92" t="str">
        <f t="shared" si="13"/>
        <v>-</v>
      </c>
      <c r="K63" s="93">
        <f t="shared" si="14"/>
        <v>2.0666666666666673</v>
      </c>
      <c r="L63" s="93"/>
      <c r="M63" s="94">
        <f t="shared" si="15"/>
        <v>2</v>
      </c>
      <c r="N63" s="94">
        <f t="shared" si="16"/>
        <v>6.6666666666667318E-2</v>
      </c>
      <c r="O63" s="20"/>
    </row>
    <row r="64" spans="1:21" s="63" customFormat="1">
      <c r="A64" s="140">
        <v>9042</v>
      </c>
      <c r="B64" s="140" t="s">
        <v>73</v>
      </c>
      <c r="C64" s="140" t="s">
        <v>73</v>
      </c>
      <c r="D64" s="143" t="s">
        <v>8</v>
      </c>
      <c r="E64" s="144">
        <v>43179.882395833331</v>
      </c>
      <c r="F64" s="89">
        <f t="shared" si="9"/>
        <v>43179.882395833331</v>
      </c>
      <c r="G64" s="90" t="str">
        <f t="shared" si="10"/>
        <v>21:10</v>
      </c>
      <c r="H64" s="91" t="str">
        <f t="shared" si="11"/>
        <v>-</v>
      </c>
      <c r="I64" s="92" t="str">
        <f t="shared" si="12"/>
        <v>-</v>
      </c>
      <c r="J64" s="92" t="str">
        <f t="shared" si="13"/>
        <v>-</v>
      </c>
      <c r="K64" s="93">
        <f t="shared" si="14"/>
        <v>0</v>
      </c>
      <c r="L64" s="93"/>
      <c r="M64" s="94">
        <f t="shared" si="15"/>
        <v>0</v>
      </c>
      <c r="N64" s="94">
        <f t="shared" si="16"/>
        <v>0</v>
      </c>
      <c r="O64" s="20"/>
      <c r="P64" s="18"/>
      <c r="Q64" s="18"/>
      <c r="R64" s="18"/>
      <c r="S64" s="18"/>
    </row>
    <row r="65" spans="1:19" s="63" customFormat="1">
      <c r="A65" s="140">
        <v>9052</v>
      </c>
      <c r="B65" s="140" t="s">
        <v>73</v>
      </c>
      <c r="C65" s="140" t="s">
        <v>73</v>
      </c>
      <c r="D65" s="143" t="s">
        <v>6</v>
      </c>
      <c r="E65" s="144">
        <v>43180.370254629626</v>
      </c>
      <c r="F65" s="89">
        <f t="shared" si="9"/>
        <v>43180.370254629626</v>
      </c>
      <c r="G65" s="90" t="str">
        <f t="shared" si="10"/>
        <v>8:53</v>
      </c>
      <c r="H65" s="91">
        <f t="shared" si="11"/>
        <v>9.6166666666666689</v>
      </c>
      <c r="I65" s="92">
        <f t="shared" si="12"/>
        <v>8</v>
      </c>
      <c r="J65" s="92" t="str">
        <f t="shared" si="13"/>
        <v>-</v>
      </c>
      <c r="K65" s="93">
        <f t="shared" si="14"/>
        <v>0</v>
      </c>
      <c r="L65" s="93"/>
      <c r="M65" s="94">
        <f t="shared" si="15"/>
        <v>0</v>
      </c>
      <c r="N65" s="94">
        <f t="shared" si="16"/>
        <v>0</v>
      </c>
      <c r="O65" s="20"/>
      <c r="P65" s="18"/>
      <c r="Q65" s="18"/>
      <c r="R65" s="18"/>
      <c r="S65" s="18"/>
    </row>
    <row r="66" spans="1:19" s="63" customFormat="1">
      <c r="A66" s="140">
        <v>9067</v>
      </c>
      <c r="B66" s="140" t="s">
        <v>73</v>
      </c>
      <c r="C66" s="140" t="s">
        <v>73</v>
      </c>
      <c r="D66" s="143" t="s">
        <v>5</v>
      </c>
      <c r="E66" s="144">
        <v>43180.771261574075</v>
      </c>
      <c r="F66" s="89">
        <f t="shared" si="9"/>
        <v>43180.771261574075</v>
      </c>
      <c r="G66" s="90" t="str">
        <f t="shared" si="10"/>
        <v>18:30</v>
      </c>
      <c r="H66" s="91" t="str">
        <f t="shared" si="11"/>
        <v>-</v>
      </c>
      <c r="I66" s="92" t="str">
        <f t="shared" si="12"/>
        <v>-</v>
      </c>
      <c r="J66" s="92" t="str">
        <f t="shared" si="13"/>
        <v>-</v>
      </c>
      <c r="K66" s="93">
        <f t="shared" si="14"/>
        <v>0</v>
      </c>
      <c r="L66" s="93"/>
      <c r="M66" s="94">
        <f t="shared" si="15"/>
        <v>0</v>
      </c>
      <c r="N66" s="94">
        <f t="shared" si="16"/>
        <v>0</v>
      </c>
      <c r="O66" s="20"/>
      <c r="P66" s="18"/>
      <c r="Q66" s="18"/>
      <c r="R66" s="18"/>
      <c r="S66" s="18"/>
    </row>
    <row r="67" spans="1:19" s="63" customFormat="1">
      <c r="A67" s="140">
        <v>9068</v>
      </c>
      <c r="B67" s="140" t="s">
        <v>73</v>
      </c>
      <c r="C67" s="140" t="s">
        <v>73</v>
      </c>
      <c r="D67" s="143" t="s">
        <v>7</v>
      </c>
      <c r="E67" s="144">
        <v>43180.77134259259</v>
      </c>
      <c r="F67" s="89">
        <f t="shared" si="9"/>
        <v>43180.77134259259</v>
      </c>
      <c r="G67" s="90" t="str">
        <f t="shared" si="10"/>
        <v>18:30</v>
      </c>
      <c r="H67" s="91" t="str">
        <f t="shared" si="11"/>
        <v>-</v>
      </c>
      <c r="I67" s="92" t="str">
        <f t="shared" si="12"/>
        <v>-</v>
      </c>
      <c r="J67" s="92" t="str">
        <f t="shared" si="13"/>
        <v>-</v>
      </c>
      <c r="K67" s="93">
        <f t="shared" si="14"/>
        <v>0.75</v>
      </c>
      <c r="L67" s="93"/>
      <c r="M67" s="94">
        <f t="shared" si="15"/>
        <v>0.75</v>
      </c>
      <c r="N67" s="94">
        <f t="shared" si="16"/>
        <v>0</v>
      </c>
      <c r="O67" s="20"/>
      <c r="P67" s="18"/>
      <c r="Q67" s="18"/>
      <c r="R67" s="18"/>
      <c r="S67" s="18"/>
    </row>
    <row r="68" spans="1:19">
      <c r="A68" s="140">
        <v>9073</v>
      </c>
      <c r="B68" s="140" t="s">
        <v>73</v>
      </c>
      <c r="C68" s="140" t="s">
        <v>73</v>
      </c>
      <c r="D68" s="143" t="s">
        <v>8</v>
      </c>
      <c r="E68" s="144">
        <v>43180.802083333336</v>
      </c>
      <c r="F68" s="89">
        <f t="shared" si="9"/>
        <v>43180.802083333336</v>
      </c>
      <c r="G68" s="90" t="str">
        <f t="shared" si="10"/>
        <v>19:15</v>
      </c>
      <c r="H68" s="91" t="str">
        <f t="shared" si="11"/>
        <v>-</v>
      </c>
      <c r="I68" s="92" t="str">
        <f t="shared" si="12"/>
        <v>-</v>
      </c>
      <c r="J68" s="92" t="str">
        <f t="shared" si="13"/>
        <v>-</v>
      </c>
      <c r="K68" s="93">
        <f t="shared" si="14"/>
        <v>0</v>
      </c>
      <c r="L68" s="93"/>
      <c r="M68" s="94">
        <f t="shared" si="15"/>
        <v>0</v>
      </c>
      <c r="N68" s="94">
        <f t="shared" si="16"/>
        <v>0</v>
      </c>
      <c r="O68" s="20"/>
    </row>
    <row r="69" spans="1:19">
      <c r="A69">
        <v>9087</v>
      </c>
      <c r="B69" t="s">
        <v>73</v>
      </c>
      <c r="C69" t="s">
        <v>73</v>
      </c>
      <c r="D69" s="143" t="s">
        <v>6</v>
      </c>
      <c r="E69" s="144">
        <v>43181.370266203703</v>
      </c>
      <c r="F69" s="89">
        <f t="shared" si="9"/>
        <v>43181.370266203703</v>
      </c>
      <c r="G69" s="90" t="str">
        <f t="shared" si="10"/>
        <v>8:53</v>
      </c>
      <c r="H69" s="91">
        <f t="shared" si="11"/>
        <v>9.5</v>
      </c>
      <c r="I69" s="92">
        <f t="shared" si="12"/>
        <v>8</v>
      </c>
      <c r="J69" s="92" t="str">
        <f t="shared" si="13"/>
        <v>-</v>
      </c>
      <c r="K69" s="93">
        <f t="shared" si="14"/>
        <v>0</v>
      </c>
      <c r="L69" s="93"/>
      <c r="M69" s="94">
        <f t="shared" si="15"/>
        <v>0</v>
      </c>
      <c r="N69" s="94">
        <f t="shared" si="16"/>
        <v>0</v>
      </c>
      <c r="O69" s="20"/>
    </row>
    <row r="70" spans="1:19">
      <c r="A70">
        <v>9098</v>
      </c>
      <c r="B70" t="s">
        <v>73</v>
      </c>
      <c r="C70" t="s">
        <v>73</v>
      </c>
      <c r="D70" s="143" t="s">
        <v>5</v>
      </c>
      <c r="E70" s="144">
        <v>43181.766435185185</v>
      </c>
      <c r="F70" s="89">
        <f t="shared" si="9"/>
        <v>43181.766435185185</v>
      </c>
      <c r="G70" s="90" t="str">
        <f t="shared" si="10"/>
        <v>18:23</v>
      </c>
      <c r="H70" s="91" t="str">
        <f t="shared" si="11"/>
        <v>-</v>
      </c>
      <c r="I70" s="92" t="str">
        <f t="shared" si="12"/>
        <v>-</v>
      </c>
      <c r="J70" s="92" t="str">
        <f t="shared" si="13"/>
        <v>-</v>
      </c>
      <c r="K70" s="93">
        <f t="shared" si="14"/>
        <v>0</v>
      </c>
      <c r="L70" s="93"/>
      <c r="M70" s="94">
        <f t="shared" si="15"/>
        <v>0</v>
      </c>
      <c r="N70" s="94">
        <f t="shared" si="16"/>
        <v>0</v>
      </c>
      <c r="O70" s="20"/>
    </row>
    <row r="71" spans="1:19">
      <c r="A71">
        <v>9108</v>
      </c>
      <c r="B71" t="s">
        <v>73</v>
      </c>
      <c r="C71" t="s">
        <v>73</v>
      </c>
      <c r="D71" s="143" t="s">
        <v>7</v>
      </c>
      <c r="E71" s="144">
        <v>43181.810185185182</v>
      </c>
      <c r="F71" s="89">
        <f t="shared" si="9"/>
        <v>43181.810185185182</v>
      </c>
      <c r="G71" s="90" t="str">
        <f t="shared" si="10"/>
        <v>19:26</v>
      </c>
      <c r="H71" s="91" t="str">
        <f t="shared" si="11"/>
        <v>-</v>
      </c>
      <c r="I71" s="92" t="str">
        <f t="shared" si="12"/>
        <v>-</v>
      </c>
      <c r="J71" s="92" t="str">
        <f t="shared" si="13"/>
        <v>-</v>
      </c>
      <c r="K71" s="93">
        <f t="shared" si="14"/>
        <v>2.8999999999999977</v>
      </c>
      <c r="L71" s="93"/>
      <c r="M71" s="94">
        <f t="shared" si="15"/>
        <v>2</v>
      </c>
      <c r="N71" s="94">
        <f t="shared" si="16"/>
        <v>0.89999999999999769</v>
      </c>
      <c r="O71" s="20"/>
    </row>
    <row r="72" spans="1:19">
      <c r="A72">
        <v>9112</v>
      </c>
      <c r="B72" t="s">
        <v>73</v>
      </c>
      <c r="C72" t="s">
        <v>73</v>
      </c>
      <c r="D72" s="143" t="s">
        <v>8</v>
      </c>
      <c r="E72" s="144">
        <v>43181.93105324074</v>
      </c>
      <c r="F72" s="89">
        <f t="shared" ref="F72:F96" si="17">E72</f>
        <v>43181.93105324074</v>
      </c>
      <c r="G72" s="90" t="str">
        <f t="shared" ref="G72:G96" si="18">HOUR(E72)&amp;":"&amp;MINUTE(E72)</f>
        <v>22:20</v>
      </c>
      <c r="H72" s="91" t="str">
        <f t="shared" ref="H72:H96" si="19">IF(D72="上班",(G73-G72)*24,"-")</f>
        <v>-</v>
      </c>
      <c r="I72" s="92" t="str">
        <f t="shared" ref="I72:I96" si="20">IF(D72="上班",IF(H72-1.5&gt;8,8,H72-1.5),"-")</f>
        <v>-</v>
      </c>
      <c r="J72" s="92" t="str">
        <f t="shared" ref="J72:J96" si="21">IF(I72&lt;8,8-I72,"-")</f>
        <v>-</v>
      </c>
      <c r="K72" s="93">
        <f t="shared" ref="K72:K96" si="22">IF(D72="加班",(G73-G72)*24,0)</f>
        <v>0</v>
      </c>
      <c r="L72" s="93"/>
      <c r="M72" s="94">
        <f t="shared" ref="M72:M96" si="23">IF(K72&gt;2,2,K72)</f>
        <v>0</v>
      </c>
      <c r="N72" s="94">
        <f t="shared" ref="N72:N96" si="24">IF(K72&gt;2,K72-2,0)</f>
        <v>0</v>
      </c>
      <c r="O72" s="20"/>
    </row>
    <row r="73" spans="1:19">
      <c r="A73">
        <v>9122</v>
      </c>
      <c r="B73" t="s">
        <v>87</v>
      </c>
      <c r="C73" t="s">
        <v>73</v>
      </c>
      <c r="D73" s="143" t="s">
        <v>6</v>
      </c>
      <c r="E73" s="144">
        <v>43182.372523148151</v>
      </c>
      <c r="F73" s="89">
        <f t="shared" si="17"/>
        <v>43182.372523148151</v>
      </c>
      <c r="G73" s="90" t="str">
        <f t="shared" si="18"/>
        <v>8:56</v>
      </c>
      <c r="H73" s="91">
        <f t="shared" si="19"/>
        <v>9.5166666666666657</v>
      </c>
      <c r="I73" s="92">
        <f t="shared" si="20"/>
        <v>8</v>
      </c>
      <c r="J73" s="92" t="str">
        <f t="shared" si="21"/>
        <v>-</v>
      </c>
      <c r="K73" s="93">
        <f t="shared" si="22"/>
        <v>0</v>
      </c>
      <c r="L73" s="93"/>
      <c r="M73" s="94">
        <f t="shared" si="23"/>
        <v>0</v>
      </c>
      <c r="N73" s="94">
        <f t="shared" si="24"/>
        <v>0</v>
      </c>
      <c r="O73" s="20"/>
    </row>
    <row r="74" spans="1:19">
      <c r="A74">
        <v>9131</v>
      </c>
      <c r="B74" t="s">
        <v>73</v>
      </c>
      <c r="C74" t="s">
        <v>73</v>
      </c>
      <c r="D74" s="143" t="s">
        <v>5</v>
      </c>
      <c r="E74" s="144">
        <v>43182.769016203703</v>
      </c>
      <c r="F74" s="89">
        <f t="shared" si="17"/>
        <v>43182.769016203703</v>
      </c>
      <c r="G74" s="90" t="str">
        <f t="shared" si="18"/>
        <v>18:27</v>
      </c>
      <c r="H74" s="91" t="str">
        <f t="shared" si="19"/>
        <v>-</v>
      </c>
      <c r="I74" s="92" t="str">
        <f t="shared" si="20"/>
        <v>-</v>
      </c>
      <c r="J74" s="92" t="str">
        <f t="shared" si="21"/>
        <v>-</v>
      </c>
      <c r="K74" s="93">
        <f t="shared" si="22"/>
        <v>0</v>
      </c>
      <c r="L74" s="93"/>
      <c r="M74" s="94">
        <f t="shared" si="23"/>
        <v>0</v>
      </c>
      <c r="N74" s="94">
        <f t="shared" si="24"/>
        <v>0</v>
      </c>
      <c r="O74" s="20"/>
    </row>
    <row r="75" spans="1:19">
      <c r="A75">
        <v>9142</v>
      </c>
      <c r="B75" t="s">
        <v>73</v>
      </c>
      <c r="C75" t="s">
        <v>73</v>
      </c>
      <c r="D75" s="143" t="s">
        <v>6</v>
      </c>
      <c r="E75" s="144">
        <v>43185.369583333333</v>
      </c>
      <c r="F75" s="89">
        <f t="shared" si="17"/>
        <v>43185.369583333333</v>
      </c>
      <c r="G75" s="90" t="str">
        <f t="shared" si="18"/>
        <v>8:52</v>
      </c>
      <c r="H75" s="91">
        <f t="shared" si="19"/>
        <v>9.8999999999999986</v>
      </c>
      <c r="I75" s="92">
        <f t="shared" si="20"/>
        <v>8</v>
      </c>
      <c r="J75" s="92" t="str">
        <f t="shared" si="21"/>
        <v>-</v>
      </c>
      <c r="K75" s="93">
        <f t="shared" si="22"/>
        <v>0</v>
      </c>
      <c r="L75" s="93"/>
      <c r="M75" s="94">
        <f t="shared" si="23"/>
        <v>0</v>
      </c>
      <c r="N75" s="94">
        <f t="shared" si="24"/>
        <v>0</v>
      </c>
      <c r="O75" s="20"/>
    </row>
    <row r="76" spans="1:19">
      <c r="A76">
        <v>9155</v>
      </c>
      <c r="B76" t="s">
        <v>87</v>
      </c>
      <c r="C76" t="s">
        <v>73</v>
      </c>
      <c r="D76" s="143" t="s">
        <v>5</v>
      </c>
      <c r="E76" s="144">
        <v>43185.78229166667</v>
      </c>
      <c r="F76" s="89">
        <f t="shared" si="17"/>
        <v>43185.78229166667</v>
      </c>
      <c r="G76" s="90" t="str">
        <f t="shared" si="18"/>
        <v>18:46</v>
      </c>
      <c r="H76" s="91" t="str">
        <f t="shared" si="19"/>
        <v>-</v>
      </c>
      <c r="I76" s="92" t="str">
        <f t="shared" si="20"/>
        <v>-</v>
      </c>
      <c r="J76" s="92" t="str">
        <f t="shared" si="21"/>
        <v>-</v>
      </c>
      <c r="K76" s="93">
        <f t="shared" si="22"/>
        <v>0</v>
      </c>
      <c r="L76" s="93"/>
      <c r="M76" s="94">
        <f t="shared" si="23"/>
        <v>0</v>
      </c>
      <c r="N76" s="94">
        <f t="shared" si="24"/>
        <v>0</v>
      </c>
      <c r="O76" s="20"/>
    </row>
    <row r="77" spans="1:19">
      <c r="A77">
        <v>9156</v>
      </c>
      <c r="B77" t="s">
        <v>87</v>
      </c>
      <c r="C77" t="s">
        <v>73</v>
      </c>
      <c r="D77" s="143" t="s">
        <v>7</v>
      </c>
      <c r="E77" s="144">
        <v>43185.782337962963</v>
      </c>
      <c r="F77" s="89">
        <f t="shared" si="17"/>
        <v>43185.782337962963</v>
      </c>
      <c r="G77" s="90" t="str">
        <f t="shared" si="18"/>
        <v>18:46</v>
      </c>
      <c r="H77" s="91" t="str">
        <f t="shared" si="19"/>
        <v>-</v>
      </c>
      <c r="I77" s="92" t="str">
        <f t="shared" si="20"/>
        <v>-</v>
      </c>
      <c r="J77" s="92" t="str">
        <f t="shared" si="21"/>
        <v>-</v>
      </c>
      <c r="K77" s="93">
        <f t="shared" si="22"/>
        <v>1.6999999999999993</v>
      </c>
      <c r="L77" s="93"/>
      <c r="M77" s="94">
        <f t="shared" si="23"/>
        <v>1.6999999999999993</v>
      </c>
      <c r="N77" s="94">
        <f t="shared" si="24"/>
        <v>0</v>
      </c>
      <c r="O77" s="20"/>
    </row>
    <row r="78" spans="1:19">
      <c r="A78">
        <v>9161</v>
      </c>
      <c r="B78" t="s">
        <v>73</v>
      </c>
      <c r="C78" t="s">
        <v>73</v>
      </c>
      <c r="D78" s="143" t="s">
        <v>8</v>
      </c>
      <c r="E78" s="144">
        <v>43185.853217592594</v>
      </c>
      <c r="F78" s="89">
        <f t="shared" si="17"/>
        <v>43185.853217592594</v>
      </c>
      <c r="G78" s="90" t="str">
        <f t="shared" si="18"/>
        <v>20:28</v>
      </c>
      <c r="H78" s="91" t="str">
        <f t="shared" si="19"/>
        <v>-</v>
      </c>
      <c r="I78" s="92" t="str">
        <f t="shared" si="20"/>
        <v>-</v>
      </c>
      <c r="J78" s="92" t="str">
        <f t="shared" si="21"/>
        <v>-</v>
      </c>
      <c r="K78" s="93">
        <f t="shared" si="22"/>
        <v>0</v>
      </c>
      <c r="L78" s="93"/>
      <c r="M78" s="94">
        <f t="shared" si="23"/>
        <v>0</v>
      </c>
      <c r="N78" s="94">
        <f t="shared" si="24"/>
        <v>0</v>
      </c>
      <c r="O78" s="20"/>
    </row>
    <row r="79" spans="1:19">
      <c r="A79">
        <v>9169</v>
      </c>
      <c r="B79" t="s">
        <v>73</v>
      </c>
      <c r="C79" t="s">
        <v>73</v>
      </c>
      <c r="D79" s="143" t="s">
        <v>6</v>
      </c>
      <c r="E79" s="144">
        <v>43186.372106481482</v>
      </c>
      <c r="F79" s="89">
        <f t="shared" si="17"/>
        <v>43186.372106481482</v>
      </c>
      <c r="G79" s="90" t="str">
        <f t="shared" si="18"/>
        <v>8:55</v>
      </c>
      <c r="H79" s="91">
        <f t="shared" si="19"/>
        <v>9.6833333333333353</v>
      </c>
      <c r="I79" s="92">
        <f t="shared" si="20"/>
        <v>8</v>
      </c>
      <c r="J79" s="92" t="str">
        <f t="shared" si="21"/>
        <v>-</v>
      </c>
      <c r="K79" s="93">
        <f t="shared" si="22"/>
        <v>0</v>
      </c>
      <c r="L79" s="93"/>
      <c r="M79" s="94">
        <f t="shared" si="23"/>
        <v>0</v>
      </c>
      <c r="N79" s="94">
        <f t="shared" si="24"/>
        <v>0</v>
      </c>
      <c r="O79" s="20"/>
    </row>
    <row r="80" spans="1:19">
      <c r="A80">
        <v>9179</v>
      </c>
      <c r="B80" t="s">
        <v>73</v>
      </c>
      <c r="C80" t="s">
        <v>73</v>
      </c>
      <c r="D80" s="143" t="s">
        <v>5</v>
      </c>
      <c r="E80" s="144">
        <v>43186.77511574074</v>
      </c>
      <c r="F80" s="89">
        <f t="shared" si="17"/>
        <v>43186.77511574074</v>
      </c>
      <c r="G80" s="90" t="str">
        <f t="shared" si="18"/>
        <v>18:36</v>
      </c>
      <c r="H80" s="91" t="str">
        <f t="shared" si="19"/>
        <v>-</v>
      </c>
      <c r="I80" s="92" t="str">
        <f t="shared" si="20"/>
        <v>-</v>
      </c>
      <c r="J80" s="92" t="str">
        <f t="shared" si="21"/>
        <v>-</v>
      </c>
      <c r="K80" s="93">
        <f t="shared" si="22"/>
        <v>0</v>
      </c>
      <c r="L80" s="93"/>
      <c r="M80" s="94">
        <f t="shared" si="23"/>
        <v>0</v>
      </c>
      <c r="N80" s="94">
        <f t="shared" si="24"/>
        <v>0</v>
      </c>
      <c r="O80" s="20"/>
    </row>
    <row r="81" spans="1:15">
      <c r="A81">
        <v>9180</v>
      </c>
      <c r="B81" t="s">
        <v>73</v>
      </c>
      <c r="C81" t="s">
        <v>73</v>
      </c>
      <c r="D81" s="143" t="s">
        <v>7</v>
      </c>
      <c r="E81" s="144">
        <v>43186.780092592591</v>
      </c>
      <c r="F81" s="89">
        <f t="shared" si="17"/>
        <v>43186.780092592591</v>
      </c>
      <c r="G81" s="90" t="str">
        <f t="shared" si="18"/>
        <v>18:43</v>
      </c>
      <c r="H81" s="91" t="str">
        <f t="shared" si="19"/>
        <v>-</v>
      </c>
      <c r="I81" s="92" t="str">
        <f t="shared" si="20"/>
        <v>-</v>
      </c>
      <c r="J81" s="92" t="str">
        <f t="shared" si="21"/>
        <v>-</v>
      </c>
      <c r="K81" s="93">
        <f t="shared" si="22"/>
        <v>0.23333333333333517</v>
      </c>
      <c r="L81" s="93"/>
      <c r="M81" s="94">
        <f t="shared" si="23"/>
        <v>0.23333333333333517</v>
      </c>
      <c r="N81" s="94">
        <f t="shared" si="24"/>
        <v>0</v>
      </c>
      <c r="O81" s="20"/>
    </row>
    <row r="82" spans="1:15">
      <c r="A82">
        <v>9183</v>
      </c>
      <c r="B82" t="s">
        <v>73</v>
      </c>
      <c r="C82" t="s">
        <v>73</v>
      </c>
      <c r="D82" s="143" t="s">
        <v>8</v>
      </c>
      <c r="E82" s="144">
        <v>43186.790196759262</v>
      </c>
      <c r="F82" s="89">
        <f t="shared" si="17"/>
        <v>43186.790196759262</v>
      </c>
      <c r="G82" s="90" t="str">
        <f t="shared" si="18"/>
        <v>18:57</v>
      </c>
      <c r="H82" s="91" t="str">
        <f t="shared" si="19"/>
        <v>-</v>
      </c>
      <c r="I82" s="92" t="str">
        <f t="shared" si="20"/>
        <v>-</v>
      </c>
      <c r="J82" s="92" t="str">
        <f t="shared" si="21"/>
        <v>-</v>
      </c>
      <c r="K82" s="93">
        <f t="shared" si="22"/>
        <v>0</v>
      </c>
      <c r="L82" s="93"/>
      <c r="M82" s="94">
        <f t="shared" si="23"/>
        <v>0</v>
      </c>
      <c r="N82" s="94">
        <f t="shared" si="24"/>
        <v>0</v>
      </c>
      <c r="O82" s="20"/>
    </row>
    <row r="83" spans="1:15">
      <c r="A83">
        <v>9198</v>
      </c>
      <c r="B83" t="s">
        <v>73</v>
      </c>
      <c r="C83" t="s">
        <v>73</v>
      </c>
      <c r="D83" s="143" t="s">
        <v>6</v>
      </c>
      <c r="E83" s="144">
        <v>43187.372523148151</v>
      </c>
      <c r="F83" s="89">
        <f t="shared" si="17"/>
        <v>43187.372523148151</v>
      </c>
      <c r="G83" s="90" t="str">
        <f t="shared" si="18"/>
        <v>8:56</v>
      </c>
      <c r="H83" s="91">
        <f t="shared" si="19"/>
        <v>9.6333333333333329</v>
      </c>
      <c r="I83" s="92">
        <f t="shared" si="20"/>
        <v>8</v>
      </c>
      <c r="J83" s="92" t="str">
        <f t="shared" si="21"/>
        <v>-</v>
      </c>
      <c r="K83" s="93">
        <f t="shared" si="22"/>
        <v>0</v>
      </c>
      <c r="L83" s="93"/>
      <c r="M83" s="94">
        <f t="shared" si="23"/>
        <v>0</v>
      </c>
      <c r="N83" s="94">
        <f t="shared" si="24"/>
        <v>0</v>
      </c>
      <c r="O83" s="20"/>
    </row>
    <row r="84" spans="1:15">
      <c r="A84">
        <v>9215</v>
      </c>
      <c r="B84" t="s">
        <v>87</v>
      </c>
      <c r="C84" t="s">
        <v>73</v>
      </c>
      <c r="D84" s="143" t="s">
        <v>5</v>
      </c>
      <c r="E84" s="144">
        <v>43187.773645833331</v>
      </c>
      <c r="F84" s="89">
        <f t="shared" si="17"/>
        <v>43187.773645833331</v>
      </c>
      <c r="G84" s="90" t="str">
        <f t="shared" si="18"/>
        <v>18:34</v>
      </c>
      <c r="H84" s="91" t="str">
        <f t="shared" si="19"/>
        <v>-</v>
      </c>
      <c r="I84" s="92" t="str">
        <f t="shared" si="20"/>
        <v>-</v>
      </c>
      <c r="J84" s="92" t="str">
        <f t="shared" si="21"/>
        <v>-</v>
      </c>
      <c r="K84" s="93">
        <f t="shared" si="22"/>
        <v>0</v>
      </c>
      <c r="L84" s="93"/>
      <c r="M84" s="94">
        <f t="shared" si="23"/>
        <v>0</v>
      </c>
      <c r="N84" s="94">
        <f t="shared" si="24"/>
        <v>0</v>
      </c>
      <c r="O84" s="20"/>
    </row>
    <row r="85" spans="1:15">
      <c r="A85">
        <v>9216</v>
      </c>
      <c r="B85" t="s">
        <v>87</v>
      </c>
      <c r="C85" t="s">
        <v>73</v>
      </c>
      <c r="D85" s="143" t="s">
        <v>7</v>
      </c>
      <c r="E85" s="144">
        <v>43187.773692129631</v>
      </c>
      <c r="F85" s="89">
        <f t="shared" si="17"/>
        <v>43187.773692129631</v>
      </c>
      <c r="G85" s="90" t="str">
        <f t="shared" si="18"/>
        <v>18:34</v>
      </c>
      <c r="H85" s="91" t="str">
        <f t="shared" si="19"/>
        <v>-</v>
      </c>
      <c r="I85" s="92" t="str">
        <f t="shared" si="20"/>
        <v>-</v>
      </c>
      <c r="J85" s="92" t="str">
        <f t="shared" si="21"/>
        <v>-</v>
      </c>
      <c r="K85" s="93">
        <f t="shared" si="22"/>
        <v>3.7166666666666668</v>
      </c>
      <c r="L85" s="93"/>
      <c r="M85" s="94">
        <f t="shared" si="23"/>
        <v>2</v>
      </c>
      <c r="N85" s="94">
        <f t="shared" si="24"/>
        <v>1.7166666666666668</v>
      </c>
      <c r="O85" s="20"/>
    </row>
    <row r="86" spans="1:15">
      <c r="A86">
        <v>9224</v>
      </c>
      <c r="B86" t="s">
        <v>73</v>
      </c>
      <c r="C86" t="s">
        <v>73</v>
      </c>
      <c r="D86" s="143" t="s">
        <v>8</v>
      </c>
      <c r="E86" s="144">
        <v>43187.928969907407</v>
      </c>
      <c r="F86" s="89">
        <f t="shared" si="17"/>
        <v>43187.928969907407</v>
      </c>
      <c r="G86" s="90" t="str">
        <f t="shared" si="18"/>
        <v>22:17</v>
      </c>
      <c r="H86" s="91" t="str">
        <f t="shared" si="19"/>
        <v>-</v>
      </c>
      <c r="I86" s="92" t="str">
        <f t="shared" si="20"/>
        <v>-</v>
      </c>
      <c r="J86" s="92" t="str">
        <f t="shared" si="21"/>
        <v>-</v>
      </c>
      <c r="K86" s="93">
        <f t="shared" si="22"/>
        <v>0</v>
      </c>
      <c r="L86" s="93"/>
      <c r="M86" s="94">
        <f t="shared" si="23"/>
        <v>0</v>
      </c>
      <c r="N86" s="94">
        <f t="shared" si="24"/>
        <v>0</v>
      </c>
      <c r="O86" s="20"/>
    </row>
    <row r="87" spans="1:15">
      <c r="A87">
        <v>9233</v>
      </c>
      <c r="B87" t="s">
        <v>73</v>
      </c>
      <c r="C87" t="s">
        <v>73</v>
      </c>
      <c r="D87" s="143" t="s">
        <v>6</v>
      </c>
      <c r="E87" s="144">
        <v>43188.371481481481</v>
      </c>
      <c r="F87" s="89">
        <f t="shared" si="17"/>
        <v>43188.371481481481</v>
      </c>
      <c r="G87" s="90" t="str">
        <f t="shared" si="18"/>
        <v>8:54</v>
      </c>
      <c r="H87" s="91">
        <f t="shared" si="19"/>
        <v>9.6000000000000014</v>
      </c>
      <c r="I87" s="92">
        <f t="shared" si="20"/>
        <v>8</v>
      </c>
      <c r="J87" s="92" t="str">
        <f t="shared" si="21"/>
        <v>-</v>
      </c>
      <c r="K87" s="93">
        <f t="shared" si="22"/>
        <v>0</v>
      </c>
      <c r="L87" s="93"/>
      <c r="M87" s="94">
        <f t="shared" si="23"/>
        <v>0</v>
      </c>
      <c r="N87" s="94">
        <f t="shared" si="24"/>
        <v>0</v>
      </c>
      <c r="O87" s="20"/>
    </row>
    <row r="88" spans="1:15">
      <c r="A88">
        <v>9239</v>
      </c>
      <c r="B88" t="s">
        <v>73</v>
      </c>
      <c r="C88" t="s">
        <v>73</v>
      </c>
      <c r="D88" s="143" t="s">
        <v>5</v>
      </c>
      <c r="E88" s="144">
        <v>43188.771087962959</v>
      </c>
      <c r="F88" s="89">
        <f t="shared" si="17"/>
        <v>43188.771087962959</v>
      </c>
      <c r="G88" s="90" t="str">
        <f t="shared" si="18"/>
        <v>18:30</v>
      </c>
      <c r="H88" s="91" t="str">
        <f t="shared" si="19"/>
        <v>-</v>
      </c>
      <c r="I88" s="92" t="str">
        <f t="shared" si="20"/>
        <v>-</v>
      </c>
      <c r="J88" s="92" t="str">
        <f t="shared" si="21"/>
        <v>-</v>
      </c>
      <c r="K88" s="93">
        <f t="shared" si="22"/>
        <v>0</v>
      </c>
      <c r="L88" s="93"/>
      <c r="M88" s="94">
        <f t="shared" si="23"/>
        <v>0</v>
      </c>
      <c r="N88" s="94">
        <f t="shared" si="24"/>
        <v>0</v>
      </c>
      <c r="O88" s="20"/>
    </row>
    <row r="89" spans="1:15">
      <c r="A89">
        <v>9242</v>
      </c>
      <c r="B89" t="s">
        <v>73</v>
      </c>
      <c r="C89" t="s">
        <v>73</v>
      </c>
      <c r="D89" s="143" t="s">
        <v>7</v>
      </c>
      <c r="E89" s="144">
        <v>43188.771192129629</v>
      </c>
      <c r="F89" s="89">
        <f t="shared" si="17"/>
        <v>43188.771192129629</v>
      </c>
      <c r="G89" s="90" t="str">
        <f t="shared" si="18"/>
        <v>18:30</v>
      </c>
      <c r="H89" s="91" t="str">
        <f t="shared" si="19"/>
        <v>-</v>
      </c>
      <c r="I89" s="92" t="str">
        <f t="shared" si="20"/>
        <v>-</v>
      </c>
      <c r="J89" s="92" t="str">
        <f t="shared" si="21"/>
        <v>-</v>
      </c>
      <c r="K89" s="93">
        <f t="shared" si="22"/>
        <v>0.96666666666666323</v>
      </c>
      <c r="L89" s="93"/>
      <c r="M89" s="94">
        <f t="shared" si="23"/>
        <v>0.96666666666666323</v>
      </c>
      <c r="N89" s="94">
        <f t="shared" si="24"/>
        <v>0</v>
      </c>
      <c r="O89" s="20"/>
    </row>
    <row r="90" spans="1:15">
      <c r="A90">
        <v>9253</v>
      </c>
      <c r="B90" t="s">
        <v>73</v>
      </c>
      <c r="C90" t="s">
        <v>73</v>
      </c>
      <c r="D90" s="143" t="s">
        <v>8</v>
      </c>
      <c r="E90" s="144">
        <v>43188.811759259261</v>
      </c>
      <c r="F90" s="89">
        <f t="shared" si="17"/>
        <v>43188.811759259261</v>
      </c>
      <c r="G90" s="90" t="str">
        <f t="shared" si="18"/>
        <v>19:28</v>
      </c>
      <c r="H90" s="91" t="str">
        <f t="shared" si="19"/>
        <v>-</v>
      </c>
      <c r="I90" s="92" t="str">
        <f t="shared" si="20"/>
        <v>-</v>
      </c>
      <c r="J90" s="92" t="str">
        <f t="shared" si="21"/>
        <v>-</v>
      </c>
      <c r="K90" s="93">
        <f t="shared" si="22"/>
        <v>0</v>
      </c>
      <c r="L90" s="93"/>
      <c r="M90" s="94">
        <f t="shared" si="23"/>
        <v>0</v>
      </c>
      <c r="N90" s="94">
        <f t="shared" si="24"/>
        <v>0</v>
      </c>
      <c r="O90" s="20"/>
    </row>
    <row r="91" spans="1:15">
      <c r="A91">
        <v>9267</v>
      </c>
      <c r="B91" t="s">
        <v>73</v>
      </c>
      <c r="C91" t="s">
        <v>73</v>
      </c>
      <c r="D91" s="143" t="s">
        <v>6</v>
      </c>
      <c r="E91" s="144">
        <v>43189.375243055554</v>
      </c>
      <c r="F91" s="89">
        <f t="shared" si="17"/>
        <v>43189.375243055554</v>
      </c>
      <c r="G91" s="90" t="str">
        <f t="shared" si="18"/>
        <v>9:0</v>
      </c>
      <c r="H91" s="91">
        <f t="shared" si="19"/>
        <v>9.5166666666666657</v>
      </c>
      <c r="I91" s="92">
        <f t="shared" si="20"/>
        <v>8</v>
      </c>
      <c r="J91" s="92" t="str">
        <f t="shared" si="21"/>
        <v>-</v>
      </c>
      <c r="K91" s="93">
        <f t="shared" si="22"/>
        <v>0</v>
      </c>
      <c r="L91" s="93"/>
      <c r="M91" s="94">
        <f t="shared" si="23"/>
        <v>0</v>
      </c>
      <c r="N91" s="94">
        <f t="shared" si="24"/>
        <v>0</v>
      </c>
      <c r="O91" s="20"/>
    </row>
    <row r="92" spans="1:15">
      <c r="A92">
        <v>9273</v>
      </c>
      <c r="B92" t="s">
        <v>73</v>
      </c>
      <c r="C92" t="s">
        <v>73</v>
      </c>
      <c r="D92" s="143" t="s">
        <v>5</v>
      </c>
      <c r="E92" s="144">
        <v>43189.772175925929</v>
      </c>
      <c r="F92" s="89">
        <f t="shared" si="17"/>
        <v>43189.772175925929</v>
      </c>
      <c r="G92" s="90" t="str">
        <f t="shared" si="18"/>
        <v>18:31</v>
      </c>
      <c r="H92" s="91" t="str">
        <f t="shared" si="19"/>
        <v>-</v>
      </c>
      <c r="I92" s="92" t="str">
        <f t="shared" si="20"/>
        <v>-</v>
      </c>
      <c r="J92" s="92" t="str">
        <f t="shared" si="21"/>
        <v>-</v>
      </c>
      <c r="K92" s="93">
        <f t="shared" si="22"/>
        <v>0</v>
      </c>
      <c r="L92" s="93"/>
      <c r="M92" s="94">
        <f t="shared" si="23"/>
        <v>0</v>
      </c>
      <c r="N92" s="94">
        <f t="shared" si="24"/>
        <v>0</v>
      </c>
      <c r="O92" s="20"/>
    </row>
    <row r="93" spans="1:15">
      <c r="A93">
        <v>9291</v>
      </c>
      <c r="B93" t="s">
        <v>73</v>
      </c>
      <c r="C93" t="s">
        <v>73</v>
      </c>
      <c r="D93" s="143" t="s">
        <v>6</v>
      </c>
      <c r="E93" s="144">
        <v>43190.37226851852</v>
      </c>
      <c r="F93" s="89">
        <f t="shared" si="17"/>
        <v>43190.37226851852</v>
      </c>
      <c r="G93" s="90" t="str">
        <f t="shared" si="18"/>
        <v>8:56</v>
      </c>
      <c r="H93" s="91">
        <f t="shared" si="19"/>
        <v>9.5500000000000007</v>
      </c>
      <c r="I93" s="92">
        <f t="shared" si="20"/>
        <v>8</v>
      </c>
      <c r="J93" s="92" t="str">
        <f t="shared" si="21"/>
        <v>-</v>
      </c>
      <c r="K93" s="93">
        <f t="shared" si="22"/>
        <v>0</v>
      </c>
      <c r="L93" s="93"/>
      <c r="M93" s="94">
        <f t="shared" si="23"/>
        <v>0</v>
      </c>
      <c r="N93" s="94">
        <f t="shared" si="24"/>
        <v>0</v>
      </c>
      <c r="O93" s="20"/>
    </row>
    <row r="94" spans="1:15">
      <c r="A94">
        <v>9297</v>
      </c>
      <c r="B94" t="s">
        <v>87</v>
      </c>
      <c r="C94" t="s">
        <v>73</v>
      </c>
      <c r="D94" s="143" t="s">
        <v>5</v>
      </c>
      <c r="E94" s="144">
        <v>43190.770416666666</v>
      </c>
      <c r="F94" s="89">
        <f t="shared" si="17"/>
        <v>43190.770416666666</v>
      </c>
      <c r="G94" s="90" t="str">
        <f t="shared" si="18"/>
        <v>18:29</v>
      </c>
      <c r="H94" s="91" t="str">
        <f t="shared" si="19"/>
        <v>-</v>
      </c>
      <c r="I94" s="92" t="str">
        <f t="shared" si="20"/>
        <v>-</v>
      </c>
      <c r="J94" s="92" t="str">
        <f t="shared" si="21"/>
        <v>-</v>
      </c>
      <c r="K94" s="93">
        <f t="shared" si="22"/>
        <v>0</v>
      </c>
      <c r="L94" s="93"/>
      <c r="M94" s="94">
        <f t="shared" si="23"/>
        <v>0</v>
      </c>
      <c r="N94" s="94">
        <f t="shared" si="24"/>
        <v>0</v>
      </c>
      <c r="O94" s="20"/>
    </row>
    <row r="95" spans="1:15">
      <c r="A95">
        <v>9298</v>
      </c>
      <c r="B95" t="s">
        <v>87</v>
      </c>
      <c r="C95" t="s">
        <v>73</v>
      </c>
      <c r="D95" s="143" t="s">
        <v>7</v>
      </c>
      <c r="E95" s="144">
        <v>43190.770474537036</v>
      </c>
      <c r="F95" s="89">
        <f t="shared" si="17"/>
        <v>43190.770474537036</v>
      </c>
      <c r="G95" s="90" t="str">
        <f t="shared" si="18"/>
        <v>18:29</v>
      </c>
      <c r="H95" s="91" t="str">
        <f t="shared" si="19"/>
        <v>-</v>
      </c>
      <c r="I95" s="92" t="str">
        <f t="shared" si="20"/>
        <v>-</v>
      </c>
      <c r="J95" s="92" t="str">
        <f t="shared" si="21"/>
        <v>-</v>
      </c>
      <c r="K95" s="93">
        <f t="shared" si="22"/>
        <v>2.9166666666666643</v>
      </c>
      <c r="L95" s="93"/>
      <c r="M95" s="94">
        <f t="shared" si="23"/>
        <v>2</v>
      </c>
      <c r="N95" s="94">
        <f t="shared" si="24"/>
        <v>0.9166666666666643</v>
      </c>
      <c r="O95" s="20"/>
    </row>
    <row r="96" spans="1:15">
      <c r="A96">
        <v>9308</v>
      </c>
      <c r="B96" t="s">
        <v>73</v>
      </c>
      <c r="C96" t="s">
        <v>73</v>
      </c>
      <c r="D96" s="143" t="s">
        <v>8</v>
      </c>
      <c r="E96" s="144">
        <v>43190.891689814816</v>
      </c>
      <c r="F96" s="89">
        <f t="shared" si="17"/>
        <v>43190.891689814816</v>
      </c>
      <c r="G96" s="90" t="str">
        <f t="shared" si="18"/>
        <v>21:24</v>
      </c>
      <c r="H96" s="91" t="str">
        <f t="shared" si="19"/>
        <v>-</v>
      </c>
      <c r="I96" s="92" t="str">
        <f t="shared" si="20"/>
        <v>-</v>
      </c>
      <c r="J96" s="92" t="str">
        <f t="shared" si="21"/>
        <v>-</v>
      </c>
      <c r="K96" s="93">
        <f t="shared" si="22"/>
        <v>0</v>
      </c>
      <c r="L96" s="93"/>
      <c r="M96" s="94">
        <f t="shared" si="23"/>
        <v>0</v>
      </c>
      <c r="N96" s="94">
        <f t="shared" si="24"/>
        <v>0</v>
      </c>
      <c r="O96" s="20"/>
    </row>
    <row r="99" spans="4:4">
      <c r="D99" s="9" t="s">
        <v>37</v>
      </c>
    </row>
    <row r="100" spans="4:4">
      <c r="D100" s="9" t="s">
        <v>36</v>
      </c>
    </row>
    <row r="101" spans="4:4">
      <c r="D101" s="172" t="s">
        <v>64</v>
      </c>
    </row>
    <row r="102" spans="4:4">
      <c r="D102" t="s">
        <v>67</v>
      </c>
    </row>
    <row r="103" spans="4:4">
      <c r="D103" t="s">
        <v>65</v>
      </c>
    </row>
    <row r="104" spans="4:4">
      <c r="D104" t="s">
        <v>69</v>
      </c>
    </row>
    <row r="105" spans="4:4">
      <c r="D105" t="s">
        <v>70</v>
      </c>
    </row>
    <row r="106" spans="4:4">
      <c r="D106" t="s">
        <v>66</v>
      </c>
    </row>
    <row r="107" spans="4:4">
      <c r="D107" t="s">
        <v>68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>
    <pageSetUpPr fitToPage="1"/>
  </sheetPr>
  <dimension ref="A1:U81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5.125" style="3" customWidth="1"/>
    <col min="6" max="6" width="6.1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8.625" style="22" customWidth="1"/>
    <col min="15" max="15" width="15.12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B51</f>
        <v>owen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184">
        <f>11.5-3.5</f>
        <v>8</v>
      </c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7.25" thickBot="1">
      <c r="D3" s="24" t="s">
        <v>77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SUM(K7:K66)</f>
        <v>14.016666666666676</v>
      </c>
      <c r="L3" s="53">
        <f>D5</f>
        <v>0</v>
      </c>
      <c r="M3" s="53">
        <f>M6-L3</f>
        <v>11.350000000000007</v>
      </c>
      <c r="N3" s="53">
        <f>N6</f>
        <v>2.6666666666666679</v>
      </c>
      <c r="O3" s="50"/>
    </row>
    <row r="4" spans="1:21">
      <c r="D4" s="134" t="s">
        <v>44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1">
      <c r="D5" s="87">
        <v>0</v>
      </c>
      <c r="E5" s="86">
        <v>0</v>
      </c>
      <c r="F5" s="136">
        <f>J6</f>
        <v>3.5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8.7604166666666719E-2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SUM(I7:I150)</f>
        <v>180.5</v>
      </c>
      <c r="J6" s="78">
        <f>SUM(J7:J150)</f>
        <v>3.5</v>
      </c>
      <c r="K6" s="78">
        <f>SUM(K7:K66)</f>
        <v>14.016666666666676</v>
      </c>
      <c r="L6" s="78">
        <f>SUM(L29:L150)</f>
        <v>0</v>
      </c>
      <c r="M6" s="78">
        <f>SUM(M7:M150)</f>
        <v>11.350000000000007</v>
      </c>
      <c r="N6" s="78">
        <f>SUM(N7:N150)</f>
        <v>2.6666666666666679</v>
      </c>
      <c r="O6" s="45"/>
      <c r="Q6" s="47"/>
    </row>
    <row r="7" spans="1:21" s="63" customFormat="1">
      <c r="A7" s="140">
        <v>8494</v>
      </c>
      <c r="B7" s="140" t="s">
        <v>88</v>
      </c>
      <c r="C7" s="140" t="s">
        <v>88</v>
      </c>
      <c r="D7" s="141" t="s">
        <v>6</v>
      </c>
      <c r="E7" s="142">
        <v>43160.368009259262</v>
      </c>
      <c r="F7" s="89">
        <f t="shared" ref="F7" si="0">E7</f>
        <v>43160.368009259262</v>
      </c>
      <c r="G7" s="90" t="str">
        <f t="shared" ref="G7" si="1">HOUR(E7)&amp;":"&amp;MINUTE(E7)</f>
        <v>8:49</v>
      </c>
      <c r="H7" s="91">
        <f t="shared" ref="H7" si="2">IF(D7="上班",(G8-G7)*24,"-")</f>
        <v>9.6833333333333353</v>
      </c>
      <c r="I7" s="92">
        <f t="shared" ref="I7" si="3">IF(D7="上班",IF(H7-1.5&gt;8,8,H7-1.5),"-")</f>
        <v>8</v>
      </c>
      <c r="J7" s="92" t="str">
        <f t="shared" ref="J7" si="4">IF(I7&lt;8,8-I7,"-")</f>
        <v>-</v>
      </c>
      <c r="K7" s="93">
        <f t="shared" ref="K7" si="5">IF(D7="加班",(G8-G7)*24,0)</f>
        <v>0</v>
      </c>
      <c r="L7" s="93"/>
      <c r="M7" s="94">
        <f t="shared" ref="M7" si="6">IF(K7&gt;2,2,K7)</f>
        <v>0</v>
      </c>
      <c r="N7" s="94">
        <f t="shared" ref="N7" si="7">IF(K7&gt;2,K7-2,0)</f>
        <v>0</v>
      </c>
      <c r="O7" s="36"/>
      <c r="P7" s="18"/>
      <c r="Q7" s="18"/>
      <c r="R7" s="18"/>
      <c r="S7" s="18"/>
    </row>
    <row r="8" spans="1:21" s="63" customFormat="1">
      <c r="A8" s="140">
        <v>8505</v>
      </c>
      <c r="B8" s="140" t="s">
        <v>88</v>
      </c>
      <c r="C8" s="140" t="s">
        <v>88</v>
      </c>
      <c r="D8" s="143" t="s">
        <v>5</v>
      </c>
      <c r="E8" s="144">
        <v>43160.771053240744</v>
      </c>
      <c r="F8" s="89">
        <f t="shared" ref="F8:F70" si="8">E8</f>
        <v>43160.771053240744</v>
      </c>
      <c r="G8" s="90" t="str">
        <f t="shared" ref="G8:G70" si="9">HOUR(E8)&amp;":"&amp;MINUTE(E8)</f>
        <v>18:30</v>
      </c>
      <c r="H8" s="91" t="str">
        <f t="shared" ref="H8:H70" si="10">IF(D8="上班",(G9-G8)*24,"-")</f>
        <v>-</v>
      </c>
      <c r="I8" s="92" t="str">
        <f t="shared" ref="I8:I70" si="11">IF(D8="上班",IF(H8-1.5&gt;8,8,H8-1.5),"-")</f>
        <v>-</v>
      </c>
      <c r="J8" s="92" t="str">
        <f t="shared" ref="J8:J70" si="12">IF(I8&lt;8,8-I8,"-")</f>
        <v>-</v>
      </c>
      <c r="K8" s="93">
        <f t="shared" ref="K8:K70" si="13">IF(D8="加班",(G9-G8)*24,0)</f>
        <v>0</v>
      </c>
      <c r="L8" s="93"/>
      <c r="M8" s="94">
        <f t="shared" ref="M8:M70" si="14">IF(K8&gt;2,2,K8)</f>
        <v>0</v>
      </c>
      <c r="N8" s="94">
        <f t="shared" ref="N8:N70" si="15">IF(K8&gt;2,K8-2,0)</f>
        <v>0</v>
      </c>
      <c r="O8" s="20"/>
      <c r="P8" s="18"/>
      <c r="Q8" s="18"/>
      <c r="R8" s="18"/>
      <c r="S8" s="18"/>
    </row>
    <row r="9" spans="1:21" s="63" customFormat="1">
      <c r="A9" s="140">
        <v>8527</v>
      </c>
      <c r="B9" s="140" t="s">
        <v>88</v>
      </c>
      <c r="C9" s="140" t="s">
        <v>88</v>
      </c>
      <c r="D9" s="143" t="s">
        <v>6</v>
      </c>
      <c r="E9" s="144">
        <v>43161.369259259256</v>
      </c>
      <c r="F9" s="89">
        <f t="shared" si="8"/>
        <v>43161.369259259256</v>
      </c>
      <c r="G9" s="90" t="str">
        <f t="shared" si="9"/>
        <v>8:51</v>
      </c>
      <c r="H9" s="91">
        <f t="shared" si="10"/>
        <v>9.5499999999999989</v>
      </c>
      <c r="I9" s="92">
        <f t="shared" si="11"/>
        <v>8</v>
      </c>
      <c r="J9" s="92" t="str">
        <f t="shared" si="12"/>
        <v>-</v>
      </c>
      <c r="K9" s="93">
        <f t="shared" si="13"/>
        <v>0</v>
      </c>
      <c r="L9" s="93"/>
      <c r="M9" s="94">
        <f t="shared" si="14"/>
        <v>0</v>
      </c>
      <c r="N9" s="94">
        <f t="shared" si="15"/>
        <v>0</v>
      </c>
      <c r="O9" s="20"/>
      <c r="P9" s="18"/>
      <c r="Q9" s="18"/>
      <c r="R9" s="18"/>
      <c r="S9" s="18"/>
    </row>
    <row r="10" spans="1:21" s="63" customFormat="1">
      <c r="A10" s="140">
        <v>8535</v>
      </c>
      <c r="B10" s="140" t="s">
        <v>88</v>
      </c>
      <c r="C10" s="140" t="s">
        <v>88</v>
      </c>
      <c r="D10" s="143" t="s">
        <v>5</v>
      </c>
      <c r="E10" s="144">
        <v>43161.767060185186</v>
      </c>
      <c r="F10" s="89">
        <f t="shared" si="8"/>
        <v>43161.767060185186</v>
      </c>
      <c r="G10" s="90" t="str">
        <f t="shared" si="9"/>
        <v>18:24</v>
      </c>
      <c r="H10" s="91" t="str">
        <f t="shared" si="10"/>
        <v>-</v>
      </c>
      <c r="I10" s="92" t="str">
        <f t="shared" si="11"/>
        <v>-</v>
      </c>
      <c r="J10" s="92" t="str">
        <f t="shared" si="12"/>
        <v>-</v>
      </c>
      <c r="K10" s="93">
        <f t="shared" si="13"/>
        <v>0</v>
      </c>
      <c r="L10" s="93"/>
      <c r="M10" s="94">
        <f t="shared" si="14"/>
        <v>0</v>
      </c>
      <c r="N10" s="94">
        <f t="shared" si="15"/>
        <v>0</v>
      </c>
      <c r="O10" s="20"/>
      <c r="P10" s="18"/>
      <c r="Q10" s="18"/>
      <c r="R10" s="18"/>
      <c r="S10" s="18"/>
    </row>
    <row r="11" spans="1:21" s="16" customFormat="1">
      <c r="A11" s="426">
        <v>8568</v>
      </c>
      <c r="B11" s="426" t="s">
        <v>88</v>
      </c>
      <c r="C11" s="426" t="s">
        <v>88</v>
      </c>
      <c r="D11" s="138" t="s">
        <v>6</v>
      </c>
      <c r="E11" s="146">
        <v>43164.550879629627</v>
      </c>
      <c r="F11" s="31">
        <f t="shared" si="8"/>
        <v>43164.550879629627</v>
      </c>
      <c r="G11" s="32" t="str">
        <f t="shared" si="9"/>
        <v>13:13</v>
      </c>
      <c r="H11" s="33">
        <f t="shared" si="10"/>
        <v>5.1333333333333337</v>
      </c>
      <c r="I11" s="58">
        <v>4.5</v>
      </c>
      <c r="J11" s="58">
        <f t="shared" si="12"/>
        <v>3.5</v>
      </c>
      <c r="K11" s="34">
        <f t="shared" si="13"/>
        <v>0</v>
      </c>
      <c r="L11" s="34"/>
      <c r="M11" s="35">
        <f t="shared" si="14"/>
        <v>0</v>
      </c>
      <c r="N11" s="35">
        <f t="shared" si="15"/>
        <v>0</v>
      </c>
      <c r="O11" s="20" t="s">
        <v>47</v>
      </c>
      <c r="P11" s="137"/>
      <c r="Q11" s="137"/>
      <c r="R11" s="137"/>
      <c r="S11" s="137"/>
    </row>
    <row r="12" spans="1:21" s="63" customFormat="1">
      <c r="A12" s="140">
        <v>8575</v>
      </c>
      <c r="B12" s="140" t="s">
        <v>89</v>
      </c>
      <c r="C12" s="140" t="s">
        <v>88</v>
      </c>
      <c r="D12" s="143" t="s">
        <v>5</v>
      </c>
      <c r="E12" s="144">
        <v>43164.765069444446</v>
      </c>
      <c r="F12" s="89">
        <f t="shared" si="8"/>
        <v>43164.765069444446</v>
      </c>
      <c r="G12" s="90" t="str">
        <f t="shared" si="9"/>
        <v>18:21</v>
      </c>
      <c r="H12" s="91" t="str">
        <f t="shared" si="10"/>
        <v>-</v>
      </c>
      <c r="I12" s="92" t="str">
        <f t="shared" si="11"/>
        <v>-</v>
      </c>
      <c r="J12" s="92" t="str">
        <f t="shared" si="12"/>
        <v>-</v>
      </c>
      <c r="K12" s="93">
        <f t="shared" si="13"/>
        <v>0</v>
      </c>
      <c r="L12" s="93"/>
      <c r="M12" s="94">
        <f t="shared" si="14"/>
        <v>0</v>
      </c>
      <c r="N12" s="94">
        <f t="shared" si="15"/>
        <v>0</v>
      </c>
      <c r="O12" s="20"/>
      <c r="P12" s="18"/>
      <c r="Q12" s="18"/>
      <c r="R12" s="18"/>
      <c r="S12" s="18"/>
    </row>
    <row r="13" spans="1:21" s="187" customFormat="1">
      <c r="A13" s="140">
        <v>8601</v>
      </c>
      <c r="B13" s="140" t="s">
        <v>88</v>
      </c>
      <c r="C13" s="140" t="s">
        <v>88</v>
      </c>
      <c r="D13" s="143" t="s">
        <v>6</v>
      </c>
      <c r="E13" s="144">
        <v>43165.369756944441</v>
      </c>
      <c r="F13" s="89">
        <f t="shared" si="8"/>
        <v>43165.369756944441</v>
      </c>
      <c r="G13" s="90" t="str">
        <f t="shared" si="9"/>
        <v>8:52</v>
      </c>
      <c r="H13" s="91">
        <f t="shared" si="10"/>
        <v>9.6833333333333336</v>
      </c>
      <c r="I13" s="92">
        <f t="shared" si="11"/>
        <v>8</v>
      </c>
      <c r="J13" s="92" t="str">
        <f t="shared" si="12"/>
        <v>-</v>
      </c>
      <c r="K13" s="93">
        <f t="shared" si="13"/>
        <v>0</v>
      </c>
      <c r="L13" s="93"/>
      <c r="M13" s="94">
        <f t="shared" si="14"/>
        <v>0</v>
      </c>
      <c r="N13" s="94">
        <f t="shared" si="15"/>
        <v>0</v>
      </c>
      <c r="O13" s="20"/>
    </row>
    <row r="14" spans="1:21" s="63" customFormat="1">
      <c r="A14" s="140">
        <v>8610</v>
      </c>
      <c r="B14" s="140" t="s">
        <v>89</v>
      </c>
      <c r="C14" s="140" t="s">
        <v>88</v>
      </c>
      <c r="D14" s="143" t="s">
        <v>5</v>
      </c>
      <c r="E14" s="144">
        <v>43165.773113425923</v>
      </c>
      <c r="F14" s="89">
        <f t="shared" si="8"/>
        <v>43165.773113425923</v>
      </c>
      <c r="G14" s="90" t="str">
        <f t="shared" si="9"/>
        <v>18:33</v>
      </c>
      <c r="H14" s="91" t="str">
        <f t="shared" si="10"/>
        <v>-</v>
      </c>
      <c r="I14" s="92" t="str">
        <f t="shared" si="11"/>
        <v>-</v>
      </c>
      <c r="J14" s="92" t="str">
        <f t="shared" si="12"/>
        <v>-</v>
      </c>
      <c r="K14" s="93">
        <f t="shared" si="13"/>
        <v>0</v>
      </c>
      <c r="L14" s="93"/>
      <c r="M14" s="94">
        <f t="shared" si="14"/>
        <v>0</v>
      </c>
      <c r="N14" s="94">
        <f t="shared" si="15"/>
        <v>0</v>
      </c>
      <c r="O14" s="20"/>
      <c r="P14" s="18"/>
      <c r="Q14" s="18"/>
      <c r="R14" s="18"/>
      <c r="S14" s="18"/>
    </row>
    <row r="15" spans="1:21">
      <c r="A15" s="140">
        <v>8611</v>
      </c>
      <c r="B15" s="140" t="s">
        <v>89</v>
      </c>
      <c r="C15" s="140" t="s">
        <v>88</v>
      </c>
      <c r="D15" s="143" t="s">
        <v>7</v>
      </c>
      <c r="E15" s="144">
        <v>43165.773194444446</v>
      </c>
      <c r="F15" s="89">
        <f t="shared" si="8"/>
        <v>43165.773194444446</v>
      </c>
      <c r="G15" s="90" t="str">
        <f t="shared" si="9"/>
        <v>18:33</v>
      </c>
      <c r="H15" s="91" t="str">
        <f t="shared" si="10"/>
        <v>-</v>
      </c>
      <c r="I15" s="92" t="str">
        <f t="shared" si="11"/>
        <v>-</v>
      </c>
      <c r="J15" s="92" t="str">
        <f t="shared" si="12"/>
        <v>-</v>
      </c>
      <c r="K15" s="93">
        <f t="shared" si="13"/>
        <v>0.2166666666666659</v>
      </c>
      <c r="L15" s="93"/>
      <c r="M15" s="94">
        <f t="shared" si="14"/>
        <v>0.2166666666666659</v>
      </c>
      <c r="N15" s="94">
        <f t="shared" si="15"/>
        <v>0</v>
      </c>
      <c r="O15" s="20"/>
    </row>
    <row r="16" spans="1:21">
      <c r="A16" s="140">
        <v>8616</v>
      </c>
      <c r="B16" s="140" t="s">
        <v>89</v>
      </c>
      <c r="C16" s="140" t="s">
        <v>88</v>
      </c>
      <c r="D16" s="143" t="s">
        <v>8</v>
      </c>
      <c r="E16" s="144">
        <v>43165.78229166667</v>
      </c>
      <c r="F16" s="89">
        <f t="shared" si="8"/>
        <v>43165.78229166667</v>
      </c>
      <c r="G16" s="90" t="str">
        <f t="shared" si="9"/>
        <v>18:46</v>
      </c>
      <c r="H16" s="91" t="str">
        <f t="shared" si="10"/>
        <v>-</v>
      </c>
      <c r="I16" s="92" t="str">
        <f t="shared" si="11"/>
        <v>-</v>
      </c>
      <c r="J16" s="92" t="str">
        <f t="shared" si="12"/>
        <v>-</v>
      </c>
      <c r="K16" s="93">
        <f t="shared" si="13"/>
        <v>0</v>
      </c>
      <c r="L16" s="93"/>
      <c r="M16" s="94">
        <f t="shared" si="14"/>
        <v>0</v>
      </c>
      <c r="N16" s="94">
        <f t="shared" si="15"/>
        <v>0</v>
      </c>
      <c r="O16" s="20"/>
    </row>
    <row r="17" spans="1:19" s="2" customFormat="1">
      <c r="A17" s="140">
        <v>8631</v>
      </c>
      <c r="B17" s="140" t="s">
        <v>88</v>
      </c>
      <c r="C17" s="140" t="s">
        <v>88</v>
      </c>
      <c r="D17" s="143" t="s">
        <v>6</v>
      </c>
      <c r="E17" s="144">
        <v>43166.367650462962</v>
      </c>
      <c r="F17" s="89">
        <f t="shared" si="8"/>
        <v>43166.367650462962</v>
      </c>
      <c r="G17" s="90" t="str">
        <f t="shared" si="9"/>
        <v>8:49</v>
      </c>
      <c r="H17" s="91">
        <f t="shared" si="10"/>
        <v>9.6666666666666679</v>
      </c>
      <c r="I17" s="92">
        <f t="shared" si="11"/>
        <v>8</v>
      </c>
      <c r="J17" s="92" t="str">
        <f t="shared" si="12"/>
        <v>-</v>
      </c>
      <c r="K17" s="93">
        <f t="shared" si="13"/>
        <v>0</v>
      </c>
      <c r="L17" s="93"/>
      <c r="M17" s="94">
        <f t="shared" si="14"/>
        <v>0</v>
      </c>
      <c r="N17" s="94">
        <f t="shared" si="15"/>
        <v>0</v>
      </c>
      <c r="O17" s="20"/>
      <c r="P17" s="8"/>
      <c r="Q17" s="8"/>
      <c r="R17" s="8"/>
      <c r="S17" s="8"/>
    </row>
    <row r="18" spans="1:19">
      <c r="A18" s="140">
        <v>8641</v>
      </c>
      <c r="B18" s="140" t="s">
        <v>89</v>
      </c>
      <c r="C18" s="140" t="s">
        <v>88</v>
      </c>
      <c r="D18" s="143" t="s">
        <v>5</v>
      </c>
      <c r="E18" s="144">
        <v>43166.770243055558</v>
      </c>
      <c r="F18" s="89">
        <f t="shared" si="8"/>
        <v>43166.770243055558</v>
      </c>
      <c r="G18" s="90" t="str">
        <f t="shared" si="9"/>
        <v>18:29</v>
      </c>
      <c r="H18" s="91" t="str">
        <f t="shared" si="10"/>
        <v>-</v>
      </c>
      <c r="I18" s="92" t="str">
        <f t="shared" si="11"/>
        <v>-</v>
      </c>
      <c r="J18" s="92" t="str">
        <f t="shared" si="12"/>
        <v>-</v>
      </c>
      <c r="K18" s="93">
        <f t="shared" si="13"/>
        <v>0</v>
      </c>
      <c r="L18" s="93"/>
      <c r="M18" s="94">
        <f t="shared" si="14"/>
        <v>0</v>
      </c>
      <c r="N18" s="94">
        <f t="shared" si="15"/>
        <v>0</v>
      </c>
      <c r="O18" s="20"/>
    </row>
    <row r="19" spans="1:19" s="2" customFormat="1">
      <c r="A19" s="140">
        <v>8645</v>
      </c>
      <c r="B19" s="140" t="s">
        <v>89</v>
      </c>
      <c r="C19" s="140" t="s">
        <v>88</v>
      </c>
      <c r="D19" s="143" t="s">
        <v>7</v>
      </c>
      <c r="E19" s="144">
        <v>43166.770949074074</v>
      </c>
      <c r="F19" s="89">
        <f t="shared" si="8"/>
        <v>43166.770949074074</v>
      </c>
      <c r="G19" s="90" t="str">
        <f t="shared" si="9"/>
        <v>18:30</v>
      </c>
      <c r="H19" s="91" t="str">
        <f t="shared" si="10"/>
        <v>-</v>
      </c>
      <c r="I19" s="92" t="str">
        <f t="shared" si="11"/>
        <v>-</v>
      </c>
      <c r="J19" s="92" t="str">
        <f t="shared" si="12"/>
        <v>-</v>
      </c>
      <c r="K19" s="93">
        <f t="shared" si="13"/>
        <v>0.66666666666666696</v>
      </c>
      <c r="L19" s="93"/>
      <c r="M19" s="94">
        <f t="shared" si="14"/>
        <v>0.66666666666666696</v>
      </c>
      <c r="N19" s="94">
        <f t="shared" si="15"/>
        <v>0</v>
      </c>
      <c r="O19" s="20"/>
      <c r="P19" s="8"/>
      <c r="Q19" s="8"/>
      <c r="R19" s="8"/>
      <c r="S19" s="8"/>
    </row>
    <row r="20" spans="1:19">
      <c r="A20" s="140">
        <v>8653</v>
      </c>
      <c r="B20" s="140" t="s">
        <v>89</v>
      </c>
      <c r="C20" s="140" t="s">
        <v>88</v>
      </c>
      <c r="D20" s="143" t="s">
        <v>8</v>
      </c>
      <c r="E20" s="144">
        <v>43166.798622685186</v>
      </c>
      <c r="F20" s="89">
        <f t="shared" si="8"/>
        <v>43166.798622685186</v>
      </c>
      <c r="G20" s="90" t="str">
        <f t="shared" si="9"/>
        <v>19:10</v>
      </c>
      <c r="H20" s="91" t="str">
        <f t="shared" si="10"/>
        <v>-</v>
      </c>
      <c r="I20" s="92" t="str">
        <f t="shared" si="11"/>
        <v>-</v>
      </c>
      <c r="J20" s="92" t="str">
        <f t="shared" si="12"/>
        <v>-</v>
      </c>
      <c r="K20" s="93">
        <f t="shared" si="13"/>
        <v>0</v>
      </c>
      <c r="L20" s="93"/>
      <c r="M20" s="94">
        <f t="shared" si="14"/>
        <v>0</v>
      </c>
      <c r="N20" s="94">
        <f t="shared" si="15"/>
        <v>0</v>
      </c>
      <c r="O20" s="20"/>
    </row>
    <row r="21" spans="1:19" s="63" customFormat="1">
      <c r="A21" s="140">
        <v>8669</v>
      </c>
      <c r="B21" s="140" t="s">
        <v>88</v>
      </c>
      <c r="C21" s="140" t="s">
        <v>88</v>
      </c>
      <c r="D21" s="143" t="s">
        <v>6</v>
      </c>
      <c r="E21" s="144">
        <v>43167.369953703703</v>
      </c>
      <c r="F21" s="89">
        <f t="shared" si="8"/>
        <v>43167.369953703703</v>
      </c>
      <c r="G21" s="90" t="str">
        <f t="shared" si="9"/>
        <v>8:52</v>
      </c>
      <c r="H21" s="91">
        <f t="shared" si="10"/>
        <v>9.5333333333333314</v>
      </c>
      <c r="I21" s="92">
        <f t="shared" si="11"/>
        <v>8</v>
      </c>
      <c r="J21" s="92" t="str">
        <f t="shared" si="12"/>
        <v>-</v>
      </c>
      <c r="K21" s="93">
        <f t="shared" si="13"/>
        <v>0</v>
      </c>
      <c r="L21" s="93"/>
      <c r="M21" s="94">
        <f t="shared" si="14"/>
        <v>0</v>
      </c>
      <c r="N21" s="94">
        <f t="shared" si="15"/>
        <v>0</v>
      </c>
      <c r="O21" s="20"/>
      <c r="P21" s="18"/>
      <c r="Q21" s="18"/>
      <c r="R21" s="18"/>
      <c r="S21" s="18"/>
    </row>
    <row r="22" spans="1:19" s="63" customFormat="1">
      <c r="A22" s="140">
        <v>8674</v>
      </c>
      <c r="B22" s="140" t="s">
        <v>89</v>
      </c>
      <c r="C22" s="140" t="s">
        <v>88</v>
      </c>
      <c r="D22" s="143" t="s">
        <v>5</v>
      </c>
      <c r="E22" s="144">
        <v>43167.76667824074</v>
      </c>
      <c r="F22" s="89">
        <f t="shared" si="8"/>
        <v>43167.76667824074</v>
      </c>
      <c r="G22" s="90" t="str">
        <f t="shared" si="9"/>
        <v>18:24</v>
      </c>
      <c r="H22" s="91" t="str">
        <f t="shared" si="10"/>
        <v>-</v>
      </c>
      <c r="I22" s="92" t="str">
        <f t="shared" si="11"/>
        <v>-</v>
      </c>
      <c r="J22" s="92" t="str">
        <f t="shared" si="12"/>
        <v>-</v>
      </c>
      <c r="K22" s="93">
        <f t="shared" si="13"/>
        <v>0</v>
      </c>
      <c r="L22" s="93"/>
      <c r="M22" s="94">
        <f t="shared" si="14"/>
        <v>0</v>
      </c>
      <c r="N22" s="94">
        <f t="shared" si="15"/>
        <v>0</v>
      </c>
      <c r="O22" s="20"/>
      <c r="P22" s="18"/>
      <c r="Q22" s="18"/>
      <c r="R22" s="18"/>
      <c r="S22" s="18"/>
    </row>
    <row r="23" spans="1:19" s="2" customFormat="1">
      <c r="A23" s="140">
        <v>8697</v>
      </c>
      <c r="B23" s="140" t="s">
        <v>88</v>
      </c>
      <c r="C23" s="140" t="s">
        <v>88</v>
      </c>
      <c r="D23" s="143" t="s">
        <v>6</v>
      </c>
      <c r="E23" s="144">
        <v>43168.36922453704</v>
      </c>
      <c r="F23" s="89">
        <f t="shared" si="8"/>
        <v>43168.36922453704</v>
      </c>
      <c r="G23" s="90" t="str">
        <f t="shared" si="9"/>
        <v>8:51</v>
      </c>
      <c r="H23" s="91">
        <f t="shared" si="10"/>
        <v>9.7999999999999989</v>
      </c>
      <c r="I23" s="92">
        <f t="shared" si="11"/>
        <v>8</v>
      </c>
      <c r="J23" s="92" t="str">
        <f t="shared" si="12"/>
        <v>-</v>
      </c>
      <c r="K23" s="93">
        <f t="shared" si="13"/>
        <v>0</v>
      </c>
      <c r="L23" s="93"/>
      <c r="M23" s="94">
        <f t="shared" si="14"/>
        <v>0</v>
      </c>
      <c r="N23" s="94">
        <f t="shared" si="15"/>
        <v>0</v>
      </c>
      <c r="O23" s="20"/>
      <c r="P23" s="8"/>
      <c r="Q23" s="8"/>
      <c r="R23" s="8"/>
      <c r="S23" s="8"/>
    </row>
    <row r="24" spans="1:19">
      <c r="A24" s="140">
        <v>8713</v>
      </c>
      <c r="B24" s="140" t="s">
        <v>88</v>
      </c>
      <c r="C24" s="140" t="s">
        <v>88</v>
      </c>
      <c r="D24" s="143" t="s">
        <v>5</v>
      </c>
      <c r="E24" s="144">
        <v>43168.777488425927</v>
      </c>
      <c r="F24" s="89">
        <f t="shared" si="8"/>
        <v>43168.777488425927</v>
      </c>
      <c r="G24" s="90" t="str">
        <f t="shared" si="9"/>
        <v>18:39</v>
      </c>
      <c r="H24" s="91" t="str">
        <f t="shared" si="10"/>
        <v>-</v>
      </c>
      <c r="I24" s="92" t="str">
        <f t="shared" si="11"/>
        <v>-</v>
      </c>
      <c r="J24" s="92" t="str">
        <f t="shared" si="12"/>
        <v>-</v>
      </c>
      <c r="K24" s="93">
        <f t="shared" si="13"/>
        <v>0</v>
      </c>
      <c r="L24" s="93"/>
      <c r="M24" s="94">
        <f t="shared" si="14"/>
        <v>0</v>
      </c>
      <c r="N24" s="94">
        <f t="shared" si="15"/>
        <v>0</v>
      </c>
      <c r="O24" s="20"/>
    </row>
    <row r="25" spans="1:19" s="2" customFormat="1">
      <c r="A25" s="140">
        <v>8745</v>
      </c>
      <c r="B25" s="140" t="s">
        <v>88</v>
      </c>
      <c r="C25" s="140" t="s">
        <v>88</v>
      </c>
      <c r="D25" s="143" t="s">
        <v>7</v>
      </c>
      <c r="E25" s="144">
        <v>43170.653912037036</v>
      </c>
      <c r="F25" s="89">
        <f t="shared" si="8"/>
        <v>43170.653912037036</v>
      </c>
      <c r="G25" s="90" t="str">
        <f t="shared" si="9"/>
        <v>15:41</v>
      </c>
      <c r="H25" s="91" t="str">
        <f t="shared" si="10"/>
        <v>-</v>
      </c>
      <c r="I25" s="92" t="str">
        <f t="shared" si="11"/>
        <v>-</v>
      </c>
      <c r="J25" s="92" t="str">
        <f t="shared" si="12"/>
        <v>-</v>
      </c>
      <c r="K25" s="93">
        <f t="shared" si="13"/>
        <v>3.1999999999999993</v>
      </c>
      <c r="L25" s="93"/>
      <c r="M25" s="94">
        <f t="shared" si="14"/>
        <v>2</v>
      </c>
      <c r="N25" s="94">
        <f t="shared" si="15"/>
        <v>1.1999999999999993</v>
      </c>
      <c r="O25" s="20"/>
      <c r="P25" s="8"/>
      <c r="Q25" s="8"/>
      <c r="R25" s="8"/>
      <c r="S25" s="8"/>
    </row>
    <row r="26" spans="1:19">
      <c r="A26" s="140">
        <v>8758</v>
      </c>
      <c r="B26" s="140" t="s">
        <v>88</v>
      </c>
      <c r="C26" s="140" t="s">
        <v>88</v>
      </c>
      <c r="D26" s="143" t="s">
        <v>8</v>
      </c>
      <c r="E26" s="144">
        <v>43170.787361111114</v>
      </c>
      <c r="F26" s="89">
        <f t="shared" si="8"/>
        <v>43170.787361111114</v>
      </c>
      <c r="G26" s="90" t="str">
        <f t="shared" si="9"/>
        <v>18:53</v>
      </c>
      <c r="H26" s="91" t="str">
        <f t="shared" si="10"/>
        <v>-</v>
      </c>
      <c r="I26" s="92" t="str">
        <f t="shared" si="11"/>
        <v>-</v>
      </c>
      <c r="J26" s="92" t="str">
        <f t="shared" si="12"/>
        <v>-</v>
      </c>
      <c r="K26" s="93">
        <f t="shared" si="13"/>
        <v>0</v>
      </c>
      <c r="L26" s="93"/>
      <c r="M26" s="94">
        <f t="shared" si="14"/>
        <v>0</v>
      </c>
      <c r="N26" s="94">
        <f t="shared" si="15"/>
        <v>0</v>
      </c>
      <c r="O26" s="20"/>
    </row>
    <row r="27" spans="1:19" s="63" customFormat="1">
      <c r="A27" s="140">
        <v>8768</v>
      </c>
      <c r="B27" s="140" t="s">
        <v>88</v>
      </c>
      <c r="C27" s="140" t="s">
        <v>88</v>
      </c>
      <c r="D27" s="143" t="s">
        <v>6</v>
      </c>
      <c r="E27" s="144">
        <v>43171.371006944442</v>
      </c>
      <c r="F27" s="89">
        <f t="shared" si="8"/>
        <v>43171.371006944442</v>
      </c>
      <c r="G27" s="90" t="str">
        <f t="shared" si="9"/>
        <v>8:54</v>
      </c>
      <c r="H27" s="91">
        <f t="shared" si="10"/>
        <v>9.6000000000000014</v>
      </c>
      <c r="I27" s="92">
        <f t="shared" si="11"/>
        <v>8</v>
      </c>
      <c r="J27" s="92" t="str">
        <f t="shared" si="12"/>
        <v>-</v>
      </c>
      <c r="K27" s="93">
        <f t="shared" si="13"/>
        <v>0</v>
      </c>
      <c r="L27" s="93"/>
      <c r="M27" s="94">
        <f t="shared" si="14"/>
        <v>0</v>
      </c>
      <c r="N27" s="94">
        <f t="shared" si="15"/>
        <v>0</v>
      </c>
      <c r="O27" s="20"/>
      <c r="P27" s="18"/>
      <c r="Q27" s="18"/>
      <c r="R27" s="18"/>
      <c r="S27" s="18"/>
    </row>
    <row r="28" spans="1:19">
      <c r="A28" s="140">
        <v>8781</v>
      </c>
      <c r="B28" s="140" t="s">
        <v>89</v>
      </c>
      <c r="C28" s="140" t="s">
        <v>88</v>
      </c>
      <c r="D28" s="143" t="s">
        <v>5</v>
      </c>
      <c r="E28" s="144">
        <v>43171.771099537036</v>
      </c>
      <c r="F28" s="89">
        <f t="shared" si="8"/>
        <v>43171.771099537036</v>
      </c>
      <c r="G28" s="90" t="str">
        <f t="shared" si="9"/>
        <v>18:30</v>
      </c>
      <c r="H28" s="91" t="str">
        <f t="shared" si="10"/>
        <v>-</v>
      </c>
      <c r="I28" s="92" t="str">
        <f t="shared" si="11"/>
        <v>-</v>
      </c>
      <c r="J28" s="92" t="str">
        <f t="shared" si="12"/>
        <v>-</v>
      </c>
      <c r="K28" s="93">
        <f t="shared" si="13"/>
        <v>0</v>
      </c>
      <c r="L28" s="93"/>
      <c r="M28" s="94">
        <f t="shared" si="14"/>
        <v>0</v>
      </c>
      <c r="N28" s="94">
        <f t="shared" si="15"/>
        <v>0</v>
      </c>
      <c r="O28" s="20"/>
    </row>
    <row r="29" spans="1:19" s="63" customFormat="1">
      <c r="A29" s="140">
        <v>8782</v>
      </c>
      <c r="B29" s="140" t="s">
        <v>89</v>
      </c>
      <c r="C29" s="140" t="s">
        <v>88</v>
      </c>
      <c r="D29" s="143" t="s">
        <v>7</v>
      </c>
      <c r="E29" s="144">
        <v>43171.771180555559</v>
      </c>
      <c r="F29" s="89">
        <f t="shared" si="8"/>
        <v>43171.771180555559</v>
      </c>
      <c r="G29" s="90" t="str">
        <f t="shared" si="9"/>
        <v>18:30</v>
      </c>
      <c r="H29" s="91" t="str">
        <f t="shared" si="10"/>
        <v>-</v>
      </c>
      <c r="I29" s="92" t="str">
        <f t="shared" si="11"/>
        <v>-</v>
      </c>
      <c r="J29" s="92" t="str">
        <f t="shared" si="12"/>
        <v>-</v>
      </c>
      <c r="K29" s="93">
        <f t="shared" si="13"/>
        <v>0.79999999999999982</v>
      </c>
      <c r="L29" s="93"/>
      <c r="M29" s="94">
        <f t="shared" si="14"/>
        <v>0.79999999999999982</v>
      </c>
      <c r="N29" s="94">
        <f t="shared" si="15"/>
        <v>0</v>
      </c>
      <c r="O29" s="20"/>
      <c r="P29" s="18"/>
      <c r="Q29" s="18"/>
      <c r="R29" s="18"/>
      <c r="S29" s="18"/>
    </row>
    <row r="30" spans="1:19" s="63" customFormat="1">
      <c r="A30" s="140">
        <v>8791</v>
      </c>
      <c r="B30" s="140" t="s">
        <v>89</v>
      </c>
      <c r="C30" s="140" t="s">
        <v>88</v>
      </c>
      <c r="D30" s="143" t="s">
        <v>8</v>
      </c>
      <c r="E30" s="144">
        <v>43171.804340277777</v>
      </c>
      <c r="F30" s="89">
        <f t="shared" si="8"/>
        <v>43171.804340277777</v>
      </c>
      <c r="G30" s="90" t="str">
        <f t="shared" si="9"/>
        <v>19:18</v>
      </c>
      <c r="H30" s="91" t="str">
        <f t="shared" si="10"/>
        <v>-</v>
      </c>
      <c r="I30" s="92" t="str">
        <f t="shared" si="11"/>
        <v>-</v>
      </c>
      <c r="J30" s="92" t="str">
        <f t="shared" si="12"/>
        <v>-</v>
      </c>
      <c r="K30" s="93">
        <f t="shared" si="13"/>
        <v>0</v>
      </c>
      <c r="L30" s="93"/>
      <c r="M30" s="94">
        <f t="shared" si="14"/>
        <v>0</v>
      </c>
      <c r="N30" s="94">
        <f t="shared" si="15"/>
        <v>0</v>
      </c>
      <c r="O30" s="20"/>
      <c r="P30" s="18"/>
      <c r="Q30" s="18"/>
      <c r="R30" s="18"/>
      <c r="S30" s="18"/>
    </row>
    <row r="31" spans="1:19" s="2" customFormat="1">
      <c r="A31" s="140">
        <v>8809</v>
      </c>
      <c r="B31" s="140" t="s">
        <v>88</v>
      </c>
      <c r="C31" s="140" t="s">
        <v>88</v>
      </c>
      <c r="D31" s="143" t="s">
        <v>6</v>
      </c>
      <c r="E31" s="144">
        <v>43172.36991898148</v>
      </c>
      <c r="F31" s="89">
        <f t="shared" si="8"/>
        <v>43172.36991898148</v>
      </c>
      <c r="G31" s="90" t="str">
        <f t="shared" si="9"/>
        <v>8:52</v>
      </c>
      <c r="H31" s="91">
        <f t="shared" si="10"/>
        <v>9.6499999999999986</v>
      </c>
      <c r="I31" s="92">
        <f t="shared" si="11"/>
        <v>8</v>
      </c>
      <c r="J31" s="92" t="str">
        <f t="shared" si="12"/>
        <v>-</v>
      </c>
      <c r="K31" s="93">
        <f t="shared" si="13"/>
        <v>0</v>
      </c>
      <c r="L31" s="93"/>
      <c r="M31" s="94">
        <f t="shared" si="14"/>
        <v>0</v>
      </c>
      <c r="N31" s="94">
        <f t="shared" si="15"/>
        <v>0</v>
      </c>
      <c r="O31" s="20"/>
      <c r="P31" s="8"/>
      <c r="Q31" s="8"/>
      <c r="R31" s="8"/>
      <c r="S31" s="8"/>
    </row>
    <row r="32" spans="1:19">
      <c r="A32" s="140">
        <v>8814</v>
      </c>
      <c r="B32" s="140" t="s">
        <v>89</v>
      </c>
      <c r="C32" s="140" t="s">
        <v>88</v>
      </c>
      <c r="D32" s="143" t="s">
        <v>5</v>
      </c>
      <c r="E32" s="144">
        <v>43172.771678240744</v>
      </c>
      <c r="F32" s="89">
        <f t="shared" si="8"/>
        <v>43172.771678240744</v>
      </c>
      <c r="G32" s="90" t="str">
        <f t="shared" si="9"/>
        <v>18:31</v>
      </c>
      <c r="H32" s="91" t="str">
        <f t="shared" si="10"/>
        <v>-</v>
      </c>
      <c r="I32" s="92" t="str">
        <f t="shared" si="11"/>
        <v>-</v>
      </c>
      <c r="J32" s="92" t="str">
        <f t="shared" si="12"/>
        <v>-</v>
      </c>
      <c r="K32" s="93">
        <f t="shared" si="13"/>
        <v>0</v>
      </c>
      <c r="L32" s="93"/>
      <c r="M32" s="94">
        <f t="shared" si="14"/>
        <v>0</v>
      </c>
      <c r="N32" s="94">
        <f t="shared" si="15"/>
        <v>0</v>
      </c>
      <c r="O32" s="20"/>
    </row>
    <row r="33" spans="1:19" s="63" customFormat="1">
      <c r="A33" s="140">
        <v>8815</v>
      </c>
      <c r="B33" s="140" t="s">
        <v>89</v>
      </c>
      <c r="C33" s="140" t="s">
        <v>88</v>
      </c>
      <c r="D33" s="143" t="s">
        <v>7</v>
      </c>
      <c r="E33" s="144">
        <v>43172.771886574075</v>
      </c>
      <c r="F33" s="89">
        <f t="shared" si="8"/>
        <v>43172.771886574075</v>
      </c>
      <c r="G33" s="90" t="str">
        <f t="shared" si="9"/>
        <v>18:31</v>
      </c>
      <c r="H33" s="91" t="str">
        <f t="shared" si="10"/>
        <v>-</v>
      </c>
      <c r="I33" s="92" t="str">
        <f t="shared" si="11"/>
        <v>-</v>
      </c>
      <c r="J33" s="92" t="str">
        <f t="shared" si="12"/>
        <v>-</v>
      </c>
      <c r="K33" s="93">
        <f t="shared" si="13"/>
        <v>1.5500000000000025</v>
      </c>
      <c r="L33" s="93"/>
      <c r="M33" s="94">
        <f t="shared" si="14"/>
        <v>1.5500000000000025</v>
      </c>
      <c r="N33" s="94">
        <f t="shared" si="15"/>
        <v>0</v>
      </c>
      <c r="O33" s="20"/>
      <c r="P33" s="18"/>
      <c r="Q33" s="18"/>
      <c r="R33" s="18"/>
      <c r="S33" s="18"/>
    </row>
    <row r="34" spans="1:19">
      <c r="A34" s="140">
        <v>8828</v>
      </c>
      <c r="B34" s="140" t="s">
        <v>89</v>
      </c>
      <c r="C34" s="140" t="s">
        <v>88</v>
      </c>
      <c r="D34" s="143" t="s">
        <v>8</v>
      </c>
      <c r="E34" s="144">
        <v>43172.836226851854</v>
      </c>
      <c r="F34" s="89">
        <f t="shared" si="8"/>
        <v>43172.836226851854</v>
      </c>
      <c r="G34" s="90" t="str">
        <f t="shared" si="9"/>
        <v>20:4</v>
      </c>
      <c r="H34" s="91" t="str">
        <f t="shared" si="10"/>
        <v>-</v>
      </c>
      <c r="I34" s="92" t="str">
        <f t="shared" si="11"/>
        <v>-</v>
      </c>
      <c r="J34" s="92" t="str">
        <f t="shared" si="12"/>
        <v>-</v>
      </c>
      <c r="K34" s="93">
        <f t="shared" si="13"/>
        <v>0</v>
      </c>
      <c r="L34" s="93"/>
      <c r="M34" s="94">
        <f t="shared" si="14"/>
        <v>0</v>
      </c>
      <c r="N34" s="94">
        <f t="shared" si="15"/>
        <v>0</v>
      </c>
      <c r="O34" s="20"/>
    </row>
    <row r="35" spans="1:19" s="63" customFormat="1" ht="18" customHeight="1">
      <c r="A35" s="140">
        <v>8843</v>
      </c>
      <c r="B35" s="140" t="s">
        <v>88</v>
      </c>
      <c r="C35" s="140" t="s">
        <v>88</v>
      </c>
      <c r="D35" s="143" t="s">
        <v>6</v>
      </c>
      <c r="E35" s="144">
        <v>43173.371018518519</v>
      </c>
      <c r="F35" s="89">
        <f t="shared" si="8"/>
        <v>43173.371018518519</v>
      </c>
      <c r="G35" s="90" t="str">
        <f t="shared" si="9"/>
        <v>8:54</v>
      </c>
      <c r="H35" s="91">
        <f t="shared" si="10"/>
        <v>9.6166666666666636</v>
      </c>
      <c r="I35" s="92">
        <f t="shared" si="11"/>
        <v>8</v>
      </c>
      <c r="J35" s="92" t="str">
        <f t="shared" si="12"/>
        <v>-</v>
      </c>
      <c r="K35" s="93">
        <f t="shared" si="13"/>
        <v>0</v>
      </c>
      <c r="L35" s="93"/>
      <c r="M35" s="94">
        <f t="shared" si="14"/>
        <v>0</v>
      </c>
      <c r="N35" s="94">
        <f t="shared" si="15"/>
        <v>0</v>
      </c>
      <c r="O35" s="20"/>
      <c r="P35" s="18"/>
      <c r="Q35" s="18"/>
      <c r="R35" s="18"/>
      <c r="S35" s="18"/>
    </row>
    <row r="36" spans="1:19" s="63" customFormat="1">
      <c r="A36" s="140">
        <v>8852</v>
      </c>
      <c r="B36" s="140" t="s">
        <v>89</v>
      </c>
      <c r="C36" s="140" t="s">
        <v>88</v>
      </c>
      <c r="D36" s="143" t="s">
        <v>5</v>
      </c>
      <c r="E36" s="144">
        <v>43173.77175925926</v>
      </c>
      <c r="F36" s="89">
        <f t="shared" si="8"/>
        <v>43173.77175925926</v>
      </c>
      <c r="G36" s="90" t="str">
        <f t="shared" si="9"/>
        <v>18:31</v>
      </c>
      <c r="H36" s="91" t="str">
        <f t="shared" si="10"/>
        <v>-</v>
      </c>
      <c r="I36" s="92" t="str">
        <f t="shared" si="11"/>
        <v>-</v>
      </c>
      <c r="J36" s="92" t="str">
        <f t="shared" si="12"/>
        <v>-</v>
      </c>
      <c r="K36" s="93">
        <f t="shared" si="13"/>
        <v>0</v>
      </c>
      <c r="L36" s="93"/>
      <c r="M36" s="94">
        <f t="shared" si="14"/>
        <v>0</v>
      </c>
      <c r="N36" s="94">
        <f t="shared" si="15"/>
        <v>0</v>
      </c>
      <c r="O36" s="20"/>
      <c r="P36" s="18"/>
      <c r="Q36" s="18"/>
      <c r="R36" s="18"/>
      <c r="S36" s="18"/>
    </row>
    <row r="37" spans="1:19" s="63" customFormat="1">
      <c r="A37" s="140">
        <v>8855</v>
      </c>
      <c r="B37" s="140" t="s">
        <v>89</v>
      </c>
      <c r="C37" s="140" t="s">
        <v>88</v>
      </c>
      <c r="D37" s="143" t="s">
        <v>7</v>
      </c>
      <c r="E37" s="144">
        <v>43173.771898148145</v>
      </c>
      <c r="F37" s="89">
        <f t="shared" si="8"/>
        <v>43173.771898148145</v>
      </c>
      <c r="G37" s="90" t="str">
        <f t="shared" si="9"/>
        <v>18:31</v>
      </c>
      <c r="H37" s="91" t="str">
        <f t="shared" si="10"/>
        <v>-</v>
      </c>
      <c r="I37" s="92" t="str">
        <f t="shared" si="11"/>
        <v>-</v>
      </c>
      <c r="J37" s="92" t="str">
        <f t="shared" si="12"/>
        <v>-</v>
      </c>
      <c r="K37" s="93">
        <f t="shared" si="13"/>
        <v>2.1666666666666696</v>
      </c>
      <c r="L37" s="93"/>
      <c r="M37" s="94">
        <f t="shared" si="14"/>
        <v>2</v>
      </c>
      <c r="N37" s="94">
        <f t="shared" si="15"/>
        <v>0.16666666666666963</v>
      </c>
      <c r="O37" s="20"/>
      <c r="P37" s="18"/>
      <c r="Q37" s="18"/>
      <c r="R37" s="18"/>
      <c r="S37" s="18"/>
    </row>
    <row r="38" spans="1:19" s="63" customFormat="1">
      <c r="A38" s="140">
        <v>8866</v>
      </c>
      <c r="B38" s="140" t="s">
        <v>89</v>
      </c>
      <c r="C38" s="140" t="s">
        <v>88</v>
      </c>
      <c r="D38" s="143" t="s">
        <v>8</v>
      </c>
      <c r="E38" s="144">
        <v>43173.861967592595</v>
      </c>
      <c r="F38" s="89">
        <f t="shared" si="8"/>
        <v>43173.861967592595</v>
      </c>
      <c r="G38" s="90" t="str">
        <f t="shared" si="9"/>
        <v>20:41</v>
      </c>
      <c r="H38" s="91" t="str">
        <f t="shared" si="10"/>
        <v>-</v>
      </c>
      <c r="I38" s="92" t="str">
        <f t="shared" si="11"/>
        <v>-</v>
      </c>
      <c r="J38" s="92" t="str">
        <f t="shared" si="12"/>
        <v>-</v>
      </c>
      <c r="K38" s="93">
        <f t="shared" si="13"/>
        <v>0</v>
      </c>
      <c r="L38" s="93"/>
      <c r="M38" s="94">
        <f t="shared" si="14"/>
        <v>0</v>
      </c>
      <c r="N38" s="94">
        <f t="shared" si="15"/>
        <v>0</v>
      </c>
      <c r="O38" s="20"/>
      <c r="P38" s="18"/>
      <c r="Q38" s="18"/>
      <c r="R38" s="18"/>
      <c r="S38" s="18"/>
    </row>
    <row r="39" spans="1:19" s="63" customFormat="1">
      <c r="A39" s="140">
        <v>8879</v>
      </c>
      <c r="B39" s="140" t="s">
        <v>88</v>
      </c>
      <c r="C39" s="140" t="s">
        <v>88</v>
      </c>
      <c r="D39" s="143" t="s">
        <v>6</v>
      </c>
      <c r="E39" s="144">
        <v>43174.371828703705</v>
      </c>
      <c r="F39" s="89">
        <f t="shared" si="8"/>
        <v>43174.371828703705</v>
      </c>
      <c r="G39" s="90" t="str">
        <f t="shared" si="9"/>
        <v>8:55</v>
      </c>
      <c r="H39" s="91">
        <f t="shared" si="10"/>
        <v>9.7500000000000018</v>
      </c>
      <c r="I39" s="92">
        <f t="shared" si="11"/>
        <v>8</v>
      </c>
      <c r="J39" s="92" t="str">
        <f t="shared" si="12"/>
        <v>-</v>
      </c>
      <c r="K39" s="93">
        <f t="shared" si="13"/>
        <v>0</v>
      </c>
      <c r="L39" s="93"/>
      <c r="M39" s="94">
        <f t="shared" si="14"/>
        <v>0</v>
      </c>
      <c r="N39" s="94">
        <f t="shared" si="15"/>
        <v>0</v>
      </c>
      <c r="O39" s="20"/>
      <c r="P39" s="18"/>
      <c r="Q39" s="18"/>
      <c r="R39" s="18"/>
      <c r="S39" s="18"/>
    </row>
    <row r="40" spans="1:19" s="63" customFormat="1">
      <c r="A40" s="140">
        <v>8897</v>
      </c>
      <c r="B40" s="140" t="s">
        <v>89</v>
      </c>
      <c r="C40" s="140" t="s">
        <v>88</v>
      </c>
      <c r="D40" s="143" t="s">
        <v>5</v>
      </c>
      <c r="E40" s="144">
        <v>43174.777789351851</v>
      </c>
      <c r="F40" s="89">
        <f t="shared" si="8"/>
        <v>43174.777789351851</v>
      </c>
      <c r="G40" s="90" t="str">
        <f t="shared" si="9"/>
        <v>18:40</v>
      </c>
      <c r="H40" s="91" t="str">
        <f t="shared" si="10"/>
        <v>-</v>
      </c>
      <c r="I40" s="92" t="str">
        <f t="shared" si="11"/>
        <v>-</v>
      </c>
      <c r="J40" s="92" t="str">
        <f t="shared" si="12"/>
        <v>-</v>
      </c>
      <c r="K40" s="93">
        <f t="shared" si="13"/>
        <v>0</v>
      </c>
      <c r="L40" s="93"/>
      <c r="M40" s="94">
        <f t="shared" si="14"/>
        <v>0</v>
      </c>
      <c r="N40" s="94">
        <f t="shared" si="15"/>
        <v>0</v>
      </c>
      <c r="O40" s="20"/>
      <c r="P40" s="18"/>
      <c r="Q40" s="18"/>
      <c r="R40" s="18"/>
      <c r="S40" s="18"/>
    </row>
    <row r="41" spans="1:19" s="63" customFormat="1">
      <c r="A41" s="140">
        <v>8913</v>
      </c>
      <c r="B41" s="140" t="s">
        <v>88</v>
      </c>
      <c r="C41" s="140" t="s">
        <v>88</v>
      </c>
      <c r="D41" s="143" t="s">
        <v>6</v>
      </c>
      <c r="E41" s="144">
        <v>43175.367476851854</v>
      </c>
      <c r="F41" s="89">
        <f t="shared" si="8"/>
        <v>43175.367476851854</v>
      </c>
      <c r="G41" s="90" t="str">
        <f t="shared" si="9"/>
        <v>8:49</v>
      </c>
      <c r="H41" s="91">
        <f t="shared" si="10"/>
        <v>10.16666666666667</v>
      </c>
      <c r="I41" s="92">
        <f t="shared" si="11"/>
        <v>8</v>
      </c>
      <c r="J41" s="92" t="str">
        <f t="shared" si="12"/>
        <v>-</v>
      </c>
      <c r="K41" s="93">
        <f t="shared" si="13"/>
        <v>0</v>
      </c>
      <c r="L41" s="93"/>
      <c r="M41" s="94">
        <f t="shared" si="14"/>
        <v>0</v>
      </c>
      <c r="N41" s="94">
        <f t="shared" si="15"/>
        <v>0</v>
      </c>
      <c r="O41" s="20"/>
      <c r="P41" s="18"/>
      <c r="Q41" s="18"/>
      <c r="R41" s="18"/>
      <c r="S41" s="18"/>
    </row>
    <row r="42" spans="1:19" s="63" customFormat="1">
      <c r="A42" s="140">
        <v>8932</v>
      </c>
      <c r="B42" s="140" t="s">
        <v>89</v>
      </c>
      <c r="C42" s="140" t="s">
        <v>88</v>
      </c>
      <c r="D42" s="143" t="s">
        <v>5</v>
      </c>
      <c r="E42" s="144">
        <v>43175.791076388887</v>
      </c>
      <c r="F42" s="89">
        <f t="shared" si="8"/>
        <v>43175.791076388887</v>
      </c>
      <c r="G42" s="90" t="str">
        <f t="shared" si="9"/>
        <v>18:59</v>
      </c>
      <c r="H42" s="91" t="str">
        <f t="shared" si="10"/>
        <v>-</v>
      </c>
      <c r="I42" s="92" t="str">
        <f t="shared" si="11"/>
        <v>-</v>
      </c>
      <c r="J42" s="92" t="str">
        <f t="shared" si="12"/>
        <v>-</v>
      </c>
      <c r="K42" s="93">
        <f t="shared" si="13"/>
        <v>0</v>
      </c>
      <c r="L42" s="93"/>
      <c r="M42" s="94">
        <f t="shared" si="14"/>
        <v>0</v>
      </c>
      <c r="N42" s="94">
        <f t="shared" si="15"/>
        <v>0</v>
      </c>
      <c r="O42" s="20"/>
      <c r="P42" s="18"/>
      <c r="Q42" s="18"/>
      <c r="R42" s="18"/>
      <c r="S42" s="18"/>
    </row>
    <row r="43" spans="1:19" s="323" customFormat="1">
      <c r="A43" s="140">
        <v>8978</v>
      </c>
      <c r="B43" s="140" t="s">
        <v>88</v>
      </c>
      <c r="C43" s="140" t="s">
        <v>88</v>
      </c>
      <c r="D43" s="143" t="s">
        <v>6</v>
      </c>
      <c r="E43" s="144">
        <v>43178.369305555556</v>
      </c>
      <c r="F43" s="89">
        <f t="shared" si="8"/>
        <v>43178.369305555556</v>
      </c>
      <c r="G43" s="90" t="str">
        <f t="shared" si="9"/>
        <v>8:51</v>
      </c>
      <c r="H43" s="91">
        <f t="shared" si="10"/>
        <v>9.5333333333333332</v>
      </c>
      <c r="I43" s="92">
        <f t="shared" si="11"/>
        <v>8</v>
      </c>
      <c r="J43" s="92" t="str">
        <f t="shared" si="12"/>
        <v>-</v>
      </c>
      <c r="K43" s="93">
        <f t="shared" si="13"/>
        <v>0</v>
      </c>
      <c r="L43" s="93"/>
      <c r="M43" s="94">
        <f t="shared" si="14"/>
        <v>0</v>
      </c>
      <c r="N43" s="94">
        <f t="shared" si="15"/>
        <v>0</v>
      </c>
      <c r="O43" s="20"/>
    </row>
    <row r="44" spans="1:19" s="63" customFormat="1">
      <c r="A44" s="140">
        <v>8985</v>
      </c>
      <c r="B44" s="140" t="s">
        <v>88</v>
      </c>
      <c r="C44" s="140" t="s">
        <v>88</v>
      </c>
      <c r="D44" s="143" t="s">
        <v>5</v>
      </c>
      <c r="E44" s="144">
        <v>43178.766215277778</v>
      </c>
      <c r="F44" s="89">
        <f t="shared" si="8"/>
        <v>43178.766215277778</v>
      </c>
      <c r="G44" s="90" t="str">
        <f t="shared" si="9"/>
        <v>18:23</v>
      </c>
      <c r="H44" s="91" t="str">
        <f t="shared" si="10"/>
        <v>-</v>
      </c>
      <c r="I44" s="92" t="str">
        <f t="shared" si="11"/>
        <v>-</v>
      </c>
      <c r="J44" s="92" t="str">
        <f t="shared" si="12"/>
        <v>-</v>
      </c>
      <c r="K44" s="93">
        <f t="shared" si="13"/>
        <v>0</v>
      </c>
      <c r="L44" s="93"/>
      <c r="M44" s="94">
        <f t="shared" si="14"/>
        <v>0</v>
      </c>
      <c r="N44" s="94">
        <f t="shared" si="15"/>
        <v>0</v>
      </c>
      <c r="O44" s="20"/>
      <c r="P44" s="18"/>
      <c r="Q44" s="18"/>
      <c r="R44" s="18"/>
      <c r="S44" s="18"/>
    </row>
    <row r="45" spans="1:19" s="63" customFormat="1">
      <c r="A45" s="140">
        <v>8994</v>
      </c>
      <c r="B45" s="140" t="s">
        <v>88</v>
      </c>
      <c r="C45" s="140" t="s">
        <v>88</v>
      </c>
      <c r="D45" s="143" t="s">
        <v>7</v>
      </c>
      <c r="E45" s="144">
        <v>43178.780497685184</v>
      </c>
      <c r="F45" s="89">
        <f t="shared" si="8"/>
        <v>43178.780497685184</v>
      </c>
      <c r="G45" s="90" t="str">
        <f t="shared" si="9"/>
        <v>18:43</v>
      </c>
      <c r="H45" s="91" t="str">
        <f t="shared" si="10"/>
        <v>-</v>
      </c>
      <c r="I45" s="92" t="str">
        <f t="shared" si="11"/>
        <v>-</v>
      </c>
      <c r="J45" s="92" t="str">
        <f t="shared" si="12"/>
        <v>-</v>
      </c>
      <c r="K45" s="93">
        <f t="shared" si="13"/>
        <v>1.7166666666666686</v>
      </c>
      <c r="L45" s="93"/>
      <c r="M45" s="94">
        <f t="shared" si="14"/>
        <v>1.7166666666666686</v>
      </c>
      <c r="N45" s="94">
        <f t="shared" si="15"/>
        <v>0</v>
      </c>
      <c r="O45" s="20"/>
      <c r="P45" s="18"/>
      <c r="Q45" s="18"/>
      <c r="R45" s="18"/>
      <c r="S45" s="18"/>
    </row>
    <row r="46" spans="1:19" s="63" customFormat="1">
      <c r="A46" s="140">
        <v>8999</v>
      </c>
      <c r="B46" s="140" t="s">
        <v>89</v>
      </c>
      <c r="C46" s="140" t="s">
        <v>88</v>
      </c>
      <c r="D46" s="143" t="s">
        <v>8</v>
      </c>
      <c r="E46" s="144">
        <v>43178.851469907408</v>
      </c>
      <c r="F46" s="89">
        <f t="shared" si="8"/>
        <v>43178.851469907408</v>
      </c>
      <c r="G46" s="90" t="str">
        <f t="shared" si="9"/>
        <v>20:26</v>
      </c>
      <c r="H46" s="91" t="str">
        <f t="shared" si="10"/>
        <v>-</v>
      </c>
      <c r="I46" s="92" t="str">
        <f t="shared" si="11"/>
        <v>-</v>
      </c>
      <c r="J46" s="92" t="str">
        <f t="shared" si="12"/>
        <v>-</v>
      </c>
      <c r="K46" s="93">
        <f t="shared" si="13"/>
        <v>0</v>
      </c>
      <c r="L46" s="93"/>
      <c r="M46" s="94">
        <f t="shared" si="14"/>
        <v>0</v>
      </c>
      <c r="N46" s="94">
        <f t="shared" si="15"/>
        <v>0</v>
      </c>
      <c r="O46" s="20"/>
      <c r="P46" s="18"/>
      <c r="Q46" s="18"/>
      <c r="R46" s="18"/>
      <c r="S46" s="18"/>
    </row>
    <row r="47" spans="1:19" s="2" customFormat="1">
      <c r="A47" s="140">
        <v>9016</v>
      </c>
      <c r="B47" s="140" t="s">
        <v>88</v>
      </c>
      <c r="C47" s="140" t="s">
        <v>88</v>
      </c>
      <c r="D47" s="143" t="s">
        <v>6</v>
      </c>
      <c r="E47" s="144">
        <v>43179.37054398148</v>
      </c>
      <c r="F47" s="89">
        <f t="shared" si="8"/>
        <v>43179.37054398148</v>
      </c>
      <c r="G47" s="90" t="str">
        <f t="shared" si="9"/>
        <v>8:53</v>
      </c>
      <c r="H47" s="91">
        <f t="shared" si="10"/>
        <v>9.6333333333333329</v>
      </c>
      <c r="I47" s="92">
        <f t="shared" si="11"/>
        <v>8</v>
      </c>
      <c r="J47" s="92" t="str">
        <f t="shared" si="12"/>
        <v>-</v>
      </c>
      <c r="K47" s="93">
        <f t="shared" si="13"/>
        <v>0</v>
      </c>
      <c r="L47" s="93"/>
      <c r="M47" s="94">
        <f t="shared" si="14"/>
        <v>0</v>
      </c>
      <c r="N47" s="94">
        <f t="shared" si="15"/>
        <v>0</v>
      </c>
      <c r="O47" s="20"/>
      <c r="P47" s="8"/>
      <c r="Q47" s="8"/>
      <c r="R47" s="8"/>
      <c r="S47" s="8"/>
    </row>
    <row r="48" spans="1:19">
      <c r="A48" s="140">
        <v>9031</v>
      </c>
      <c r="B48" s="140" t="s">
        <v>89</v>
      </c>
      <c r="C48" s="140" t="s">
        <v>88</v>
      </c>
      <c r="D48" s="143" t="s">
        <v>5</v>
      </c>
      <c r="E48" s="144">
        <v>43179.771666666667</v>
      </c>
      <c r="F48" s="89">
        <f t="shared" si="8"/>
        <v>43179.771666666667</v>
      </c>
      <c r="G48" s="90" t="str">
        <f t="shared" si="9"/>
        <v>18:31</v>
      </c>
      <c r="H48" s="91" t="str">
        <f t="shared" si="10"/>
        <v>-</v>
      </c>
      <c r="I48" s="92" t="str">
        <f t="shared" si="11"/>
        <v>-</v>
      </c>
      <c r="J48" s="92" t="str">
        <f t="shared" si="12"/>
        <v>-</v>
      </c>
      <c r="K48" s="93">
        <f t="shared" si="13"/>
        <v>0</v>
      </c>
      <c r="L48" s="93"/>
      <c r="M48" s="94">
        <f t="shared" si="14"/>
        <v>0</v>
      </c>
      <c r="N48" s="94">
        <f t="shared" si="15"/>
        <v>0</v>
      </c>
      <c r="O48" s="20"/>
    </row>
    <row r="49" spans="1:19" s="63" customFormat="1">
      <c r="A49" s="140">
        <v>9032</v>
      </c>
      <c r="B49" s="140" t="s">
        <v>89</v>
      </c>
      <c r="C49" s="140" t="s">
        <v>88</v>
      </c>
      <c r="D49" s="143" t="s">
        <v>7</v>
      </c>
      <c r="E49" s="144">
        <v>43179.771701388891</v>
      </c>
      <c r="F49" s="89">
        <f t="shared" si="8"/>
        <v>43179.771701388891</v>
      </c>
      <c r="G49" s="90" t="str">
        <f t="shared" si="9"/>
        <v>18:31</v>
      </c>
      <c r="H49" s="91" t="str">
        <f t="shared" si="10"/>
        <v>-</v>
      </c>
      <c r="I49" s="92" t="str">
        <f t="shared" si="11"/>
        <v>-</v>
      </c>
      <c r="J49" s="92" t="str">
        <f t="shared" si="12"/>
        <v>-</v>
      </c>
      <c r="K49" s="93">
        <f t="shared" si="13"/>
        <v>0.40000000000000391</v>
      </c>
      <c r="L49" s="93"/>
      <c r="M49" s="94">
        <f t="shared" si="14"/>
        <v>0.40000000000000391</v>
      </c>
      <c r="N49" s="94">
        <f t="shared" si="15"/>
        <v>0</v>
      </c>
      <c r="O49" s="20"/>
      <c r="P49" s="18"/>
      <c r="Q49" s="18"/>
      <c r="R49" s="18"/>
      <c r="S49" s="18"/>
    </row>
    <row r="50" spans="1:19" s="63" customFormat="1">
      <c r="A50" s="140">
        <v>9036</v>
      </c>
      <c r="B50" s="140" t="s">
        <v>89</v>
      </c>
      <c r="C50" s="140" t="s">
        <v>88</v>
      </c>
      <c r="D50" s="143" t="s">
        <v>8</v>
      </c>
      <c r="E50" s="144">
        <v>43179.788703703707</v>
      </c>
      <c r="F50" s="89">
        <f t="shared" si="8"/>
        <v>43179.788703703707</v>
      </c>
      <c r="G50" s="90" t="str">
        <f t="shared" si="9"/>
        <v>18:55</v>
      </c>
      <c r="H50" s="91" t="str">
        <f t="shared" si="10"/>
        <v>-</v>
      </c>
      <c r="I50" s="92" t="str">
        <f t="shared" si="11"/>
        <v>-</v>
      </c>
      <c r="J50" s="92" t="str">
        <f t="shared" si="12"/>
        <v>-</v>
      </c>
      <c r="K50" s="93">
        <f t="shared" si="13"/>
        <v>0</v>
      </c>
      <c r="L50" s="93"/>
      <c r="M50" s="94">
        <f t="shared" si="14"/>
        <v>0</v>
      </c>
      <c r="N50" s="94">
        <f t="shared" si="15"/>
        <v>0</v>
      </c>
      <c r="O50" s="20"/>
      <c r="P50" s="18"/>
      <c r="Q50" s="18"/>
      <c r="R50" s="18"/>
      <c r="S50" s="18"/>
    </row>
    <row r="51" spans="1:19" s="2" customFormat="1">
      <c r="A51" s="140">
        <v>9053</v>
      </c>
      <c r="B51" s="140" t="s">
        <v>88</v>
      </c>
      <c r="C51" s="140" t="s">
        <v>88</v>
      </c>
      <c r="D51" s="143" t="s">
        <v>6</v>
      </c>
      <c r="E51" s="144">
        <v>43180.370289351849</v>
      </c>
      <c r="F51" s="89">
        <f t="shared" si="8"/>
        <v>43180.370289351849</v>
      </c>
      <c r="G51" s="90" t="str">
        <f t="shared" si="9"/>
        <v>8:53</v>
      </c>
      <c r="H51" s="91">
        <f t="shared" si="10"/>
        <v>9.8666666666666671</v>
      </c>
      <c r="I51" s="92">
        <f t="shared" si="11"/>
        <v>8</v>
      </c>
      <c r="J51" s="92" t="str">
        <f t="shared" si="12"/>
        <v>-</v>
      </c>
      <c r="K51" s="93">
        <f t="shared" si="13"/>
        <v>0</v>
      </c>
      <c r="L51" s="93"/>
      <c r="M51" s="94">
        <f t="shared" si="14"/>
        <v>0</v>
      </c>
      <c r="N51" s="94">
        <f t="shared" si="15"/>
        <v>0</v>
      </c>
      <c r="O51" s="20"/>
      <c r="P51" s="8"/>
      <c r="Q51" s="8"/>
      <c r="R51" s="8"/>
      <c r="S51" s="8"/>
    </row>
    <row r="52" spans="1:19">
      <c r="A52" s="140">
        <v>9069</v>
      </c>
      <c r="B52" s="140" t="s">
        <v>88</v>
      </c>
      <c r="C52" s="140" t="s">
        <v>88</v>
      </c>
      <c r="D52" s="143" t="s">
        <v>5</v>
      </c>
      <c r="E52" s="144">
        <v>43180.781828703701</v>
      </c>
      <c r="F52" s="89">
        <f t="shared" si="8"/>
        <v>43180.781828703701</v>
      </c>
      <c r="G52" s="90" t="str">
        <f t="shared" si="9"/>
        <v>18:45</v>
      </c>
      <c r="H52" s="91" t="str">
        <f t="shared" si="10"/>
        <v>-</v>
      </c>
      <c r="I52" s="92" t="str">
        <f t="shared" si="11"/>
        <v>-</v>
      </c>
      <c r="J52" s="92" t="str">
        <f t="shared" si="12"/>
        <v>-</v>
      </c>
      <c r="K52" s="93">
        <f t="shared" si="13"/>
        <v>0</v>
      </c>
      <c r="L52" s="93"/>
      <c r="M52" s="94">
        <f t="shared" si="14"/>
        <v>0</v>
      </c>
      <c r="N52" s="94">
        <f t="shared" si="15"/>
        <v>0</v>
      </c>
      <c r="O52" s="20"/>
    </row>
    <row r="53" spans="1:19" s="63" customFormat="1">
      <c r="A53" s="140">
        <v>9088</v>
      </c>
      <c r="B53" s="140" t="s">
        <v>88</v>
      </c>
      <c r="C53" s="140" t="s">
        <v>88</v>
      </c>
      <c r="D53" s="143" t="s">
        <v>6</v>
      </c>
      <c r="E53" s="144">
        <v>43181.370983796296</v>
      </c>
      <c r="F53" s="89">
        <f t="shared" si="8"/>
        <v>43181.370983796296</v>
      </c>
      <c r="G53" s="90" t="str">
        <f t="shared" si="9"/>
        <v>8:54</v>
      </c>
      <c r="H53" s="91">
        <f t="shared" si="10"/>
        <v>9.6000000000000014</v>
      </c>
      <c r="I53" s="92">
        <f t="shared" si="11"/>
        <v>8</v>
      </c>
      <c r="J53" s="92" t="str">
        <f t="shared" si="12"/>
        <v>-</v>
      </c>
      <c r="K53" s="93">
        <f t="shared" si="13"/>
        <v>0</v>
      </c>
      <c r="L53" s="93"/>
      <c r="M53" s="94">
        <f t="shared" si="14"/>
        <v>0</v>
      </c>
      <c r="N53" s="94">
        <f t="shared" si="15"/>
        <v>0</v>
      </c>
      <c r="O53" s="20"/>
      <c r="P53" s="18"/>
      <c r="Q53" s="18"/>
      <c r="R53" s="18"/>
      <c r="S53" s="18"/>
    </row>
    <row r="54" spans="1:19" s="63" customFormat="1">
      <c r="A54" s="140">
        <v>9099</v>
      </c>
      <c r="B54" s="140" t="s">
        <v>89</v>
      </c>
      <c r="C54" s="140" t="s">
        <v>88</v>
      </c>
      <c r="D54" s="143" t="s">
        <v>5</v>
      </c>
      <c r="E54" s="144">
        <v>43181.770856481482</v>
      </c>
      <c r="F54" s="89">
        <f t="shared" si="8"/>
        <v>43181.770856481482</v>
      </c>
      <c r="G54" s="90" t="str">
        <f t="shared" si="9"/>
        <v>18:30</v>
      </c>
      <c r="H54" s="91" t="str">
        <f t="shared" si="10"/>
        <v>-</v>
      </c>
      <c r="I54" s="92" t="str">
        <f t="shared" si="11"/>
        <v>-</v>
      </c>
      <c r="J54" s="92" t="str">
        <f t="shared" si="12"/>
        <v>-</v>
      </c>
      <c r="K54" s="93">
        <f t="shared" si="13"/>
        <v>0</v>
      </c>
      <c r="L54" s="93"/>
      <c r="M54" s="94">
        <f t="shared" si="14"/>
        <v>0</v>
      </c>
      <c r="N54" s="94">
        <f t="shared" si="15"/>
        <v>0</v>
      </c>
      <c r="O54" s="20"/>
      <c r="P54" s="18"/>
      <c r="Q54" s="18"/>
      <c r="R54" s="18"/>
      <c r="S54" s="18"/>
    </row>
    <row r="55" spans="1:19" s="2" customFormat="1">
      <c r="A55" s="140">
        <v>9102</v>
      </c>
      <c r="B55" s="140" t="s">
        <v>89</v>
      </c>
      <c r="C55" s="140" t="s">
        <v>88</v>
      </c>
      <c r="D55" s="143" t="s">
        <v>7</v>
      </c>
      <c r="E55" s="144">
        <v>43181.791145833333</v>
      </c>
      <c r="F55" s="89">
        <f t="shared" si="8"/>
        <v>43181.791145833333</v>
      </c>
      <c r="G55" s="90" t="str">
        <f t="shared" si="9"/>
        <v>18:59</v>
      </c>
      <c r="H55" s="91" t="str">
        <f t="shared" si="10"/>
        <v>-</v>
      </c>
      <c r="I55" s="92" t="str">
        <f t="shared" si="11"/>
        <v>-</v>
      </c>
      <c r="J55" s="92" t="str">
        <f t="shared" si="12"/>
        <v>-</v>
      </c>
      <c r="K55" s="93">
        <f t="shared" si="13"/>
        <v>3.2999999999999989</v>
      </c>
      <c r="L55" s="93"/>
      <c r="M55" s="94">
        <f t="shared" si="14"/>
        <v>2</v>
      </c>
      <c r="N55" s="94">
        <f t="shared" si="15"/>
        <v>1.2999999999999989</v>
      </c>
      <c r="O55" s="20"/>
      <c r="P55" s="8"/>
      <c r="Q55" s="8"/>
      <c r="R55" s="8"/>
      <c r="S55" s="8"/>
    </row>
    <row r="56" spans="1:19">
      <c r="A56" s="140">
        <v>9111</v>
      </c>
      <c r="B56" s="140" t="s">
        <v>88</v>
      </c>
      <c r="C56" s="140" t="s">
        <v>88</v>
      </c>
      <c r="D56" s="143" t="s">
        <v>8</v>
      </c>
      <c r="E56" s="144">
        <v>43181.928819444445</v>
      </c>
      <c r="F56" s="89">
        <f t="shared" si="8"/>
        <v>43181.928819444445</v>
      </c>
      <c r="G56" s="90" t="str">
        <f t="shared" si="9"/>
        <v>22:17</v>
      </c>
      <c r="H56" s="91" t="str">
        <f t="shared" si="10"/>
        <v>-</v>
      </c>
      <c r="I56" s="92" t="str">
        <f t="shared" si="11"/>
        <v>-</v>
      </c>
      <c r="J56" s="92" t="str">
        <f t="shared" si="12"/>
        <v>-</v>
      </c>
      <c r="K56" s="93">
        <f t="shared" si="13"/>
        <v>0</v>
      </c>
      <c r="L56" s="93"/>
      <c r="M56" s="94">
        <f t="shared" si="14"/>
        <v>0</v>
      </c>
      <c r="N56" s="94">
        <f t="shared" si="15"/>
        <v>0</v>
      </c>
      <c r="O56" s="20"/>
    </row>
    <row r="57" spans="1:19">
      <c r="A57" s="140">
        <v>9123</v>
      </c>
      <c r="B57" s="140" t="s">
        <v>88</v>
      </c>
      <c r="C57" s="140" t="s">
        <v>88</v>
      </c>
      <c r="D57" s="143" t="s">
        <v>6</v>
      </c>
      <c r="E57" s="144">
        <v>43182.372719907406</v>
      </c>
      <c r="F57" s="89">
        <f t="shared" si="8"/>
        <v>43182.372719907406</v>
      </c>
      <c r="G57" s="90" t="str">
        <f t="shared" si="9"/>
        <v>8:56</v>
      </c>
      <c r="H57" s="91">
        <f t="shared" si="10"/>
        <v>9.5166666666666657</v>
      </c>
      <c r="I57" s="92">
        <f t="shared" si="11"/>
        <v>8</v>
      </c>
      <c r="J57" s="92" t="str">
        <f t="shared" si="12"/>
        <v>-</v>
      </c>
      <c r="K57" s="93">
        <f t="shared" si="13"/>
        <v>0</v>
      </c>
      <c r="L57" s="93"/>
      <c r="M57" s="94">
        <f t="shared" si="14"/>
        <v>0</v>
      </c>
      <c r="N57" s="94">
        <f t="shared" si="15"/>
        <v>0</v>
      </c>
      <c r="O57" s="20"/>
    </row>
    <row r="58" spans="1:19">
      <c r="A58" s="140">
        <v>9132</v>
      </c>
      <c r="B58" s="140" t="s">
        <v>88</v>
      </c>
      <c r="C58" s="140" t="s">
        <v>88</v>
      </c>
      <c r="D58" s="143" t="s">
        <v>5</v>
      </c>
      <c r="E58" s="144">
        <v>43182.769293981481</v>
      </c>
      <c r="F58" s="89">
        <f t="shared" si="8"/>
        <v>43182.769293981481</v>
      </c>
      <c r="G58" s="90" t="str">
        <f t="shared" si="9"/>
        <v>18:27</v>
      </c>
      <c r="H58" s="91" t="str">
        <f t="shared" si="10"/>
        <v>-</v>
      </c>
      <c r="I58" s="92" t="str">
        <f t="shared" si="11"/>
        <v>-</v>
      </c>
      <c r="J58" s="92" t="str">
        <f t="shared" si="12"/>
        <v>-</v>
      </c>
      <c r="K58" s="93">
        <f t="shared" si="13"/>
        <v>0</v>
      </c>
      <c r="L58" s="93"/>
      <c r="M58" s="94">
        <f t="shared" si="14"/>
        <v>0</v>
      </c>
      <c r="N58" s="94">
        <f t="shared" si="15"/>
        <v>0</v>
      </c>
      <c r="O58" s="20"/>
    </row>
    <row r="59" spans="1:19">
      <c r="A59" s="140">
        <v>9141</v>
      </c>
      <c r="B59" s="140" t="s">
        <v>88</v>
      </c>
      <c r="C59" s="140" t="s">
        <v>88</v>
      </c>
      <c r="D59" s="143" t="s">
        <v>6</v>
      </c>
      <c r="E59" s="144">
        <v>43185.368750000001</v>
      </c>
      <c r="F59" s="89">
        <f t="shared" si="8"/>
        <v>43185.368750000001</v>
      </c>
      <c r="G59" s="90" t="str">
        <f t="shared" si="9"/>
        <v>8:51</v>
      </c>
      <c r="H59" s="91">
        <f t="shared" si="10"/>
        <v>9.8333333333333339</v>
      </c>
      <c r="I59" s="92">
        <f t="shared" si="11"/>
        <v>8</v>
      </c>
      <c r="J59" s="92" t="str">
        <f t="shared" si="12"/>
        <v>-</v>
      </c>
      <c r="K59" s="93">
        <f t="shared" si="13"/>
        <v>0</v>
      </c>
      <c r="L59" s="93"/>
      <c r="M59" s="94">
        <f t="shared" si="14"/>
        <v>0</v>
      </c>
      <c r="N59" s="94">
        <f t="shared" si="15"/>
        <v>0</v>
      </c>
      <c r="O59" s="20"/>
    </row>
    <row r="60" spans="1:19">
      <c r="A60" s="140">
        <v>9154</v>
      </c>
      <c r="B60" s="140" t="s">
        <v>89</v>
      </c>
      <c r="C60" s="140" t="s">
        <v>88</v>
      </c>
      <c r="D60" s="143" t="s">
        <v>5</v>
      </c>
      <c r="E60" s="144">
        <v>43185.778981481482</v>
      </c>
      <c r="F60" s="89">
        <f t="shared" si="8"/>
        <v>43185.778981481482</v>
      </c>
      <c r="G60" s="90" t="str">
        <f t="shared" si="9"/>
        <v>18:41</v>
      </c>
      <c r="H60" s="91" t="str">
        <f t="shared" si="10"/>
        <v>-</v>
      </c>
      <c r="I60" s="92" t="str">
        <f t="shared" si="11"/>
        <v>-</v>
      </c>
      <c r="J60" s="92" t="str">
        <f t="shared" si="12"/>
        <v>-</v>
      </c>
      <c r="K60" s="93">
        <f t="shared" si="13"/>
        <v>0</v>
      </c>
      <c r="L60" s="93"/>
      <c r="M60" s="94">
        <f t="shared" si="14"/>
        <v>0</v>
      </c>
      <c r="N60" s="94">
        <f t="shared" si="15"/>
        <v>0</v>
      </c>
      <c r="O60" s="20"/>
    </row>
    <row r="61" spans="1:19">
      <c r="A61">
        <v>9168</v>
      </c>
      <c r="B61" t="s">
        <v>88</v>
      </c>
      <c r="C61" t="s">
        <v>88</v>
      </c>
      <c r="D61" s="143" t="s">
        <v>6</v>
      </c>
      <c r="E61" s="144">
        <v>43186.369687500002</v>
      </c>
      <c r="F61" s="89">
        <f t="shared" si="8"/>
        <v>43186.369687500002</v>
      </c>
      <c r="G61" s="90" t="str">
        <f t="shared" si="9"/>
        <v>8:52</v>
      </c>
      <c r="H61" s="91">
        <f t="shared" si="10"/>
        <v>9.966666666666665</v>
      </c>
      <c r="I61" s="92">
        <f t="shared" si="11"/>
        <v>8</v>
      </c>
      <c r="J61" s="92" t="str">
        <f t="shared" si="12"/>
        <v>-</v>
      </c>
      <c r="K61" s="93">
        <f t="shared" si="13"/>
        <v>0</v>
      </c>
      <c r="L61" s="93"/>
      <c r="M61" s="94">
        <f t="shared" si="14"/>
        <v>0</v>
      </c>
      <c r="N61" s="94">
        <f t="shared" si="15"/>
        <v>0</v>
      </c>
      <c r="O61" s="20"/>
    </row>
    <row r="62" spans="1:19">
      <c r="A62">
        <v>9182</v>
      </c>
      <c r="B62" t="s">
        <v>88</v>
      </c>
      <c r="C62" t="s">
        <v>88</v>
      </c>
      <c r="D62" s="143" t="s">
        <v>5</v>
      </c>
      <c r="E62" s="144">
        <v>43186.785162037035</v>
      </c>
      <c r="F62" s="89">
        <f t="shared" si="8"/>
        <v>43186.785162037035</v>
      </c>
      <c r="G62" s="90" t="str">
        <f t="shared" si="9"/>
        <v>18:50</v>
      </c>
      <c r="H62" s="91" t="str">
        <f t="shared" si="10"/>
        <v>-</v>
      </c>
      <c r="I62" s="92" t="str">
        <f t="shared" si="11"/>
        <v>-</v>
      </c>
      <c r="J62" s="92" t="str">
        <f t="shared" si="12"/>
        <v>-</v>
      </c>
      <c r="K62" s="93">
        <f t="shared" si="13"/>
        <v>0</v>
      </c>
      <c r="L62" s="93"/>
      <c r="M62" s="94">
        <f t="shared" si="14"/>
        <v>0</v>
      </c>
      <c r="N62" s="94">
        <f t="shared" si="15"/>
        <v>0</v>
      </c>
      <c r="O62" s="20"/>
    </row>
    <row r="63" spans="1:19">
      <c r="A63">
        <v>9196</v>
      </c>
      <c r="B63" t="s">
        <v>88</v>
      </c>
      <c r="C63" t="s">
        <v>88</v>
      </c>
      <c r="D63" s="143" t="s">
        <v>6</v>
      </c>
      <c r="E63" s="144">
        <v>43187.365277777775</v>
      </c>
      <c r="F63" s="89">
        <f t="shared" si="8"/>
        <v>43187.365277777775</v>
      </c>
      <c r="G63" s="90" t="str">
        <f t="shared" si="9"/>
        <v>8:46</v>
      </c>
      <c r="H63" s="91">
        <f t="shared" si="10"/>
        <v>9.6666666666666679</v>
      </c>
      <c r="I63" s="92">
        <f t="shared" si="11"/>
        <v>8</v>
      </c>
      <c r="J63" s="92" t="str">
        <f t="shared" si="12"/>
        <v>-</v>
      </c>
      <c r="K63" s="93">
        <f t="shared" si="13"/>
        <v>0</v>
      </c>
      <c r="L63" s="93"/>
      <c r="M63" s="94">
        <f t="shared" si="14"/>
        <v>0</v>
      </c>
      <c r="N63" s="94">
        <f t="shared" si="15"/>
        <v>0</v>
      </c>
      <c r="O63" s="20"/>
    </row>
    <row r="64" spans="1:19">
      <c r="A64">
        <v>9202</v>
      </c>
      <c r="B64" t="s">
        <v>89</v>
      </c>
      <c r="C64" t="s">
        <v>88</v>
      </c>
      <c r="D64" s="143" t="s">
        <v>5</v>
      </c>
      <c r="E64" s="144">
        <v>43187.768645833334</v>
      </c>
      <c r="F64" s="89">
        <f t="shared" si="8"/>
        <v>43187.768645833334</v>
      </c>
      <c r="G64" s="90" t="str">
        <f t="shared" si="9"/>
        <v>18:26</v>
      </c>
      <c r="H64" s="91" t="str">
        <f t="shared" si="10"/>
        <v>-</v>
      </c>
      <c r="I64" s="92" t="str">
        <f t="shared" si="11"/>
        <v>-</v>
      </c>
      <c r="J64" s="92" t="str">
        <f t="shared" si="12"/>
        <v>-</v>
      </c>
      <c r="K64" s="93">
        <f t="shared" si="13"/>
        <v>0</v>
      </c>
      <c r="L64" s="93"/>
      <c r="M64" s="94">
        <f t="shared" si="14"/>
        <v>0</v>
      </c>
      <c r="N64" s="94">
        <f t="shared" si="15"/>
        <v>0</v>
      </c>
      <c r="O64" s="20"/>
    </row>
    <row r="65" spans="1:15">
      <c r="A65">
        <v>9232</v>
      </c>
      <c r="B65" t="s">
        <v>88</v>
      </c>
      <c r="C65" t="s">
        <v>88</v>
      </c>
      <c r="D65" s="143" t="s">
        <v>6</v>
      </c>
      <c r="E65" s="144">
        <v>43188.369687500002</v>
      </c>
      <c r="F65" s="89">
        <f t="shared" si="8"/>
        <v>43188.369687500002</v>
      </c>
      <c r="G65" s="90" t="str">
        <f t="shared" si="9"/>
        <v>8:52</v>
      </c>
      <c r="H65" s="91">
        <f t="shared" si="10"/>
        <v>9.8833333333333329</v>
      </c>
      <c r="I65" s="92">
        <f t="shared" si="11"/>
        <v>8</v>
      </c>
      <c r="J65" s="92" t="str">
        <f t="shared" si="12"/>
        <v>-</v>
      </c>
      <c r="K65" s="93">
        <f t="shared" si="13"/>
        <v>0</v>
      </c>
      <c r="L65" s="93"/>
      <c r="M65" s="94">
        <f t="shared" si="14"/>
        <v>0</v>
      </c>
      <c r="N65" s="94">
        <f t="shared" si="15"/>
        <v>0</v>
      </c>
      <c r="O65" s="20"/>
    </row>
    <row r="66" spans="1:15">
      <c r="A66">
        <v>9249</v>
      </c>
      <c r="B66" t="s">
        <v>88</v>
      </c>
      <c r="C66" t="s">
        <v>88</v>
      </c>
      <c r="D66" s="143" t="s">
        <v>5</v>
      </c>
      <c r="E66" s="144">
        <v>43188.781307870369</v>
      </c>
      <c r="F66" s="89">
        <f t="shared" si="8"/>
        <v>43188.781307870369</v>
      </c>
      <c r="G66" s="90" t="str">
        <f t="shared" si="9"/>
        <v>18:45</v>
      </c>
      <c r="H66" s="91" t="str">
        <f t="shared" si="10"/>
        <v>-</v>
      </c>
      <c r="I66" s="92" t="str">
        <f t="shared" si="11"/>
        <v>-</v>
      </c>
      <c r="J66" s="92" t="str">
        <f t="shared" si="12"/>
        <v>-</v>
      </c>
      <c r="K66" s="93">
        <f t="shared" si="13"/>
        <v>0</v>
      </c>
      <c r="L66" s="93"/>
      <c r="M66" s="94">
        <f t="shared" si="14"/>
        <v>0</v>
      </c>
      <c r="N66" s="94">
        <f t="shared" si="15"/>
        <v>0</v>
      </c>
      <c r="O66" s="20"/>
    </row>
    <row r="67" spans="1:15">
      <c r="A67">
        <v>9264</v>
      </c>
      <c r="B67" t="s">
        <v>88</v>
      </c>
      <c r="C67" t="s">
        <v>88</v>
      </c>
      <c r="D67" s="143" t="s">
        <v>6</v>
      </c>
      <c r="E67" s="144">
        <v>43189.369467592594</v>
      </c>
      <c r="F67" s="89">
        <f t="shared" si="8"/>
        <v>43189.369467592594</v>
      </c>
      <c r="G67" s="90" t="str">
        <f t="shared" si="9"/>
        <v>8:52</v>
      </c>
      <c r="H67" s="91">
        <f t="shared" si="10"/>
        <v>9.7333333333333343</v>
      </c>
      <c r="I67" s="92">
        <f t="shared" si="11"/>
        <v>8</v>
      </c>
      <c r="J67" s="92" t="str">
        <f t="shared" si="12"/>
        <v>-</v>
      </c>
      <c r="K67" s="93">
        <f t="shared" si="13"/>
        <v>0</v>
      </c>
      <c r="L67" s="93"/>
      <c r="M67" s="94">
        <f t="shared" si="14"/>
        <v>0</v>
      </c>
      <c r="N67" s="94">
        <f t="shared" si="15"/>
        <v>0</v>
      </c>
      <c r="O67" s="20"/>
    </row>
    <row r="68" spans="1:15">
      <c r="A68">
        <v>9275</v>
      </c>
      <c r="B68" t="s">
        <v>88</v>
      </c>
      <c r="C68" t="s">
        <v>88</v>
      </c>
      <c r="D68" s="143" t="s">
        <v>5</v>
      </c>
      <c r="E68" s="144">
        <v>43189.775196759256</v>
      </c>
      <c r="F68" s="89">
        <f t="shared" si="8"/>
        <v>43189.775196759256</v>
      </c>
      <c r="G68" s="90" t="str">
        <f t="shared" si="9"/>
        <v>18:36</v>
      </c>
      <c r="H68" s="91" t="str">
        <f t="shared" si="10"/>
        <v>-</v>
      </c>
      <c r="I68" s="92" t="str">
        <f t="shared" si="11"/>
        <v>-</v>
      </c>
      <c r="J68" s="92" t="str">
        <f t="shared" si="12"/>
        <v>-</v>
      </c>
      <c r="K68" s="93">
        <f t="shared" si="13"/>
        <v>0</v>
      </c>
      <c r="L68" s="93"/>
      <c r="M68" s="94">
        <f t="shared" si="14"/>
        <v>0</v>
      </c>
      <c r="N68" s="94">
        <f t="shared" si="15"/>
        <v>0</v>
      </c>
      <c r="O68" s="20"/>
    </row>
    <row r="69" spans="1:15">
      <c r="A69">
        <v>9289</v>
      </c>
      <c r="B69" t="s">
        <v>88</v>
      </c>
      <c r="C69" t="s">
        <v>88</v>
      </c>
      <c r="D69" s="143" t="s">
        <v>6</v>
      </c>
      <c r="E69" s="144">
        <v>43190.368402777778</v>
      </c>
      <c r="F69" s="89">
        <f t="shared" si="8"/>
        <v>43190.368402777778</v>
      </c>
      <c r="G69" s="90" t="str">
        <f t="shared" si="9"/>
        <v>8:50</v>
      </c>
      <c r="H69" s="91">
        <f t="shared" si="10"/>
        <v>9.7499999999999964</v>
      </c>
      <c r="I69" s="92">
        <f t="shared" si="11"/>
        <v>8</v>
      </c>
      <c r="J69" s="92" t="str">
        <f t="shared" si="12"/>
        <v>-</v>
      </c>
      <c r="K69" s="93">
        <f t="shared" si="13"/>
        <v>0</v>
      </c>
      <c r="L69" s="93"/>
      <c r="M69" s="94">
        <f t="shared" si="14"/>
        <v>0</v>
      </c>
      <c r="N69" s="94">
        <f t="shared" si="15"/>
        <v>0</v>
      </c>
      <c r="O69" s="20"/>
    </row>
    <row r="70" spans="1:15">
      <c r="A70">
        <v>9301</v>
      </c>
      <c r="B70" t="s">
        <v>88</v>
      </c>
      <c r="C70" t="s">
        <v>88</v>
      </c>
      <c r="D70" s="143" t="s">
        <v>5</v>
      </c>
      <c r="E70" s="144">
        <v>43190.774594907409</v>
      </c>
      <c r="F70" s="89">
        <f t="shared" si="8"/>
        <v>43190.774594907409</v>
      </c>
      <c r="G70" s="90" t="str">
        <f t="shared" si="9"/>
        <v>18:35</v>
      </c>
      <c r="H70" s="91" t="str">
        <f t="shared" si="10"/>
        <v>-</v>
      </c>
      <c r="I70" s="92" t="str">
        <f t="shared" si="11"/>
        <v>-</v>
      </c>
      <c r="J70" s="92" t="str">
        <f t="shared" si="12"/>
        <v>-</v>
      </c>
      <c r="K70" s="93">
        <f t="shared" si="13"/>
        <v>0</v>
      </c>
      <c r="L70" s="93"/>
      <c r="M70" s="94">
        <f t="shared" si="14"/>
        <v>0</v>
      </c>
      <c r="N70" s="94">
        <f t="shared" si="15"/>
        <v>0</v>
      </c>
      <c r="O70" s="20"/>
    </row>
    <row r="71" spans="1:15">
      <c r="D71"/>
      <c r="O71" s="22"/>
    </row>
    <row r="73" spans="1:15">
      <c r="D73" s="9" t="s">
        <v>37</v>
      </c>
    </row>
    <row r="74" spans="1:15">
      <c r="D74" s="9" t="s">
        <v>36</v>
      </c>
    </row>
    <row r="75" spans="1:15">
      <c r="D75" s="172" t="s">
        <v>64</v>
      </c>
    </row>
    <row r="76" spans="1:15">
      <c r="D76" t="s">
        <v>67</v>
      </c>
    </row>
    <row r="77" spans="1:15">
      <c r="D77" t="s">
        <v>65</v>
      </c>
    </row>
    <row r="78" spans="1:15">
      <c r="D78" t="s">
        <v>69</v>
      </c>
    </row>
    <row r="79" spans="1:15">
      <c r="D79" t="s">
        <v>70</v>
      </c>
    </row>
    <row r="80" spans="1:15">
      <c r="D80" t="s">
        <v>66</v>
      </c>
    </row>
    <row r="81" spans="4:4">
      <c r="D81" t="s">
        <v>68</v>
      </c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1"/>
  <dimension ref="A1:Z113"/>
  <sheetViews>
    <sheetView topLeftCell="D1" workbookViewId="0"/>
  </sheetViews>
  <sheetFormatPr defaultColWidth="9" defaultRowHeight="16.5" outlineLevelCol="1"/>
  <cols>
    <col min="1" max="1" width="5.875" style="261" hidden="1" customWidth="1" outlineLevel="1"/>
    <col min="2" max="2" width="6.875" style="261" hidden="1" customWidth="1" outlineLevel="1"/>
    <col min="3" max="3" width="6.5" style="262" hidden="1" customWidth="1" outlineLevel="1"/>
    <col min="4" max="4" width="10.125" style="262" customWidth="1" collapsed="1"/>
    <col min="5" max="5" width="15.125" style="262" customWidth="1"/>
    <col min="6" max="6" width="6.125" style="303" customWidth="1"/>
    <col min="7" max="7" width="8.625" style="309" hidden="1" customWidth="1" outlineLevel="1"/>
    <col min="8" max="8" width="10.625" style="310" hidden="1" customWidth="1" outlineLevel="1"/>
    <col min="9" max="9" width="10.5" style="311" customWidth="1" collapsed="1"/>
    <col min="10" max="10" width="9" style="311" customWidth="1"/>
    <col min="11" max="11" width="8.375" style="307" hidden="1" customWidth="1" outlineLevel="1"/>
    <col min="12" max="12" width="8.375" style="307" customWidth="1" collapsed="1"/>
    <col min="13" max="13" width="10.5" style="307" customWidth="1"/>
    <col min="14" max="14" width="10.125" style="307" customWidth="1"/>
    <col min="15" max="15" width="16.625" style="308" customWidth="1"/>
    <col min="16" max="16" width="9" style="9"/>
    <col min="17" max="17" width="9.875" style="9" customWidth="1"/>
    <col min="18" max="18" width="2.5" style="9" bestFit="1" customWidth="1"/>
    <col min="19" max="19" width="9" style="9"/>
    <col min="20" max="20" width="3" customWidth="1"/>
    <col min="21" max="21" width="7.5" customWidth="1"/>
    <col min="22" max="23" width="8.875" customWidth="1"/>
    <col min="24" max="25" width="9" style="396"/>
    <col min="26" max="16384" width="9" style="261"/>
  </cols>
  <sheetData>
    <row r="1" spans="1:25" s="251" customFormat="1" ht="28.5" thickBot="1">
      <c r="C1" s="252"/>
      <c r="D1" s="253"/>
      <c r="E1" s="253"/>
      <c r="F1" s="254"/>
      <c r="G1" s="255"/>
      <c r="H1" s="256"/>
      <c r="I1" s="257" t="str">
        <f>B7</f>
        <v>leo</v>
      </c>
      <c r="J1" s="258" t="s">
        <v>30</v>
      </c>
      <c r="K1" s="259"/>
      <c r="L1" s="259"/>
      <c r="M1" s="259"/>
      <c r="N1" s="259"/>
      <c r="O1" s="260"/>
      <c r="P1" s="19"/>
      <c r="Q1" s="19"/>
      <c r="R1" s="19"/>
      <c r="S1" s="19"/>
      <c r="T1" s="4"/>
      <c r="U1" s="4"/>
      <c r="V1" s="4"/>
      <c r="W1" s="4"/>
      <c r="X1" s="4"/>
      <c r="Y1" s="4"/>
    </row>
    <row r="2" spans="1:25">
      <c r="D2" s="263" t="s">
        <v>75</v>
      </c>
      <c r="E2" s="264">
        <v>0</v>
      </c>
      <c r="F2" s="265" t="s">
        <v>76</v>
      </c>
      <c r="G2" s="266"/>
      <c r="H2" s="266"/>
      <c r="I2" s="267"/>
      <c r="J2" s="267" t="s">
        <v>35</v>
      </c>
      <c r="K2" s="268"/>
      <c r="L2" s="269" t="s">
        <v>21</v>
      </c>
      <c r="M2" s="270" t="s">
        <v>18</v>
      </c>
      <c r="N2" s="270" t="s">
        <v>19</v>
      </c>
      <c r="O2" s="271" t="s">
        <v>28</v>
      </c>
    </row>
    <row r="3" spans="1:25" ht="17.25" thickBot="1">
      <c r="D3" s="272" t="s">
        <v>77</v>
      </c>
      <c r="E3" s="273">
        <v>800</v>
      </c>
      <c r="F3" s="274"/>
      <c r="G3" s="275"/>
      <c r="H3" s="275"/>
      <c r="I3" s="276"/>
      <c r="J3" s="277">
        <f>D5+E5</f>
        <v>1.9999999999999982</v>
      </c>
      <c r="K3" s="278">
        <f>SUM(K16:K41)</f>
        <v>19.100000000000001</v>
      </c>
      <c r="L3" s="278">
        <f>J3</f>
        <v>1.9999999999999982</v>
      </c>
      <c r="M3" s="278">
        <f>M6-L3</f>
        <v>34.566666666666663</v>
      </c>
      <c r="N3" s="278">
        <f t="shared" ref="N3" si="0">N6</f>
        <v>22.816666666666666</v>
      </c>
      <c r="O3" s="279"/>
    </row>
    <row r="4" spans="1:25">
      <c r="D4" s="280" t="s">
        <v>44</v>
      </c>
      <c r="E4" s="281" t="s">
        <v>45</v>
      </c>
      <c r="F4" s="281" t="s">
        <v>47</v>
      </c>
      <c r="G4" s="282"/>
      <c r="H4" s="282"/>
      <c r="I4" s="283" t="s">
        <v>34</v>
      </c>
      <c r="J4" s="283" t="s">
        <v>26</v>
      </c>
      <c r="K4" s="283"/>
      <c r="L4" s="283" t="s">
        <v>13</v>
      </c>
      <c r="M4" s="283" t="s">
        <v>13</v>
      </c>
      <c r="N4" s="283" t="s">
        <v>13</v>
      </c>
      <c r="O4" s="284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184</v>
      </c>
    </row>
    <row r="5" spans="1:25">
      <c r="D5" s="462">
        <f>J6</f>
        <v>1.9999999999999982</v>
      </c>
      <c r="E5" s="286">
        <v>0</v>
      </c>
      <c r="F5" s="287">
        <v>0</v>
      </c>
      <c r="G5" s="288"/>
      <c r="H5" s="288"/>
      <c r="I5" s="289" t="s">
        <v>48</v>
      </c>
      <c r="J5" s="289" t="s">
        <v>48</v>
      </c>
      <c r="K5" s="289" t="s">
        <v>17</v>
      </c>
      <c r="L5" s="289" t="s">
        <v>21</v>
      </c>
      <c r="M5" s="289" t="s">
        <v>18</v>
      </c>
      <c r="N5" s="289" t="s">
        <v>19</v>
      </c>
      <c r="O5" s="290"/>
      <c r="Q5" s="9" t="s">
        <v>41</v>
      </c>
      <c r="S5" s="57">
        <f>(L6+M6+N6)/160</f>
        <v>0.37114583333333329</v>
      </c>
    </row>
    <row r="6" spans="1:25" ht="17.25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23</v>
      </c>
      <c r="I6" s="295">
        <f>SUM(I7:I147)</f>
        <v>182</v>
      </c>
      <c r="J6" s="295">
        <f>SUM(J7:J147)</f>
        <v>1.9999999999999982</v>
      </c>
      <c r="K6" s="295">
        <f>SUM(K7:K76)</f>
        <v>49</v>
      </c>
      <c r="L6" s="295">
        <f>SUM(L7:L147)</f>
        <v>0</v>
      </c>
      <c r="M6" s="295">
        <f>SUM(M7:M147)</f>
        <v>36.566666666666663</v>
      </c>
      <c r="N6" s="295">
        <f>SUM(N7:N147)</f>
        <v>22.816666666666666</v>
      </c>
      <c r="O6" s="296"/>
      <c r="Q6" s="386"/>
      <c r="R6" s="8"/>
      <c r="S6" s="8"/>
      <c r="U6" s="49"/>
      <c r="V6" s="386"/>
      <c r="W6" s="8"/>
    </row>
    <row r="7" spans="1:25" s="303" customFormat="1">
      <c r="A7" s="140">
        <v>8498</v>
      </c>
      <c r="B7" s="140" t="s">
        <v>99</v>
      </c>
      <c r="C7" s="140" t="s">
        <v>99</v>
      </c>
      <c r="D7" s="141" t="s">
        <v>6</v>
      </c>
      <c r="E7" s="142">
        <v>43160.379236111112</v>
      </c>
      <c r="F7" s="297">
        <f>E7</f>
        <v>43160.379236111112</v>
      </c>
      <c r="G7" s="298" t="str">
        <f>HOUR(E7)&amp;":"&amp;MINUTE(E7)</f>
        <v>9:6</v>
      </c>
      <c r="H7" s="299">
        <f>IF(D7="上班",(G8-G7)*24,"-")</f>
        <v>9.9333333333333353</v>
      </c>
      <c r="I7" s="300">
        <f t="shared" ref="I7" si="1">IF(D7="上班",IF(H7-1.5&gt;8,8,H7-1.5),"-")</f>
        <v>8</v>
      </c>
      <c r="J7" s="300" t="str">
        <f t="shared" ref="J7" si="2">IF(I7&lt;8,8-I7,"-")</f>
        <v>-</v>
      </c>
      <c r="K7" s="301">
        <f t="shared" ref="K7" si="3">IF(D7="加班",(G8-G7)*24,0)</f>
        <v>0</v>
      </c>
      <c r="L7" s="301"/>
      <c r="M7" s="302">
        <f t="shared" ref="M7" si="4">IF(K7&gt;2,2,K7)</f>
        <v>0</v>
      </c>
      <c r="N7" s="302">
        <f t="shared" ref="N7" si="5">IF(K7&gt;2,K7-2,0)</f>
        <v>0</v>
      </c>
      <c r="O7" s="393"/>
      <c r="P7" s="137"/>
      <c r="Q7" s="387"/>
      <c r="R7" s="137"/>
      <c r="S7" s="16"/>
      <c r="T7" s="16"/>
      <c r="U7" s="16"/>
      <c r="V7" s="387"/>
      <c r="W7" s="16"/>
      <c r="X7" s="16"/>
      <c r="Y7" s="16"/>
    </row>
    <row r="8" spans="1:25" s="303" customFormat="1">
      <c r="A8" s="140">
        <v>8513</v>
      </c>
      <c r="B8" s="140" t="s">
        <v>99</v>
      </c>
      <c r="C8" s="140" t="s">
        <v>99</v>
      </c>
      <c r="D8" s="143" t="s">
        <v>5</v>
      </c>
      <c r="E8" s="144">
        <v>43160.793622685182</v>
      </c>
      <c r="F8" s="297">
        <f t="shared" ref="F8:F68" si="6">E8</f>
        <v>43160.793622685182</v>
      </c>
      <c r="G8" s="298" t="str">
        <f t="shared" ref="G8:G68" si="7">HOUR(E8)&amp;":"&amp;MINUTE(E8)</f>
        <v>19:2</v>
      </c>
      <c r="H8" s="299" t="str">
        <f t="shared" ref="H8:H68" si="8">IF(D8="上班",(G9-G8)*24,"-")</f>
        <v>-</v>
      </c>
      <c r="I8" s="300" t="str">
        <f t="shared" ref="I8:I68" si="9">IF(D8="上班",IF(H8-1.5&gt;8,8,H8-1.5),"-")</f>
        <v>-</v>
      </c>
      <c r="J8" s="300" t="str">
        <f t="shared" ref="J8:J68" si="10">IF(I8&lt;8,8-I8,"-")</f>
        <v>-</v>
      </c>
      <c r="K8" s="301">
        <f t="shared" ref="K8:K68" si="11">IF(D8="加班",(G9-G8)*24,0)</f>
        <v>0</v>
      </c>
      <c r="L8" s="301"/>
      <c r="M8" s="302">
        <f t="shared" ref="M8:M66" si="12">IF(K8&gt;2,2,K8)</f>
        <v>0</v>
      </c>
      <c r="N8" s="302">
        <f t="shared" ref="N8:N68" si="13">IF(K8&gt;2,K8-2,0)</f>
        <v>0</v>
      </c>
      <c r="O8" s="393"/>
      <c r="P8" s="137"/>
      <c r="Q8" s="387"/>
      <c r="R8" s="137"/>
      <c r="S8" s="16"/>
      <c r="T8" s="16"/>
      <c r="U8" s="16"/>
      <c r="V8" s="387"/>
      <c r="W8" s="16"/>
      <c r="X8" s="16"/>
      <c r="Y8" s="16"/>
    </row>
    <row r="9" spans="1:25" s="303" customFormat="1">
      <c r="A9" s="140">
        <v>8520</v>
      </c>
      <c r="B9" s="140" t="s">
        <v>99</v>
      </c>
      <c r="C9" s="140" t="s">
        <v>99</v>
      </c>
      <c r="D9" s="143" t="s">
        <v>6</v>
      </c>
      <c r="E9" s="144">
        <v>43161.358206018522</v>
      </c>
      <c r="F9" s="297">
        <f t="shared" si="6"/>
        <v>43161.358206018522</v>
      </c>
      <c r="G9" s="298" t="str">
        <f t="shared" si="7"/>
        <v>8:35</v>
      </c>
      <c r="H9" s="299">
        <f t="shared" si="8"/>
        <v>9.8666666666666654</v>
      </c>
      <c r="I9" s="300">
        <f t="shared" si="9"/>
        <v>8</v>
      </c>
      <c r="J9" s="300" t="str">
        <f t="shared" si="10"/>
        <v>-</v>
      </c>
      <c r="K9" s="301">
        <f t="shared" si="11"/>
        <v>0</v>
      </c>
      <c r="L9" s="301"/>
      <c r="M9" s="302">
        <f t="shared" si="12"/>
        <v>0</v>
      </c>
      <c r="N9" s="302">
        <f t="shared" si="13"/>
        <v>0</v>
      </c>
      <c r="O9" s="393"/>
      <c r="P9" s="137"/>
      <c r="Q9" s="387"/>
      <c r="R9" s="137"/>
      <c r="S9" s="16"/>
      <c r="T9" s="16"/>
      <c r="U9" s="16"/>
      <c r="V9" s="387"/>
      <c r="W9" s="16"/>
      <c r="X9" s="16"/>
      <c r="Y9" s="16"/>
    </row>
    <row r="10" spans="1:25" s="303" customFormat="1">
      <c r="A10" s="145">
        <v>8537</v>
      </c>
      <c r="B10" s="145" t="s">
        <v>99</v>
      </c>
      <c r="C10" s="145" t="s">
        <v>99</v>
      </c>
      <c r="D10" s="424" t="s">
        <v>106</v>
      </c>
      <c r="E10" s="146">
        <v>43161.769212962965</v>
      </c>
      <c r="F10" s="297">
        <f t="shared" si="6"/>
        <v>43161.769212962965</v>
      </c>
      <c r="G10" s="298" t="str">
        <f t="shared" si="7"/>
        <v>18:27</v>
      </c>
      <c r="H10" s="299" t="str">
        <f t="shared" si="8"/>
        <v>-</v>
      </c>
      <c r="I10" s="300" t="str">
        <f t="shared" si="9"/>
        <v>-</v>
      </c>
      <c r="J10" s="300" t="str">
        <f t="shared" si="10"/>
        <v>-</v>
      </c>
      <c r="K10" s="301">
        <f t="shared" si="11"/>
        <v>0</v>
      </c>
      <c r="L10" s="301"/>
      <c r="M10" s="302">
        <f t="shared" si="12"/>
        <v>0</v>
      </c>
      <c r="N10" s="302">
        <f t="shared" si="13"/>
        <v>0</v>
      </c>
      <c r="O10" s="393"/>
      <c r="P10" s="137"/>
      <c r="Q10" s="387"/>
      <c r="R10" s="137"/>
      <c r="S10" s="16"/>
      <c r="T10" s="16"/>
      <c r="U10" s="16"/>
      <c r="V10" s="387"/>
      <c r="W10" s="16"/>
      <c r="X10" s="16"/>
      <c r="Y10" s="16"/>
    </row>
    <row r="11" spans="1:25" s="16" customFormat="1">
      <c r="A11" s="145">
        <v>8551</v>
      </c>
      <c r="B11" s="145" t="s">
        <v>99</v>
      </c>
      <c r="C11" s="145" t="s">
        <v>99</v>
      </c>
      <c r="D11" s="424" t="s">
        <v>7</v>
      </c>
      <c r="E11" s="146">
        <v>43161.771157407406</v>
      </c>
      <c r="F11" s="297">
        <f t="shared" si="6"/>
        <v>43161.771157407406</v>
      </c>
      <c r="G11" s="298" t="str">
        <f t="shared" si="7"/>
        <v>18:30</v>
      </c>
      <c r="H11" s="299" t="str">
        <f t="shared" si="8"/>
        <v>-</v>
      </c>
      <c r="I11" s="300" t="str">
        <f t="shared" si="9"/>
        <v>-</v>
      </c>
      <c r="J11" s="300" t="str">
        <f t="shared" si="10"/>
        <v>-</v>
      </c>
      <c r="K11" s="301">
        <f t="shared" si="11"/>
        <v>2.8666666666666671</v>
      </c>
      <c r="L11" s="301"/>
      <c r="M11" s="302">
        <f t="shared" si="12"/>
        <v>2</v>
      </c>
      <c r="N11" s="302">
        <f t="shared" si="13"/>
        <v>0.86666666666666714</v>
      </c>
      <c r="O11" s="393"/>
      <c r="P11" s="137"/>
      <c r="Q11" s="387"/>
      <c r="R11" s="137"/>
      <c r="S11" s="63"/>
      <c r="V11" s="387"/>
      <c r="X11" s="63"/>
    </row>
    <row r="12" spans="1:25" s="16" customFormat="1">
      <c r="A12" s="145">
        <v>8547</v>
      </c>
      <c r="B12" s="145" t="s">
        <v>99</v>
      </c>
      <c r="C12" s="145" t="s">
        <v>99</v>
      </c>
      <c r="D12" s="424" t="s">
        <v>107</v>
      </c>
      <c r="E12" s="146">
        <v>43161.890439814815</v>
      </c>
      <c r="F12" s="297">
        <f t="shared" si="6"/>
        <v>43161.890439814815</v>
      </c>
      <c r="G12" s="298" t="str">
        <f t="shared" si="7"/>
        <v>21:22</v>
      </c>
      <c r="H12" s="299" t="str">
        <f t="shared" si="8"/>
        <v>-</v>
      </c>
      <c r="I12" s="300" t="str">
        <f t="shared" si="9"/>
        <v>-</v>
      </c>
      <c r="J12" s="300" t="str">
        <f t="shared" si="10"/>
        <v>-</v>
      </c>
      <c r="K12" s="301">
        <f t="shared" si="11"/>
        <v>0</v>
      </c>
      <c r="L12" s="301"/>
      <c r="M12" s="302">
        <f t="shared" si="12"/>
        <v>0</v>
      </c>
      <c r="N12" s="302">
        <f t="shared" si="13"/>
        <v>0</v>
      </c>
      <c r="O12" s="393"/>
      <c r="P12" s="137"/>
      <c r="Q12" s="387"/>
      <c r="R12" s="137"/>
      <c r="S12" s="63"/>
      <c r="V12" s="387"/>
      <c r="X12" s="63"/>
    </row>
    <row r="13" spans="1:25" s="63" customFormat="1">
      <c r="A13" s="145">
        <v>8548</v>
      </c>
      <c r="B13" s="145" t="s">
        <v>99</v>
      </c>
      <c r="C13" s="145" t="s">
        <v>99</v>
      </c>
      <c r="D13" s="424" t="s">
        <v>13</v>
      </c>
      <c r="E13" s="146">
        <v>43162.420185185183</v>
      </c>
      <c r="F13" s="297">
        <f t="shared" si="6"/>
        <v>43162.420185185183</v>
      </c>
      <c r="G13" s="298" t="str">
        <f t="shared" si="7"/>
        <v>10:5</v>
      </c>
      <c r="H13" s="299" t="str">
        <f t="shared" si="8"/>
        <v>-</v>
      </c>
      <c r="I13" s="300" t="str">
        <f t="shared" si="9"/>
        <v>-</v>
      </c>
      <c r="J13" s="300" t="str">
        <f t="shared" si="10"/>
        <v>-</v>
      </c>
      <c r="K13" s="301">
        <f t="shared" si="11"/>
        <v>3.2500000000000004</v>
      </c>
      <c r="L13" s="301"/>
      <c r="M13" s="302">
        <f t="shared" si="12"/>
        <v>2</v>
      </c>
      <c r="N13" s="302">
        <f t="shared" si="13"/>
        <v>1.2500000000000004</v>
      </c>
      <c r="O13" s="393"/>
      <c r="P13" s="18"/>
      <c r="Q13" s="387"/>
      <c r="R13" s="137"/>
      <c r="S13" s="16"/>
      <c r="T13" s="16"/>
      <c r="U13" s="16"/>
      <c r="V13" s="387"/>
      <c r="W13" s="16"/>
      <c r="X13" s="16"/>
      <c r="Y13" s="16"/>
    </row>
    <row r="14" spans="1:25" s="63" customFormat="1">
      <c r="A14" s="140">
        <v>8550</v>
      </c>
      <c r="B14" s="140" t="s">
        <v>99</v>
      </c>
      <c r="C14" s="140" t="s">
        <v>99</v>
      </c>
      <c r="D14" s="143" t="s">
        <v>8</v>
      </c>
      <c r="E14" s="144">
        <v>43162.555868055555</v>
      </c>
      <c r="F14" s="297">
        <f t="shared" si="6"/>
        <v>43162.555868055555</v>
      </c>
      <c r="G14" s="298" t="str">
        <f t="shared" si="7"/>
        <v>13:20</v>
      </c>
      <c r="H14" s="299" t="str">
        <f t="shared" si="8"/>
        <v>-</v>
      </c>
      <c r="I14" s="300" t="str">
        <f t="shared" si="9"/>
        <v>-</v>
      </c>
      <c r="J14" s="300" t="str">
        <f t="shared" si="10"/>
        <v>-</v>
      </c>
      <c r="K14" s="301">
        <f t="shared" si="11"/>
        <v>0</v>
      </c>
      <c r="L14" s="301"/>
      <c r="M14" s="302">
        <f t="shared" si="12"/>
        <v>0</v>
      </c>
      <c r="N14" s="302">
        <f t="shared" si="13"/>
        <v>0</v>
      </c>
      <c r="O14" s="393"/>
      <c r="P14" s="18"/>
      <c r="Q14" s="387"/>
      <c r="R14" s="137"/>
      <c r="S14" s="16"/>
      <c r="T14" s="16"/>
      <c r="U14" s="16"/>
      <c r="V14" s="387"/>
      <c r="W14" s="16"/>
      <c r="X14" s="16"/>
      <c r="Y14" s="16"/>
    </row>
    <row r="15" spans="1:25" s="303" customFormat="1">
      <c r="A15" s="140">
        <v>8551</v>
      </c>
      <c r="B15" s="140" t="s">
        <v>99</v>
      </c>
      <c r="C15" s="140" t="s">
        <v>99</v>
      </c>
      <c r="D15" s="143" t="s">
        <v>7</v>
      </c>
      <c r="E15" s="144">
        <v>43162.577407407407</v>
      </c>
      <c r="F15" s="297">
        <f t="shared" si="6"/>
        <v>43162.577407407407</v>
      </c>
      <c r="G15" s="298" t="str">
        <f t="shared" si="7"/>
        <v>13:51</v>
      </c>
      <c r="H15" s="299" t="str">
        <f t="shared" si="8"/>
        <v>-</v>
      </c>
      <c r="I15" s="300" t="str">
        <f t="shared" si="9"/>
        <v>-</v>
      </c>
      <c r="J15" s="300" t="str">
        <f t="shared" si="10"/>
        <v>-</v>
      </c>
      <c r="K15" s="301">
        <f t="shared" si="11"/>
        <v>3.4000000000000012</v>
      </c>
      <c r="L15" s="301"/>
      <c r="M15" s="302"/>
      <c r="N15" s="302">
        <f>K15</f>
        <v>3.4000000000000012</v>
      </c>
      <c r="O15" s="393"/>
      <c r="P15" s="137"/>
      <c r="Q15" s="387"/>
      <c r="R15" s="137"/>
      <c r="S15" s="16"/>
      <c r="T15" s="16"/>
      <c r="U15" s="16"/>
      <c r="V15" s="387"/>
      <c r="W15" s="16"/>
      <c r="X15" s="16"/>
      <c r="Y15" s="16"/>
    </row>
    <row r="16" spans="1:25" s="305" customFormat="1">
      <c r="A16" s="140">
        <v>8554</v>
      </c>
      <c r="B16" s="140" t="s">
        <v>99</v>
      </c>
      <c r="C16" s="140" t="s">
        <v>99</v>
      </c>
      <c r="D16" s="143" t="s">
        <v>8</v>
      </c>
      <c r="E16" s="144">
        <v>43162.718888888892</v>
      </c>
      <c r="F16" s="297">
        <f t="shared" si="6"/>
        <v>43162.718888888892</v>
      </c>
      <c r="G16" s="298" t="str">
        <f t="shared" si="7"/>
        <v>17:15</v>
      </c>
      <c r="H16" s="299" t="str">
        <f t="shared" si="8"/>
        <v>-</v>
      </c>
      <c r="I16" s="300" t="str">
        <f t="shared" si="9"/>
        <v>-</v>
      </c>
      <c r="J16" s="300" t="str">
        <f t="shared" si="10"/>
        <v>-</v>
      </c>
      <c r="K16" s="301">
        <f t="shared" si="11"/>
        <v>0</v>
      </c>
      <c r="L16" s="301"/>
      <c r="M16" s="302">
        <f t="shared" si="12"/>
        <v>0</v>
      </c>
      <c r="N16" s="302">
        <f t="shared" si="13"/>
        <v>0</v>
      </c>
      <c r="O16" s="393"/>
      <c r="P16" s="18"/>
      <c r="Q16" s="387"/>
      <c r="R16" s="18"/>
      <c r="S16" s="63"/>
      <c r="T16" s="63"/>
      <c r="U16" s="63"/>
      <c r="V16" s="387"/>
      <c r="W16" s="63"/>
      <c r="X16" s="63"/>
      <c r="Y16" s="63"/>
    </row>
    <row r="17" spans="1:25">
      <c r="A17" s="140">
        <v>8556</v>
      </c>
      <c r="B17" s="140" t="s">
        <v>99</v>
      </c>
      <c r="C17" s="140" t="s">
        <v>99</v>
      </c>
      <c r="D17" s="143" t="s">
        <v>6</v>
      </c>
      <c r="E17" s="144">
        <v>43164.357928240737</v>
      </c>
      <c r="F17" s="297">
        <f t="shared" si="6"/>
        <v>43164.357928240737</v>
      </c>
      <c r="G17" s="298" t="str">
        <f t="shared" si="7"/>
        <v>8:35</v>
      </c>
      <c r="H17" s="299">
        <f t="shared" si="8"/>
        <v>9.6833333333333318</v>
      </c>
      <c r="I17" s="300">
        <f t="shared" si="9"/>
        <v>8</v>
      </c>
      <c r="J17" s="300" t="str">
        <f t="shared" si="10"/>
        <v>-</v>
      </c>
      <c r="K17" s="301">
        <f t="shared" si="11"/>
        <v>0</v>
      </c>
      <c r="L17" s="301"/>
      <c r="M17" s="302">
        <f t="shared" si="12"/>
        <v>0</v>
      </c>
      <c r="N17" s="302">
        <f t="shared" si="13"/>
        <v>0</v>
      </c>
      <c r="O17" s="393"/>
      <c r="Q17" s="387"/>
      <c r="V17" s="387"/>
    </row>
    <row r="18" spans="1:25" s="63" customFormat="1">
      <c r="A18" s="140">
        <v>8572</v>
      </c>
      <c r="B18" s="140" t="s">
        <v>99</v>
      </c>
      <c r="C18" s="140" t="s">
        <v>99</v>
      </c>
      <c r="D18" s="143" t="s">
        <v>5</v>
      </c>
      <c r="E18" s="144">
        <v>43164.76153935185</v>
      </c>
      <c r="F18" s="297">
        <f t="shared" si="6"/>
        <v>43164.76153935185</v>
      </c>
      <c r="G18" s="298" t="str">
        <f t="shared" si="7"/>
        <v>18:16</v>
      </c>
      <c r="H18" s="299" t="str">
        <f t="shared" si="8"/>
        <v>-</v>
      </c>
      <c r="I18" s="300" t="str">
        <f t="shared" si="9"/>
        <v>-</v>
      </c>
      <c r="J18" s="300" t="str">
        <f t="shared" si="10"/>
        <v>-</v>
      </c>
      <c r="K18" s="301">
        <f t="shared" si="11"/>
        <v>0</v>
      </c>
      <c r="L18" s="301"/>
      <c r="M18" s="302">
        <f t="shared" si="12"/>
        <v>0</v>
      </c>
      <c r="N18" s="302">
        <f t="shared" si="13"/>
        <v>0</v>
      </c>
      <c r="O18" s="393"/>
      <c r="P18" s="18"/>
      <c r="Q18" s="387"/>
      <c r="R18" s="9"/>
      <c r="S18" s="9"/>
      <c r="T18"/>
      <c r="U18"/>
      <c r="V18" s="387"/>
      <c r="W18"/>
      <c r="X18" s="396"/>
    </row>
    <row r="19" spans="1:25">
      <c r="A19" s="140">
        <v>8573</v>
      </c>
      <c r="B19" s="140" t="s">
        <v>99</v>
      </c>
      <c r="C19" s="140" t="s">
        <v>99</v>
      </c>
      <c r="D19" s="143" t="s">
        <v>7</v>
      </c>
      <c r="E19" s="144">
        <v>43164.761574074073</v>
      </c>
      <c r="F19" s="297">
        <f t="shared" si="6"/>
        <v>43164.761574074073</v>
      </c>
      <c r="G19" s="298" t="str">
        <f t="shared" si="7"/>
        <v>18:16</v>
      </c>
      <c r="H19" s="299" t="str">
        <f t="shared" si="8"/>
        <v>-</v>
      </c>
      <c r="I19" s="300" t="str">
        <f t="shared" si="9"/>
        <v>-</v>
      </c>
      <c r="J19" s="300" t="str">
        <f t="shared" si="10"/>
        <v>-</v>
      </c>
      <c r="K19" s="301">
        <f t="shared" si="11"/>
        <v>4.2666666666666702</v>
      </c>
      <c r="L19" s="301"/>
      <c r="M19" s="302">
        <f t="shared" si="12"/>
        <v>2</v>
      </c>
      <c r="N19" s="302">
        <f t="shared" si="13"/>
        <v>2.2666666666666702</v>
      </c>
      <c r="O19" s="393"/>
      <c r="Q19" s="387"/>
      <c r="R19" s="8"/>
      <c r="S19" s="63"/>
      <c r="T19" s="2"/>
      <c r="U19" s="2"/>
      <c r="V19" s="387"/>
      <c r="W19" s="63"/>
      <c r="X19" s="63"/>
    </row>
    <row r="20" spans="1:25">
      <c r="A20" s="140">
        <v>8592</v>
      </c>
      <c r="B20" s="140" t="s">
        <v>99</v>
      </c>
      <c r="C20" s="140" t="s">
        <v>99</v>
      </c>
      <c r="D20" s="143" t="s">
        <v>8</v>
      </c>
      <c r="E20" s="144">
        <v>43164.939097222225</v>
      </c>
      <c r="F20" s="297">
        <f t="shared" si="6"/>
        <v>43164.939097222225</v>
      </c>
      <c r="G20" s="298" t="str">
        <f t="shared" si="7"/>
        <v>22:32</v>
      </c>
      <c r="H20" s="299" t="str">
        <f t="shared" si="8"/>
        <v>-</v>
      </c>
      <c r="I20" s="300" t="str">
        <f t="shared" si="9"/>
        <v>-</v>
      </c>
      <c r="J20" s="300" t="str">
        <f t="shared" si="10"/>
        <v>-</v>
      </c>
      <c r="K20" s="301">
        <f t="shared" si="11"/>
        <v>0</v>
      </c>
      <c r="L20" s="301"/>
      <c r="M20" s="302">
        <f t="shared" si="12"/>
        <v>0</v>
      </c>
      <c r="N20" s="302">
        <f t="shared" si="13"/>
        <v>0</v>
      </c>
      <c r="O20" s="393"/>
      <c r="Q20" s="387"/>
      <c r="V20" s="387"/>
    </row>
    <row r="21" spans="1:25">
      <c r="A21" s="140">
        <v>8597</v>
      </c>
      <c r="B21" s="140" t="s">
        <v>99</v>
      </c>
      <c r="C21" s="140" t="s">
        <v>99</v>
      </c>
      <c r="D21" s="143" t="s">
        <v>6</v>
      </c>
      <c r="E21" s="144">
        <v>43165.363275462965</v>
      </c>
      <c r="F21" s="297">
        <f t="shared" si="6"/>
        <v>43165.363275462965</v>
      </c>
      <c r="G21" s="298" t="str">
        <f t="shared" si="7"/>
        <v>8:43</v>
      </c>
      <c r="H21" s="299">
        <f t="shared" si="8"/>
        <v>9.7166666666666686</v>
      </c>
      <c r="I21" s="300">
        <f t="shared" si="9"/>
        <v>8</v>
      </c>
      <c r="J21" s="300" t="str">
        <f t="shared" si="10"/>
        <v>-</v>
      </c>
      <c r="K21" s="301">
        <f t="shared" si="11"/>
        <v>0</v>
      </c>
      <c r="L21" s="301"/>
      <c r="M21" s="302">
        <f t="shared" si="12"/>
        <v>0</v>
      </c>
      <c r="N21" s="302">
        <f t="shared" si="13"/>
        <v>0</v>
      </c>
      <c r="O21" s="393"/>
      <c r="Q21" s="387"/>
      <c r="V21" s="387"/>
    </row>
    <row r="22" spans="1:25">
      <c r="A22" s="140">
        <v>8609</v>
      </c>
      <c r="B22" s="140" t="s">
        <v>99</v>
      </c>
      <c r="C22" s="140" t="s">
        <v>99</v>
      </c>
      <c r="D22" s="143" t="s">
        <v>5</v>
      </c>
      <c r="E22" s="144">
        <v>43165.768449074072</v>
      </c>
      <c r="F22" s="297">
        <f t="shared" si="6"/>
        <v>43165.768449074072</v>
      </c>
      <c r="G22" s="298" t="str">
        <f t="shared" si="7"/>
        <v>18:26</v>
      </c>
      <c r="H22" s="299" t="str">
        <f>IF(D22="上班",(#REF!-G22)*24,"-")</f>
        <v>-</v>
      </c>
      <c r="I22" s="300" t="str">
        <f t="shared" si="9"/>
        <v>-</v>
      </c>
      <c r="J22" s="300" t="str">
        <f t="shared" si="10"/>
        <v>-</v>
      </c>
      <c r="K22" s="301">
        <f>IF(D22="加班",(#REF!-G22)*24,0)</f>
        <v>0</v>
      </c>
      <c r="L22" s="301"/>
      <c r="M22" s="302">
        <f t="shared" si="12"/>
        <v>0</v>
      </c>
      <c r="N22" s="302">
        <f t="shared" si="13"/>
        <v>0</v>
      </c>
      <c r="O22" s="393"/>
      <c r="Q22" s="387"/>
      <c r="V22" s="387"/>
    </row>
    <row r="23" spans="1:25" s="63" customFormat="1">
      <c r="A23" s="422">
        <v>8637</v>
      </c>
      <c r="B23" s="422" t="s">
        <v>99</v>
      </c>
      <c r="C23" s="422" t="s">
        <v>99</v>
      </c>
      <c r="D23" s="181" t="s">
        <v>6</v>
      </c>
      <c r="E23" s="180">
        <v>43166.463900462964</v>
      </c>
      <c r="F23" s="135">
        <f t="shared" si="6"/>
        <v>43166.463900462964</v>
      </c>
      <c r="G23" s="67" t="str">
        <f t="shared" si="7"/>
        <v>11:8</v>
      </c>
      <c r="H23" s="64">
        <f t="shared" si="8"/>
        <v>7.5000000000000018</v>
      </c>
      <c r="I23" s="66">
        <f t="shared" si="9"/>
        <v>6.0000000000000018</v>
      </c>
      <c r="J23" s="66">
        <f t="shared" si="10"/>
        <v>1.9999999999999982</v>
      </c>
      <c r="K23" s="68">
        <f t="shared" si="11"/>
        <v>0</v>
      </c>
      <c r="L23" s="68"/>
      <c r="M23" s="65">
        <f t="shared" si="12"/>
        <v>0</v>
      </c>
      <c r="N23" s="65">
        <f t="shared" si="13"/>
        <v>0</v>
      </c>
      <c r="O23" s="186" t="s">
        <v>44</v>
      </c>
      <c r="P23" s="18"/>
      <c r="Q23" s="423"/>
      <c r="R23" s="18"/>
      <c r="S23" s="18"/>
      <c r="V23" s="423"/>
    </row>
    <row r="24" spans="1:25" s="63" customFormat="1">
      <c r="A24" s="422">
        <v>8649</v>
      </c>
      <c r="B24" s="422" t="s">
        <v>99</v>
      </c>
      <c r="C24" s="422" t="s">
        <v>99</v>
      </c>
      <c r="D24" s="181" t="s">
        <v>5</v>
      </c>
      <c r="E24" s="180">
        <v>43166.77652777778</v>
      </c>
      <c r="F24" s="135">
        <f t="shared" si="6"/>
        <v>43166.77652777778</v>
      </c>
      <c r="G24" s="67" t="str">
        <f t="shared" si="7"/>
        <v>18:38</v>
      </c>
      <c r="H24" s="64" t="str">
        <f t="shared" si="8"/>
        <v>-</v>
      </c>
      <c r="I24" s="66" t="str">
        <f t="shared" si="9"/>
        <v>-</v>
      </c>
      <c r="J24" s="66" t="str">
        <f t="shared" si="10"/>
        <v>-</v>
      </c>
      <c r="K24" s="68">
        <f t="shared" si="11"/>
        <v>0</v>
      </c>
      <c r="L24" s="68"/>
      <c r="M24" s="65">
        <f t="shared" si="12"/>
        <v>0</v>
      </c>
      <c r="N24" s="65">
        <f t="shared" si="13"/>
        <v>0</v>
      </c>
      <c r="O24" s="186"/>
      <c r="P24" s="18"/>
      <c r="Q24" s="423"/>
      <c r="R24" s="18"/>
      <c r="S24" s="18"/>
      <c r="V24" s="423"/>
    </row>
    <row r="25" spans="1:25" s="305" customFormat="1">
      <c r="A25" s="140">
        <v>8650</v>
      </c>
      <c r="B25" s="140" t="s">
        <v>99</v>
      </c>
      <c r="C25" s="140" t="s">
        <v>99</v>
      </c>
      <c r="D25" s="143" t="s">
        <v>7</v>
      </c>
      <c r="E25" s="144">
        <v>43166.776562500003</v>
      </c>
      <c r="F25" s="297">
        <f t="shared" si="6"/>
        <v>43166.776562500003</v>
      </c>
      <c r="G25" s="298" t="str">
        <f t="shared" si="7"/>
        <v>18:38</v>
      </c>
      <c r="H25" s="299" t="str">
        <f t="shared" si="8"/>
        <v>-</v>
      </c>
      <c r="I25" s="300" t="str">
        <f t="shared" si="9"/>
        <v>-</v>
      </c>
      <c r="J25" s="300" t="str">
        <f t="shared" si="10"/>
        <v>-</v>
      </c>
      <c r="K25" s="301">
        <f t="shared" si="11"/>
        <v>1.7333333333333325</v>
      </c>
      <c r="L25" s="301"/>
      <c r="M25" s="302">
        <f t="shared" si="12"/>
        <v>1.7333333333333325</v>
      </c>
      <c r="N25" s="302">
        <f t="shared" si="13"/>
        <v>0</v>
      </c>
      <c r="O25" s="393"/>
      <c r="P25" s="18"/>
      <c r="Q25" s="387"/>
      <c r="R25" s="18"/>
      <c r="S25" s="63"/>
      <c r="T25" s="63"/>
      <c r="U25" s="63"/>
      <c r="V25" s="387"/>
      <c r="W25" s="63"/>
      <c r="X25" s="63"/>
      <c r="Y25" s="63"/>
    </row>
    <row r="26" spans="1:25">
      <c r="A26" s="140">
        <v>8654</v>
      </c>
      <c r="B26" s="140" t="s">
        <v>99</v>
      </c>
      <c r="C26" s="140" t="s">
        <v>99</v>
      </c>
      <c r="D26" s="143" t="s">
        <v>8</v>
      </c>
      <c r="E26" s="144">
        <v>43166.84888888889</v>
      </c>
      <c r="F26" s="297">
        <f t="shared" si="6"/>
        <v>43166.84888888889</v>
      </c>
      <c r="G26" s="298" t="str">
        <f t="shared" si="7"/>
        <v>20:22</v>
      </c>
      <c r="H26" s="299" t="str">
        <f t="shared" si="8"/>
        <v>-</v>
      </c>
      <c r="I26" s="300" t="str">
        <f t="shared" si="9"/>
        <v>-</v>
      </c>
      <c r="J26" s="300" t="str">
        <f t="shared" si="10"/>
        <v>-</v>
      </c>
      <c r="K26" s="301">
        <f t="shared" si="11"/>
        <v>0</v>
      </c>
      <c r="L26" s="301"/>
      <c r="M26" s="302">
        <f t="shared" si="12"/>
        <v>0</v>
      </c>
      <c r="N26" s="302">
        <f t="shared" si="13"/>
        <v>0</v>
      </c>
      <c r="O26" s="393"/>
      <c r="Q26" s="387"/>
      <c r="R26" s="18"/>
      <c r="S26" s="63"/>
      <c r="T26" s="63"/>
      <c r="U26" s="63"/>
      <c r="V26" s="387"/>
      <c r="W26" s="63"/>
      <c r="X26" s="63"/>
    </row>
    <row r="27" spans="1:25">
      <c r="A27" s="140">
        <v>8663</v>
      </c>
      <c r="B27" s="140" t="s">
        <v>99</v>
      </c>
      <c r="C27" s="140" t="s">
        <v>99</v>
      </c>
      <c r="D27" s="143" t="s">
        <v>6</v>
      </c>
      <c r="E27" s="144">
        <v>43167.359780092593</v>
      </c>
      <c r="F27" s="297">
        <f t="shared" si="6"/>
        <v>43167.359780092593</v>
      </c>
      <c r="G27" s="298" t="str">
        <f t="shared" si="7"/>
        <v>8:38</v>
      </c>
      <c r="H27" s="299">
        <f t="shared" si="8"/>
        <v>9.9333333333333336</v>
      </c>
      <c r="I27" s="300">
        <f t="shared" si="9"/>
        <v>8</v>
      </c>
      <c r="J27" s="300" t="str">
        <f t="shared" si="10"/>
        <v>-</v>
      </c>
      <c r="K27" s="301">
        <f t="shared" si="11"/>
        <v>0</v>
      </c>
      <c r="L27" s="301"/>
      <c r="M27" s="302">
        <f t="shared" si="12"/>
        <v>0</v>
      </c>
      <c r="N27" s="302">
        <f t="shared" si="13"/>
        <v>0</v>
      </c>
      <c r="O27" s="393"/>
      <c r="Q27" s="387"/>
      <c r="V27" s="387"/>
    </row>
    <row r="28" spans="1:25" s="388" customFormat="1">
      <c r="A28" s="140">
        <v>8683</v>
      </c>
      <c r="B28" s="140" t="s">
        <v>99</v>
      </c>
      <c r="C28" s="140" t="s">
        <v>99</v>
      </c>
      <c r="D28" s="143" t="s">
        <v>5</v>
      </c>
      <c r="E28" s="144">
        <v>43167.773865740739</v>
      </c>
      <c r="F28" s="297">
        <f t="shared" si="6"/>
        <v>43167.773865740739</v>
      </c>
      <c r="G28" s="298" t="str">
        <f t="shared" si="7"/>
        <v>18:34</v>
      </c>
      <c r="H28" s="299" t="str">
        <f t="shared" si="8"/>
        <v>-</v>
      </c>
      <c r="I28" s="300" t="str">
        <f t="shared" si="9"/>
        <v>-</v>
      </c>
      <c r="J28" s="300" t="str">
        <f t="shared" si="10"/>
        <v>-</v>
      </c>
      <c r="K28" s="301">
        <f t="shared" si="11"/>
        <v>0</v>
      </c>
      <c r="L28" s="301"/>
      <c r="M28" s="302">
        <f t="shared" si="12"/>
        <v>0</v>
      </c>
      <c r="N28" s="302">
        <f t="shared" si="13"/>
        <v>0</v>
      </c>
      <c r="O28" s="393"/>
      <c r="P28" s="388" t="s">
        <v>20</v>
      </c>
      <c r="Q28" s="387"/>
      <c r="R28" s="9"/>
      <c r="S28" s="9"/>
      <c r="T28"/>
      <c r="U28"/>
      <c r="V28" s="387"/>
      <c r="W28"/>
      <c r="X28" s="396"/>
    </row>
    <row r="29" spans="1:25" s="388" customFormat="1">
      <c r="A29" s="140">
        <v>8684</v>
      </c>
      <c r="B29" s="140" t="s">
        <v>99</v>
      </c>
      <c r="C29" s="140" t="s">
        <v>99</v>
      </c>
      <c r="D29" s="143" t="s">
        <v>7</v>
      </c>
      <c r="E29" s="144">
        <v>43167.773912037039</v>
      </c>
      <c r="F29" s="297">
        <f t="shared" si="6"/>
        <v>43167.773912037039</v>
      </c>
      <c r="G29" s="298" t="str">
        <f t="shared" si="7"/>
        <v>18:34</v>
      </c>
      <c r="H29" s="299" t="str">
        <f t="shared" si="8"/>
        <v>-</v>
      </c>
      <c r="I29" s="300" t="str">
        <f t="shared" si="9"/>
        <v>-</v>
      </c>
      <c r="J29" s="300" t="str">
        <f t="shared" si="10"/>
        <v>-</v>
      </c>
      <c r="K29" s="301">
        <f t="shared" si="11"/>
        <v>1.5833333333333304</v>
      </c>
      <c r="L29" s="301"/>
      <c r="M29" s="302">
        <f t="shared" si="12"/>
        <v>1.5833333333333304</v>
      </c>
      <c r="N29" s="302">
        <f t="shared" si="13"/>
        <v>0</v>
      </c>
      <c r="O29" s="393"/>
      <c r="Q29" s="387"/>
      <c r="V29" s="387"/>
    </row>
    <row r="30" spans="1:25" s="306" customFormat="1">
      <c r="A30" s="140">
        <v>8689</v>
      </c>
      <c r="B30" s="140" t="s">
        <v>99</v>
      </c>
      <c r="C30" s="140" t="s">
        <v>99</v>
      </c>
      <c r="D30" s="143" t="s">
        <v>8</v>
      </c>
      <c r="E30" s="144">
        <v>43167.839606481481</v>
      </c>
      <c r="F30" s="297">
        <f t="shared" si="6"/>
        <v>43167.839606481481</v>
      </c>
      <c r="G30" s="298" t="str">
        <f t="shared" si="7"/>
        <v>20:9</v>
      </c>
      <c r="H30" s="299" t="str">
        <f t="shared" si="8"/>
        <v>-</v>
      </c>
      <c r="I30" s="300" t="str">
        <f t="shared" si="9"/>
        <v>-</v>
      </c>
      <c r="J30" s="300" t="str">
        <f t="shared" si="10"/>
        <v>-</v>
      </c>
      <c r="K30" s="301">
        <f t="shared" si="11"/>
        <v>0</v>
      </c>
      <c r="L30" s="301"/>
      <c r="M30" s="302">
        <f t="shared" si="12"/>
        <v>0</v>
      </c>
      <c r="N30" s="302">
        <f t="shared" si="13"/>
        <v>0</v>
      </c>
      <c r="O30" s="393"/>
      <c r="P30" s="389" t="s">
        <v>20</v>
      </c>
      <c r="Q30" s="387"/>
      <c r="R30" s="388"/>
      <c r="S30" s="388"/>
      <c r="T30" s="388"/>
      <c r="U30" s="388"/>
      <c r="V30" s="387"/>
      <c r="W30" s="388"/>
      <c r="X30" s="388"/>
      <c r="Y30" s="388"/>
    </row>
    <row r="31" spans="1:25" s="306" customFormat="1">
      <c r="A31" s="140">
        <v>8695</v>
      </c>
      <c r="B31" s="140" t="s">
        <v>99</v>
      </c>
      <c r="C31" s="140" t="s">
        <v>99</v>
      </c>
      <c r="D31" s="143" t="s">
        <v>6</v>
      </c>
      <c r="E31" s="144">
        <v>43168.365740740737</v>
      </c>
      <c r="F31" s="297">
        <f t="shared" si="6"/>
        <v>43168.365740740737</v>
      </c>
      <c r="G31" s="298" t="str">
        <f t="shared" si="7"/>
        <v>8:46</v>
      </c>
      <c r="H31" s="299">
        <f t="shared" si="8"/>
        <v>9.6333333333333311</v>
      </c>
      <c r="I31" s="300">
        <f t="shared" si="9"/>
        <v>8</v>
      </c>
      <c r="J31" s="300" t="str">
        <f t="shared" si="10"/>
        <v>-</v>
      </c>
      <c r="K31" s="301">
        <f t="shared" si="11"/>
        <v>0</v>
      </c>
      <c r="L31" s="301"/>
      <c r="M31" s="302">
        <f t="shared" si="12"/>
        <v>0</v>
      </c>
      <c r="N31" s="302">
        <f t="shared" si="13"/>
        <v>0</v>
      </c>
      <c r="O31" s="393"/>
      <c r="P31" s="389"/>
      <c r="Q31" s="387"/>
      <c r="R31" s="389"/>
      <c r="S31" s="388"/>
      <c r="T31" s="389"/>
      <c r="U31" s="389"/>
      <c r="V31" s="387"/>
      <c r="W31" s="389"/>
      <c r="X31" s="388"/>
      <c r="Y31" s="388"/>
    </row>
    <row r="32" spans="1:25" s="305" customFormat="1">
      <c r="A32" s="140">
        <v>8704</v>
      </c>
      <c r="B32" s="140" t="s">
        <v>99</v>
      </c>
      <c r="C32" s="140" t="s">
        <v>99</v>
      </c>
      <c r="D32" s="143" t="s">
        <v>5</v>
      </c>
      <c r="E32" s="144">
        <v>43168.767094907409</v>
      </c>
      <c r="F32" s="297">
        <f t="shared" si="6"/>
        <v>43168.767094907409</v>
      </c>
      <c r="G32" s="298" t="str">
        <f t="shared" si="7"/>
        <v>18:24</v>
      </c>
      <c r="H32" s="299" t="str">
        <f t="shared" si="8"/>
        <v>-</v>
      </c>
      <c r="I32" s="300" t="str">
        <f t="shared" si="9"/>
        <v>-</v>
      </c>
      <c r="J32" s="300" t="str">
        <f t="shared" si="10"/>
        <v>-</v>
      </c>
      <c r="K32" s="301">
        <f t="shared" si="11"/>
        <v>0</v>
      </c>
      <c r="L32" s="301"/>
      <c r="M32" s="302">
        <f t="shared" si="12"/>
        <v>0</v>
      </c>
      <c r="N32" s="302">
        <f t="shared" si="13"/>
        <v>0</v>
      </c>
      <c r="O32" s="393"/>
      <c r="P32" s="18"/>
      <c r="Q32" s="387"/>
      <c r="R32" s="389"/>
      <c r="S32" s="388"/>
      <c r="T32" s="389"/>
      <c r="U32" s="389"/>
      <c r="V32" s="387"/>
      <c r="W32" s="389"/>
      <c r="X32" s="388"/>
      <c r="Y32" s="63"/>
    </row>
    <row r="33" spans="1:26" s="16" customFormat="1">
      <c r="A33" s="140">
        <v>8730</v>
      </c>
      <c r="B33" s="140" t="s">
        <v>99</v>
      </c>
      <c r="C33" s="140" t="s">
        <v>99</v>
      </c>
      <c r="D33" s="143" t="s">
        <v>7</v>
      </c>
      <c r="E33" s="144">
        <v>43170.422500000001</v>
      </c>
      <c r="F33" s="297">
        <f t="shared" si="6"/>
        <v>43170.422500000001</v>
      </c>
      <c r="G33" s="298" t="str">
        <f t="shared" si="7"/>
        <v>10:8</v>
      </c>
      <c r="H33" s="299" t="str">
        <f t="shared" si="8"/>
        <v>-</v>
      </c>
      <c r="I33" s="300" t="str">
        <f t="shared" si="9"/>
        <v>-</v>
      </c>
      <c r="J33" s="300" t="str">
        <f t="shared" si="10"/>
        <v>-</v>
      </c>
      <c r="K33" s="301">
        <f t="shared" si="11"/>
        <v>3.0833333333333344</v>
      </c>
      <c r="L33" s="301"/>
      <c r="M33" s="302">
        <f t="shared" si="12"/>
        <v>2</v>
      </c>
      <c r="N33" s="302">
        <f t="shared" si="13"/>
        <v>1.0833333333333344</v>
      </c>
      <c r="O33" s="393"/>
      <c r="P33" s="137"/>
      <c r="Q33" s="387"/>
      <c r="R33" s="18"/>
      <c r="S33" s="63"/>
      <c r="T33" s="63"/>
      <c r="U33" s="63"/>
      <c r="V33" s="387"/>
      <c r="W33" s="63"/>
      <c r="X33" s="63"/>
    </row>
    <row r="34" spans="1:26" s="16" customFormat="1">
      <c r="A34" s="140">
        <v>8738</v>
      </c>
      <c r="B34" s="140" t="s">
        <v>99</v>
      </c>
      <c r="C34" s="140" t="s">
        <v>99</v>
      </c>
      <c r="D34" s="143" t="s">
        <v>8</v>
      </c>
      <c r="E34" s="144">
        <v>43170.550740740742</v>
      </c>
      <c r="F34" s="297">
        <f t="shared" si="6"/>
        <v>43170.550740740742</v>
      </c>
      <c r="G34" s="298" t="str">
        <f t="shared" si="7"/>
        <v>13:13</v>
      </c>
      <c r="H34" s="299" t="str">
        <f t="shared" si="8"/>
        <v>-</v>
      </c>
      <c r="I34" s="300" t="str">
        <f t="shared" si="9"/>
        <v>-</v>
      </c>
      <c r="J34" s="300" t="str">
        <f t="shared" si="10"/>
        <v>-</v>
      </c>
      <c r="K34" s="301">
        <f t="shared" si="11"/>
        <v>0</v>
      </c>
      <c r="L34" s="301"/>
      <c r="M34" s="302">
        <f t="shared" si="12"/>
        <v>0</v>
      </c>
      <c r="N34" s="302">
        <f t="shared" si="13"/>
        <v>0</v>
      </c>
      <c r="O34" s="393"/>
      <c r="P34" s="137"/>
      <c r="Q34" s="387"/>
      <c r="R34" s="18"/>
      <c r="S34" s="63"/>
      <c r="T34" s="63"/>
      <c r="U34" s="63"/>
      <c r="V34" s="387"/>
      <c r="W34" s="63"/>
      <c r="X34" s="63"/>
    </row>
    <row r="35" spans="1:26" s="63" customFormat="1">
      <c r="A35" s="140">
        <v>8740</v>
      </c>
      <c r="B35" s="140" t="s">
        <v>99</v>
      </c>
      <c r="C35" s="140" t="s">
        <v>99</v>
      </c>
      <c r="D35" s="143" t="s">
        <v>7</v>
      </c>
      <c r="E35" s="144">
        <v>43170.572627314818</v>
      </c>
      <c r="F35" s="297">
        <f t="shared" si="6"/>
        <v>43170.572627314818</v>
      </c>
      <c r="G35" s="298" t="str">
        <f t="shared" si="7"/>
        <v>13:44</v>
      </c>
      <c r="H35" s="299" t="str">
        <f t="shared" si="8"/>
        <v>-</v>
      </c>
      <c r="I35" s="300" t="str">
        <f t="shared" si="9"/>
        <v>-</v>
      </c>
      <c r="J35" s="300" t="str">
        <f t="shared" si="10"/>
        <v>-</v>
      </c>
      <c r="K35" s="301">
        <f t="shared" si="11"/>
        <v>4.2833333333333341</v>
      </c>
      <c r="L35" s="301"/>
      <c r="M35" s="302"/>
      <c r="N35" s="302">
        <v>4</v>
      </c>
      <c r="O35" s="186" t="s">
        <v>117</v>
      </c>
      <c r="P35" s="18"/>
      <c r="Q35" s="423"/>
      <c r="R35" s="18"/>
      <c r="V35" s="423"/>
    </row>
    <row r="36" spans="1:26" s="63" customFormat="1">
      <c r="A36" s="140">
        <v>8752</v>
      </c>
      <c r="B36" s="140" t="s">
        <v>99</v>
      </c>
      <c r="C36" s="140" t="s">
        <v>99</v>
      </c>
      <c r="D36" s="143" t="s">
        <v>8</v>
      </c>
      <c r="E36" s="144">
        <v>43170.751284722224</v>
      </c>
      <c r="F36" s="297">
        <f t="shared" si="6"/>
        <v>43170.751284722224</v>
      </c>
      <c r="G36" s="298" t="str">
        <f t="shared" si="7"/>
        <v>18:1</v>
      </c>
      <c r="H36" s="299" t="str">
        <f t="shared" si="8"/>
        <v>-</v>
      </c>
      <c r="I36" s="300" t="str">
        <f t="shared" si="9"/>
        <v>-</v>
      </c>
      <c r="J36" s="300" t="str">
        <f t="shared" si="10"/>
        <v>-</v>
      </c>
      <c r="K36" s="301">
        <f t="shared" si="11"/>
        <v>0</v>
      </c>
      <c r="L36" s="301"/>
      <c r="M36" s="302">
        <f t="shared" si="12"/>
        <v>0</v>
      </c>
      <c r="N36" s="302">
        <f t="shared" si="13"/>
        <v>0</v>
      </c>
      <c r="O36" s="393"/>
      <c r="P36" s="18"/>
      <c r="Q36" s="423"/>
      <c r="R36" s="18"/>
      <c r="V36" s="423"/>
    </row>
    <row r="37" spans="1:26" s="304" customFormat="1">
      <c r="A37" s="140">
        <v>8754</v>
      </c>
      <c r="B37" s="140" t="s">
        <v>99</v>
      </c>
      <c r="C37" s="140" t="s">
        <v>99</v>
      </c>
      <c r="D37" s="143" t="s">
        <v>7</v>
      </c>
      <c r="E37" s="144">
        <v>43170.751423611109</v>
      </c>
      <c r="F37" s="297">
        <f t="shared" si="6"/>
        <v>43170.751423611109</v>
      </c>
      <c r="G37" s="298" t="str">
        <f t="shared" si="7"/>
        <v>18:2</v>
      </c>
      <c r="H37" s="299" t="str">
        <f t="shared" si="8"/>
        <v>-</v>
      </c>
      <c r="I37" s="300" t="str">
        <f t="shared" si="9"/>
        <v>-</v>
      </c>
      <c r="J37" s="300" t="str">
        <f t="shared" si="10"/>
        <v>-</v>
      </c>
      <c r="K37" s="301">
        <f t="shared" si="11"/>
        <v>0.79999999999999716</v>
      </c>
      <c r="L37" s="301"/>
      <c r="M37" s="301"/>
      <c r="N37" s="302">
        <f>IF(K37&gt;2,2,K37)</f>
        <v>0.79999999999999716</v>
      </c>
      <c r="O37" s="393"/>
      <c r="P37" s="18"/>
      <c r="Q37" s="387"/>
      <c r="R37" s="18"/>
      <c r="S37" s="63"/>
      <c r="T37" s="63"/>
      <c r="U37" s="63"/>
      <c r="V37" s="387"/>
      <c r="W37" s="63"/>
      <c r="X37" s="63"/>
      <c r="Y37" s="63"/>
      <c r="Z37" s="305"/>
    </row>
    <row r="38" spans="1:26" s="304" customFormat="1">
      <c r="A38" s="140">
        <v>8756</v>
      </c>
      <c r="B38" s="140" t="s">
        <v>99</v>
      </c>
      <c r="C38" s="140" t="s">
        <v>99</v>
      </c>
      <c r="D38" s="143" t="s">
        <v>8</v>
      </c>
      <c r="E38" s="144">
        <v>43170.785173611112</v>
      </c>
      <c r="F38" s="297">
        <f t="shared" si="6"/>
        <v>43170.785173611112</v>
      </c>
      <c r="G38" s="298" t="str">
        <f t="shared" si="7"/>
        <v>18:50</v>
      </c>
      <c r="H38" s="299" t="str">
        <f t="shared" si="8"/>
        <v>-</v>
      </c>
      <c r="I38" s="300" t="str">
        <f t="shared" si="9"/>
        <v>-</v>
      </c>
      <c r="J38" s="300" t="str">
        <f t="shared" si="10"/>
        <v>-</v>
      </c>
      <c r="K38" s="301">
        <f t="shared" si="11"/>
        <v>0</v>
      </c>
      <c r="L38" s="301"/>
      <c r="M38" s="301"/>
      <c r="N38" s="302">
        <f t="shared" si="13"/>
        <v>0</v>
      </c>
      <c r="O38" s="393"/>
      <c r="P38" s="18"/>
      <c r="Q38" s="387"/>
      <c r="R38" s="18"/>
      <c r="S38" s="18"/>
      <c r="T38" s="63"/>
      <c r="U38" s="63"/>
      <c r="V38" s="387"/>
      <c r="W38" s="63"/>
      <c r="X38" s="63"/>
      <c r="Y38" s="63"/>
      <c r="Z38" s="305"/>
    </row>
    <row r="39" spans="1:26" s="18" customFormat="1">
      <c r="A39" s="140">
        <v>8763</v>
      </c>
      <c r="B39" s="140" t="s">
        <v>100</v>
      </c>
      <c r="C39" s="140" t="s">
        <v>99</v>
      </c>
      <c r="D39" s="143" t="s">
        <v>6</v>
      </c>
      <c r="E39" s="144">
        <v>43171.366400462961</v>
      </c>
      <c r="F39" s="297">
        <f t="shared" si="6"/>
        <v>43171.366400462961</v>
      </c>
      <c r="G39" s="298" t="str">
        <f t="shared" si="7"/>
        <v>8:47</v>
      </c>
      <c r="H39" s="299">
        <f t="shared" si="8"/>
        <v>9.6666666666666661</v>
      </c>
      <c r="I39" s="300">
        <f t="shared" si="9"/>
        <v>8</v>
      </c>
      <c r="J39" s="300" t="str">
        <f t="shared" si="10"/>
        <v>-</v>
      </c>
      <c r="K39" s="301">
        <f t="shared" si="11"/>
        <v>0</v>
      </c>
      <c r="L39" s="301"/>
      <c r="M39" s="302">
        <f t="shared" si="12"/>
        <v>0</v>
      </c>
      <c r="N39" s="302">
        <f t="shared" si="13"/>
        <v>0</v>
      </c>
      <c r="O39" s="393"/>
      <c r="Q39" s="423"/>
      <c r="U39" s="63"/>
      <c r="V39" s="423"/>
      <c r="W39" s="63"/>
      <c r="X39" s="63"/>
    </row>
    <row r="40" spans="1:26" s="18" customFormat="1">
      <c r="A40" s="140">
        <v>8775</v>
      </c>
      <c r="B40" s="140" t="s">
        <v>99</v>
      </c>
      <c r="C40" s="140" t="s">
        <v>99</v>
      </c>
      <c r="D40" s="143" t="s">
        <v>5</v>
      </c>
      <c r="E40" s="144">
        <v>43171.768958333334</v>
      </c>
      <c r="F40" s="297">
        <f t="shared" si="6"/>
        <v>43171.768958333334</v>
      </c>
      <c r="G40" s="298" t="str">
        <f t="shared" si="7"/>
        <v>18:27</v>
      </c>
      <c r="H40" s="299" t="str">
        <f t="shared" si="8"/>
        <v>-</v>
      </c>
      <c r="I40" s="300" t="str">
        <f t="shared" si="9"/>
        <v>-</v>
      </c>
      <c r="J40" s="300" t="str">
        <f t="shared" si="10"/>
        <v>-</v>
      </c>
      <c r="K40" s="301">
        <f t="shared" si="11"/>
        <v>0</v>
      </c>
      <c r="L40" s="301"/>
      <c r="M40" s="302">
        <f t="shared" si="12"/>
        <v>0</v>
      </c>
      <c r="N40" s="302">
        <f t="shared" si="13"/>
        <v>0</v>
      </c>
      <c r="O40" s="393"/>
      <c r="Q40" s="423"/>
      <c r="U40" s="63"/>
      <c r="V40" s="423"/>
      <c r="W40" s="63"/>
      <c r="X40" s="63"/>
    </row>
    <row r="41" spans="1:26" s="403" customFormat="1">
      <c r="A41" s="140">
        <v>8776</v>
      </c>
      <c r="B41" s="140" t="s">
        <v>99</v>
      </c>
      <c r="C41" s="140" t="s">
        <v>99</v>
      </c>
      <c r="D41" s="143" t="s">
        <v>7</v>
      </c>
      <c r="E41" s="144">
        <v>43171.769004629627</v>
      </c>
      <c r="F41" s="297">
        <f t="shared" si="6"/>
        <v>43171.769004629627</v>
      </c>
      <c r="G41" s="298" t="str">
        <f t="shared" si="7"/>
        <v>18:27</v>
      </c>
      <c r="H41" s="299" t="str">
        <f t="shared" si="8"/>
        <v>-</v>
      </c>
      <c r="I41" s="300" t="str">
        <f t="shared" si="9"/>
        <v>-</v>
      </c>
      <c r="J41" s="300" t="str">
        <f t="shared" si="10"/>
        <v>-</v>
      </c>
      <c r="K41" s="301">
        <f t="shared" si="11"/>
        <v>3.3500000000000014</v>
      </c>
      <c r="L41" s="301"/>
      <c r="M41" s="302">
        <f t="shared" si="12"/>
        <v>2</v>
      </c>
      <c r="N41" s="302">
        <f t="shared" si="13"/>
        <v>1.3500000000000014</v>
      </c>
      <c r="O41" s="393"/>
      <c r="Q41" s="387"/>
      <c r="R41" s="18"/>
      <c r="S41" s="18"/>
      <c r="T41" s="63"/>
      <c r="U41" s="63"/>
      <c r="V41" s="387"/>
      <c r="W41" s="63"/>
      <c r="X41" s="63"/>
    </row>
    <row r="42" spans="1:26" s="403" customFormat="1">
      <c r="A42" s="140">
        <v>8795</v>
      </c>
      <c r="B42" s="140" t="s">
        <v>99</v>
      </c>
      <c r="C42" s="140" t="s">
        <v>99</v>
      </c>
      <c r="D42" s="143" t="s">
        <v>8</v>
      </c>
      <c r="E42" s="144">
        <v>43171.908946759257</v>
      </c>
      <c r="F42" s="297">
        <f t="shared" si="6"/>
        <v>43171.908946759257</v>
      </c>
      <c r="G42" s="298" t="str">
        <f t="shared" si="7"/>
        <v>21:48</v>
      </c>
      <c r="H42" s="299" t="str">
        <f t="shared" si="8"/>
        <v>-</v>
      </c>
      <c r="I42" s="300" t="str">
        <f t="shared" si="9"/>
        <v>-</v>
      </c>
      <c r="J42" s="300" t="str">
        <f t="shared" si="10"/>
        <v>-</v>
      </c>
      <c r="K42" s="301">
        <f t="shared" si="11"/>
        <v>0</v>
      </c>
      <c r="L42" s="301"/>
      <c r="M42" s="302">
        <f t="shared" si="12"/>
        <v>0</v>
      </c>
      <c r="N42" s="302">
        <f t="shared" si="13"/>
        <v>0</v>
      </c>
      <c r="O42" s="393"/>
      <c r="Q42" s="387"/>
      <c r="R42" s="18"/>
      <c r="S42" s="18"/>
      <c r="T42" s="63"/>
      <c r="U42" s="63"/>
      <c r="V42" s="387"/>
      <c r="W42" s="63"/>
      <c r="X42" s="63"/>
    </row>
    <row r="43" spans="1:26" s="16" customFormat="1">
      <c r="A43" s="140">
        <v>8805</v>
      </c>
      <c r="B43" s="140" t="s">
        <v>100</v>
      </c>
      <c r="C43" s="140" t="s">
        <v>99</v>
      </c>
      <c r="D43" s="143" t="s">
        <v>6</v>
      </c>
      <c r="E43" s="144">
        <v>43172.368263888886</v>
      </c>
      <c r="F43" s="297">
        <f t="shared" si="6"/>
        <v>43172.368263888886</v>
      </c>
      <c r="G43" s="298" t="str">
        <f t="shared" si="7"/>
        <v>8:50</v>
      </c>
      <c r="H43" s="299">
        <f t="shared" si="8"/>
        <v>9.7166666666666668</v>
      </c>
      <c r="I43" s="300">
        <f t="shared" si="9"/>
        <v>8</v>
      </c>
      <c r="J43" s="300" t="str">
        <f t="shared" si="10"/>
        <v>-</v>
      </c>
      <c r="K43" s="301">
        <f t="shared" si="11"/>
        <v>0</v>
      </c>
      <c r="L43" s="301"/>
      <c r="M43" s="302">
        <f t="shared" si="12"/>
        <v>0</v>
      </c>
      <c r="N43" s="302">
        <f t="shared" si="13"/>
        <v>0</v>
      </c>
      <c r="O43" s="393"/>
      <c r="P43" s="137"/>
      <c r="Q43" s="387"/>
      <c r="R43" s="9"/>
      <c r="S43" s="63"/>
      <c r="T43"/>
      <c r="U43"/>
      <c r="V43" s="387"/>
      <c r="W43"/>
      <c r="X43" s="396"/>
    </row>
    <row r="44" spans="1:26" s="16" customFormat="1">
      <c r="A44" s="140">
        <v>8817</v>
      </c>
      <c r="B44" s="140" t="s">
        <v>99</v>
      </c>
      <c r="C44" s="140" t="s">
        <v>99</v>
      </c>
      <c r="D44" s="143" t="s">
        <v>5</v>
      </c>
      <c r="E44" s="144">
        <v>43172.773148148146</v>
      </c>
      <c r="F44" s="297">
        <f t="shared" si="6"/>
        <v>43172.773148148146</v>
      </c>
      <c r="G44" s="298" t="str">
        <f t="shared" si="7"/>
        <v>18:33</v>
      </c>
      <c r="H44" s="299" t="str">
        <f t="shared" si="8"/>
        <v>-</v>
      </c>
      <c r="I44" s="300" t="str">
        <f t="shared" si="9"/>
        <v>-</v>
      </c>
      <c r="J44" s="300" t="str">
        <f t="shared" si="10"/>
        <v>-</v>
      </c>
      <c r="K44" s="301">
        <f t="shared" si="11"/>
        <v>0</v>
      </c>
      <c r="L44" s="301"/>
      <c r="M44" s="302">
        <f t="shared" si="12"/>
        <v>0</v>
      </c>
      <c r="N44" s="302">
        <f t="shared" si="13"/>
        <v>0</v>
      </c>
      <c r="O44" s="393"/>
      <c r="P44" s="137"/>
      <c r="Q44" s="387"/>
      <c r="R44" s="9"/>
      <c r="S44" s="63"/>
      <c r="T44"/>
      <c r="U44"/>
      <c r="V44" s="387"/>
      <c r="W44"/>
      <c r="X44" s="396"/>
    </row>
    <row r="45" spans="1:26">
      <c r="A45">
        <v>8820</v>
      </c>
      <c r="B45" t="s">
        <v>99</v>
      </c>
      <c r="C45" t="s">
        <v>99</v>
      </c>
      <c r="D45" s="143" t="s">
        <v>7</v>
      </c>
      <c r="E45" s="144">
        <v>43172.773229166669</v>
      </c>
      <c r="F45" s="297">
        <f t="shared" si="6"/>
        <v>43172.773229166669</v>
      </c>
      <c r="G45" s="298" t="str">
        <f t="shared" si="7"/>
        <v>18:33</v>
      </c>
      <c r="H45" s="299" t="str">
        <f t="shared" si="8"/>
        <v>-</v>
      </c>
      <c r="I45" s="300" t="str">
        <f t="shared" si="9"/>
        <v>-</v>
      </c>
      <c r="J45" s="300" t="str">
        <f t="shared" si="10"/>
        <v>-</v>
      </c>
      <c r="K45" s="301">
        <f t="shared" si="11"/>
        <v>2.3666666666666663</v>
      </c>
      <c r="L45" s="301"/>
      <c r="M45" s="302">
        <f t="shared" si="12"/>
        <v>2</v>
      </c>
      <c r="N45" s="302">
        <f t="shared" si="13"/>
        <v>0.36666666666666625</v>
      </c>
      <c r="O45" s="393"/>
      <c r="P45" s="307"/>
      <c r="Q45" s="387"/>
      <c r="V45" s="387"/>
    </row>
    <row r="46" spans="1:26">
      <c r="A46">
        <v>8833</v>
      </c>
      <c r="B46" t="s">
        <v>99</v>
      </c>
      <c r="C46" t="s">
        <v>99</v>
      </c>
      <c r="D46" s="143" t="s">
        <v>8</v>
      </c>
      <c r="E46" s="144">
        <v>43172.872106481482</v>
      </c>
      <c r="F46" s="297">
        <f t="shared" si="6"/>
        <v>43172.872106481482</v>
      </c>
      <c r="G46" s="298" t="str">
        <f t="shared" si="7"/>
        <v>20:55</v>
      </c>
      <c r="H46" s="299" t="str">
        <f t="shared" si="8"/>
        <v>-</v>
      </c>
      <c r="I46" s="300" t="str">
        <f t="shared" si="9"/>
        <v>-</v>
      </c>
      <c r="J46" s="300" t="str">
        <f t="shared" si="10"/>
        <v>-</v>
      </c>
      <c r="K46" s="301">
        <f t="shared" si="11"/>
        <v>0</v>
      </c>
      <c r="L46" s="301"/>
      <c r="M46" s="302">
        <f t="shared" si="12"/>
        <v>0</v>
      </c>
      <c r="N46" s="302">
        <f t="shared" si="13"/>
        <v>0</v>
      </c>
      <c r="O46" s="393"/>
      <c r="P46" s="307"/>
      <c r="Q46" s="387"/>
      <c r="V46" s="387"/>
    </row>
    <row r="47" spans="1:26" customFormat="1">
      <c r="A47">
        <v>8836</v>
      </c>
      <c r="B47" t="s">
        <v>99</v>
      </c>
      <c r="C47" t="s">
        <v>99</v>
      </c>
      <c r="D47" s="143" t="s">
        <v>6</v>
      </c>
      <c r="E47" s="144">
        <v>43173.356898148151</v>
      </c>
      <c r="F47" s="297">
        <f t="shared" si="6"/>
        <v>43173.356898148151</v>
      </c>
      <c r="G47" s="298" t="str">
        <f t="shared" si="7"/>
        <v>8:33</v>
      </c>
      <c r="H47" s="299">
        <f t="shared" si="8"/>
        <v>9.8833333333333346</v>
      </c>
      <c r="I47" s="300">
        <f t="shared" si="9"/>
        <v>8</v>
      </c>
      <c r="J47" s="300" t="str">
        <f t="shared" si="10"/>
        <v>-</v>
      </c>
      <c r="K47" s="301">
        <f t="shared" si="11"/>
        <v>0</v>
      </c>
      <c r="L47" s="301"/>
      <c r="M47" s="302">
        <f t="shared" si="12"/>
        <v>0</v>
      </c>
      <c r="N47" s="302">
        <f t="shared" si="13"/>
        <v>0</v>
      </c>
      <c r="O47" s="393"/>
      <c r="P47" s="307"/>
      <c r="Q47" s="387"/>
      <c r="R47" s="9"/>
      <c r="S47" s="9"/>
      <c r="V47" s="387"/>
      <c r="X47" s="396"/>
      <c r="Y47" s="396"/>
      <c r="Z47" s="261"/>
    </row>
    <row r="48" spans="1:26" customFormat="1">
      <c r="A48">
        <v>8850</v>
      </c>
      <c r="B48" t="s">
        <v>99</v>
      </c>
      <c r="C48" t="s">
        <v>99</v>
      </c>
      <c r="D48" s="143" t="s">
        <v>5</v>
      </c>
      <c r="E48" s="144">
        <v>43173.768090277779</v>
      </c>
      <c r="F48" s="297">
        <f t="shared" si="6"/>
        <v>43173.768090277779</v>
      </c>
      <c r="G48" s="298" t="str">
        <f t="shared" ref="G48:G50" si="14">HOUR(E48)&amp;":"&amp;MINUTE(E48)</f>
        <v>18:26</v>
      </c>
      <c r="H48" s="299" t="str">
        <f t="shared" ref="H48:H50" si="15">IF(D48="上班",(G49-G48)*24,"-")</f>
        <v>-</v>
      </c>
      <c r="I48" s="300" t="str">
        <f t="shared" ref="I48:I50" si="16">IF(D48="上班",IF(H48-1.5&gt;8,8,H48-1.5),"-")</f>
        <v>-</v>
      </c>
      <c r="J48" s="300" t="str">
        <f t="shared" si="10"/>
        <v>-</v>
      </c>
      <c r="K48" s="301">
        <f>IF(D48="加班",(G50-G48)*24,0)</f>
        <v>0</v>
      </c>
      <c r="L48" s="301"/>
      <c r="M48" s="302">
        <f t="shared" si="12"/>
        <v>0</v>
      </c>
      <c r="N48" s="302">
        <f t="shared" si="13"/>
        <v>0</v>
      </c>
      <c r="O48" s="393"/>
      <c r="P48" s="307"/>
      <c r="Q48" s="387"/>
      <c r="R48" s="9"/>
      <c r="S48" s="9"/>
      <c r="X48" s="396"/>
      <c r="Y48" s="396"/>
      <c r="Z48" s="261"/>
    </row>
    <row r="49" spans="1:26" s="63" customFormat="1">
      <c r="D49" s="407" t="s">
        <v>7</v>
      </c>
      <c r="E49" s="180">
        <v>43173.770833333336</v>
      </c>
      <c r="F49" s="135">
        <f t="shared" ref="F49" si="17">E49</f>
        <v>43173.770833333336</v>
      </c>
      <c r="G49" s="298" t="str">
        <f t="shared" si="14"/>
        <v>18:30</v>
      </c>
      <c r="H49" s="299" t="str">
        <f t="shared" si="15"/>
        <v>-</v>
      </c>
      <c r="I49" s="66" t="str">
        <f t="shared" si="16"/>
        <v>-</v>
      </c>
      <c r="J49" s="66" t="str">
        <f t="shared" ref="J49:J50" si="18">IF(I49&lt;8,8-I49,"-")</f>
        <v>-</v>
      </c>
      <c r="K49" s="68">
        <f t="shared" ref="K49:K50" si="19">IF(D49="加班",(G50-G49)*24,0)</f>
        <v>2.2333333333333334</v>
      </c>
      <c r="L49" s="68"/>
      <c r="M49" s="65">
        <f t="shared" ref="M49:M50" si="20">IF(K49&gt;2,2,K49)</f>
        <v>2</v>
      </c>
      <c r="N49" s="65">
        <f>IF(K49&gt;2,K49-2,0)</f>
        <v>0.23333333333333339</v>
      </c>
      <c r="O49" s="147" t="s">
        <v>115</v>
      </c>
      <c r="P49" s="169"/>
      <c r="Q49" s="423"/>
      <c r="R49" s="18"/>
      <c r="S49" s="18"/>
    </row>
    <row r="50" spans="1:26" s="63" customFormat="1">
      <c r="A50" s="63">
        <v>8868</v>
      </c>
      <c r="B50" s="63" t="s">
        <v>100</v>
      </c>
      <c r="C50" s="63" t="s">
        <v>99</v>
      </c>
      <c r="D50" s="181" t="s">
        <v>8</v>
      </c>
      <c r="E50" s="180">
        <v>43173.864004629628</v>
      </c>
      <c r="F50" s="135">
        <f t="shared" si="6"/>
        <v>43173.864004629628</v>
      </c>
      <c r="G50" s="298" t="str">
        <f t="shared" si="14"/>
        <v>20:44</v>
      </c>
      <c r="H50" s="299" t="str">
        <f t="shared" si="15"/>
        <v>-</v>
      </c>
      <c r="I50" s="66" t="str">
        <f t="shared" si="16"/>
        <v>-</v>
      </c>
      <c r="J50" s="66" t="str">
        <f t="shared" si="18"/>
        <v>-</v>
      </c>
      <c r="K50" s="68">
        <f t="shared" si="19"/>
        <v>0</v>
      </c>
      <c r="L50" s="68"/>
      <c r="M50" s="65">
        <f t="shared" si="20"/>
        <v>0</v>
      </c>
      <c r="N50" s="65">
        <f t="shared" ref="N50" si="21">IF(K50&gt;2,K50-2,0)</f>
        <v>0</v>
      </c>
      <c r="O50" s="186"/>
      <c r="P50" s="169"/>
      <c r="Q50" s="423"/>
      <c r="R50" s="18"/>
      <c r="S50" s="18"/>
    </row>
    <row r="51" spans="1:26" customFormat="1">
      <c r="A51">
        <v>8876</v>
      </c>
      <c r="B51" t="s">
        <v>100</v>
      </c>
      <c r="C51" t="s">
        <v>99</v>
      </c>
      <c r="D51" s="143" t="s">
        <v>6</v>
      </c>
      <c r="E51" s="144">
        <v>43174.36341435185</v>
      </c>
      <c r="F51" s="297">
        <f t="shared" si="6"/>
        <v>43174.36341435185</v>
      </c>
      <c r="G51" s="298" t="str">
        <f t="shared" si="7"/>
        <v>8:43</v>
      </c>
      <c r="H51" s="299">
        <f t="shared" si="8"/>
        <v>9.7000000000000011</v>
      </c>
      <c r="I51" s="300">
        <f t="shared" si="9"/>
        <v>8</v>
      </c>
      <c r="J51" s="300" t="str">
        <f t="shared" si="10"/>
        <v>-</v>
      </c>
      <c r="K51" s="301">
        <f t="shared" si="11"/>
        <v>0</v>
      </c>
      <c r="L51" s="301"/>
      <c r="M51" s="302">
        <f t="shared" si="12"/>
        <v>0</v>
      </c>
      <c r="N51" s="302">
        <f t="shared" si="13"/>
        <v>0</v>
      </c>
      <c r="O51" s="393"/>
      <c r="P51" s="307"/>
      <c r="Q51" s="9"/>
      <c r="R51" s="9"/>
      <c r="S51" s="9"/>
      <c r="X51" s="396"/>
      <c r="Y51" s="396"/>
      <c r="Z51" s="261"/>
    </row>
    <row r="52" spans="1:26" customFormat="1">
      <c r="A52">
        <v>8884</v>
      </c>
      <c r="B52" t="s">
        <v>99</v>
      </c>
      <c r="C52" t="s">
        <v>99</v>
      </c>
      <c r="D52" s="143" t="s">
        <v>5</v>
      </c>
      <c r="E52" s="144">
        <v>43174.767604166664</v>
      </c>
      <c r="F52" s="297">
        <f t="shared" si="6"/>
        <v>43174.767604166664</v>
      </c>
      <c r="G52" s="298" t="str">
        <f t="shared" si="7"/>
        <v>18:25</v>
      </c>
      <c r="H52" s="299" t="str">
        <f t="shared" si="8"/>
        <v>-</v>
      </c>
      <c r="I52" s="300" t="str">
        <f t="shared" si="9"/>
        <v>-</v>
      </c>
      <c r="J52" s="300" t="str">
        <f t="shared" si="10"/>
        <v>-</v>
      </c>
      <c r="K52" s="301">
        <f t="shared" si="11"/>
        <v>0</v>
      </c>
      <c r="L52" s="301"/>
      <c r="M52" s="302">
        <f t="shared" si="12"/>
        <v>0</v>
      </c>
      <c r="N52" s="302">
        <f t="shared" si="13"/>
        <v>0</v>
      </c>
      <c r="O52" s="393"/>
      <c r="P52" s="307"/>
      <c r="Q52" s="9"/>
      <c r="R52" s="9"/>
      <c r="S52" s="9"/>
      <c r="X52" s="396"/>
      <c r="Y52" s="396"/>
      <c r="Z52" s="261"/>
    </row>
    <row r="53" spans="1:26" customFormat="1">
      <c r="A53">
        <v>8885</v>
      </c>
      <c r="B53" t="s">
        <v>99</v>
      </c>
      <c r="C53" t="s">
        <v>99</v>
      </c>
      <c r="D53" s="143" t="s">
        <v>7</v>
      </c>
      <c r="E53" s="144">
        <v>43174.767650462964</v>
      </c>
      <c r="F53" s="297">
        <f t="shared" si="6"/>
        <v>43174.767650462964</v>
      </c>
      <c r="G53" s="298" t="str">
        <f t="shared" si="7"/>
        <v>18:25</v>
      </c>
      <c r="H53" s="299" t="str">
        <f t="shared" si="8"/>
        <v>-</v>
      </c>
      <c r="I53" s="300" t="str">
        <f t="shared" si="9"/>
        <v>-</v>
      </c>
      <c r="J53" s="300" t="str">
        <f t="shared" si="10"/>
        <v>-</v>
      </c>
      <c r="K53" s="301">
        <f t="shared" si="11"/>
        <v>1.9333333333333345</v>
      </c>
      <c r="L53" s="301"/>
      <c r="M53" s="302">
        <f t="shared" si="12"/>
        <v>1.9333333333333345</v>
      </c>
      <c r="N53" s="302">
        <f t="shared" si="13"/>
        <v>0</v>
      </c>
      <c r="O53" s="393"/>
      <c r="P53" s="307"/>
      <c r="Q53" s="9"/>
      <c r="R53" s="9"/>
      <c r="S53" s="9"/>
      <c r="X53" s="396"/>
      <c r="Y53" s="396"/>
      <c r="Z53" s="261"/>
    </row>
    <row r="54" spans="1:26" customFormat="1">
      <c r="A54">
        <v>8899</v>
      </c>
      <c r="B54" t="s">
        <v>99</v>
      </c>
      <c r="C54" t="s">
        <v>99</v>
      </c>
      <c r="D54" s="143" t="s">
        <v>8</v>
      </c>
      <c r="E54" s="144">
        <v>43174.848460648151</v>
      </c>
      <c r="F54" s="297">
        <f t="shared" si="6"/>
        <v>43174.848460648151</v>
      </c>
      <c r="G54" s="298" t="str">
        <f t="shared" si="7"/>
        <v>20:21</v>
      </c>
      <c r="H54" s="299" t="str">
        <f t="shared" si="8"/>
        <v>-</v>
      </c>
      <c r="I54" s="300" t="str">
        <f t="shared" si="9"/>
        <v>-</v>
      </c>
      <c r="J54" s="300" t="str">
        <f t="shared" si="10"/>
        <v>-</v>
      </c>
      <c r="K54" s="301">
        <f t="shared" si="11"/>
        <v>0</v>
      </c>
      <c r="L54" s="301"/>
      <c r="M54" s="302">
        <f t="shared" si="12"/>
        <v>0</v>
      </c>
      <c r="N54" s="302">
        <f t="shared" si="13"/>
        <v>0</v>
      </c>
      <c r="O54" s="393"/>
      <c r="P54" s="307"/>
      <c r="Q54" s="9"/>
      <c r="R54" s="9"/>
      <c r="S54" s="9"/>
      <c r="X54" s="396"/>
      <c r="Y54" s="396"/>
      <c r="Z54" s="261"/>
    </row>
    <row r="55" spans="1:26" customFormat="1">
      <c r="A55">
        <v>8908</v>
      </c>
      <c r="B55" t="s">
        <v>99</v>
      </c>
      <c r="C55" t="s">
        <v>99</v>
      </c>
      <c r="D55" s="143" t="s">
        <v>6</v>
      </c>
      <c r="E55" s="144">
        <v>43175.362615740742</v>
      </c>
      <c r="F55" s="297">
        <f t="shared" si="6"/>
        <v>43175.362615740742</v>
      </c>
      <c r="G55" s="298" t="str">
        <f t="shared" si="7"/>
        <v>8:42</v>
      </c>
      <c r="H55" s="299">
        <f t="shared" si="8"/>
        <v>9.7333333333333343</v>
      </c>
      <c r="I55" s="300">
        <f t="shared" si="9"/>
        <v>8</v>
      </c>
      <c r="J55" s="300" t="str">
        <f t="shared" si="10"/>
        <v>-</v>
      </c>
      <c r="K55" s="301">
        <f t="shared" si="11"/>
        <v>0</v>
      </c>
      <c r="L55" s="301"/>
      <c r="M55" s="302">
        <f t="shared" si="12"/>
        <v>0</v>
      </c>
      <c r="N55" s="302">
        <f t="shared" si="13"/>
        <v>0</v>
      </c>
      <c r="O55" s="393"/>
      <c r="P55" s="307"/>
      <c r="Q55" s="9"/>
      <c r="R55" s="9"/>
      <c r="S55" s="9"/>
      <c r="X55" s="396"/>
      <c r="Y55" s="396"/>
      <c r="Z55" s="261"/>
    </row>
    <row r="56" spans="1:26" customFormat="1">
      <c r="A56">
        <v>8922</v>
      </c>
      <c r="B56" t="s">
        <v>99</v>
      </c>
      <c r="C56" t="s">
        <v>99</v>
      </c>
      <c r="D56" s="143" t="s">
        <v>5</v>
      </c>
      <c r="E56" s="144">
        <v>43175.768692129626</v>
      </c>
      <c r="F56" s="297">
        <f t="shared" si="6"/>
        <v>43175.768692129626</v>
      </c>
      <c r="G56" s="298" t="str">
        <f t="shared" si="7"/>
        <v>18:26</v>
      </c>
      <c r="H56" s="299" t="str">
        <f t="shared" si="8"/>
        <v>-</v>
      </c>
      <c r="I56" s="300" t="str">
        <f t="shared" si="9"/>
        <v>-</v>
      </c>
      <c r="J56" s="300" t="str">
        <f t="shared" si="10"/>
        <v>-</v>
      </c>
      <c r="K56" s="301">
        <f t="shared" si="11"/>
        <v>0</v>
      </c>
      <c r="L56" s="301"/>
      <c r="M56" s="302">
        <f t="shared" si="12"/>
        <v>0</v>
      </c>
      <c r="N56" s="302">
        <f t="shared" si="13"/>
        <v>0</v>
      </c>
      <c r="O56" s="393"/>
      <c r="P56" s="307"/>
      <c r="Q56" s="9"/>
      <c r="R56" s="9"/>
      <c r="S56" s="9"/>
      <c r="X56" s="396"/>
      <c r="Y56" s="396"/>
      <c r="Z56" s="261"/>
    </row>
    <row r="57" spans="1:26" customFormat="1">
      <c r="A57">
        <v>8923</v>
      </c>
      <c r="B57" t="s">
        <v>99</v>
      </c>
      <c r="C57" t="s">
        <v>99</v>
      </c>
      <c r="D57" s="143" t="s">
        <v>7</v>
      </c>
      <c r="E57" s="144">
        <v>43175.76871527778</v>
      </c>
      <c r="F57" s="297">
        <f t="shared" si="6"/>
        <v>43175.76871527778</v>
      </c>
      <c r="G57" s="298" t="str">
        <f t="shared" si="7"/>
        <v>18:26</v>
      </c>
      <c r="H57" s="299" t="str">
        <f t="shared" si="8"/>
        <v>-</v>
      </c>
      <c r="I57" s="300" t="str">
        <f t="shared" si="9"/>
        <v>-</v>
      </c>
      <c r="J57" s="300" t="str">
        <f t="shared" si="10"/>
        <v>-</v>
      </c>
      <c r="K57" s="301">
        <f t="shared" si="11"/>
        <v>3.2999999999999989</v>
      </c>
      <c r="L57" s="301"/>
      <c r="M57" s="302">
        <f t="shared" si="12"/>
        <v>2</v>
      </c>
      <c r="N57" s="302">
        <f t="shared" si="13"/>
        <v>1.2999999999999989</v>
      </c>
      <c r="O57" s="393"/>
      <c r="P57" s="307"/>
      <c r="Q57" s="9"/>
      <c r="R57" s="9"/>
      <c r="S57" s="9"/>
      <c r="X57" s="396"/>
      <c r="Y57" s="396"/>
      <c r="Z57" s="261"/>
    </row>
    <row r="58" spans="1:26" customFormat="1">
      <c r="A58">
        <v>8939</v>
      </c>
      <c r="B58" t="s">
        <v>100</v>
      </c>
      <c r="C58" t="s">
        <v>99</v>
      </c>
      <c r="D58" s="143" t="s">
        <v>8</v>
      </c>
      <c r="E58" s="144">
        <v>43175.905902777777</v>
      </c>
      <c r="F58" s="297">
        <f t="shared" si="6"/>
        <v>43175.905902777777</v>
      </c>
      <c r="G58" s="298" t="str">
        <f t="shared" si="7"/>
        <v>21:44</v>
      </c>
      <c r="H58" s="299" t="str">
        <f>IF(D58="上班",(#REF!-G58)*24,"-")</f>
        <v>-</v>
      </c>
      <c r="I58" s="300" t="str">
        <f t="shared" si="9"/>
        <v>-</v>
      </c>
      <c r="J58" s="300" t="str">
        <f t="shared" si="10"/>
        <v>-</v>
      </c>
      <c r="K58" s="301">
        <f>IF(D58="加班",(#REF!-G58)*24,0)</f>
        <v>0</v>
      </c>
      <c r="L58" s="301"/>
      <c r="M58" s="302">
        <f t="shared" si="12"/>
        <v>0</v>
      </c>
      <c r="N58" s="302">
        <f t="shared" si="13"/>
        <v>0</v>
      </c>
      <c r="O58" s="393"/>
      <c r="P58" s="307"/>
      <c r="Q58" s="9"/>
      <c r="R58" s="9"/>
      <c r="S58" s="9"/>
      <c r="X58" s="396"/>
      <c r="Y58" s="396"/>
      <c r="Z58" s="261"/>
    </row>
    <row r="59" spans="1:26" customFormat="1">
      <c r="A59">
        <v>8949</v>
      </c>
      <c r="B59" t="s">
        <v>99</v>
      </c>
      <c r="C59" t="s">
        <v>99</v>
      </c>
      <c r="D59" s="143" t="s">
        <v>7</v>
      </c>
      <c r="E59" s="144">
        <v>43176.453634259262</v>
      </c>
      <c r="F59" s="297">
        <f t="shared" si="6"/>
        <v>43176.453634259262</v>
      </c>
      <c r="G59" s="298" t="str">
        <f t="shared" si="7"/>
        <v>10:53</v>
      </c>
      <c r="H59" s="299" t="str">
        <f t="shared" si="8"/>
        <v>-</v>
      </c>
      <c r="I59" s="300" t="str">
        <f t="shared" si="9"/>
        <v>-</v>
      </c>
      <c r="J59" s="300" t="str">
        <f t="shared" si="10"/>
        <v>-</v>
      </c>
      <c r="K59" s="301">
        <f t="shared" si="11"/>
        <v>4.2999999999999989</v>
      </c>
      <c r="L59" s="301"/>
      <c r="M59" s="302">
        <f t="shared" si="12"/>
        <v>2</v>
      </c>
      <c r="N59" s="302">
        <f t="shared" si="13"/>
        <v>2.2999999999999989</v>
      </c>
      <c r="O59" s="393"/>
      <c r="P59" s="307"/>
      <c r="Q59" s="9"/>
      <c r="R59" s="9"/>
      <c r="S59" s="9"/>
      <c r="X59" s="396"/>
      <c r="Y59" s="396"/>
      <c r="Z59" s="261"/>
    </row>
    <row r="60" spans="1:26" customFormat="1">
      <c r="A60">
        <v>8962</v>
      </c>
      <c r="B60" t="s">
        <v>99</v>
      </c>
      <c r="C60" t="s">
        <v>99</v>
      </c>
      <c r="D60" s="143" t="s">
        <v>8</v>
      </c>
      <c r="E60" s="144">
        <v>43176.633009259262</v>
      </c>
      <c r="F60" s="297">
        <f t="shared" si="6"/>
        <v>43176.633009259262</v>
      </c>
      <c r="G60" s="298" t="str">
        <f t="shared" si="7"/>
        <v>15:11</v>
      </c>
      <c r="H60" s="299" t="str">
        <f t="shared" si="8"/>
        <v>-</v>
      </c>
      <c r="I60" s="300" t="str">
        <f t="shared" si="9"/>
        <v>-</v>
      </c>
      <c r="J60" s="300" t="str">
        <f t="shared" si="10"/>
        <v>-</v>
      </c>
      <c r="K60" s="301">
        <f t="shared" si="11"/>
        <v>0</v>
      </c>
      <c r="L60" s="301"/>
      <c r="M60" s="302">
        <f t="shared" si="12"/>
        <v>0</v>
      </c>
      <c r="N60" s="302">
        <f t="shared" si="13"/>
        <v>0</v>
      </c>
      <c r="O60" s="393"/>
      <c r="P60" s="307"/>
      <c r="Q60" s="9"/>
      <c r="R60" s="9"/>
      <c r="S60" s="9"/>
      <c r="X60" s="396"/>
      <c r="Y60" s="396"/>
      <c r="Z60" s="261"/>
    </row>
    <row r="61" spans="1:26" customFormat="1">
      <c r="A61">
        <v>8974</v>
      </c>
      <c r="B61" t="s">
        <v>99</v>
      </c>
      <c r="C61" t="s">
        <v>99</v>
      </c>
      <c r="D61" s="143" t="s">
        <v>6</v>
      </c>
      <c r="E61" s="144">
        <v>43178.364537037036</v>
      </c>
      <c r="F61" s="297">
        <f t="shared" si="6"/>
        <v>43178.364537037036</v>
      </c>
      <c r="G61" s="298" t="str">
        <f t="shared" si="7"/>
        <v>8:44</v>
      </c>
      <c r="H61" s="299">
        <f t="shared" si="8"/>
        <v>9.6833333333333353</v>
      </c>
      <c r="I61" s="300">
        <f t="shared" si="9"/>
        <v>8</v>
      </c>
      <c r="J61" s="300" t="str">
        <f t="shared" si="10"/>
        <v>-</v>
      </c>
      <c r="K61" s="301">
        <f t="shared" si="11"/>
        <v>0</v>
      </c>
      <c r="L61" s="301"/>
      <c r="M61" s="302">
        <f t="shared" si="12"/>
        <v>0</v>
      </c>
      <c r="N61" s="302">
        <f t="shared" si="13"/>
        <v>0</v>
      </c>
      <c r="O61" s="393"/>
      <c r="P61" s="307"/>
      <c r="Q61" s="9"/>
      <c r="R61" s="9"/>
      <c r="S61" s="9"/>
      <c r="X61" s="396"/>
      <c r="Y61" s="396"/>
      <c r="Z61" s="261"/>
    </row>
    <row r="62" spans="1:26" s="9" customFormat="1">
      <c r="A62">
        <v>8986</v>
      </c>
      <c r="B62" t="s">
        <v>99</v>
      </c>
      <c r="C62" t="s">
        <v>99</v>
      </c>
      <c r="D62" s="143" t="s">
        <v>5</v>
      </c>
      <c r="E62" s="144">
        <v>43178.767708333333</v>
      </c>
      <c r="F62" s="297">
        <f t="shared" si="6"/>
        <v>43178.767708333333</v>
      </c>
      <c r="G62" s="298" t="str">
        <f t="shared" si="7"/>
        <v>18:25</v>
      </c>
      <c r="H62" s="299" t="str">
        <f t="shared" si="8"/>
        <v>-</v>
      </c>
      <c r="I62" s="300" t="str">
        <f t="shared" si="9"/>
        <v>-</v>
      </c>
      <c r="J62" s="300" t="str">
        <f t="shared" si="10"/>
        <v>-</v>
      </c>
      <c r="K62" s="301">
        <f t="shared" si="11"/>
        <v>0</v>
      </c>
      <c r="L62" s="301"/>
      <c r="M62" s="302">
        <f t="shared" si="12"/>
        <v>0</v>
      </c>
      <c r="N62" s="302">
        <f t="shared" si="13"/>
        <v>0</v>
      </c>
      <c r="O62" s="393"/>
      <c r="P62" s="307"/>
      <c r="T62"/>
      <c r="U62"/>
      <c r="V62"/>
      <c r="W62"/>
      <c r="X62" s="396"/>
      <c r="Y62" s="396"/>
      <c r="Z62" s="261"/>
    </row>
    <row r="63" spans="1:26" s="9" customFormat="1">
      <c r="A63">
        <v>8988</v>
      </c>
      <c r="B63" t="s">
        <v>99</v>
      </c>
      <c r="C63" t="s">
        <v>99</v>
      </c>
      <c r="D63" s="143" t="s">
        <v>7</v>
      </c>
      <c r="E63" s="144">
        <v>43178.768101851849</v>
      </c>
      <c r="F63" s="297">
        <f t="shared" si="6"/>
        <v>43178.768101851849</v>
      </c>
      <c r="G63" s="298" t="str">
        <f t="shared" si="7"/>
        <v>18:26</v>
      </c>
      <c r="H63" s="299" t="str">
        <f t="shared" si="8"/>
        <v>-</v>
      </c>
      <c r="I63" s="300" t="str">
        <f t="shared" si="9"/>
        <v>-</v>
      </c>
      <c r="J63" s="300" t="str">
        <f t="shared" si="10"/>
        <v>-</v>
      </c>
      <c r="K63" s="301">
        <f t="shared" si="11"/>
        <v>3.4999999999999982</v>
      </c>
      <c r="L63" s="301"/>
      <c r="M63" s="302">
        <f t="shared" si="12"/>
        <v>2</v>
      </c>
      <c r="N63" s="302">
        <f t="shared" si="13"/>
        <v>1.4999999999999982</v>
      </c>
      <c r="O63" s="393"/>
      <c r="P63" s="307"/>
      <c r="T63"/>
      <c r="U63"/>
      <c r="V63"/>
      <c r="W63"/>
      <c r="X63" s="396"/>
      <c r="Y63" s="396"/>
      <c r="Z63" s="261"/>
    </row>
    <row r="64" spans="1:26" s="9" customFormat="1">
      <c r="A64">
        <v>9007</v>
      </c>
      <c r="B64" t="s">
        <v>99</v>
      </c>
      <c r="C64" t="s">
        <v>99</v>
      </c>
      <c r="D64" s="143" t="s">
        <v>8</v>
      </c>
      <c r="E64" s="144">
        <v>43178.914525462962</v>
      </c>
      <c r="F64" s="297">
        <f t="shared" si="6"/>
        <v>43178.914525462962</v>
      </c>
      <c r="G64" s="298" t="str">
        <f t="shared" si="7"/>
        <v>21:56</v>
      </c>
      <c r="H64" s="299" t="str">
        <f t="shared" si="8"/>
        <v>-</v>
      </c>
      <c r="I64" s="300" t="str">
        <f t="shared" si="9"/>
        <v>-</v>
      </c>
      <c r="J64" s="300" t="str">
        <f t="shared" si="10"/>
        <v>-</v>
      </c>
      <c r="K64" s="301">
        <f t="shared" si="11"/>
        <v>0</v>
      </c>
      <c r="L64" s="301"/>
      <c r="M64" s="302">
        <f t="shared" si="12"/>
        <v>0</v>
      </c>
      <c r="N64" s="302">
        <f t="shared" si="13"/>
        <v>0</v>
      </c>
      <c r="O64" s="393"/>
      <c r="P64" s="307"/>
      <c r="T64"/>
      <c r="U64"/>
      <c r="V64"/>
      <c r="W64"/>
      <c r="X64" s="396"/>
      <c r="Y64" s="396"/>
      <c r="Z64" s="261"/>
    </row>
    <row r="65" spans="1:26" s="9" customFormat="1">
      <c r="A65">
        <v>9008</v>
      </c>
      <c r="B65" t="s">
        <v>99</v>
      </c>
      <c r="C65" t="s">
        <v>99</v>
      </c>
      <c r="D65" s="143" t="s">
        <v>6</v>
      </c>
      <c r="E65" s="144">
        <v>43179.361250000002</v>
      </c>
      <c r="F65" s="297">
        <f t="shared" si="6"/>
        <v>43179.361250000002</v>
      </c>
      <c r="G65" s="298" t="str">
        <f t="shared" si="7"/>
        <v>8:40</v>
      </c>
      <c r="H65" s="299">
        <f t="shared" si="8"/>
        <v>9.7999999999999989</v>
      </c>
      <c r="I65" s="300">
        <f t="shared" si="9"/>
        <v>8</v>
      </c>
      <c r="J65" s="300" t="str">
        <f t="shared" si="10"/>
        <v>-</v>
      </c>
      <c r="K65" s="301">
        <f t="shared" si="11"/>
        <v>0</v>
      </c>
      <c r="L65" s="301"/>
      <c r="M65" s="302">
        <f t="shared" si="12"/>
        <v>0</v>
      </c>
      <c r="N65" s="302">
        <f t="shared" si="13"/>
        <v>0</v>
      </c>
      <c r="O65" s="393"/>
      <c r="P65" s="307"/>
      <c r="T65"/>
      <c r="U65"/>
      <c r="V65"/>
      <c r="W65"/>
      <c r="X65" s="396"/>
      <c r="Y65" s="396"/>
      <c r="Z65" s="261"/>
    </row>
    <row r="66" spans="1:26" s="9" customFormat="1">
      <c r="A66">
        <v>9027</v>
      </c>
      <c r="B66" t="s">
        <v>99</v>
      </c>
      <c r="C66" t="s">
        <v>99</v>
      </c>
      <c r="D66" s="143" t="s">
        <v>5</v>
      </c>
      <c r="E66" s="144">
        <v>43179.769803240742</v>
      </c>
      <c r="F66" s="297">
        <f t="shared" si="6"/>
        <v>43179.769803240742</v>
      </c>
      <c r="G66" s="298" t="str">
        <f t="shared" si="7"/>
        <v>18:28</v>
      </c>
      <c r="H66" s="299" t="str">
        <f t="shared" si="8"/>
        <v>-</v>
      </c>
      <c r="I66" s="300" t="str">
        <f t="shared" si="9"/>
        <v>-</v>
      </c>
      <c r="J66" s="300" t="str">
        <f t="shared" si="10"/>
        <v>-</v>
      </c>
      <c r="K66" s="301">
        <f t="shared" si="11"/>
        <v>0</v>
      </c>
      <c r="L66" s="301"/>
      <c r="M66" s="302">
        <f t="shared" si="12"/>
        <v>0</v>
      </c>
      <c r="N66" s="302">
        <f t="shared" si="13"/>
        <v>0</v>
      </c>
      <c r="O66" s="393"/>
      <c r="P66" s="307"/>
      <c r="T66"/>
      <c r="U66"/>
      <c r="V66"/>
      <c r="W66"/>
      <c r="X66" s="396"/>
      <c r="Y66" s="396"/>
      <c r="Z66" s="261"/>
    </row>
    <row r="67" spans="1:26" s="9" customFormat="1">
      <c r="A67">
        <v>9028</v>
      </c>
      <c r="B67" t="s">
        <v>99</v>
      </c>
      <c r="C67" t="s">
        <v>99</v>
      </c>
      <c r="D67" s="143" t="s">
        <v>7</v>
      </c>
      <c r="E67" s="144">
        <v>43179.769837962966</v>
      </c>
      <c r="F67" s="297">
        <f t="shared" si="6"/>
        <v>43179.769837962966</v>
      </c>
      <c r="G67" s="298" t="str">
        <f t="shared" si="7"/>
        <v>18:28</v>
      </c>
      <c r="H67" s="299" t="str">
        <f t="shared" si="8"/>
        <v>-</v>
      </c>
      <c r="I67" s="300" t="str">
        <f t="shared" si="9"/>
        <v>-</v>
      </c>
      <c r="J67" s="300" t="str">
        <f t="shared" si="10"/>
        <v>-</v>
      </c>
      <c r="K67" s="301">
        <f t="shared" si="11"/>
        <v>0.21666666666666856</v>
      </c>
      <c r="L67" s="301"/>
      <c r="M67" s="301"/>
      <c r="N67" s="302">
        <f>IF(K67&gt;2,2,K67)</f>
        <v>0.21666666666666856</v>
      </c>
      <c r="O67" s="393"/>
      <c r="P67" s="307"/>
      <c r="T67"/>
      <c r="U67"/>
      <c r="V67"/>
      <c r="W67"/>
      <c r="X67" s="396"/>
      <c r="Y67" s="396"/>
      <c r="Z67" s="261"/>
    </row>
    <row r="68" spans="1:26" s="9" customFormat="1">
      <c r="A68">
        <v>9034</v>
      </c>
      <c r="B68" t="s">
        <v>99</v>
      </c>
      <c r="C68" t="s">
        <v>99</v>
      </c>
      <c r="D68" s="143" t="s">
        <v>8</v>
      </c>
      <c r="E68" s="144">
        <v>43179.778877314813</v>
      </c>
      <c r="F68" s="297">
        <f t="shared" si="6"/>
        <v>43179.778877314813</v>
      </c>
      <c r="G68" s="298" t="str">
        <f t="shared" si="7"/>
        <v>18:41</v>
      </c>
      <c r="H68" s="299" t="str">
        <f t="shared" si="8"/>
        <v>-</v>
      </c>
      <c r="I68" s="300" t="str">
        <f t="shared" si="9"/>
        <v>-</v>
      </c>
      <c r="J68" s="300" t="str">
        <f t="shared" si="10"/>
        <v>-</v>
      </c>
      <c r="K68" s="301">
        <f t="shared" si="11"/>
        <v>0</v>
      </c>
      <c r="L68" s="301"/>
      <c r="M68" s="301"/>
      <c r="N68" s="302">
        <f t="shared" si="13"/>
        <v>0</v>
      </c>
      <c r="O68" s="393"/>
      <c r="P68" s="307"/>
      <c r="T68"/>
      <c r="U68"/>
      <c r="V68"/>
      <c r="W68"/>
      <c r="X68" s="396"/>
      <c r="Y68" s="396"/>
      <c r="Z68" s="261"/>
    </row>
    <row r="69" spans="1:26" s="9" customFormat="1">
      <c r="A69">
        <v>9039</v>
      </c>
      <c r="B69" t="s">
        <v>99</v>
      </c>
      <c r="C69" t="s">
        <v>99</v>
      </c>
      <c r="D69" s="143" t="s">
        <v>7</v>
      </c>
      <c r="E69" s="144">
        <v>43179.799328703702</v>
      </c>
      <c r="F69" s="297">
        <f t="shared" ref="F69:F102" si="22">E69</f>
        <v>43179.799328703702</v>
      </c>
      <c r="G69" s="298" t="str">
        <f t="shared" ref="G69:G102" si="23">HOUR(E69)&amp;":"&amp;MINUTE(E69)</f>
        <v>19:11</v>
      </c>
      <c r="H69" s="299" t="str">
        <f t="shared" ref="H69:H102" si="24">IF(D69="上班",(G70-G69)*24,"-")</f>
        <v>-</v>
      </c>
      <c r="I69" s="300" t="str">
        <f t="shared" ref="I69:I102" si="25">IF(D69="上班",IF(H69-1.5&gt;8,8,H69-1.5),"-")</f>
        <v>-</v>
      </c>
      <c r="J69" s="300" t="str">
        <f t="shared" ref="J69:J102" si="26">IF(I69&lt;8,8-I69,"-")</f>
        <v>-</v>
      </c>
      <c r="K69" s="301">
        <f t="shared" ref="K69:K102" si="27">IF(D69="加班",(G70-G69)*24,0)</f>
        <v>2.0333333333333314</v>
      </c>
      <c r="L69" s="301"/>
      <c r="M69" s="302">
        <f t="shared" ref="M69:M102" si="28">IF(K69&gt;2,2,K69)</f>
        <v>2</v>
      </c>
      <c r="N69" s="302">
        <f t="shared" ref="N69:N102" si="29">IF(K69&gt;2,K69-2,0)</f>
        <v>3.3333333333331439E-2</v>
      </c>
      <c r="O69" s="393"/>
      <c r="P69" s="307"/>
      <c r="T69"/>
      <c r="U69"/>
      <c r="V69"/>
      <c r="W69"/>
      <c r="X69" s="396"/>
      <c r="Y69" s="396"/>
      <c r="Z69" s="261"/>
    </row>
    <row r="70" spans="1:26">
      <c r="A70">
        <v>9044</v>
      </c>
      <c r="B70" t="s">
        <v>99</v>
      </c>
      <c r="C70" t="s">
        <v>99</v>
      </c>
      <c r="D70" s="143" t="s">
        <v>8</v>
      </c>
      <c r="E70" s="144">
        <v>43179.884421296294</v>
      </c>
      <c r="F70" s="297">
        <f t="shared" si="22"/>
        <v>43179.884421296294</v>
      </c>
      <c r="G70" s="298" t="str">
        <f t="shared" si="23"/>
        <v>21:13</v>
      </c>
      <c r="H70" s="299" t="str">
        <f t="shared" si="24"/>
        <v>-</v>
      </c>
      <c r="I70" s="300" t="str">
        <f t="shared" si="25"/>
        <v>-</v>
      </c>
      <c r="J70" s="300" t="str">
        <f t="shared" si="26"/>
        <v>-</v>
      </c>
      <c r="K70" s="301">
        <f t="shared" si="27"/>
        <v>0</v>
      </c>
      <c r="L70" s="301"/>
      <c r="M70" s="302">
        <f t="shared" si="28"/>
        <v>0</v>
      </c>
      <c r="N70" s="302">
        <f t="shared" si="29"/>
        <v>0</v>
      </c>
      <c r="O70" s="393"/>
    </row>
    <row r="71" spans="1:26">
      <c r="A71">
        <v>9046</v>
      </c>
      <c r="B71" t="s">
        <v>99</v>
      </c>
      <c r="C71" t="s">
        <v>99</v>
      </c>
      <c r="D71" s="143" t="s">
        <v>6</v>
      </c>
      <c r="E71" s="144">
        <v>43180.363136574073</v>
      </c>
      <c r="F71" s="297">
        <f t="shared" si="22"/>
        <v>43180.363136574073</v>
      </c>
      <c r="G71" s="298" t="str">
        <f t="shared" si="23"/>
        <v>8:42</v>
      </c>
      <c r="H71" s="299">
        <f t="shared" si="24"/>
        <v>9.8000000000000007</v>
      </c>
      <c r="I71" s="300">
        <f t="shared" si="25"/>
        <v>8</v>
      </c>
      <c r="J71" s="300" t="str">
        <f t="shared" si="26"/>
        <v>-</v>
      </c>
      <c r="K71" s="301">
        <f t="shared" si="27"/>
        <v>0</v>
      </c>
      <c r="L71" s="301"/>
      <c r="M71" s="302">
        <f t="shared" si="28"/>
        <v>0</v>
      </c>
      <c r="N71" s="302">
        <f t="shared" si="29"/>
        <v>0</v>
      </c>
      <c r="O71" s="393"/>
    </row>
    <row r="72" spans="1:26">
      <c r="A72">
        <v>9066</v>
      </c>
      <c r="B72" t="s">
        <v>99</v>
      </c>
      <c r="C72" t="s">
        <v>99</v>
      </c>
      <c r="D72" s="143" t="s">
        <v>5</v>
      </c>
      <c r="E72" s="144">
        <v>43180.771122685182</v>
      </c>
      <c r="F72" s="297">
        <f t="shared" si="22"/>
        <v>43180.771122685182</v>
      </c>
      <c r="G72" s="298" t="str">
        <f t="shared" si="23"/>
        <v>18:30</v>
      </c>
      <c r="H72" s="299" t="str">
        <f t="shared" si="24"/>
        <v>-</v>
      </c>
      <c r="I72" s="300" t="str">
        <f t="shared" si="25"/>
        <v>-</v>
      </c>
      <c r="J72" s="300" t="str">
        <f t="shared" si="26"/>
        <v>-</v>
      </c>
      <c r="K72" s="301">
        <f t="shared" si="27"/>
        <v>0</v>
      </c>
      <c r="L72" s="301"/>
      <c r="M72" s="302">
        <f t="shared" si="28"/>
        <v>0</v>
      </c>
      <c r="N72" s="302">
        <f t="shared" si="29"/>
        <v>0</v>
      </c>
      <c r="O72" s="393"/>
    </row>
    <row r="73" spans="1:26">
      <c r="A73">
        <v>9085</v>
      </c>
      <c r="B73" t="s">
        <v>99</v>
      </c>
      <c r="C73" t="s">
        <v>99</v>
      </c>
      <c r="D73" s="143" t="s">
        <v>6</v>
      </c>
      <c r="E73" s="144">
        <v>43181.364212962966</v>
      </c>
      <c r="F73" s="297">
        <f t="shared" si="22"/>
        <v>43181.364212962966</v>
      </c>
      <c r="G73" s="298" t="str">
        <f t="shared" si="23"/>
        <v>8:44</v>
      </c>
      <c r="H73" s="299">
        <f t="shared" si="24"/>
        <v>9.5833333333333321</v>
      </c>
      <c r="I73" s="300">
        <f t="shared" si="25"/>
        <v>8</v>
      </c>
      <c r="J73" s="300" t="str">
        <f t="shared" si="26"/>
        <v>-</v>
      </c>
      <c r="K73" s="301">
        <f t="shared" si="27"/>
        <v>0</v>
      </c>
      <c r="L73" s="301"/>
      <c r="M73" s="302">
        <f t="shared" si="28"/>
        <v>0</v>
      </c>
      <c r="N73" s="302">
        <f t="shared" si="29"/>
        <v>0</v>
      </c>
      <c r="O73" s="393"/>
    </row>
    <row r="74" spans="1:26">
      <c r="A74">
        <v>9094</v>
      </c>
      <c r="B74" t="s">
        <v>99</v>
      </c>
      <c r="C74" t="s">
        <v>99</v>
      </c>
      <c r="D74" s="143" t="s">
        <v>5</v>
      </c>
      <c r="E74" s="144">
        <v>43181.763807870368</v>
      </c>
      <c r="F74" s="297">
        <f t="shared" si="22"/>
        <v>43181.763807870368</v>
      </c>
      <c r="G74" s="298" t="str">
        <f t="shared" si="23"/>
        <v>18:19</v>
      </c>
      <c r="H74" s="299" t="str">
        <f t="shared" si="24"/>
        <v>-</v>
      </c>
      <c r="I74" s="300" t="str">
        <f t="shared" si="25"/>
        <v>-</v>
      </c>
      <c r="J74" s="300" t="str">
        <f t="shared" si="26"/>
        <v>-</v>
      </c>
      <c r="K74" s="301">
        <f t="shared" si="27"/>
        <v>0</v>
      </c>
      <c r="L74" s="301"/>
      <c r="M74" s="302">
        <f t="shared" si="28"/>
        <v>0</v>
      </c>
      <c r="N74" s="302">
        <f t="shared" si="29"/>
        <v>0</v>
      </c>
      <c r="O74" s="393"/>
    </row>
    <row r="75" spans="1:26">
      <c r="A75">
        <v>9095</v>
      </c>
      <c r="B75" t="s">
        <v>99</v>
      </c>
      <c r="C75" t="s">
        <v>99</v>
      </c>
      <c r="D75" s="143" t="s">
        <v>7</v>
      </c>
      <c r="E75" s="144">
        <v>43181.764016203706</v>
      </c>
      <c r="F75" s="297">
        <f t="shared" si="22"/>
        <v>43181.764016203706</v>
      </c>
      <c r="G75" s="298" t="str">
        <f t="shared" si="23"/>
        <v>18:20</v>
      </c>
      <c r="H75" s="299" t="str">
        <f t="shared" si="24"/>
        <v>-</v>
      </c>
      <c r="I75" s="300" t="str">
        <f t="shared" si="25"/>
        <v>-</v>
      </c>
      <c r="J75" s="300" t="str">
        <f t="shared" si="26"/>
        <v>-</v>
      </c>
      <c r="K75" s="301">
        <f t="shared" si="27"/>
        <v>0.50000000000000089</v>
      </c>
      <c r="L75" s="301"/>
      <c r="M75" s="301"/>
      <c r="N75" s="302">
        <f>IF(K75&gt;2,2,K75)</f>
        <v>0.50000000000000089</v>
      </c>
      <c r="O75" s="393"/>
    </row>
    <row r="76" spans="1:26">
      <c r="A76">
        <v>9101</v>
      </c>
      <c r="B76" t="s">
        <v>99</v>
      </c>
      <c r="C76" t="s">
        <v>99</v>
      </c>
      <c r="D76" s="143" t="s">
        <v>8</v>
      </c>
      <c r="E76" s="144">
        <v>43181.784907407404</v>
      </c>
      <c r="F76" s="297">
        <f t="shared" si="22"/>
        <v>43181.784907407404</v>
      </c>
      <c r="G76" s="298" t="str">
        <f t="shared" si="23"/>
        <v>18:50</v>
      </c>
      <c r="H76" s="299" t="str">
        <f t="shared" si="24"/>
        <v>-</v>
      </c>
      <c r="I76" s="300" t="str">
        <f t="shared" si="25"/>
        <v>-</v>
      </c>
      <c r="J76" s="300" t="str">
        <f t="shared" si="26"/>
        <v>-</v>
      </c>
      <c r="K76" s="301">
        <f t="shared" si="27"/>
        <v>0</v>
      </c>
      <c r="L76" s="301"/>
      <c r="M76" s="301"/>
      <c r="N76" s="302">
        <f t="shared" si="29"/>
        <v>0</v>
      </c>
      <c r="O76" s="393"/>
    </row>
    <row r="77" spans="1:26">
      <c r="A77">
        <v>9103</v>
      </c>
      <c r="B77" t="s">
        <v>99</v>
      </c>
      <c r="C77" t="s">
        <v>99</v>
      </c>
      <c r="D77" s="143" t="s">
        <v>7</v>
      </c>
      <c r="E77" s="144">
        <v>43181.796006944445</v>
      </c>
      <c r="F77" s="297">
        <f t="shared" si="22"/>
        <v>43181.796006944445</v>
      </c>
      <c r="G77" s="298" t="str">
        <f t="shared" si="23"/>
        <v>19:6</v>
      </c>
      <c r="H77" s="299" t="str">
        <f t="shared" si="24"/>
        <v>-</v>
      </c>
      <c r="I77" s="300" t="str">
        <f t="shared" si="25"/>
        <v>-</v>
      </c>
      <c r="J77" s="300" t="str">
        <f t="shared" si="26"/>
        <v>-</v>
      </c>
      <c r="K77" s="301">
        <f t="shared" si="27"/>
        <v>3.3499999999999988</v>
      </c>
      <c r="L77" s="301"/>
      <c r="M77" s="302">
        <f t="shared" si="28"/>
        <v>2</v>
      </c>
      <c r="N77" s="302">
        <f t="shared" si="29"/>
        <v>1.3499999999999988</v>
      </c>
      <c r="O77" s="393"/>
    </row>
    <row r="78" spans="1:26">
      <c r="A78">
        <v>9114</v>
      </c>
      <c r="B78" t="s">
        <v>99</v>
      </c>
      <c r="C78" t="s">
        <v>99</v>
      </c>
      <c r="D78" s="143" t="s">
        <v>8</v>
      </c>
      <c r="E78" s="144">
        <v>43181.935682870368</v>
      </c>
      <c r="F78" s="297">
        <f t="shared" si="22"/>
        <v>43181.935682870368</v>
      </c>
      <c r="G78" s="298" t="str">
        <f t="shared" si="23"/>
        <v>22:27</v>
      </c>
      <c r="H78" s="299" t="str">
        <f t="shared" si="24"/>
        <v>-</v>
      </c>
      <c r="I78" s="300" t="str">
        <f t="shared" si="25"/>
        <v>-</v>
      </c>
      <c r="J78" s="300" t="str">
        <f t="shared" si="26"/>
        <v>-</v>
      </c>
      <c r="K78" s="301">
        <f t="shared" si="27"/>
        <v>0</v>
      </c>
      <c r="L78" s="301"/>
      <c r="M78" s="302">
        <f t="shared" si="28"/>
        <v>0</v>
      </c>
      <c r="N78" s="302">
        <f t="shared" si="29"/>
        <v>0</v>
      </c>
      <c r="O78" s="393"/>
    </row>
    <row r="79" spans="1:26">
      <c r="A79">
        <v>9117</v>
      </c>
      <c r="B79" t="s">
        <v>99</v>
      </c>
      <c r="C79" t="s">
        <v>99</v>
      </c>
      <c r="D79" s="143" t="s">
        <v>6</v>
      </c>
      <c r="E79" s="144">
        <v>43182.362407407411</v>
      </c>
      <c r="F79" s="297">
        <f t="shared" si="22"/>
        <v>43182.362407407411</v>
      </c>
      <c r="G79" s="298" t="str">
        <f t="shared" si="23"/>
        <v>8:41</v>
      </c>
      <c r="H79" s="299">
        <f t="shared" si="24"/>
        <v>9.7500000000000018</v>
      </c>
      <c r="I79" s="300">
        <f t="shared" si="25"/>
        <v>8</v>
      </c>
      <c r="J79" s="300" t="str">
        <f t="shared" si="26"/>
        <v>-</v>
      </c>
      <c r="K79" s="301">
        <f t="shared" si="27"/>
        <v>0</v>
      </c>
      <c r="L79" s="301"/>
      <c r="M79" s="302">
        <f t="shared" si="28"/>
        <v>0</v>
      </c>
      <c r="N79" s="302">
        <f t="shared" si="29"/>
        <v>0</v>
      </c>
      <c r="O79" s="393"/>
    </row>
    <row r="80" spans="1:26">
      <c r="A80">
        <v>9129</v>
      </c>
      <c r="B80" t="s">
        <v>99</v>
      </c>
      <c r="C80" t="s">
        <v>99</v>
      </c>
      <c r="D80" s="143" t="s">
        <v>5</v>
      </c>
      <c r="E80" s="144">
        <v>43182.768067129633</v>
      </c>
      <c r="F80" s="297">
        <f t="shared" si="22"/>
        <v>43182.768067129633</v>
      </c>
      <c r="G80" s="298" t="str">
        <f t="shared" si="23"/>
        <v>18:26</v>
      </c>
      <c r="H80" s="299" t="str">
        <f t="shared" si="24"/>
        <v>-</v>
      </c>
      <c r="I80" s="300" t="str">
        <f t="shared" si="25"/>
        <v>-</v>
      </c>
      <c r="J80" s="300" t="str">
        <f t="shared" si="26"/>
        <v>-</v>
      </c>
      <c r="K80" s="301">
        <f t="shared" si="27"/>
        <v>0</v>
      </c>
      <c r="L80" s="301"/>
      <c r="M80" s="302">
        <f t="shared" si="28"/>
        <v>0</v>
      </c>
      <c r="N80" s="302">
        <f t="shared" si="29"/>
        <v>0</v>
      </c>
      <c r="O80" s="393"/>
    </row>
    <row r="81" spans="1:25">
      <c r="A81">
        <v>9139</v>
      </c>
      <c r="B81" t="s">
        <v>99</v>
      </c>
      <c r="C81" t="s">
        <v>99</v>
      </c>
      <c r="D81" s="143" t="s">
        <v>6</v>
      </c>
      <c r="E81" s="144">
        <v>43185.363240740742</v>
      </c>
      <c r="F81" s="297">
        <f t="shared" si="22"/>
        <v>43185.363240740742</v>
      </c>
      <c r="G81" s="298" t="str">
        <f t="shared" si="23"/>
        <v>8:43</v>
      </c>
      <c r="H81" s="299">
        <f t="shared" si="24"/>
        <v>9.7000000000000011</v>
      </c>
      <c r="I81" s="300">
        <f t="shared" si="25"/>
        <v>8</v>
      </c>
      <c r="J81" s="300" t="str">
        <f t="shared" si="26"/>
        <v>-</v>
      </c>
      <c r="K81" s="301">
        <f t="shared" si="27"/>
        <v>0</v>
      </c>
      <c r="L81" s="301"/>
      <c r="M81" s="302">
        <f t="shared" si="28"/>
        <v>0</v>
      </c>
      <c r="N81" s="302">
        <f t="shared" si="29"/>
        <v>0</v>
      </c>
      <c r="O81" s="393"/>
    </row>
    <row r="82" spans="1:25">
      <c r="A82">
        <v>9149</v>
      </c>
      <c r="B82" t="s">
        <v>99</v>
      </c>
      <c r="C82" t="s">
        <v>99</v>
      </c>
      <c r="D82" s="143" t="s">
        <v>5</v>
      </c>
      <c r="E82" s="144">
        <v>43185.767858796295</v>
      </c>
      <c r="F82" s="297">
        <f t="shared" si="22"/>
        <v>43185.767858796295</v>
      </c>
      <c r="G82" s="298" t="str">
        <f t="shared" si="23"/>
        <v>18:25</v>
      </c>
      <c r="H82" s="299" t="str">
        <f t="shared" si="24"/>
        <v>-</v>
      </c>
      <c r="I82" s="300" t="str">
        <f t="shared" si="25"/>
        <v>-</v>
      </c>
      <c r="J82" s="300" t="str">
        <f t="shared" si="26"/>
        <v>-</v>
      </c>
      <c r="K82" s="301">
        <f t="shared" si="27"/>
        <v>0</v>
      </c>
      <c r="L82" s="301"/>
      <c r="M82" s="302">
        <f t="shared" si="28"/>
        <v>0</v>
      </c>
      <c r="N82" s="302">
        <f t="shared" si="29"/>
        <v>0</v>
      </c>
      <c r="O82" s="393"/>
      <c r="P82" s="261"/>
      <c r="Q82" s="261"/>
      <c r="R82" s="261"/>
      <c r="S82" s="261"/>
      <c r="T82" s="261"/>
      <c r="U82" s="261"/>
      <c r="V82" s="261"/>
      <c r="W82" s="261"/>
      <c r="X82" s="261"/>
      <c r="Y82" s="261"/>
    </row>
    <row r="83" spans="1:25">
      <c r="A83">
        <v>9150</v>
      </c>
      <c r="B83" t="s">
        <v>99</v>
      </c>
      <c r="C83" t="s">
        <v>99</v>
      </c>
      <c r="D83" s="143" t="s">
        <v>7</v>
      </c>
      <c r="E83" s="144">
        <v>43185.767893518518</v>
      </c>
      <c r="F83" s="297">
        <f t="shared" si="22"/>
        <v>43185.767893518518</v>
      </c>
      <c r="G83" s="298" t="str">
        <f t="shared" si="23"/>
        <v>18:25</v>
      </c>
      <c r="H83" s="299" t="str">
        <f t="shared" si="24"/>
        <v>-</v>
      </c>
      <c r="I83" s="300" t="str">
        <f t="shared" si="25"/>
        <v>-</v>
      </c>
      <c r="J83" s="300" t="str">
        <f t="shared" si="26"/>
        <v>-</v>
      </c>
      <c r="K83" s="301">
        <f t="shared" si="27"/>
        <v>1.5333333333333306</v>
      </c>
      <c r="L83" s="301"/>
      <c r="M83" s="302">
        <f t="shared" si="28"/>
        <v>1.5333333333333306</v>
      </c>
      <c r="N83" s="302">
        <f t="shared" si="29"/>
        <v>0</v>
      </c>
      <c r="O83" s="393"/>
      <c r="P83" s="261"/>
      <c r="Q83" s="261"/>
      <c r="R83" s="261"/>
      <c r="S83" s="261"/>
      <c r="T83" s="261"/>
      <c r="U83" s="261"/>
      <c r="V83" s="261"/>
      <c r="W83" s="261"/>
      <c r="X83" s="261"/>
      <c r="Y83" s="261"/>
    </row>
    <row r="84" spans="1:25">
      <c r="A84">
        <v>9159</v>
      </c>
      <c r="B84" t="s">
        <v>99</v>
      </c>
      <c r="C84" t="s">
        <v>99</v>
      </c>
      <c r="D84" s="143" t="s">
        <v>8</v>
      </c>
      <c r="E84" s="144">
        <v>43185.831516203703</v>
      </c>
      <c r="F84" s="297">
        <f t="shared" si="22"/>
        <v>43185.831516203703</v>
      </c>
      <c r="G84" s="298" t="str">
        <f t="shared" si="23"/>
        <v>19:57</v>
      </c>
      <c r="H84" s="299" t="str">
        <f t="shared" si="24"/>
        <v>-</v>
      </c>
      <c r="I84" s="300" t="str">
        <f t="shared" si="25"/>
        <v>-</v>
      </c>
      <c r="J84" s="300" t="str">
        <f t="shared" si="26"/>
        <v>-</v>
      </c>
      <c r="K84" s="301">
        <f t="shared" si="27"/>
        <v>0</v>
      </c>
      <c r="L84" s="301"/>
      <c r="M84" s="302">
        <f t="shared" si="28"/>
        <v>0</v>
      </c>
      <c r="N84" s="302">
        <f t="shared" si="29"/>
        <v>0</v>
      </c>
      <c r="O84" s="393"/>
      <c r="P84" s="261"/>
      <c r="Q84" s="261"/>
      <c r="R84" s="261"/>
      <c r="S84" s="261"/>
      <c r="T84" s="261"/>
      <c r="U84" s="261"/>
      <c r="V84" s="261"/>
      <c r="W84" s="261"/>
      <c r="X84" s="261"/>
      <c r="Y84" s="261"/>
    </row>
    <row r="85" spans="1:25">
      <c r="A85">
        <v>9165</v>
      </c>
      <c r="B85" t="s">
        <v>100</v>
      </c>
      <c r="C85" t="s">
        <v>99</v>
      </c>
      <c r="D85" s="143" t="s">
        <v>6</v>
      </c>
      <c r="E85" s="144">
        <v>43186.360995370371</v>
      </c>
      <c r="F85" s="297">
        <f t="shared" si="22"/>
        <v>43186.360995370371</v>
      </c>
      <c r="G85" s="298" t="str">
        <f t="shared" si="23"/>
        <v>8:39</v>
      </c>
      <c r="H85" s="299">
        <f t="shared" si="24"/>
        <v>9.9</v>
      </c>
      <c r="I85" s="300">
        <f t="shared" si="25"/>
        <v>8</v>
      </c>
      <c r="J85" s="300" t="str">
        <f t="shared" si="26"/>
        <v>-</v>
      </c>
      <c r="K85" s="301">
        <f t="shared" si="27"/>
        <v>0</v>
      </c>
      <c r="L85" s="301"/>
      <c r="M85" s="302">
        <f t="shared" si="28"/>
        <v>0</v>
      </c>
      <c r="N85" s="302">
        <f t="shared" si="29"/>
        <v>0</v>
      </c>
      <c r="O85" s="393"/>
      <c r="P85" s="261"/>
      <c r="Q85" s="261"/>
      <c r="R85" s="261"/>
      <c r="S85" s="261"/>
      <c r="T85" s="261"/>
      <c r="U85" s="261"/>
      <c r="V85" s="261"/>
      <c r="W85" s="261"/>
      <c r="X85" s="261"/>
      <c r="Y85" s="261"/>
    </row>
    <row r="86" spans="1:25">
      <c r="A86">
        <v>9174</v>
      </c>
      <c r="B86" t="s">
        <v>100</v>
      </c>
      <c r="C86" t="s">
        <v>99</v>
      </c>
      <c r="D86" s="143" t="s">
        <v>5</v>
      </c>
      <c r="E86" s="144">
        <v>43186.773194444446</v>
      </c>
      <c r="F86" s="297">
        <f t="shared" si="22"/>
        <v>43186.773194444446</v>
      </c>
      <c r="G86" s="298" t="str">
        <f t="shared" si="23"/>
        <v>18:33</v>
      </c>
      <c r="H86" s="299" t="str">
        <f t="shared" si="24"/>
        <v>-</v>
      </c>
      <c r="I86" s="300" t="str">
        <f t="shared" si="25"/>
        <v>-</v>
      </c>
      <c r="J86" s="300" t="str">
        <f t="shared" si="26"/>
        <v>-</v>
      </c>
      <c r="K86" s="301">
        <f t="shared" si="27"/>
        <v>0</v>
      </c>
      <c r="L86" s="301"/>
      <c r="M86" s="302">
        <f t="shared" si="28"/>
        <v>0</v>
      </c>
      <c r="N86" s="302">
        <f t="shared" si="29"/>
        <v>0</v>
      </c>
      <c r="O86" s="393"/>
      <c r="P86" s="261"/>
      <c r="Q86" s="261"/>
      <c r="R86" s="261"/>
      <c r="S86" s="261"/>
      <c r="T86" s="261"/>
      <c r="U86" s="261"/>
      <c r="V86" s="261"/>
      <c r="W86" s="261"/>
      <c r="X86" s="261"/>
      <c r="Y86" s="261"/>
    </row>
    <row r="87" spans="1:25">
      <c r="A87">
        <v>9175</v>
      </c>
      <c r="B87" t="s">
        <v>100</v>
      </c>
      <c r="C87" t="s">
        <v>99</v>
      </c>
      <c r="D87" s="143" t="s">
        <v>7</v>
      </c>
      <c r="E87" s="144">
        <v>43186.773252314815</v>
      </c>
      <c r="F87" s="297">
        <f t="shared" si="22"/>
        <v>43186.773252314815</v>
      </c>
      <c r="G87" s="298" t="str">
        <f t="shared" si="23"/>
        <v>18:33</v>
      </c>
      <c r="H87" s="299" t="str">
        <f t="shared" si="24"/>
        <v>-</v>
      </c>
      <c r="I87" s="300" t="str">
        <f t="shared" si="25"/>
        <v>-</v>
      </c>
      <c r="J87" s="300" t="str">
        <f t="shared" si="26"/>
        <v>-</v>
      </c>
      <c r="K87" s="301">
        <f t="shared" si="27"/>
        <v>1.5</v>
      </c>
      <c r="L87" s="301"/>
      <c r="M87" s="302">
        <f t="shared" si="28"/>
        <v>1.5</v>
      </c>
      <c r="N87" s="302">
        <f t="shared" si="29"/>
        <v>0</v>
      </c>
      <c r="O87" s="393"/>
      <c r="P87" s="261"/>
      <c r="Q87" s="261"/>
      <c r="R87" s="261"/>
      <c r="S87" s="261"/>
      <c r="T87" s="261"/>
      <c r="U87" s="261"/>
      <c r="V87" s="261"/>
      <c r="W87" s="261"/>
      <c r="X87" s="261"/>
      <c r="Y87" s="261"/>
    </row>
    <row r="88" spans="1:25">
      <c r="A88">
        <v>9187</v>
      </c>
      <c r="B88" t="s">
        <v>99</v>
      </c>
      <c r="C88" t="s">
        <v>99</v>
      </c>
      <c r="D88" s="143" t="s">
        <v>8</v>
      </c>
      <c r="E88" s="144">
        <v>43186.835428240738</v>
      </c>
      <c r="F88" s="297">
        <f t="shared" si="22"/>
        <v>43186.835428240738</v>
      </c>
      <c r="G88" s="298" t="str">
        <f t="shared" si="23"/>
        <v>20:3</v>
      </c>
      <c r="H88" s="299" t="str">
        <f t="shared" si="24"/>
        <v>-</v>
      </c>
      <c r="I88" s="300" t="str">
        <f t="shared" si="25"/>
        <v>-</v>
      </c>
      <c r="J88" s="300" t="str">
        <f t="shared" si="26"/>
        <v>-</v>
      </c>
      <c r="K88" s="301">
        <f t="shared" si="27"/>
        <v>0</v>
      </c>
      <c r="L88" s="301"/>
      <c r="M88" s="302">
        <f t="shared" si="28"/>
        <v>0</v>
      </c>
      <c r="N88" s="302">
        <f t="shared" si="29"/>
        <v>0</v>
      </c>
      <c r="O88" s="393"/>
      <c r="P88" s="261"/>
      <c r="Q88" s="261"/>
      <c r="R88" s="261"/>
      <c r="S88" s="261"/>
      <c r="T88" s="261"/>
      <c r="U88" s="261"/>
      <c r="V88" s="261"/>
      <c r="W88" s="261"/>
      <c r="X88" s="261"/>
      <c r="Y88" s="261"/>
    </row>
    <row r="89" spans="1:25">
      <c r="A89">
        <v>9191</v>
      </c>
      <c r="B89" t="s">
        <v>99</v>
      </c>
      <c r="C89" t="s">
        <v>99</v>
      </c>
      <c r="D89" s="143" t="s">
        <v>6</v>
      </c>
      <c r="E89" s="144">
        <v>43187.357928240737</v>
      </c>
      <c r="F89" s="297">
        <f t="shared" si="22"/>
        <v>43187.357928240737</v>
      </c>
      <c r="G89" s="298" t="str">
        <f t="shared" si="23"/>
        <v>8:35</v>
      </c>
      <c r="H89" s="299">
        <f t="shared" si="24"/>
        <v>9.9166666666666679</v>
      </c>
      <c r="I89" s="300">
        <f t="shared" si="25"/>
        <v>8</v>
      </c>
      <c r="J89" s="300" t="str">
        <f t="shared" si="26"/>
        <v>-</v>
      </c>
      <c r="K89" s="301">
        <f t="shared" si="27"/>
        <v>0</v>
      </c>
      <c r="L89" s="301"/>
      <c r="M89" s="302">
        <f t="shared" si="28"/>
        <v>0</v>
      </c>
      <c r="N89" s="302">
        <f t="shared" si="29"/>
        <v>0</v>
      </c>
      <c r="O89" s="393"/>
      <c r="P89" s="261"/>
      <c r="Q89" s="261"/>
      <c r="R89" s="261"/>
      <c r="S89" s="261"/>
      <c r="T89" s="261"/>
      <c r="U89" s="261"/>
      <c r="V89" s="261"/>
      <c r="W89" s="261"/>
      <c r="X89" s="261"/>
      <c r="Y89" s="261"/>
    </row>
    <row r="90" spans="1:25">
      <c r="A90">
        <v>9209</v>
      </c>
      <c r="B90" t="s">
        <v>99</v>
      </c>
      <c r="C90" t="s">
        <v>99</v>
      </c>
      <c r="D90" s="143" t="s">
        <v>5</v>
      </c>
      <c r="E90" s="144">
        <v>43187.771469907406</v>
      </c>
      <c r="F90" s="297">
        <f t="shared" si="22"/>
        <v>43187.771469907406</v>
      </c>
      <c r="G90" s="298" t="str">
        <f t="shared" si="23"/>
        <v>18:30</v>
      </c>
      <c r="H90" s="299" t="str">
        <f t="shared" si="24"/>
        <v>-</v>
      </c>
      <c r="I90" s="300" t="str">
        <f t="shared" si="25"/>
        <v>-</v>
      </c>
      <c r="J90" s="300" t="str">
        <f t="shared" si="26"/>
        <v>-</v>
      </c>
      <c r="K90" s="301">
        <f t="shared" si="27"/>
        <v>0</v>
      </c>
      <c r="L90" s="301"/>
      <c r="M90" s="302">
        <f t="shared" si="28"/>
        <v>0</v>
      </c>
      <c r="N90" s="302">
        <f t="shared" si="29"/>
        <v>0</v>
      </c>
      <c r="O90" s="393"/>
      <c r="P90" s="261"/>
      <c r="Q90" s="261"/>
      <c r="R90" s="261"/>
      <c r="S90" s="261"/>
      <c r="T90" s="261"/>
      <c r="U90" s="261"/>
      <c r="V90" s="261"/>
      <c r="W90" s="261"/>
      <c r="X90" s="261"/>
      <c r="Y90" s="261"/>
    </row>
    <row r="91" spans="1:25">
      <c r="A91">
        <v>9210</v>
      </c>
      <c r="B91" t="s">
        <v>99</v>
      </c>
      <c r="C91" t="s">
        <v>99</v>
      </c>
      <c r="D91" s="143" t="s">
        <v>7</v>
      </c>
      <c r="E91" s="144">
        <v>43187.771516203706</v>
      </c>
      <c r="F91" s="297">
        <f t="shared" si="22"/>
        <v>43187.771516203706</v>
      </c>
      <c r="G91" s="298" t="str">
        <f t="shared" si="23"/>
        <v>18:30</v>
      </c>
      <c r="H91" s="299" t="str">
        <f t="shared" si="24"/>
        <v>-</v>
      </c>
      <c r="I91" s="300" t="str">
        <f t="shared" si="25"/>
        <v>-</v>
      </c>
      <c r="J91" s="300" t="str">
        <f t="shared" si="26"/>
        <v>-</v>
      </c>
      <c r="K91" s="301">
        <f t="shared" si="27"/>
        <v>0.60000000000000053</v>
      </c>
      <c r="L91" s="301"/>
      <c r="M91" s="302">
        <f t="shared" si="28"/>
        <v>0.60000000000000053</v>
      </c>
      <c r="N91" s="302">
        <f t="shared" si="29"/>
        <v>0</v>
      </c>
      <c r="O91" s="393"/>
      <c r="P91" s="261"/>
      <c r="Q91" s="261"/>
      <c r="R91" s="261"/>
      <c r="S91" s="261"/>
      <c r="T91" s="261"/>
      <c r="U91" s="261"/>
      <c r="V91" s="261"/>
      <c r="W91" s="261"/>
      <c r="X91" s="261"/>
      <c r="Y91" s="261"/>
    </row>
    <row r="92" spans="1:25">
      <c r="A92">
        <v>9219</v>
      </c>
      <c r="B92" t="s">
        <v>99</v>
      </c>
      <c r="C92" t="s">
        <v>99</v>
      </c>
      <c r="D92" s="143" t="s">
        <v>8</v>
      </c>
      <c r="E92" s="144">
        <v>43187.796111111114</v>
      </c>
      <c r="F92" s="297">
        <f t="shared" si="22"/>
        <v>43187.796111111114</v>
      </c>
      <c r="G92" s="298" t="str">
        <f t="shared" si="23"/>
        <v>19:6</v>
      </c>
      <c r="H92" s="299" t="str">
        <f t="shared" si="24"/>
        <v>-</v>
      </c>
      <c r="I92" s="300" t="str">
        <f t="shared" si="25"/>
        <v>-</v>
      </c>
      <c r="J92" s="300" t="str">
        <f t="shared" si="26"/>
        <v>-</v>
      </c>
      <c r="K92" s="301">
        <f t="shared" si="27"/>
        <v>0</v>
      </c>
      <c r="L92" s="301"/>
      <c r="M92" s="302">
        <f t="shared" si="28"/>
        <v>0</v>
      </c>
      <c r="N92" s="302">
        <f t="shared" si="29"/>
        <v>0</v>
      </c>
      <c r="O92" s="393"/>
      <c r="P92" s="261"/>
      <c r="Q92" s="261"/>
      <c r="R92" s="261"/>
      <c r="S92" s="261"/>
      <c r="T92" s="261"/>
      <c r="U92" s="261"/>
      <c r="V92" s="261"/>
      <c r="W92" s="261"/>
      <c r="X92" s="261"/>
      <c r="Y92" s="261"/>
    </row>
    <row r="93" spans="1:25">
      <c r="A93">
        <v>9230</v>
      </c>
      <c r="B93" t="s">
        <v>99</v>
      </c>
      <c r="C93" t="s">
        <v>99</v>
      </c>
      <c r="D93" s="143" t="s">
        <v>6</v>
      </c>
      <c r="E93" s="144">
        <v>43188.366759259261</v>
      </c>
      <c r="F93" s="297">
        <f t="shared" si="22"/>
        <v>43188.366759259261</v>
      </c>
      <c r="G93" s="298" t="str">
        <f t="shared" si="23"/>
        <v>8:48</v>
      </c>
      <c r="H93" s="299">
        <f t="shared" si="24"/>
        <v>9.7333333333333343</v>
      </c>
      <c r="I93" s="300">
        <f t="shared" si="25"/>
        <v>8</v>
      </c>
      <c r="J93" s="300" t="str">
        <f t="shared" si="26"/>
        <v>-</v>
      </c>
      <c r="K93" s="301">
        <f t="shared" si="27"/>
        <v>0</v>
      </c>
      <c r="L93" s="301"/>
      <c r="M93" s="302">
        <f t="shared" si="28"/>
        <v>0</v>
      </c>
      <c r="N93" s="302">
        <f t="shared" si="29"/>
        <v>0</v>
      </c>
      <c r="O93" s="393"/>
      <c r="P93" s="261"/>
      <c r="Q93" s="261"/>
      <c r="R93" s="261"/>
      <c r="S93" s="261"/>
      <c r="T93" s="261"/>
      <c r="U93" s="261"/>
      <c r="V93" s="261"/>
      <c r="W93" s="261"/>
      <c r="X93" s="261"/>
      <c r="Y93" s="261"/>
    </row>
    <row r="94" spans="1:25">
      <c r="A94">
        <v>9245</v>
      </c>
      <c r="B94" t="s">
        <v>100</v>
      </c>
      <c r="C94" t="s">
        <v>99</v>
      </c>
      <c r="D94" s="143" t="s">
        <v>5</v>
      </c>
      <c r="E94" s="144">
        <v>43188.772743055553</v>
      </c>
      <c r="F94" s="297">
        <f t="shared" si="22"/>
        <v>43188.772743055553</v>
      </c>
      <c r="G94" s="298" t="str">
        <f t="shared" si="23"/>
        <v>18:32</v>
      </c>
      <c r="H94" s="299" t="str">
        <f t="shared" si="24"/>
        <v>-</v>
      </c>
      <c r="I94" s="300" t="str">
        <f t="shared" si="25"/>
        <v>-</v>
      </c>
      <c r="J94" s="300" t="str">
        <f t="shared" si="26"/>
        <v>-</v>
      </c>
      <c r="K94" s="301">
        <f t="shared" si="27"/>
        <v>0</v>
      </c>
      <c r="L94" s="301"/>
      <c r="M94" s="302">
        <f t="shared" si="28"/>
        <v>0</v>
      </c>
      <c r="N94" s="302">
        <f t="shared" si="29"/>
        <v>0</v>
      </c>
      <c r="O94" s="393"/>
      <c r="P94" s="261"/>
      <c r="Q94" s="261"/>
      <c r="R94" s="261"/>
      <c r="S94" s="261"/>
      <c r="T94" s="261"/>
      <c r="U94" s="261"/>
      <c r="V94" s="261"/>
      <c r="W94" s="261"/>
      <c r="X94" s="261"/>
      <c r="Y94" s="261"/>
    </row>
    <row r="95" spans="1:25">
      <c r="A95">
        <v>9246</v>
      </c>
      <c r="B95" t="s">
        <v>100</v>
      </c>
      <c r="C95" t="s">
        <v>99</v>
      </c>
      <c r="D95" s="143" t="s">
        <v>7</v>
      </c>
      <c r="E95" s="144">
        <v>43188.772777777776</v>
      </c>
      <c r="F95" s="297">
        <f t="shared" si="22"/>
        <v>43188.772777777776</v>
      </c>
      <c r="G95" s="298" t="str">
        <f t="shared" si="23"/>
        <v>18:32</v>
      </c>
      <c r="H95" s="299" t="str">
        <f t="shared" si="24"/>
        <v>-</v>
      </c>
      <c r="I95" s="300" t="str">
        <f t="shared" si="25"/>
        <v>-</v>
      </c>
      <c r="J95" s="300" t="str">
        <f t="shared" si="26"/>
        <v>-</v>
      </c>
      <c r="K95" s="301">
        <f t="shared" si="27"/>
        <v>1.8666666666666654</v>
      </c>
      <c r="L95" s="301"/>
      <c r="M95" s="302">
        <f t="shared" si="28"/>
        <v>1.8666666666666654</v>
      </c>
      <c r="N95" s="302">
        <f t="shared" si="29"/>
        <v>0</v>
      </c>
      <c r="O95" s="393"/>
      <c r="P95" s="261"/>
      <c r="Q95" s="261"/>
      <c r="R95" s="261"/>
      <c r="S95" s="261"/>
      <c r="T95" s="261"/>
      <c r="U95" s="261"/>
      <c r="V95" s="261"/>
      <c r="W95" s="261"/>
      <c r="X95" s="261"/>
      <c r="Y95" s="261"/>
    </row>
    <row r="96" spans="1:25">
      <c r="A96">
        <v>9258</v>
      </c>
      <c r="B96" t="s">
        <v>99</v>
      </c>
      <c r="C96" t="s">
        <v>99</v>
      </c>
      <c r="D96" s="143" t="s">
        <v>8</v>
      </c>
      <c r="E96" s="144">
        <v>43188.850104166668</v>
      </c>
      <c r="F96" s="297">
        <f t="shared" si="22"/>
        <v>43188.850104166668</v>
      </c>
      <c r="G96" s="298" t="str">
        <f t="shared" si="23"/>
        <v>20:24</v>
      </c>
      <c r="H96" s="299" t="str">
        <f t="shared" si="24"/>
        <v>-</v>
      </c>
      <c r="I96" s="300" t="str">
        <f t="shared" si="25"/>
        <v>-</v>
      </c>
      <c r="J96" s="300" t="str">
        <f t="shared" si="26"/>
        <v>-</v>
      </c>
      <c r="K96" s="301">
        <f t="shared" si="27"/>
        <v>0</v>
      </c>
      <c r="L96" s="301"/>
      <c r="M96" s="302">
        <f t="shared" si="28"/>
        <v>0</v>
      </c>
      <c r="N96" s="302">
        <f t="shared" si="29"/>
        <v>0</v>
      </c>
      <c r="O96" s="393"/>
      <c r="P96" s="261"/>
      <c r="Q96" s="261"/>
      <c r="R96" s="261"/>
      <c r="S96" s="261"/>
      <c r="T96" s="261"/>
      <c r="U96" s="261"/>
      <c r="V96" s="261"/>
      <c r="W96" s="261"/>
      <c r="X96" s="261"/>
      <c r="Y96" s="261"/>
    </row>
    <row r="97" spans="1:25">
      <c r="A97">
        <v>9262</v>
      </c>
      <c r="B97" t="s">
        <v>100</v>
      </c>
      <c r="C97" t="s">
        <v>99</v>
      </c>
      <c r="D97" s="143" t="s">
        <v>6</v>
      </c>
      <c r="E97" s="144">
        <v>43189.364699074074</v>
      </c>
      <c r="F97" s="297">
        <f t="shared" si="22"/>
        <v>43189.364699074074</v>
      </c>
      <c r="G97" s="298" t="str">
        <f t="shared" si="23"/>
        <v>8:45</v>
      </c>
      <c r="H97" s="299">
        <f t="shared" si="24"/>
        <v>9.6166666666666689</v>
      </c>
      <c r="I97" s="300">
        <f t="shared" si="25"/>
        <v>8</v>
      </c>
      <c r="J97" s="300" t="str">
        <f t="shared" si="26"/>
        <v>-</v>
      </c>
      <c r="K97" s="301">
        <f t="shared" si="27"/>
        <v>0</v>
      </c>
      <c r="L97" s="301"/>
      <c r="M97" s="302">
        <f t="shared" si="28"/>
        <v>0</v>
      </c>
      <c r="N97" s="302">
        <f t="shared" si="29"/>
        <v>0</v>
      </c>
      <c r="O97" s="393"/>
      <c r="P97" s="261"/>
      <c r="Q97" s="261"/>
      <c r="R97" s="261"/>
      <c r="S97" s="261"/>
      <c r="T97" s="261"/>
      <c r="U97" s="261"/>
      <c r="V97" s="261"/>
      <c r="W97" s="261"/>
      <c r="X97" s="261"/>
      <c r="Y97" s="261"/>
    </row>
    <row r="98" spans="1:25">
      <c r="A98">
        <v>9269</v>
      </c>
      <c r="B98" t="s">
        <v>99</v>
      </c>
      <c r="C98" t="s">
        <v>99</v>
      </c>
      <c r="D98" s="143" t="s">
        <v>5</v>
      </c>
      <c r="E98" s="144">
        <v>43189.765613425923</v>
      </c>
      <c r="F98" s="297">
        <f t="shared" si="22"/>
        <v>43189.765613425923</v>
      </c>
      <c r="G98" s="298" t="str">
        <f t="shared" si="23"/>
        <v>18:22</v>
      </c>
      <c r="H98" s="299" t="str">
        <f t="shared" si="24"/>
        <v>-</v>
      </c>
      <c r="I98" s="300" t="str">
        <f t="shared" si="25"/>
        <v>-</v>
      </c>
      <c r="J98" s="300" t="str">
        <f t="shared" si="26"/>
        <v>-</v>
      </c>
      <c r="K98" s="301">
        <f t="shared" si="27"/>
        <v>0</v>
      </c>
      <c r="L98" s="301"/>
      <c r="M98" s="302">
        <f t="shared" si="28"/>
        <v>0</v>
      </c>
      <c r="N98" s="302">
        <f t="shared" si="29"/>
        <v>0</v>
      </c>
      <c r="O98" s="393"/>
      <c r="P98" s="261"/>
      <c r="Q98" s="261"/>
      <c r="R98" s="261"/>
      <c r="S98" s="261"/>
      <c r="T98" s="261"/>
      <c r="U98" s="261"/>
      <c r="V98" s="261"/>
      <c r="W98" s="261"/>
      <c r="X98" s="261"/>
      <c r="Y98" s="261"/>
    </row>
    <row r="99" spans="1:25">
      <c r="A99">
        <v>9270</v>
      </c>
      <c r="B99" t="s">
        <v>99</v>
      </c>
      <c r="C99" t="s">
        <v>99</v>
      </c>
      <c r="D99" s="143" t="s">
        <v>13</v>
      </c>
      <c r="E99" s="144">
        <v>43189.771203703705</v>
      </c>
      <c r="F99" s="297">
        <f t="shared" si="22"/>
        <v>43189.771203703705</v>
      </c>
      <c r="G99" s="298" t="str">
        <f t="shared" si="23"/>
        <v>18:30</v>
      </c>
      <c r="H99" s="299" t="str">
        <f t="shared" si="24"/>
        <v>-</v>
      </c>
      <c r="I99" s="300" t="str">
        <f t="shared" si="25"/>
        <v>-</v>
      </c>
      <c r="J99" s="300" t="str">
        <f t="shared" si="26"/>
        <v>-</v>
      </c>
      <c r="K99" s="301">
        <f t="shared" si="27"/>
        <v>1.8166666666666655</v>
      </c>
      <c r="L99" s="301"/>
      <c r="M99" s="302">
        <f t="shared" si="28"/>
        <v>1.8166666666666655</v>
      </c>
      <c r="N99" s="302">
        <f t="shared" si="29"/>
        <v>0</v>
      </c>
      <c r="O99" s="393"/>
      <c r="P99" s="261"/>
      <c r="Q99" s="261"/>
      <c r="R99" s="261"/>
      <c r="S99" s="261"/>
      <c r="T99" s="261"/>
      <c r="U99" s="261"/>
      <c r="V99" s="261"/>
      <c r="W99" s="261"/>
      <c r="X99" s="261"/>
      <c r="Y99" s="261"/>
    </row>
    <row r="100" spans="1:25">
      <c r="A100">
        <v>9281</v>
      </c>
      <c r="B100" t="s">
        <v>99</v>
      </c>
      <c r="C100" t="s">
        <v>99</v>
      </c>
      <c r="D100" s="143" t="s">
        <v>8</v>
      </c>
      <c r="E100" s="144">
        <v>43189.846805555557</v>
      </c>
      <c r="F100" s="297">
        <f t="shared" si="22"/>
        <v>43189.846805555557</v>
      </c>
      <c r="G100" s="298" t="str">
        <f t="shared" si="23"/>
        <v>20:19</v>
      </c>
      <c r="H100" s="299" t="str">
        <f t="shared" si="24"/>
        <v>-</v>
      </c>
      <c r="I100" s="300" t="str">
        <f t="shared" si="25"/>
        <v>-</v>
      </c>
      <c r="J100" s="300" t="str">
        <f t="shared" si="26"/>
        <v>-</v>
      </c>
      <c r="K100" s="301">
        <f t="shared" si="27"/>
        <v>0</v>
      </c>
      <c r="L100" s="301"/>
      <c r="M100" s="302">
        <f t="shared" si="28"/>
        <v>0</v>
      </c>
      <c r="N100" s="302">
        <f t="shared" si="29"/>
        <v>0</v>
      </c>
      <c r="O100" s="393"/>
      <c r="P100" s="261"/>
      <c r="Q100" s="261"/>
      <c r="R100" s="261"/>
      <c r="S100" s="261"/>
      <c r="T100" s="261"/>
      <c r="U100" s="261"/>
      <c r="V100" s="261"/>
      <c r="W100" s="261"/>
      <c r="X100" s="261"/>
      <c r="Y100" s="261"/>
    </row>
    <row r="101" spans="1:25">
      <c r="A101">
        <v>9284</v>
      </c>
      <c r="B101" t="s">
        <v>100</v>
      </c>
      <c r="C101" t="s">
        <v>99</v>
      </c>
      <c r="D101" s="143" t="s">
        <v>6</v>
      </c>
      <c r="E101" s="144">
        <v>43190.361724537041</v>
      </c>
      <c r="F101" s="297">
        <f t="shared" si="22"/>
        <v>43190.361724537041</v>
      </c>
      <c r="G101" s="298" t="str">
        <f t="shared" si="23"/>
        <v>8:40</v>
      </c>
      <c r="H101" s="299">
        <f t="shared" si="24"/>
        <v>10.35</v>
      </c>
      <c r="I101" s="300">
        <f t="shared" si="25"/>
        <v>8</v>
      </c>
      <c r="J101" s="300" t="str">
        <f t="shared" si="26"/>
        <v>-</v>
      </c>
      <c r="K101" s="301">
        <f t="shared" si="27"/>
        <v>0</v>
      </c>
      <c r="L101" s="301"/>
      <c r="M101" s="302">
        <f t="shared" si="28"/>
        <v>0</v>
      </c>
      <c r="N101" s="302">
        <f t="shared" si="29"/>
        <v>0</v>
      </c>
      <c r="O101" s="393"/>
      <c r="P101" s="261"/>
      <c r="Q101" s="261"/>
      <c r="R101" s="261"/>
      <c r="S101" s="261"/>
      <c r="T101" s="261"/>
      <c r="U101" s="261"/>
      <c r="V101" s="261"/>
      <c r="W101" s="261"/>
      <c r="X101" s="261"/>
      <c r="Y101" s="261"/>
    </row>
    <row r="102" spans="1:25">
      <c r="A102">
        <v>9304</v>
      </c>
      <c r="B102" t="s">
        <v>99</v>
      </c>
      <c r="C102" t="s">
        <v>99</v>
      </c>
      <c r="D102" s="143" t="s">
        <v>5</v>
      </c>
      <c r="E102" s="144">
        <v>43190.792604166665</v>
      </c>
      <c r="F102" s="297">
        <f t="shared" si="22"/>
        <v>43190.792604166665</v>
      </c>
      <c r="G102" s="298" t="str">
        <f t="shared" si="23"/>
        <v>19:1</v>
      </c>
      <c r="H102" s="299" t="str">
        <f t="shared" si="24"/>
        <v>-</v>
      </c>
      <c r="I102" s="300" t="str">
        <f t="shared" si="25"/>
        <v>-</v>
      </c>
      <c r="J102" s="300" t="str">
        <f t="shared" si="26"/>
        <v>-</v>
      </c>
      <c r="K102" s="301">
        <f t="shared" si="27"/>
        <v>0</v>
      </c>
      <c r="L102" s="301"/>
      <c r="M102" s="302">
        <f t="shared" si="28"/>
        <v>0</v>
      </c>
      <c r="N102" s="302">
        <f t="shared" si="29"/>
        <v>0</v>
      </c>
      <c r="O102" s="393"/>
      <c r="P102" s="261"/>
      <c r="Q102" s="261"/>
      <c r="R102" s="261"/>
      <c r="S102" s="261"/>
      <c r="T102" s="261"/>
      <c r="U102" s="261"/>
      <c r="V102" s="261"/>
      <c r="W102" s="261"/>
      <c r="X102" s="261"/>
      <c r="Y102" s="261"/>
    </row>
    <row r="105" spans="1:25">
      <c r="D105" s="9" t="s">
        <v>37</v>
      </c>
      <c r="P105" s="261"/>
      <c r="Q105" s="261"/>
      <c r="R105" s="261"/>
      <c r="S105" s="261"/>
      <c r="T105" s="261"/>
      <c r="U105" s="261"/>
      <c r="V105" s="261"/>
      <c r="W105" s="261"/>
      <c r="X105" s="261"/>
      <c r="Y105" s="261"/>
    </row>
    <row r="106" spans="1:25">
      <c r="D106" s="9" t="s">
        <v>36</v>
      </c>
      <c r="P106" s="261"/>
      <c r="Q106" s="261"/>
      <c r="R106" s="261"/>
      <c r="S106" s="261"/>
      <c r="T106" s="261"/>
      <c r="U106" s="261"/>
      <c r="V106" s="261"/>
      <c r="W106" s="261"/>
      <c r="X106" s="261"/>
      <c r="Y106" s="261"/>
    </row>
    <row r="107" spans="1:25">
      <c r="D107" s="172" t="s">
        <v>64</v>
      </c>
    </row>
    <row r="108" spans="1:25">
      <c r="D108" t="s">
        <v>67</v>
      </c>
    </row>
    <row r="109" spans="1:25">
      <c r="D109" t="s">
        <v>65</v>
      </c>
    </row>
    <row r="110" spans="1:25">
      <c r="D110" t="s">
        <v>69</v>
      </c>
    </row>
    <row r="111" spans="1:25">
      <c r="D111" t="s">
        <v>70</v>
      </c>
    </row>
    <row r="112" spans="1:25">
      <c r="D112" t="s">
        <v>66</v>
      </c>
    </row>
    <row r="113" spans="4:4">
      <c r="D113" t="s">
        <v>68</v>
      </c>
    </row>
  </sheetData>
  <phoneticPr fontId="18" type="noConversion"/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2"/>
  <dimension ref="A1"/>
  <sheetViews>
    <sheetView workbookViewId="0"/>
  </sheetViews>
  <sheetFormatPr defaultColWidth="8.875" defaultRowHeight="16.5"/>
  <sheetData/>
  <phoneticPr fontId="18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13"/>
  <dimension ref="A1:U24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10.125" style="3" customWidth="1" collapsed="1"/>
    <col min="5" max="5" width="16.875" style="3" customWidth="1"/>
    <col min="6" max="6" width="5.6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2.625" style="21" customWidth="1"/>
    <col min="11" max="11" width="8.375" style="22" hidden="1" customWidth="1" outlineLevel="1"/>
    <col min="12" max="12" width="12.5" style="22" customWidth="1" collapsed="1"/>
    <col min="13" max="13" width="6.125" style="22" customWidth="1"/>
    <col min="14" max="14" width="16.5" style="28" customWidth="1"/>
    <col min="15" max="15" width="9" style="9"/>
    <col min="21" max="21" width="22.62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paul</v>
      </c>
      <c r="J1" s="46" t="s">
        <v>30</v>
      </c>
      <c r="K1" s="14"/>
      <c r="L1" s="14"/>
      <c r="M1" s="14"/>
      <c r="N1" s="27"/>
      <c r="O1" s="19"/>
    </row>
    <row r="2" spans="1:21">
      <c r="D2" s="23"/>
      <c r="E2" s="29"/>
      <c r="F2" s="105" t="s">
        <v>29</v>
      </c>
      <c r="G2" s="106"/>
      <c r="H2" s="106"/>
      <c r="I2" s="107" t="s">
        <v>25</v>
      </c>
      <c r="J2" s="107" t="s">
        <v>85</v>
      </c>
      <c r="K2" s="108"/>
      <c r="L2" s="29" t="s">
        <v>86</v>
      </c>
      <c r="M2" s="110"/>
      <c r="N2" s="111" t="s">
        <v>28</v>
      </c>
    </row>
    <row r="3" spans="1:21" ht="17.25" thickBot="1">
      <c r="D3" s="24"/>
      <c r="E3" s="30"/>
      <c r="F3" s="25"/>
      <c r="G3" s="26"/>
      <c r="H3" s="26"/>
      <c r="I3" s="52">
        <f>L3+J3</f>
        <v>38.299999999999997</v>
      </c>
      <c r="J3" s="54">
        <f>I6+J6</f>
        <v>38.299999999999997</v>
      </c>
      <c r="K3" s="53"/>
      <c r="L3" s="189">
        <f>L6</f>
        <v>0</v>
      </c>
      <c r="M3" s="53"/>
      <c r="N3" s="50"/>
    </row>
    <row r="4" spans="1:21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5"/>
    </row>
    <row r="5" spans="1:21">
      <c r="D5" s="40"/>
      <c r="E5" s="7"/>
      <c r="F5" s="116" t="s">
        <v>27</v>
      </c>
      <c r="G5" s="117"/>
      <c r="H5" s="117"/>
      <c r="I5" s="118" t="s">
        <v>82</v>
      </c>
      <c r="J5" s="118" t="s">
        <v>83</v>
      </c>
      <c r="K5" s="118"/>
      <c r="L5" s="118" t="s">
        <v>84</v>
      </c>
      <c r="M5" s="119"/>
      <c r="N5" s="120"/>
    </row>
    <row r="6" spans="1:21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23</v>
      </c>
      <c r="I6" s="124">
        <f>SUM(I7:I78)</f>
        <v>9.2999999999999972</v>
      </c>
      <c r="J6" s="124">
        <f>SUM(J7:J78)</f>
        <v>29</v>
      </c>
      <c r="K6" s="124">
        <f>SUM(K7:K78)</f>
        <v>0</v>
      </c>
      <c r="L6" s="124">
        <f>SUM(L7:L78)</f>
        <v>0</v>
      </c>
      <c r="M6" s="124">
        <f>SUM(M23:M43)</f>
        <v>0</v>
      </c>
      <c r="N6" s="45"/>
    </row>
    <row r="7" spans="1:21" s="16" customFormat="1">
      <c r="A7" s="140">
        <v>8566</v>
      </c>
      <c r="B7" s="140" t="s">
        <v>12</v>
      </c>
      <c r="C7" s="140" t="s">
        <v>12</v>
      </c>
      <c r="D7" s="141" t="s">
        <v>6</v>
      </c>
      <c r="E7" s="142">
        <v>43164.380509259259</v>
      </c>
      <c r="F7" s="398">
        <f t="shared" ref="F7" si="0">E7</f>
        <v>43164.380509259259</v>
      </c>
      <c r="G7" s="399" t="str">
        <f t="shared" ref="G7" si="1">HOUR(E7)&amp;":"&amp;MINUTE(E7)</f>
        <v>9:7</v>
      </c>
      <c r="H7" s="400">
        <f t="shared" ref="H7" si="2">IF(D7="上班",(G8-G7)*24,"-")</f>
        <v>4.4999999999999982</v>
      </c>
      <c r="I7" s="92">
        <f>IF(D7="上班",IF(H7-1.5&gt;8,8,H7-1.5),"-")</f>
        <v>2.9999999999999982</v>
      </c>
      <c r="J7" s="92" t="str">
        <f t="shared" ref="J7" si="3">IF(D7="上班",IF(H7&gt;(8+2),(H7-8-1.5-0.5),"-"),"-")</f>
        <v>-</v>
      </c>
      <c r="K7" s="93">
        <f t="shared" ref="K7" si="4">IF(D7="加班",(G8-G7)*24,0)</f>
        <v>0</v>
      </c>
      <c r="L7" s="93"/>
      <c r="M7" s="35">
        <f t="shared" ref="M7" si="5">IF(K7&gt;2,K7-2,0)</f>
        <v>0</v>
      </c>
      <c r="N7" s="36"/>
      <c r="O7" s="137"/>
      <c r="Q7" s="16">
        <v>7550</v>
      </c>
      <c r="R7" s="16" t="s">
        <v>12</v>
      </c>
      <c r="S7" s="16" t="s">
        <v>12</v>
      </c>
      <c r="T7" s="16" t="s">
        <v>6</v>
      </c>
      <c r="U7" s="390">
        <v>43112.591782407406</v>
      </c>
    </row>
    <row r="8" spans="1:21" s="16" customFormat="1">
      <c r="A8" s="140">
        <v>8569</v>
      </c>
      <c r="B8" s="140" t="s">
        <v>12</v>
      </c>
      <c r="C8" s="140" t="s">
        <v>12</v>
      </c>
      <c r="D8" s="143" t="s">
        <v>5</v>
      </c>
      <c r="E8" s="144">
        <v>43164.567743055559</v>
      </c>
      <c r="F8" s="398">
        <f t="shared" ref="F8:F13" si="6">E8</f>
        <v>43164.567743055559</v>
      </c>
      <c r="G8" s="399" t="str">
        <f t="shared" ref="G8:G13" si="7">HOUR(E8)&amp;":"&amp;MINUTE(E8)</f>
        <v>13:37</v>
      </c>
      <c r="H8" s="400" t="str">
        <f t="shared" ref="H8:H11" si="8">IF(D8="上班",(G9-G8)*24,"-")</f>
        <v>-</v>
      </c>
      <c r="I8" s="92" t="str">
        <f t="shared" ref="I8:I12" si="9">IF(D8="上班",IF(H8-1.5&gt;8,8,H8-1.5),"-")</f>
        <v>-</v>
      </c>
      <c r="J8" s="92" t="str">
        <f t="shared" ref="J8:J12" si="10">IF(D8="上班",IF(H8&gt;(8+2),(H8-8-1.5-0.5),"-"),"-")</f>
        <v>-</v>
      </c>
      <c r="K8" s="93">
        <f t="shared" ref="K8:K11" si="11">IF(D8="加班",(G9-G8)*24,0)</f>
        <v>0</v>
      </c>
      <c r="L8" s="93"/>
      <c r="M8" s="35">
        <f t="shared" ref="M8:M13" si="12">IF(K8&gt;2,K8-2,0)</f>
        <v>0</v>
      </c>
      <c r="N8" s="36"/>
      <c r="O8" s="137"/>
      <c r="Q8" s="16">
        <v>7564</v>
      </c>
      <c r="R8" s="16" t="s">
        <v>12</v>
      </c>
      <c r="S8" s="16" t="s">
        <v>12</v>
      </c>
      <c r="T8" s="16" t="s">
        <v>5</v>
      </c>
      <c r="U8" s="390">
        <v>43112.792210648149</v>
      </c>
    </row>
    <row r="9" spans="1:21" s="16" customFormat="1">
      <c r="A9" s="140">
        <v>8667</v>
      </c>
      <c r="B9" s="140" t="s">
        <v>12</v>
      </c>
      <c r="C9" s="140" t="s">
        <v>12</v>
      </c>
      <c r="D9" s="141" t="s">
        <v>6</v>
      </c>
      <c r="E9" s="142">
        <v>43167.368321759262</v>
      </c>
      <c r="F9" s="398">
        <f t="shared" si="6"/>
        <v>43167.368321759262</v>
      </c>
      <c r="G9" s="399" t="str">
        <f t="shared" si="7"/>
        <v>8:50</v>
      </c>
      <c r="H9" s="400">
        <f t="shared" si="8"/>
        <v>3.1666666666666661</v>
      </c>
      <c r="I9" s="92">
        <f>IF(D9="上班",IF(H9-1.5&gt;8,8,H9-1.5),"-")+1.5</f>
        <v>3.1666666666666661</v>
      </c>
      <c r="J9" s="92" t="str">
        <f t="shared" si="10"/>
        <v>-</v>
      </c>
      <c r="K9" s="93">
        <f t="shared" si="11"/>
        <v>0</v>
      </c>
      <c r="L9" s="93"/>
      <c r="M9" s="35">
        <f t="shared" si="12"/>
        <v>0</v>
      </c>
      <c r="N9" s="36"/>
      <c r="O9" s="137"/>
      <c r="Q9" s="16">
        <v>7550</v>
      </c>
      <c r="R9" s="16" t="s">
        <v>12</v>
      </c>
      <c r="S9" s="16" t="s">
        <v>12</v>
      </c>
      <c r="T9" s="16" t="s">
        <v>6</v>
      </c>
      <c r="U9" s="390">
        <v>43112.591782407406</v>
      </c>
    </row>
    <row r="10" spans="1:21" s="16" customFormat="1">
      <c r="A10" s="425">
        <v>8569</v>
      </c>
      <c r="B10" s="425" t="s">
        <v>12</v>
      </c>
      <c r="C10" s="425" t="s">
        <v>12</v>
      </c>
      <c r="D10" s="407" t="s">
        <v>5</v>
      </c>
      <c r="E10" s="180">
        <v>43167.500381944446</v>
      </c>
      <c r="F10" s="398">
        <f t="shared" si="6"/>
        <v>43167.500381944446</v>
      </c>
      <c r="G10" s="399" t="str">
        <f t="shared" si="7"/>
        <v>12:0</v>
      </c>
      <c r="H10" s="400" t="str">
        <f t="shared" si="8"/>
        <v>-</v>
      </c>
      <c r="I10" s="92" t="str">
        <f t="shared" si="9"/>
        <v>-</v>
      </c>
      <c r="J10" s="92" t="str">
        <f t="shared" si="10"/>
        <v>-</v>
      </c>
      <c r="K10" s="93">
        <f t="shared" si="11"/>
        <v>0</v>
      </c>
      <c r="L10" s="93"/>
      <c r="M10" s="35">
        <f t="shared" si="12"/>
        <v>0</v>
      </c>
      <c r="N10" s="36"/>
      <c r="O10" s="137"/>
      <c r="Q10" s="16">
        <v>7564</v>
      </c>
      <c r="R10" s="16" t="s">
        <v>12</v>
      </c>
      <c r="S10" s="16" t="s">
        <v>12</v>
      </c>
      <c r="T10" s="16" t="s">
        <v>5</v>
      </c>
      <c r="U10" s="390">
        <v>43112.792210648149</v>
      </c>
    </row>
    <row r="11" spans="1:21" s="16" customFormat="1">
      <c r="A11" s="140">
        <v>8766</v>
      </c>
      <c r="B11" s="140" t="s">
        <v>12</v>
      </c>
      <c r="C11" s="140" t="s">
        <v>12</v>
      </c>
      <c r="D11" s="141" t="s">
        <v>6</v>
      </c>
      <c r="E11" s="144">
        <v>43171.370115740741</v>
      </c>
      <c r="F11" s="398">
        <f t="shared" si="6"/>
        <v>43171.370115740741</v>
      </c>
      <c r="G11" s="399" t="str">
        <f t="shared" si="7"/>
        <v>8:52</v>
      </c>
      <c r="H11" s="400">
        <f t="shared" si="8"/>
        <v>3.1333333333333329</v>
      </c>
      <c r="I11" s="92">
        <f>IF(D11="上班",IF(H11-1.5&gt;8,8,H11-1.5),"-")+1.5</f>
        <v>3.1333333333333329</v>
      </c>
      <c r="J11" s="92" t="str">
        <f t="shared" si="10"/>
        <v>-</v>
      </c>
      <c r="K11" s="93">
        <f t="shared" si="11"/>
        <v>0</v>
      </c>
      <c r="L11" s="93"/>
      <c r="M11" s="35">
        <f t="shared" si="12"/>
        <v>0</v>
      </c>
      <c r="N11" s="36"/>
      <c r="O11" s="137"/>
      <c r="Q11">
        <v>7550</v>
      </c>
      <c r="R11" t="s">
        <v>12</v>
      </c>
      <c r="S11" t="s">
        <v>12</v>
      </c>
      <c r="T11" t="s">
        <v>6</v>
      </c>
      <c r="U11" s="1">
        <v>43112.591782407406</v>
      </c>
    </row>
    <row r="12" spans="1:21" s="16" customFormat="1">
      <c r="A12" s="425">
        <v>8569</v>
      </c>
      <c r="B12" s="425" t="s">
        <v>12</v>
      </c>
      <c r="C12" s="425" t="s">
        <v>12</v>
      </c>
      <c r="D12" s="407" t="s">
        <v>5</v>
      </c>
      <c r="E12" s="180">
        <v>43171.500381944446</v>
      </c>
      <c r="F12" s="398">
        <f t="shared" si="6"/>
        <v>43171.500381944446</v>
      </c>
      <c r="G12" s="399" t="str">
        <f t="shared" si="7"/>
        <v>12:0</v>
      </c>
      <c r="H12" s="400" t="str">
        <f>IF(D12="上班",(G21-G12)*24,"-")</f>
        <v>-</v>
      </c>
      <c r="I12" s="92" t="str">
        <f t="shared" si="9"/>
        <v>-</v>
      </c>
      <c r="J12" s="92" t="str">
        <f t="shared" si="10"/>
        <v>-</v>
      </c>
      <c r="K12" s="93">
        <f>IF(D12="加班",(G21-G12)*24,0)</f>
        <v>0</v>
      </c>
      <c r="L12" s="93"/>
      <c r="M12" s="35">
        <f t="shared" si="12"/>
        <v>0</v>
      </c>
      <c r="N12" s="36"/>
      <c r="O12" s="137"/>
      <c r="Q12">
        <v>7564</v>
      </c>
      <c r="R12" t="s">
        <v>12</v>
      </c>
      <c r="S12" t="s">
        <v>12</v>
      </c>
      <c r="T12" t="s">
        <v>5</v>
      </c>
      <c r="U12" s="1">
        <v>43112.792210648149</v>
      </c>
    </row>
    <row r="13" spans="1:21" s="16" customFormat="1">
      <c r="A13" s="140">
        <v>8566</v>
      </c>
      <c r="B13" s="140" t="s">
        <v>12</v>
      </c>
      <c r="C13" s="140" t="s">
        <v>12</v>
      </c>
      <c r="D13" s="141" t="s">
        <v>6</v>
      </c>
      <c r="E13" s="142">
        <v>43176.375</v>
      </c>
      <c r="F13" s="398">
        <f t="shared" si="6"/>
        <v>43176.375</v>
      </c>
      <c r="G13" s="399" t="str">
        <f t="shared" si="7"/>
        <v>9:0</v>
      </c>
      <c r="H13" s="400">
        <f t="shared" ref="H13" si="13">IF(D13="上班",(G14-G13)*24,"-")</f>
        <v>10</v>
      </c>
      <c r="I13" s="138"/>
      <c r="J13" s="92">
        <f t="shared" ref="J13:J22" si="14">IF(D13="上班",IF(H13-1.5&gt;8,8,H13-1.5),"-")</f>
        <v>8</v>
      </c>
      <c r="K13" s="93">
        <f t="shared" ref="K13" si="15">IF(D13="加班",(G14-G13)*24,0)</f>
        <v>0</v>
      </c>
      <c r="L13" s="93"/>
      <c r="M13" s="35">
        <f t="shared" si="12"/>
        <v>0</v>
      </c>
      <c r="N13" s="36" t="s">
        <v>118</v>
      </c>
      <c r="O13" s="137"/>
      <c r="Q13" s="16">
        <v>7550</v>
      </c>
      <c r="R13" s="16" t="s">
        <v>12</v>
      </c>
      <c r="S13" s="16" t="s">
        <v>12</v>
      </c>
      <c r="T13" s="16" t="s">
        <v>6</v>
      </c>
      <c r="U13" s="390">
        <v>43112.591782407406</v>
      </c>
    </row>
    <row r="14" spans="1:21" s="16" customFormat="1">
      <c r="A14" s="140">
        <v>8569</v>
      </c>
      <c r="B14" s="140" t="s">
        <v>12</v>
      </c>
      <c r="C14" s="140" t="s">
        <v>12</v>
      </c>
      <c r="D14" s="143" t="s">
        <v>5</v>
      </c>
      <c r="E14" s="144">
        <v>43176.791666666664</v>
      </c>
      <c r="F14" s="398" t="s">
        <v>119</v>
      </c>
      <c r="G14" s="399" t="str">
        <f t="shared" ref="G14:G15" si="16">HOUR(E14)&amp;":"&amp;MINUTE(E14)</f>
        <v>19:0</v>
      </c>
      <c r="H14" s="400" t="str">
        <f>IF(D14="上班",(G21-G14)*24,"-")</f>
        <v>-</v>
      </c>
      <c r="I14" s="138"/>
      <c r="J14" s="92" t="str">
        <f t="shared" si="14"/>
        <v>-</v>
      </c>
      <c r="K14" s="93">
        <f>IF(D14="加班",(G21-G14)*24,0)</f>
        <v>0</v>
      </c>
      <c r="L14" s="93"/>
      <c r="M14" s="35">
        <f t="shared" ref="M14:M15" si="17">IF(K14&gt;2,K14-2,0)</f>
        <v>0</v>
      </c>
      <c r="N14" s="36"/>
      <c r="O14" s="137"/>
      <c r="Q14" s="16">
        <v>7564</v>
      </c>
      <c r="R14" s="16" t="s">
        <v>12</v>
      </c>
      <c r="S14" s="16" t="s">
        <v>12</v>
      </c>
      <c r="T14" s="16" t="s">
        <v>5</v>
      </c>
      <c r="U14" s="390">
        <v>43112.792210648149</v>
      </c>
    </row>
    <row r="15" spans="1:21" s="16" customFormat="1">
      <c r="A15" s="140">
        <v>8566</v>
      </c>
      <c r="B15" s="140" t="s">
        <v>12</v>
      </c>
      <c r="C15" s="140" t="s">
        <v>12</v>
      </c>
      <c r="D15" s="141" t="s">
        <v>6</v>
      </c>
      <c r="E15" s="142">
        <v>43181.375</v>
      </c>
      <c r="F15" s="398">
        <f t="shared" ref="F15" si="18">E15</f>
        <v>43181.375</v>
      </c>
      <c r="G15" s="399" t="str">
        <f t="shared" si="16"/>
        <v>9:0</v>
      </c>
      <c r="H15" s="400">
        <f t="shared" ref="H15" si="19">IF(D15="上班",(G16-G15)*24,"-")</f>
        <v>4.5</v>
      </c>
      <c r="I15" s="138"/>
      <c r="J15" s="92">
        <f t="shared" si="14"/>
        <v>3</v>
      </c>
      <c r="K15" s="93">
        <f t="shared" ref="K15" si="20">IF(D15="加班",(G16-G15)*24,0)</f>
        <v>0</v>
      </c>
      <c r="L15" s="93"/>
      <c r="M15" s="35">
        <f t="shared" si="17"/>
        <v>0</v>
      </c>
      <c r="N15" s="36" t="s">
        <v>118</v>
      </c>
      <c r="O15" s="137"/>
      <c r="Q15" s="16">
        <v>7550</v>
      </c>
      <c r="R15" s="16" t="s">
        <v>12</v>
      </c>
      <c r="S15" s="16" t="s">
        <v>12</v>
      </c>
      <c r="T15" s="16" t="s">
        <v>6</v>
      </c>
      <c r="U15" s="390">
        <v>43112.591782407406</v>
      </c>
    </row>
    <row r="16" spans="1:21" s="16" customFormat="1">
      <c r="A16" s="140">
        <v>8569</v>
      </c>
      <c r="B16" s="140" t="s">
        <v>12</v>
      </c>
      <c r="C16" s="140" t="s">
        <v>12</v>
      </c>
      <c r="D16" s="143" t="s">
        <v>5</v>
      </c>
      <c r="E16" s="144">
        <v>43181.5625</v>
      </c>
      <c r="F16" s="398">
        <f t="shared" ref="F16:F19" si="21">E16</f>
        <v>43181.5625</v>
      </c>
      <c r="G16" s="399" t="str">
        <f t="shared" ref="G16:G19" si="22">HOUR(E16)&amp;":"&amp;MINUTE(E16)</f>
        <v>13:30</v>
      </c>
      <c r="H16" s="400" t="str">
        <f>IF(D16="上班",(G23-G16)*24,"-")</f>
        <v>-</v>
      </c>
      <c r="I16" s="138"/>
      <c r="J16" s="92" t="str">
        <f t="shared" si="14"/>
        <v>-</v>
      </c>
      <c r="K16" s="93">
        <f>IF(D16="加班",(G23-G16)*24,0)</f>
        <v>0</v>
      </c>
      <c r="L16" s="93"/>
      <c r="M16" s="35">
        <f t="shared" ref="M16:M19" si="23">IF(K16&gt;2,K16-2,0)</f>
        <v>0</v>
      </c>
      <c r="N16" s="36"/>
      <c r="O16" s="137"/>
      <c r="Q16" s="16">
        <v>7564</v>
      </c>
      <c r="R16" s="16" t="s">
        <v>12</v>
      </c>
      <c r="S16" s="16" t="s">
        <v>12</v>
      </c>
      <c r="T16" s="16" t="s">
        <v>5</v>
      </c>
      <c r="U16" s="390">
        <v>43112.792210648149</v>
      </c>
    </row>
    <row r="17" spans="1:21" s="16" customFormat="1">
      <c r="A17" s="140">
        <v>8566</v>
      </c>
      <c r="B17" s="140" t="s">
        <v>12</v>
      </c>
      <c r="C17" s="140" t="s">
        <v>12</v>
      </c>
      <c r="D17" s="141" t="s">
        <v>6</v>
      </c>
      <c r="E17" s="142">
        <v>43182.375</v>
      </c>
      <c r="F17" s="398">
        <f t="shared" si="21"/>
        <v>43182.375</v>
      </c>
      <c r="G17" s="399" t="str">
        <f t="shared" si="22"/>
        <v>9:0</v>
      </c>
      <c r="H17" s="400">
        <f t="shared" ref="H17" si="24">IF(D17="上班",(G18-G17)*24,"-")</f>
        <v>10</v>
      </c>
      <c r="I17" s="138"/>
      <c r="J17" s="92">
        <f t="shared" si="14"/>
        <v>8</v>
      </c>
      <c r="K17" s="93">
        <f t="shared" ref="K17" si="25">IF(D17="加班",(G18-G17)*24,0)</f>
        <v>0</v>
      </c>
      <c r="L17" s="93"/>
      <c r="M17" s="35">
        <f t="shared" si="23"/>
        <v>0</v>
      </c>
      <c r="N17" s="36" t="s">
        <v>118</v>
      </c>
      <c r="O17" s="137"/>
      <c r="Q17" s="16">
        <v>7550</v>
      </c>
      <c r="R17" s="16" t="s">
        <v>12</v>
      </c>
      <c r="S17" s="16" t="s">
        <v>12</v>
      </c>
      <c r="T17" s="16" t="s">
        <v>6</v>
      </c>
      <c r="U17" s="390">
        <v>43112.591782407406</v>
      </c>
    </row>
    <row r="18" spans="1:21" s="16" customFormat="1">
      <c r="A18" s="140">
        <v>8569</v>
      </c>
      <c r="B18" s="140" t="s">
        <v>12</v>
      </c>
      <c r="C18" s="140" t="s">
        <v>12</v>
      </c>
      <c r="D18" s="143" t="s">
        <v>5</v>
      </c>
      <c r="E18" s="144">
        <v>43182.791666666664</v>
      </c>
      <c r="F18" s="398">
        <f t="shared" si="21"/>
        <v>43182.791666666664</v>
      </c>
      <c r="G18" s="399" t="str">
        <f t="shared" si="22"/>
        <v>19:0</v>
      </c>
      <c r="H18" s="400" t="str">
        <f>IF(D18="上班",(G25-G18)*24,"-")</f>
        <v>-</v>
      </c>
      <c r="I18" s="138"/>
      <c r="J18" s="92" t="str">
        <f t="shared" si="14"/>
        <v>-</v>
      </c>
      <c r="K18" s="93">
        <f>IF(D18="加班",(G25-G18)*24,0)</f>
        <v>0</v>
      </c>
      <c r="L18" s="93"/>
      <c r="M18" s="35">
        <f t="shared" si="23"/>
        <v>0</v>
      </c>
      <c r="N18" s="36"/>
      <c r="O18" s="137"/>
      <c r="Q18" s="16">
        <v>7564</v>
      </c>
      <c r="R18" s="16" t="s">
        <v>12</v>
      </c>
      <c r="S18" s="16" t="s">
        <v>12</v>
      </c>
      <c r="T18" s="16" t="s">
        <v>5</v>
      </c>
      <c r="U18" s="390">
        <v>43112.792210648149</v>
      </c>
    </row>
    <row r="19" spans="1:21" s="16" customFormat="1">
      <c r="A19" s="140">
        <v>8566</v>
      </c>
      <c r="B19" s="140" t="s">
        <v>12</v>
      </c>
      <c r="C19" s="140" t="s">
        <v>12</v>
      </c>
      <c r="D19" s="141" t="s">
        <v>6</v>
      </c>
      <c r="E19" s="142">
        <v>43181.375</v>
      </c>
      <c r="F19" s="398">
        <f t="shared" si="21"/>
        <v>43181.375</v>
      </c>
      <c r="G19" s="399" t="str">
        <f t="shared" si="22"/>
        <v>9:0</v>
      </c>
      <c r="H19" s="400">
        <f t="shared" ref="H19" si="26">IF(D19="上班",(G20-G19)*24,"-")</f>
        <v>5.4999999999999991</v>
      </c>
      <c r="I19" s="138"/>
      <c r="J19" s="92">
        <f t="shared" si="14"/>
        <v>3.9999999999999991</v>
      </c>
      <c r="K19" s="93">
        <f t="shared" ref="K19" si="27">IF(D19="加班",(G20-G19)*24,0)</f>
        <v>0</v>
      </c>
      <c r="L19" s="93"/>
      <c r="M19" s="35">
        <f t="shared" si="23"/>
        <v>0</v>
      </c>
      <c r="N19" s="36" t="s">
        <v>118</v>
      </c>
      <c r="O19" s="137"/>
      <c r="Q19" s="16">
        <v>7550</v>
      </c>
      <c r="R19" s="16" t="s">
        <v>12</v>
      </c>
      <c r="S19" s="16" t="s">
        <v>12</v>
      </c>
      <c r="T19" s="16" t="s">
        <v>6</v>
      </c>
      <c r="U19" s="390">
        <v>43112.591782407406</v>
      </c>
    </row>
    <row r="20" spans="1:21" s="16" customFormat="1">
      <c r="A20" s="140">
        <v>8569</v>
      </c>
      <c r="B20" s="140" t="s">
        <v>12</v>
      </c>
      <c r="C20" s="140" t="s">
        <v>12</v>
      </c>
      <c r="D20" s="143" t="s">
        <v>5</v>
      </c>
      <c r="E20" s="144">
        <v>43181.604166666664</v>
      </c>
      <c r="F20" s="398">
        <f t="shared" ref="F20:F21" si="28">E20</f>
        <v>43181.604166666664</v>
      </c>
      <c r="G20" s="399" t="str">
        <f t="shared" ref="G20:G21" si="29">HOUR(E20)&amp;":"&amp;MINUTE(E20)</f>
        <v>14:30</v>
      </c>
      <c r="H20" s="400" t="str">
        <f>IF(D20="上班",(G27-G20)*24,"-")</f>
        <v>-</v>
      </c>
      <c r="I20" s="138"/>
      <c r="J20" s="92" t="str">
        <f t="shared" si="14"/>
        <v>-</v>
      </c>
      <c r="K20" s="93">
        <f>IF(D20="加班",(G27-G20)*24,0)</f>
        <v>0</v>
      </c>
      <c r="L20" s="93"/>
      <c r="M20" s="35">
        <f t="shared" ref="M20:M21" si="30">IF(K20&gt;2,K20-2,0)</f>
        <v>0</v>
      </c>
      <c r="N20" s="36"/>
      <c r="O20" s="137"/>
      <c r="Q20" s="16">
        <v>7564</v>
      </c>
      <c r="R20" s="16" t="s">
        <v>12</v>
      </c>
      <c r="S20" s="16" t="s">
        <v>12</v>
      </c>
      <c r="T20" s="16" t="s">
        <v>5</v>
      </c>
      <c r="U20" s="390">
        <v>43112.792210648149</v>
      </c>
    </row>
    <row r="21" spans="1:21" s="16" customFormat="1">
      <c r="A21" s="140">
        <v>8566</v>
      </c>
      <c r="B21" s="140" t="s">
        <v>12</v>
      </c>
      <c r="C21" s="140" t="s">
        <v>12</v>
      </c>
      <c r="D21" s="141" t="s">
        <v>6</v>
      </c>
      <c r="E21" s="142">
        <v>43187.375</v>
      </c>
      <c r="F21" s="398">
        <f t="shared" si="28"/>
        <v>43187.375</v>
      </c>
      <c r="G21" s="399" t="str">
        <f t="shared" si="29"/>
        <v>9:0</v>
      </c>
      <c r="H21" s="400">
        <f t="shared" ref="H21" si="31">IF(D21="上班",(G22-G21)*24,"-")</f>
        <v>7.5</v>
      </c>
      <c r="I21" s="138"/>
      <c r="J21" s="92">
        <f t="shared" si="14"/>
        <v>6</v>
      </c>
      <c r="K21" s="93">
        <f t="shared" ref="K21" si="32">IF(D21="加班",(G22-G21)*24,0)</f>
        <v>0</v>
      </c>
      <c r="L21" s="93"/>
      <c r="M21" s="35">
        <f t="shared" si="30"/>
        <v>0</v>
      </c>
      <c r="N21" s="36" t="s">
        <v>118</v>
      </c>
      <c r="O21" s="137"/>
      <c r="Q21" s="16">
        <v>7550</v>
      </c>
      <c r="R21" s="16" t="s">
        <v>12</v>
      </c>
      <c r="S21" s="16" t="s">
        <v>12</v>
      </c>
      <c r="T21" s="16" t="s">
        <v>6</v>
      </c>
      <c r="U21" s="390">
        <v>43112.591782407406</v>
      </c>
    </row>
    <row r="22" spans="1:21" s="16" customFormat="1">
      <c r="A22" s="140">
        <v>8569</v>
      </c>
      <c r="B22" s="140" t="s">
        <v>12</v>
      </c>
      <c r="C22" s="140" t="s">
        <v>12</v>
      </c>
      <c r="D22" s="143" t="s">
        <v>5</v>
      </c>
      <c r="E22" s="144">
        <v>43187.6875</v>
      </c>
      <c r="F22" s="398">
        <f t="shared" ref="F22" si="33">E22</f>
        <v>43187.6875</v>
      </c>
      <c r="G22" s="399" t="str">
        <f t="shared" ref="G22" si="34">HOUR(E22)&amp;":"&amp;MINUTE(E22)</f>
        <v>16:30</v>
      </c>
      <c r="H22" s="400" t="str">
        <f>IF(D22="上班",(G29-G22)*24,"-")</f>
        <v>-</v>
      </c>
      <c r="I22" s="138"/>
      <c r="J22" s="92" t="str">
        <f t="shared" si="14"/>
        <v>-</v>
      </c>
      <c r="K22" s="93">
        <f>IF(D22="加班",(G29-G22)*24,0)</f>
        <v>0</v>
      </c>
      <c r="L22" s="93"/>
      <c r="M22" s="35">
        <f t="shared" ref="M22" si="35">IF(K22&gt;2,K22-2,0)</f>
        <v>0</v>
      </c>
      <c r="N22" s="36"/>
      <c r="O22" s="137"/>
      <c r="Q22" s="16">
        <v>7564</v>
      </c>
      <c r="R22" s="16" t="s">
        <v>12</v>
      </c>
      <c r="S22" s="16" t="s">
        <v>12</v>
      </c>
      <c r="T22" s="16" t="s">
        <v>5</v>
      </c>
      <c r="U22" s="390">
        <v>43112.792210648149</v>
      </c>
    </row>
    <row r="23" spans="1:21">
      <c r="D23" s="178"/>
      <c r="E23" s="179"/>
    </row>
    <row r="24" spans="1:21">
      <c r="D24" s="178"/>
      <c r="E24" s="17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14"/>
  <dimension ref="A1:N38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10.375" style="3" customWidth="1" collapsed="1"/>
    <col min="5" max="5" width="15.62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2.625" style="21" customWidth="1" collapsed="1"/>
    <col min="10" max="10" width="13.5" style="21" customWidth="1"/>
    <col min="11" max="11" width="11" style="22" hidden="1" customWidth="1" outlineLevel="1"/>
    <col min="12" max="12" width="17.125" style="22" customWidth="1" collapsed="1"/>
    <col min="13" max="13" width="18.625" style="28" customWidth="1"/>
    <col min="14" max="14" width="9" style="9"/>
  </cols>
  <sheetData>
    <row r="1" spans="1:14" s="4" customFormat="1" ht="28.5" thickBot="1">
      <c r="C1" s="5"/>
      <c r="D1" s="6"/>
      <c r="E1" s="6"/>
      <c r="F1" s="10"/>
      <c r="G1" s="11"/>
      <c r="H1" s="12"/>
      <c r="I1" s="13" t="str">
        <f>B9</f>
        <v>willy</v>
      </c>
      <c r="J1" s="46" t="s">
        <v>30</v>
      </c>
      <c r="K1" s="14"/>
      <c r="L1" s="14"/>
      <c r="M1" s="27"/>
      <c r="N1" s="19"/>
    </row>
    <row r="2" spans="1:14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1" t="s">
        <v>28</v>
      </c>
    </row>
    <row r="3" spans="1:14" ht="17.25" thickBot="1">
      <c r="D3" s="24"/>
      <c r="E3" s="30"/>
      <c r="F3" s="25"/>
      <c r="G3" s="26"/>
      <c r="H3" s="26"/>
      <c r="I3" s="52">
        <f>I6+J6+L6</f>
        <v>76.650000000000006</v>
      </c>
      <c r="J3" s="54"/>
      <c r="K3" s="53"/>
      <c r="L3" s="53"/>
      <c r="M3" s="50"/>
    </row>
    <row r="4" spans="1:14">
      <c r="D4" s="37"/>
      <c r="E4" s="38"/>
      <c r="F4" s="112"/>
      <c r="G4" s="113"/>
      <c r="H4" s="113"/>
      <c r="I4" s="114" t="s">
        <v>21</v>
      </c>
      <c r="J4" s="114" t="s">
        <v>124</v>
      </c>
      <c r="K4" s="114" t="s">
        <v>120</v>
      </c>
      <c r="L4" s="114" t="s">
        <v>121</v>
      </c>
      <c r="M4" s="115"/>
    </row>
    <row r="5" spans="1:14">
      <c r="D5" s="40"/>
      <c r="E5" s="7"/>
      <c r="F5" s="116" t="s">
        <v>27</v>
      </c>
      <c r="G5" s="117"/>
      <c r="H5" s="117"/>
      <c r="I5" s="118" t="s">
        <v>82</v>
      </c>
      <c r="J5" s="118" t="s">
        <v>122</v>
      </c>
      <c r="K5" s="118" t="s">
        <v>123</v>
      </c>
      <c r="L5" s="118" t="s">
        <v>125</v>
      </c>
      <c r="M5" s="120"/>
    </row>
    <row r="6" spans="1:14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23</v>
      </c>
      <c r="I6" s="124">
        <f>SUM(I7:I94)</f>
        <v>72.616666666666674</v>
      </c>
      <c r="J6" s="124">
        <f>SUM(J7:J94)</f>
        <v>4.0333333333333314</v>
      </c>
      <c r="K6" s="124">
        <f>SUM(K9:K22)</f>
        <v>0</v>
      </c>
      <c r="L6" s="124">
        <f>SUM(L9:L22)</f>
        <v>0</v>
      </c>
      <c r="M6" s="45"/>
    </row>
    <row r="7" spans="1:14" s="63" customFormat="1">
      <c r="A7" s="140">
        <v>8529</v>
      </c>
      <c r="B7" s="140" t="s">
        <v>90</v>
      </c>
      <c r="C7" s="140" t="s">
        <v>90</v>
      </c>
      <c r="D7" s="143" t="s">
        <v>6</v>
      </c>
      <c r="E7" s="144">
        <v>43161.372106481482</v>
      </c>
      <c r="F7" s="104">
        <f>E7</f>
        <v>43161.372106481482</v>
      </c>
      <c r="G7" s="125" t="str">
        <f>HOUR(E7)&amp;":"&amp;MINUTE(E7)</f>
        <v>8:55</v>
      </c>
      <c r="H7" s="33">
        <f t="shared" ref="H7" si="0">IF(D7="上班",(G8-G7)*24,"-")</f>
        <v>3.2166666666666672</v>
      </c>
      <c r="I7" s="92">
        <f>IF(D7="上班",IF(H7-1.5&gt;8,8,H7-1.5),"-")+1.5</f>
        <v>3.2166666666666672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164"/>
      <c r="N7" s="18"/>
    </row>
    <row r="8" spans="1:14">
      <c r="A8" s="140">
        <v>8531</v>
      </c>
      <c r="B8" s="140" t="s">
        <v>90</v>
      </c>
      <c r="C8" s="140" t="s">
        <v>90</v>
      </c>
      <c r="D8" s="143" t="s">
        <v>5</v>
      </c>
      <c r="E8" s="144">
        <v>43161.505891203706</v>
      </c>
      <c r="F8" s="104">
        <f t="shared" ref="F8:F38" si="2">E8</f>
        <v>43161.505891203706</v>
      </c>
      <c r="G8" s="125" t="str">
        <f t="shared" ref="G8:G38" si="3">HOUR(E8)&amp;":"&amp;MINUTE(E8)</f>
        <v>12:8</v>
      </c>
      <c r="H8" s="33" t="str">
        <f t="shared" ref="H8:H38" si="4">IF(D8="上班",(G9-G8)*24,"-")</f>
        <v>-</v>
      </c>
      <c r="I8" s="92" t="str">
        <f t="shared" ref="I8:I38" si="5">IF(D8="上班",IF(H8-1.5&gt;8,8,H8-1.5),"-")</f>
        <v>-</v>
      </c>
      <c r="J8" s="92" t="str">
        <f t="shared" ref="J8:J38" si="6">IF(D8="上班",IF(H8&gt;(8+2),(H8-8-1.5-0.5),"-"),"-")</f>
        <v>-</v>
      </c>
      <c r="K8" s="93">
        <f t="shared" ref="K8:K38" si="7">IF(D8="加班",(G9-G8)*24,0)</f>
        <v>0</v>
      </c>
      <c r="L8" s="93"/>
      <c r="M8" s="164"/>
    </row>
    <row r="9" spans="1:14" s="63" customFormat="1">
      <c r="A9" s="140">
        <v>8558</v>
      </c>
      <c r="B9" s="140" t="s">
        <v>90</v>
      </c>
      <c r="C9" s="140" t="s">
        <v>90</v>
      </c>
      <c r="D9" s="143" t="s">
        <v>6</v>
      </c>
      <c r="E9" s="144">
        <v>43164.362858796296</v>
      </c>
      <c r="F9" s="104">
        <f t="shared" si="2"/>
        <v>43164.362858796296</v>
      </c>
      <c r="G9" s="125" t="str">
        <f t="shared" si="3"/>
        <v>8:42</v>
      </c>
      <c r="H9" s="33">
        <f t="shared" si="4"/>
        <v>11.433333333333334</v>
      </c>
      <c r="I9" s="92">
        <f>IF(D9="上班",IF(H9-1.5&gt;8,8,H9-1.5),"-")</f>
        <v>8</v>
      </c>
      <c r="J9" s="92">
        <f t="shared" si="6"/>
        <v>1.4333333333333336</v>
      </c>
      <c r="K9" s="93">
        <f t="shared" si="7"/>
        <v>0</v>
      </c>
      <c r="L9" s="93"/>
      <c r="M9" s="164"/>
      <c r="N9" s="18"/>
    </row>
    <row r="10" spans="1:14">
      <c r="A10" s="140">
        <v>8587</v>
      </c>
      <c r="B10" s="140" t="s">
        <v>90</v>
      </c>
      <c r="C10" s="140" t="s">
        <v>90</v>
      </c>
      <c r="D10" s="143" t="s">
        <v>5</v>
      </c>
      <c r="E10" s="144">
        <v>43164.83898148148</v>
      </c>
      <c r="F10" s="104">
        <f t="shared" si="2"/>
        <v>43164.83898148148</v>
      </c>
      <c r="G10" s="125" t="str">
        <f t="shared" si="3"/>
        <v>20:8</v>
      </c>
      <c r="H10" s="33" t="str">
        <f t="shared" si="4"/>
        <v>-</v>
      </c>
      <c r="I10" s="92" t="str">
        <f t="shared" si="5"/>
        <v>-</v>
      </c>
      <c r="J10" s="92" t="str">
        <f t="shared" si="6"/>
        <v>-</v>
      </c>
      <c r="K10" s="93">
        <f t="shared" si="7"/>
        <v>0</v>
      </c>
      <c r="L10" s="93"/>
      <c r="M10" s="164"/>
    </row>
    <row r="11" spans="1:14">
      <c r="A11" s="140">
        <v>8638</v>
      </c>
      <c r="B11" s="140" t="s">
        <v>90</v>
      </c>
      <c r="C11" s="140" t="s">
        <v>90</v>
      </c>
      <c r="D11" s="143" t="s">
        <v>6</v>
      </c>
      <c r="E11" s="144">
        <v>43166.650659722225</v>
      </c>
      <c r="F11" s="104">
        <f t="shared" si="2"/>
        <v>43166.650659722225</v>
      </c>
      <c r="G11" s="125" t="str">
        <f t="shared" si="3"/>
        <v>15:36</v>
      </c>
      <c r="H11" s="33">
        <f t="shared" si="4"/>
        <v>5.1333333333333337</v>
      </c>
      <c r="I11" s="92">
        <f>IF(D11="上班",IF(H11-1.5&gt;8,8,H11-1.5),"-")+1.5</f>
        <v>5.1333333333333337</v>
      </c>
      <c r="J11" s="92" t="str">
        <f t="shared" si="6"/>
        <v>-</v>
      </c>
      <c r="K11" s="93">
        <f t="shared" si="7"/>
        <v>0</v>
      </c>
      <c r="L11" s="93"/>
      <c r="M11" s="164"/>
    </row>
    <row r="12" spans="1:14">
      <c r="A12" s="140">
        <v>8658</v>
      </c>
      <c r="B12" s="140" t="s">
        <v>90</v>
      </c>
      <c r="C12" s="140" t="s">
        <v>90</v>
      </c>
      <c r="D12" s="143" t="s">
        <v>5</v>
      </c>
      <c r="E12" s="144">
        <v>43166.864432870374</v>
      </c>
      <c r="F12" s="104">
        <f t="shared" si="2"/>
        <v>43166.864432870374</v>
      </c>
      <c r="G12" s="125" t="str">
        <f t="shared" si="3"/>
        <v>20:44</v>
      </c>
      <c r="H12" s="33" t="str">
        <f t="shared" si="4"/>
        <v>-</v>
      </c>
      <c r="I12" s="92" t="str">
        <f t="shared" si="5"/>
        <v>-</v>
      </c>
      <c r="J12" s="92" t="str">
        <f t="shared" si="6"/>
        <v>-</v>
      </c>
      <c r="K12" s="93">
        <f t="shared" si="7"/>
        <v>0</v>
      </c>
      <c r="L12" s="93"/>
      <c r="M12" s="164"/>
    </row>
    <row r="13" spans="1:14">
      <c r="A13" s="140">
        <v>8698</v>
      </c>
      <c r="B13" s="140" t="s">
        <v>90</v>
      </c>
      <c r="C13" s="140" t="s">
        <v>90</v>
      </c>
      <c r="D13" s="143" t="s">
        <v>6</v>
      </c>
      <c r="E13" s="144">
        <v>43168.369363425925</v>
      </c>
      <c r="F13" s="104">
        <f t="shared" si="2"/>
        <v>43168.369363425925</v>
      </c>
      <c r="G13" s="125" t="str">
        <f t="shared" si="3"/>
        <v>8:51</v>
      </c>
      <c r="H13" s="33">
        <f t="shared" si="4"/>
        <v>3.3166666666666669</v>
      </c>
      <c r="I13" s="92">
        <f>IF(D13="上班",IF(H13-1.5&gt;8,8,H13-1.5),"-")+1.5</f>
        <v>3.3166666666666669</v>
      </c>
      <c r="J13" s="92" t="str">
        <f t="shared" si="6"/>
        <v>-</v>
      </c>
      <c r="K13" s="93">
        <f t="shared" si="7"/>
        <v>0</v>
      </c>
      <c r="L13" s="93"/>
      <c r="M13" s="164"/>
    </row>
    <row r="14" spans="1:14">
      <c r="A14" s="140">
        <v>8703</v>
      </c>
      <c r="B14" s="140" t="s">
        <v>90</v>
      </c>
      <c r="C14" s="140" t="s">
        <v>90</v>
      </c>
      <c r="D14" s="143" t="s">
        <v>5</v>
      </c>
      <c r="E14" s="144">
        <v>43168.507569444446</v>
      </c>
      <c r="F14" s="104">
        <f t="shared" si="2"/>
        <v>43168.507569444446</v>
      </c>
      <c r="G14" s="125" t="str">
        <f t="shared" si="3"/>
        <v>12:10</v>
      </c>
      <c r="H14" s="33" t="str">
        <f t="shared" si="4"/>
        <v>-</v>
      </c>
      <c r="I14" s="92" t="str">
        <f t="shared" si="5"/>
        <v>-</v>
      </c>
      <c r="J14" s="92" t="str">
        <f t="shared" si="6"/>
        <v>-</v>
      </c>
      <c r="K14" s="93">
        <f t="shared" si="7"/>
        <v>0</v>
      </c>
      <c r="L14" s="93"/>
      <c r="M14" s="164"/>
    </row>
    <row r="15" spans="1:14">
      <c r="A15" s="140">
        <v>8719</v>
      </c>
      <c r="B15" s="140" t="s">
        <v>90</v>
      </c>
      <c r="C15" s="140" t="s">
        <v>90</v>
      </c>
      <c r="D15" s="143" t="s">
        <v>6</v>
      </c>
      <c r="E15" s="144">
        <v>43169.41810185185</v>
      </c>
      <c r="F15" s="104">
        <f t="shared" si="2"/>
        <v>43169.41810185185</v>
      </c>
      <c r="G15" s="125" t="str">
        <f t="shared" si="3"/>
        <v>10:2</v>
      </c>
      <c r="H15" s="33">
        <f t="shared" si="4"/>
        <v>2.433333333333334</v>
      </c>
      <c r="I15" s="92">
        <f>IF(D15="上班",IF(H15-1.5&gt;8,8,H15-1.5),"-")+1.5</f>
        <v>2.433333333333334</v>
      </c>
      <c r="J15" s="92" t="str">
        <f t="shared" si="6"/>
        <v>-</v>
      </c>
      <c r="K15" s="93">
        <f t="shared" si="7"/>
        <v>0</v>
      </c>
      <c r="L15" s="93"/>
      <c r="M15" s="164"/>
    </row>
    <row r="16" spans="1:14">
      <c r="A16" s="140">
        <v>8723</v>
      </c>
      <c r="B16" s="140" t="s">
        <v>90</v>
      </c>
      <c r="C16" s="140" t="s">
        <v>90</v>
      </c>
      <c r="D16" s="143" t="s">
        <v>5</v>
      </c>
      <c r="E16" s="144">
        <v>43169.51972222222</v>
      </c>
      <c r="F16" s="104">
        <f t="shared" si="2"/>
        <v>43169.51972222222</v>
      </c>
      <c r="G16" s="125" t="str">
        <f t="shared" si="3"/>
        <v>12:28</v>
      </c>
      <c r="H16" s="33" t="str">
        <f t="shared" si="4"/>
        <v>-</v>
      </c>
      <c r="I16" s="92" t="str">
        <f t="shared" si="5"/>
        <v>-</v>
      </c>
      <c r="J16" s="92" t="str">
        <f t="shared" si="6"/>
        <v>-</v>
      </c>
      <c r="K16" s="93">
        <f t="shared" si="7"/>
        <v>0</v>
      </c>
      <c r="L16" s="93"/>
      <c r="M16" s="164"/>
    </row>
    <row r="17" spans="1:13">
      <c r="A17" s="140">
        <v>8771</v>
      </c>
      <c r="B17" s="140" t="s">
        <v>90</v>
      </c>
      <c r="C17" s="140" t="s">
        <v>90</v>
      </c>
      <c r="D17" s="143" t="s">
        <v>6</v>
      </c>
      <c r="E17" s="144">
        <v>43171.375775462962</v>
      </c>
      <c r="F17" s="104">
        <f t="shared" si="2"/>
        <v>43171.375775462962</v>
      </c>
      <c r="G17" s="125" t="str">
        <f t="shared" si="3"/>
        <v>9:1</v>
      </c>
      <c r="H17" s="33">
        <f t="shared" si="4"/>
        <v>9.8499999999999979</v>
      </c>
      <c r="I17" s="92">
        <f t="shared" si="5"/>
        <v>8</v>
      </c>
      <c r="J17" s="92" t="str">
        <f t="shared" si="6"/>
        <v>-</v>
      </c>
      <c r="K17" s="93">
        <f t="shared" si="7"/>
        <v>0</v>
      </c>
      <c r="L17" s="93"/>
      <c r="M17" s="164"/>
    </row>
    <row r="18" spans="1:13">
      <c r="A18" s="140">
        <v>8787</v>
      </c>
      <c r="B18" s="140" t="s">
        <v>90</v>
      </c>
      <c r="C18" s="140" t="s">
        <v>90</v>
      </c>
      <c r="D18" s="143" t="s">
        <v>5</v>
      </c>
      <c r="E18" s="144">
        <v>43171.786782407406</v>
      </c>
      <c r="F18" s="104">
        <f t="shared" si="2"/>
        <v>43171.786782407406</v>
      </c>
      <c r="G18" s="125" t="str">
        <f t="shared" si="3"/>
        <v>18:52</v>
      </c>
      <c r="H18" s="33" t="str">
        <f t="shared" si="4"/>
        <v>-</v>
      </c>
      <c r="I18" s="92" t="str">
        <f t="shared" si="5"/>
        <v>-</v>
      </c>
      <c r="J18" s="92" t="str">
        <f t="shared" si="6"/>
        <v>-</v>
      </c>
      <c r="K18" s="93">
        <f t="shared" si="7"/>
        <v>0</v>
      </c>
      <c r="L18" s="93"/>
      <c r="M18" s="164"/>
    </row>
    <row r="19" spans="1:13">
      <c r="A19" s="140">
        <v>8848</v>
      </c>
      <c r="B19" s="140" t="s">
        <v>103</v>
      </c>
      <c r="C19" s="140" t="s">
        <v>90</v>
      </c>
      <c r="D19" s="143" t="s">
        <v>6</v>
      </c>
      <c r="E19" s="144">
        <v>43173.715868055559</v>
      </c>
      <c r="F19" s="104">
        <f t="shared" si="2"/>
        <v>43173.715868055559</v>
      </c>
      <c r="G19" s="125" t="str">
        <f t="shared" si="3"/>
        <v>17:10</v>
      </c>
      <c r="H19" s="33">
        <f t="shared" si="4"/>
        <v>3.4333333333333345</v>
      </c>
      <c r="I19" s="92">
        <f>IF(D19="上班",IF(H19-1.5&gt;8,8,H19-1.5),"-")+1.5</f>
        <v>3.4333333333333345</v>
      </c>
      <c r="J19" s="92" t="str">
        <f t="shared" si="6"/>
        <v>-</v>
      </c>
      <c r="K19" s="93">
        <f t="shared" si="7"/>
        <v>0</v>
      </c>
      <c r="L19" s="93"/>
      <c r="M19" s="164"/>
    </row>
    <row r="20" spans="1:13">
      <c r="A20" s="140">
        <v>8865</v>
      </c>
      <c r="B20" s="140" t="s">
        <v>90</v>
      </c>
      <c r="C20" s="140" t="s">
        <v>90</v>
      </c>
      <c r="D20" s="143" t="s">
        <v>5</v>
      </c>
      <c r="E20" s="144">
        <v>43173.858969907407</v>
      </c>
      <c r="F20" s="104">
        <f t="shared" si="2"/>
        <v>43173.858969907407</v>
      </c>
      <c r="G20" s="125" t="str">
        <f t="shared" si="3"/>
        <v>20:36</v>
      </c>
      <c r="H20" s="33" t="str">
        <f t="shared" si="4"/>
        <v>-</v>
      </c>
      <c r="I20" s="92" t="str">
        <f t="shared" si="5"/>
        <v>-</v>
      </c>
      <c r="J20" s="92" t="str">
        <f t="shared" si="6"/>
        <v>-</v>
      </c>
      <c r="K20" s="93">
        <f t="shared" si="7"/>
        <v>0</v>
      </c>
      <c r="L20" s="93"/>
      <c r="M20" s="164"/>
    </row>
    <row r="21" spans="1:13">
      <c r="A21" s="140">
        <v>8911</v>
      </c>
      <c r="B21" s="140" t="s">
        <v>90</v>
      </c>
      <c r="C21" s="140" t="s">
        <v>90</v>
      </c>
      <c r="D21" s="143" t="s">
        <v>6</v>
      </c>
      <c r="E21" s="144">
        <v>43175.36445601852</v>
      </c>
      <c r="F21" s="104">
        <f t="shared" si="2"/>
        <v>43175.36445601852</v>
      </c>
      <c r="G21" s="125" t="str">
        <f t="shared" si="3"/>
        <v>8:44</v>
      </c>
      <c r="H21" s="33">
        <f t="shared" si="4"/>
        <v>3.2499999999999991</v>
      </c>
      <c r="I21" s="92">
        <f>IF(D21="上班",IF(H21-1.5&gt;8,8,H21-1.5),"-")+1.5</f>
        <v>3.2499999999999991</v>
      </c>
      <c r="J21" s="92" t="str">
        <f t="shared" si="6"/>
        <v>-</v>
      </c>
      <c r="K21" s="93">
        <f t="shared" si="7"/>
        <v>0</v>
      </c>
      <c r="L21" s="93"/>
      <c r="M21" s="164"/>
    </row>
    <row r="22" spans="1:13">
      <c r="A22" s="140">
        <v>8917</v>
      </c>
      <c r="B22" s="140" t="s">
        <v>90</v>
      </c>
      <c r="C22" s="140" t="s">
        <v>90</v>
      </c>
      <c r="D22" s="143" t="s">
        <v>5</v>
      </c>
      <c r="E22" s="144">
        <v>43175.499918981484</v>
      </c>
      <c r="F22" s="104">
        <f t="shared" si="2"/>
        <v>43175.499918981484</v>
      </c>
      <c r="G22" s="125" t="str">
        <f t="shared" si="3"/>
        <v>11:59</v>
      </c>
      <c r="H22" s="33" t="str">
        <f t="shared" si="4"/>
        <v>-</v>
      </c>
      <c r="I22" s="92" t="str">
        <f t="shared" si="5"/>
        <v>-</v>
      </c>
      <c r="J22" s="92" t="str">
        <f t="shared" si="6"/>
        <v>-</v>
      </c>
      <c r="K22" s="93">
        <f t="shared" si="7"/>
        <v>0</v>
      </c>
      <c r="L22" s="93"/>
      <c r="M22" s="164"/>
    </row>
    <row r="23" spans="1:13">
      <c r="A23" s="140">
        <v>8945</v>
      </c>
      <c r="B23" s="140" t="s">
        <v>90</v>
      </c>
      <c r="C23" s="140" t="s">
        <v>90</v>
      </c>
      <c r="D23" s="143" t="s">
        <v>6</v>
      </c>
      <c r="E23" s="144">
        <v>43176.426099537035</v>
      </c>
      <c r="F23" s="104">
        <f t="shared" si="2"/>
        <v>43176.426099537035</v>
      </c>
      <c r="G23" s="125" t="str">
        <f t="shared" si="3"/>
        <v>10:13</v>
      </c>
      <c r="H23" s="33">
        <f t="shared" si="4"/>
        <v>5.2333333333333325</v>
      </c>
      <c r="I23" s="92">
        <f t="shared" si="5"/>
        <v>3.7333333333333325</v>
      </c>
      <c r="J23" s="92" t="str">
        <f t="shared" si="6"/>
        <v>-</v>
      </c>
      <c r="K23" s="93">
        <f t="shared" si="7"/>
        <v>0</v>
      </c>
      <c r="L23" s="93"/>
      <c r="M23" s="164"/>
    </row>
    <row r="24" spans="1:13">
      <c r="A24" s="140">
        <v>8963</v>
      </c>
      <c r="B24" s="140" t="s">
        <v>90</v>
      </c>
      <c r="C24" s="140" t="s">
        <v>90</v>
      </c>
      <c r="D24" s="143" t="s">
        <v>5</v>
      </c>
      <c r="E24" s="144">
        <v>43176.643912037034</v>
      </c>
      <c r="F24" s="104">
        <f t="shared" si="2"/>
        <v>43176.643912037034</v>
      </c>
      <c r="G24" s="125" t="str">
        <f t="shared" si="3"/>
        <v>15:27</v>
      </c>
      <c r="H24" s="33" t="str">
        <f t="shared" si="4"/>
        <v>-</v>
      </c>
      <c r="I24" s="92" t="str">
        <f t="shared" si="5"/>
        <v>-</v>
      </c>
      <c r="J24" s="92" t="str">
        <f t="shared" si="6"/>
        <v>-</v>
      </c>
      <c r="K24" s="93">
        <f t="shared" si="7"/>
        <v>0</v>
      </c>
      <c r="L24" s="93"/>
      <c r="M24" s="164"/>
    </row>
    <row r="25" spans="1:13">
      <c r="A25" s="140">
        <v>8981</v>
      </c>
      <c r="B25" s="140" t="s">
        <v>90</v>
      </c>
      <c r="C25" s="140" t="s">
        <v>90</v>
      </c>
      <c r="D25" s="143" t="s">
        <v>6</v>
      </c>
      <c r="E25" s="144">
        <v>43178.383750000001</v>
      </c>
      <c r="F25" s="104">
        <f t="shared" si="2"/>
        <v>43178.383750000001</v>
      </c>
      <c r="G25" s="125" t="str">
        <f t="shared" si="3"/>
        <v>9:12</v>
      </c>
      <c r="H25" s="33">
        <f t="shared" si="4"/>
        <v>11.816666666666666</v>
      </c>
      <c r="I25" s="92">
        <f t="shared" si="5"/>
        <v>8</v>
      </c>
      <c r="J25" s="92">
        <f t="shared" si="6"/>
        <v>1.8166666666666664</v>
      </c>
      <c r="K25" s="93">
        <f t="shared" si="7"/>
        <v>0</v>
      </c>
      <c r="L25" s="93"/>
      <c r="M25" s="164"/>
    </row>
    <row r="26" spans="1:13">
      <c r="A26" s="140">
        <v>9005</v>
      </c>
      <c r="B26" s="140" t="s">
        <v>90</v>
      </c>
      <c r="C26" s="140" t="s">
        <v>90</v>
      </c>
      <c r="D26" s="143" t="s">
        <v>5</v>
      </c>
      <c r="E26" s="144">
        <v>43178.875960648147</v>
      </c>
      <c r="F26" s="104">
        <f t="shared" si="2"/>
        <v>43178.875960648147</v>
      </c>
      <c r="G26" s="125" t="str">
        <f t="shared" si="3"/>
        <v>21:1</v>
      </c>
      <c r="H26" s="33" t="str">
        <f t="shared" si="4"/>
        <v>-</v>
      </c>
      <c r="I26" s="92" t="str">
        <f t="shared" si="5"/>
        <v>-</v>
      </c>
      <c r="J26" s="92" t="str">
        <f t="shared" si="6"/>
        <v>-</v>
      </c>
      <c r="K26" s="93">
        <f t="shared" si="7"/>
        <v>0</v>
      </c>
      <c r="L26" s="93"/>
      <c r="M26" s="164"/>
    </row>
    <row r="27" spans="1:13">
      <c r="A27" s="140">
        <v>9020</v>
      </c>
      <c r="B27" s="140" t="s">
        <v>104</v>
      </c>
      <c r="C27" s="140" t="s">
        <v>90</v>
      </c>
      <c r="D27" s="143" t="s">
        <v>6</v>
      </c>
      <c r="E27" s="144">
        <v>43179.71974537037</v>
      </c>
      <c r="F27" s="104">
        <f t="shared" si="2"/>
        <v>43179.71974537037</v>
      </c>
      <c r="G27" s="125" t="str">
        <f t="shared" si="3"/>
        <v>17:16</v>
      </c>
      <c r="H27" s="33">
        <f t="shared" si="4"/>
        <v>2.6666666666666679</v>
      </c>
      <c r="I27" s="92">
        <f>IF(D27="上班",IF(H27-1.5&gt;8,8,H27-1.5),"-")+1.5</f>
        <v>2.6666666666666679</v>
      </c>
      <c r="J27" s="92" t="str">
        <f t="shared" si="6"/>
        <v>-</v>
      </c>
      <c r="K27" s="93">
        <f t="shared" si="7"/>
        <v>0</v>
      </c>
      <c r="L27" s="93"/>
      <c r="M27" s="164"/>
    </row>
    <row r="28" spans="1:13">
      <c r="A28" s="140">
        <v>9041</v>
      </c>
      <c r="B28" s="140" t="s">
        <v>90</v>
      </c>
      <c r="C28" s="140" t="s">
        <v>90</v>
      </c>
      <c r="D28" s="143" t="s">
        <v>5</v>
      </c>
      <c r="E28" s="144">
        <v>43179.830590277779</v>
      </c>
      <c r="F28" s="104">
        <f t="shared" si="2"/>
        <v>43179.830590277779</v>
      </c>
      <c r="G28" s="125" t="str">
        <f t="shared" si="3"/>
        <v>19:56</v>
      </c>
      <c r="H28" s="33" t="str">
        <f t="shared" si="4"/>
        <v>-</v>
      </c>
      <c r="I28" s="92" t="str">
        <f t="shared" si="5"/>
        <v>-</v>
      </c>
      <c r="J28" s="92" t="str">
        <f t="shared" si="6"/>
        <v>-</v>
      </c>
      <c r="K28" s="93">
        <f t="shared" si="7"/>
        <v>0</v>
      </c>
      <c r="L28" s="93"/>
      <c r="M28" s="164"/>
    </row>
    <row r="29" spans="1:13">
      <c r="A29" s="140">
        <v>9125</v>
      </c>
      <c r="B29" s="140" t="s">
        <v>90</v>
      </c>
      <c r="C29" s="140" t="s">
        <v>90</v>
      </c>
      <c r="D29" s="143" t="s">
        <v>6</v>
      </c>
      <c r="E29" s="144">
        <v>43182.377662037034</v>
      </c>
      <c r="F29" s="104">
        <f t="shared" si="2"/>
        <v>43182.377662037034</v>
      </c>
      <c r="G29" s="125" t="str">
        <f t="shared" si="3"/>
        <v>9:3</v>
      </c>
      <c r="H29" s="33">
        <f t="shared" si="4"/>
        <v>3.0499999999999985</v>
      </c>
      <c r="I29" s="92">
        <f>IF(D29="上班",IF(H29-1.5&gt;8,8,H29-1.5),"-")+1.5</f>
        <v>3.0499999999999985</v>
      </c>
      <c r="J29" s="92" t="str">
        <f t="shared" si="6"/>
        <v>-</v>
      </c>
      <c r="K29" s="93">
        <f t="shared" si="7"/>
        <v>0</v>
      </c>
      <c r="L29" s="93"/>
      <c r="M29" s="164"/>
    </row>
    <row r="30" spans="1:13">
      <c r="A30" s="140">
        <v>9127</v>
      </c>
      <c r="B30" s="140" t="s">
        <v>90</v>
      </c>
      <c r="C30" s="140" t="s">
        <v>90</v>
      </c>
      <c r="D30" s="143" t="s">
        <v>5</v>
      </c>
      <c r="E30" s="144">
        <v>43182.504259259258</v>
      </c>
      <c r="F30" s="104">
        <f t="shared" si="2"/>
        <v>43182.504259259258</v>
      </c>
      <c r="G30" s="125" t="str">
        <f t="shared" si="3"/>
        <v>12:6</v>
      </c>
      <c r="H30" s="33" t="str">
        <f t="shared" si="4"/>
        <v>-</v>
      </c>
      <c r="I30" s="92" t="str">
        <f t="shared" si="5"/>
        <v>-</v>
      </c>
      <c r="J30" s="92" t="str">
        <f t="shared" si="6"/>
        <v>-</v>
      </c>
      <c r="K30" s="93">
        <f t="shared" si="7"/>
        <v>0</v>
      </c>
      <c r="L30" s="93"/>
      <c r="M30" s="164"/>
    </row>
    <row r="31" spans="1:13">
      <c r="A31" s="140">
        <v>9145</v>
      </c>
      <c r="B31" s="140" t="s">
        <v>90</v>
      </c>
      <c r="C31" s="140" t="s">
        <v>90</v>
      </c>
      <c r="D31" s="143" t="s">
        <v>6</v>
      </c>
      <c r="E31" s="144">
        <v>43185.413958333331</v>
      </c>
      <c r="F31" s="104">
        <f t="shared" si="2"/>
        <v>43185.413958333331</v>
      </c>
      <c r="G31" s="125" t="str">
        <f t="shared" si="3"/>
        <v>9:56</v>
      </c>
      <c r="H31" s="33">
        <f t="shared" si="4"/>
        <v>10.783333333333331</v>
      </c>
      <c r="I31" s="92">
        <f t="shared" si="5"/>
        <v>8</v>
      </c>
      <c r="J31" s="92">
        <f t="shared" si="6"/>
        <v>0.78333333333333144</v>
      </c>
      <c r="K31" s="93">
        <f t="shared" si="7"/>
        <v>0</v>
      </c>
      <c r="L31" s="93"/>
      <c r="M31" s="164"/>
    </row>
    <row r="32" spans="1:13">
      <c r="A32" s="140">
        <v>9162</v>
      </c>
      <c r="B32" s="140" t="s">
        <v>90</v>
      </c>
      <c r="C32" s="140" t="s">
        <v>90</v>
      </c>
      <c r="D32" s="143" t="s">
        <v>5</v>
      </c>
      <c r="E32" s="144">
        <v>43185.863530092596</v>
      </c>
      <c r="F32" s="104">
        <f t="shared" si="2"/>
        <v>43185.863530092596</v>
      </c>
      <c r="G32" s="125" t="str">
        <f t="shared" si="3"/>
        <v>20:43</v>
      </c>
      <c r="H32" s="33" t="str">
        <f t="shared" si="4"/>
        <v>-</v>
      </c>
      <c r="I32" s="92" t="str">
        <f t="shared" si="5"/>
        <v>-</v>
      </c>
      <c r="J32" s="92" t="str">
        <f t="shared" si="6"/>
        <v>-</v>
      </c>
      <c r="K32" s="93">
        <f t="shared" si="7"/>
        <v>0</v>
      </c>
      <c r="L32" s="93"/>
      <c r="M32" s="164"/>
    </row>
    <row r="33" spans="1:13">
      <c r="A33" s="140">
        <v>9200</v>
      </c>
      <c r="B33" s="140" t="s">
        <v>104</v>
      </c>
      <c r="C33" s="140" t="s">
        <v>90</v>
      </c>
      <c r="D33" s="143" t="s">
        <v>6</v>
      </c>
      <c r="E33" s="144">
        <v>43187.714548611111</v>
      </c>
      <c r="F33" s="104">
        <f t="shared" si="2"/>
        <v>43187.714548611111</v>
      </c>
      <c r="G33" s="125" t="str">
        <f t="shared" si="3"/>
        <v>17:8</v>
      </c>
      <c r="H33" s="33">
        <f t="shared" si="4"/>
        <v>3.6500000000000004</v>
      </c>
      <c r="I33" s="92">
        <f>IF(D33="上班",IF(H33-1.5&gt;8,8,H33-1.5),"-")+1.5</f>
        <v>3.6500000000000004</v>
      </c>
      <c r="J33" s="92" t="str">
        <f t="shared" si="6"/>
        <v>-</v>
      </c>
      <c r="K33" s="93">
        <f t="shared" si="7"/>
        <v>0</v>
      </c>
      <c r="L33" s="93"/>
      <c r="M33" s="164"/>
    </row>
    <row r="34" spans="1:13">
      <c r="A34" s="140">
        <v>9221</v>
      </c>
      <c r="B34" s="140" t="s">
        <v>90</v>
      </c>
      <c r="C34" s="140" t="s">
        <v>90</v>
      </c>
      <c r="D34" s="143" t="s">
        <v>5</v>
      </c>
      <c r="E34" s="144">
        <v>43187.866053240738</v>
      </c>
      <c r="F34" s="104">
        <f t="shared" si="2"/>
        <v>43187.866053240738</v>
      </c>
      <c r="G34" s="125" t="str">
        <f t="shared" si="3"/>
        <v>20:47</v>
      </c>
      <c r="H34" s="33" t="str">
        <f t="shared" si="4"/>
        <v>-</v>
      </c>
      <c r="I34" s="92" t="str">
        <f t="shared" si="5"/>
        <v>-</v>
      </c>
      <c r="J34" s="92" t="str">
        <f t="shared" si="6"/>
        <v>-</v>
      </c>
      <c r="K34" s="93">
        <f t="shared" si="7"/>
        <v>0</v>
      </c>
      <c r="L34" s="93"/>
      <c r="M34" s="164"/>
    </row>
    <row r="35" spans="1:13">
      <c r="A35" s="140">
        <v>9265</v>
      </c>
      <c r="B35" s="140" t="s">
        <v>90</v>
      </c>
      <c r="C35" s="140" t="s">
        <v>90</v>
      </c>
      <c r="D35" s="143" t="s">
        <v>6</v>
      </c>
      <c r="E35" s="144">
        <v>43189.371296296296</v>
      </c>
      <c r="F35" s="104">
        <f t="shared" si="2"/>
        <v>43189.371296296296</v>
      </c>
      <c r="G35" s="125" t="str">
        <f t="shared" si="3"/>
        <v>8:54</v>
      </c>
      <c r="H35" s="33">
        <f t="shared" si="4"/>
        <v>3.1666666666666661</v>
      </c>
      <c r="I35" s="92">
        <f>IF(D35="上班",IF(H35-1.5&gt;8,8,H35-1.5),"-")+1.5</f>
        <v>3.1666666666666661</v>
      </c>
      <c r="J35" s="92" t="str">
        <f t="shared" si="6"/>
        <v>-</v>
      </c>
      <c r="K35" s="93">
        <f t="shared" si="7"/>
        <v>0</v>
      </c>
      <c r="L35" s="93"/>
      <c r="M35" s="164"/>
    </row>
    <row r="36" spans="1:13">
      <c r="A36" s="140">
        <v>9268</v>
      </c>
      <c r="B36" s="140" t="s">
        <v>90</v>
      </c>
      <c r="C36" s="140" t="s">
        <v>90</v>
      </c>
      <c r="D36" s="143" t="s">
        <v>5</v>
      </c>
      <c r="E36" s="144">
        <v>43189.503159722219</v>
      </c>
      <c r="F36" s="104">
        <f t="shared" si="2"/>
        <v>43189.503159722219</v>
      </c>
      <c r="G36" s="125" t="str">
        <f t="shared" si="3"/>
        <v>12:4</v>
      </c>
      <c r="H36" s="33" t="str">
        <f t="shared" si="4"/>
        <v>-</v>
      </c>
      <c r="I36" s="92" t="str">
        <f t="shared" si="5"/>
        <v>-</v>
      </c>
      <c r="J36" s="92" t="str">
        <f t="shared" si="6"/>
        <v>-</v>
      </c>
      <c r="K36" s="93">
        <f t="shared" si="7"/>
        <v>0</v>
      </c>
      <c r="L36" s="93"/>
      <c r="M36" s="164"/>
    </row>
    <row r="37" spans="1:13">
      <c r="A37" s="145">
        <v>9265</v>
      </c>
      <c r="B37" s="145" t="s">
        <v>90</v>
      </c>
      <c r="C37" s="145" t="s">
        <v>90</v>
      </c>
      <c r="D37" s="424" t="s">
        <v>6</v>
      </c>
      <c r="E37" s="146">
        <v>43190.396296296298</v>
      </c>
      <c r="F37" s="104">
        <f t="shared" si="2"/>
        <v>43190.396296296298</v>
      </c>
      <c r="G37" s="125" t="str">
        <f t="shared" si="3"/>
        <v>9:30</v>
      </c>
      <c r="H37" s="33">
        <f t="shared" si="4"/>
        <v>3.566666666666666</v>
      </c>
      <c r="I37" s="92">
        <f>IF(D37="上班",IF(H37-1.5&gt;8,8,H37-1.5),"-")+1.5</f>
        <v>3.566666666666666</v>
      </c>
      <c r="J37" s="92" t="str">
        <f t="shared" si="6"/>
        <v>-</v>
      </c>
      <c r="K37" s="93">
        <f t="shared" si="7"/>
        <v>0</v>
      </c>
      <c r="L37" s="93"/>
      <c r="M37" s="164"/>
    </row>
    <row r="38" spans="1:13">
      <c r="A38" s="145">
        <v>9268</v>
      </c>
      <c r="B38" s="145" t="s">
        <v>90</v>
      </c>
      <c r="C38" s="145" t="s">
        <v>90</v>
      </c>
      <c r="D38" s="424" t="s">
        <v>5</v>
      </c>
      <c r="E38" s="146">
        <v>43190.54482638889</v>
      </c>
      <c r="F38" s="104">
        <f t="shared" si="2"/>
        <v>43190.54482638889</v>
      </c>
      <c r="G38" s="125" t="str">
        <f t="shared" si="3"/>
        <v>13:4</v>
      </c>
      <c r="H38" s="33" t="str">
        <f t="shared" si="4"/>
        <v>-</v>
      </c>
      <c r="I38" s="92" t="str">
        <f t="shared" si="5"/>
        <v>-</v>
      </c>
      <c r="J38" s="92" t="str">
        <f t="shared" si="6"/>
        <v>-</v>
      </c>
      <c r="K38" s="93">
        <f t="shared" si="7"/>
        <v>0</v>
      </c>
      <c r="L38" s="93"/>
      <c r="M38" s="16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工作表15"/>
  <dimension ref="A1:U30"/>
  <sheetViews>
    <sheetView workbookViewId="0">
      <selection activeCell="G7" sqref="G7"/>
    </sheetView>
  </sheetViews>
  <sheetFormatPr defaultColWidth="8.875"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8.125" style="3" customWidth="1"/>
    <col min="5" max="5" width="15.625" style="3" customWidth="1"/>
    <col min="6" max="6" width="5.625" style="16" customWidth="1"/>
    <col min="7" max="7" width="8.625" style="17" customWidth="1" outlineLevel="1"/>
    <col min="8" max="8" width="11.125" style="51" customWidth="1" outlineLevel="1"/>
    <col min="9" max="9" width="12" style="21" customWidth="1"/>
    <col min="10" max="10" width="15.375" style="21" customWidth="1"/>
    <col min="11" max="11" width="11.125" style="22" hidden="1" customWidth="1" outlineLevel="1"/>
    <col min="12" max="12" width="14.125" style="22" customWidth="1" collapsed="1"/>
    <col min="13" max="13" width="15.625" style="28" customWidth="1"/>
    <col min="14" max="14" width="9" style="9"/>
  </cols>
  <sheetData>
    <row r="1" spans="1:14" s="4" customFormat="1" ht="28.5" thickBot="1">
      <c r="C1" s="5"/>
      <c r="D1" s="6"/>
      <c r="E1" s="6"/>
      <c r="F1" s="10"/>
      <c r="G1" s="11"/>
      <c r="H1" s="12"/>
      <c r="I1" s="13" t="str">
        <f>B7</f>
        <v>albert</v>
      </c>
      <c r="J1" s="46" t="s">
        <v>30</v>
      </c>
      <c r="K1" s="14"/>
      <c r="L1" s="14"/>
      <c r="M1" s="27"/>
      <c r="N1" s="19"/>
    </row>
    <row r="2" spans="1:14">
      <c r="D2" s="23"/>
      <c r="E2" s="29"/>
      <c r="F2" s="79" t="s">
        <v>29</v>
      </c>
      <c r="G2" s="80"/>
      <c r="H2" s="80"/>
      <c r="I2" s="81" t="s">
        <v>25</v>
      </c>
      <c r="J2" s="81"/>
      <c r="K2" s="82"/>
      <c r="L2" s="83"/>
      <c r="M2" s="85" t="s">
        <v>28</v>
      </c>
    </row>
    <row r="3" spans="1:14" ht="17.25" thickBot="1">
      <c r="D3" s="24"/>
      <c r="E3" s="30"/>
      <c r="F3" s="25"/>
      <c r="G3" s="26"/>
      <c r="H3" s="26"/>
      <c r="I3" s="52">
        <f>I6+J6</f>
        <v>71.166666666666671</v>
      </c>
      <c r="J3" s="54"/>
      <c r="K3" s="53"/>
      <c r="L3" s="53"/>
      <c r="M3" s="50"/>
    </row>
    <row r="4" spans="1:14">
      <c r="D4" s="37"/>
      <c r="E4" s="38"/>
      <c r="F4" s="96"/>
      <c r="G4" s="70"/>
      <c r="H4" s="70"/>
      <c r="I4" s="114" t="s">
        <v>21</v>
      </c>
      <c r="J4" s="114" t="s">
        <v>124</v>
      </c>
      <c r="K4" s="114" t="s">
        <v>120</v>
      </c>
      <c r="L4" s="114" t="s">
        <v>121</v>
      </c>
      <c r="M4" s="98"/>
    </row>
    <row r="5" spans="1:14">
      <c r="D5" s="40"/>
      <c r="E5" s="7"/>
      <c r="F5" s="99" t="s">
        <v>27</v>
      </c>
      <c r="G5" s="72"/>
      <c r="H5" s="72"/>
      <c r="I5" s="118" t="s">
        <v>82</v>
      </c>
      <c r="J5" s="118" t="s">
        <v>122</v>
      </c>
      <c r="K5" s="118" t="s">
        <v>123</v>
      </c>
      <c r="L5" s="118" t="s">
        <v>125</v>
      </c>
      <c r="M5" s="102"/>
    </row>
    <row r="6" spans="1:14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76"/>
      <c r="G6" s="77"/>
      <c r="H6" s="75" t="s">
        <v>23</v>
      </c>
      <c r="I6" s="124">
        <f>SUM(I7:I94)</f>
        <v>69.216666666666669</v>
      </c>
      <c r="J6" s="124">
        <f>SUM(J7:J94)</f>
        <v>1.9499999999999993</v>
      </c>
      <c r="K6" s="124">
        <f>SUM(K9:K22)</f>
        <v>0</v>
      </c>
      <c r="L6" s="124">
        <f>SUM(L9:L22)</f>
        <v>0</v>
      </c>
      <c r="M6" s="103"/>
    </row>
    <row r="7" spans="1:14" s="16" customFormat="1">
      <c r="A7" s="140">
        <v>8810</v>
      </c>
      <c r="B7" s="140" t="s">
        <v>43</v>
      </c>
      <c r="C7" s="140" t="s">
        <v>43</v>
      </c>
      <c r="D7" s="143" t="s">
        <v>6</v>
      </c>
      <c r="E7" s="144">
        <v>43172.623773148145</v>
      </c>
      <c r="F7" s="104">
        <f t="shared" ref="F7:F10" si="0">E7</f>
        <v>43172.623773148145</v>
      </c>
      <c r="G7" s="125" t="str">
        <f t="shared" ref="G7:G10" si="1">HOUR(E7)&amp;":"&amp;MINUTE(E7)</f>
        <v>14:58</v>
      </c>
      <c r="H7" s="126">
        <f t="shared" ref="H7:H9" si="2">IF(D7="上班",(G8-G7)*24,"-")</f>
        <v>4.0499999999999989</v>
      </c>
      <c r="I7" s="92">
        <f>IF(D7="上班",IF(H7-1.5&gt;8,8,H7-1.5),"-")+1.5</f>
        <v>4.0499999999999989</v>
      </c>
      <c r="J7" s="92" t="str">
        <f>IF(D7="上班",IF(H7&gt;(8+2),(H7-8-1.5-0.5),"-"),"-")</f>
        <v>-</v>
      </c>
      <c r="K7" s="93">
        <f t="shared" ref="K7:K9" si="3">IF(D7="加班",(G8-G7)*24,0)</f>
        <v>0</v>
      </c>
      <c r="L7" s="93"/>
      <c r="M7" s="164"/>
      <c r="N7" s="137"/>
    </row>
    <row r="8" spans="1:14" s="16" customFormat="1">
      <c r="A8" s="140">
        <v>8827</v>
      </c>
      <c r="B8" s="140" t="s">
        <v>43</v>
      </c>
      <c r="C8" s="140" t="s">
        <v>43</v>
      </c>
      <c r="D8" s="143" t="s">
        <v>5</v>
      </c>
      <c r="E8" s="144">
        <v>43172.79277777778</v>
      </c>
      <c r="F8" s="104">
        <f t="shared" si="0"/>
        <v>43172.79277777778</v>
      </c>
      <c r="G8" s="125" t="str">
        <f t="shared" si="1"/>
        <v>19:1</v>
      </c>
      <c r="H8" s="126" t="str">
        <f t="shared" si="2"/>
        <v>-</v>
      </c>
      <c r="I8" s="92" t="str">
        <f t="shared" ref="I8" si="4">IF(D8="上班",IF(H8-1.5&gt;8,8,H8-1.5),"-")</f>
        <v>-</v>
      </c>
      <c r="J8" s="92" t="str">
        <f t="shared" ref="J8:J9" si="5">IF(D8="上班",IF(H8&gt;(8+2),(H8-8-1.5-0.5),"-"),"-")</f>
        <v>-</v>
      </c>
      <c r="K8" s="93">
        <f t="shared" si="3"/>
        <v>0</v>
      </c>
      <c r="L8" s="93"/>
      <c r="M8" s="164"/>
      <c r="N8" s="137"/>
    </row>
    <row r="9" spans="1:14" s="16" customFormat="1">
      <c r="A9" s="140">
        <v>8846</v>
      </c>
      <c r="B9" s="140" t="s">
        <v>43</v>
      </c>
      <c r="C9" s="140" t="s">
        <v>43</v>
      </c>
      <c r="D9" s="143" t="s">
        <v>6</v>
      </c>
      <c r="E9" s="144">
        <v>43173.467245370368</v>
      </c>
      <c r="F9" s="104">
        <f t="shared" si="0"/>
        <v>43173.467245370368</v>
      </c>
      <c r="G9" s="125" t="str">
        <f t="shared" si="1"/>
        <v>11:12</v>
      </c>
      <c r="H9" s="126">
        <f t="shared" si="2"/>
        <v>7.3000000000000025</v>
      </c>
      <c r="I9" s="92">
        <f>IF(D9="上班",IF(H9-1.5&gt;8,8,H9-1.5),"-")</f>
        <v>5.8000000000000025</v>
      </c>
      <c r="J9" s="92" t="str">
        <f t="shared" si="5"/>
        <v>-</v>
      </c>
      <c r="K9" s="93">
        <f t="shared" si="3"/>
        <v>0</v>
      </c>
      <c r="L9" s="93"/>
      <c r="M9" s="164"/>
      <c r="N9" s="137"/>
    </row>
    <row r="10" spans="1:14" s="63" customFormat="1">
      <c r="A10" s="422">
        <v>8898</v>
      </c>
      <c r="B10" s="422" t="s">
        <v>43</v>
      </c>
      <c r="C10" s="422" t="s">
        <v>43</v>
      </c>
      <c r="D10" s="181" t="s">
        <v>5</v>
      </c>
      <c r="E10" s="180">
        <v>43173.771180555559</v>
      </c>
      <c r="F10" s="135">
        <f t="shared" si="0"/>
        <v>43173.771180555559</v>
      </c>
      <c r="G10" s="67" t="str">
        <f t="shared" si="1"/>
        <v>18:30</v>
      </c>
      <c r="H10" s="126" t="str">
        <f t="shared" ref="H10:H30" si="6">IF(D10="上班",(G11-G10)*24,"-")</f>
        <v>-</v>
      </c>
      <c r="I10" s="92" t="str">
        <f t="shared" ref="I10:I30" si="7">IF(D10="上班",IF(H10-1.5&gt;8,8,H10-1.5),"-")</f>
        <v>-</v>
      </c>
      <c r="J10" s="92" t="str">
        <f t="shared" ref="J10:J30" si="8">IF(D10="上班",IF(H10&gt;(8+2),(H10-8-1.5-0.5),"-"),"-")</f>
        <v>-</v>
      </c>
      <c r="K10" s="93">
        <f t="shared" ref="K10:K30" si="9">IF(D10="加班",(G11-G10)*24,0)</f>
        <v>0</v>
      </c>
      <c r="L10" s="93"/>
      <c r="M10" s="186" t="s">
        <v>113</v>
      </c>
      <c r="N10" s="18"/>
    </row>
    <row r="11" spans="1:14" s="16" customFormat="1">
      <c r="A11" s="140">
        <v>8882</v>
      </c>
      <c r="B11" s="140" t="s">
        <v>43</v>
      </c>
      <c r="C11" s="140" t="s">
        <v>43</v>
      </c>
      <c r="D11" s="143" t="s">
        <v>6</v>
      </c>
      <c r="E11" s="144">
        <v>43174.434930555559</v>
      </c>
      <c r="F11" s="104">
        <f t="shared" ref="F11:F15" si="10">E11</f>
        <v>43174.434930555559</v>
      </c>
      <c r="G11" s="125" t="str">
        <f t="shared" ref="G11:G15" si="11">HOUR(E11)&amp;":"&amp;MINUTE(E11)</f>
        <v>10:26</v>
      </c>
      <c r="H11" s="126">
        <f t="shared" si="6"/>
        <v>9.3166666666666664</v>
      </c>
      <c r="I11" s="92">
        <f t="shared" si="7"/>
        <v>7.8166666666666664</v>
      </c>
      <c r="J11" s="92" t="str">
        <f t="shared" si="8"/>
        <v>-</v>
      </c>
      <c r="K11" s="93">
        <f t="shared" si="9"/>
        <v>0</v>
      </c>
      <c r="L11" s="93"/>
      <c r="M11" s="164"/>
      <c r="N11" s="137"/>
    </row>
    <row r="12" spans="1:14" s="16" customFormat="1">
      <c r="A12" s="140">
        <v>8898</v>
      </c>
      <c r="B12" s="140" t="s">
        <v>43</v>
      </c>
      <c r="C12" s="140" t="s">
        <v>43</v>
      </c>
      <c r="D12" s="143" t="s">
        <v>5</v>
      </c>
      <c r="E12" s="144">
        <v>43174.823263888888</v>
      </c>
      <c r="F12" s="104">
        <f t="shared" si="10"/>
        <v>43174.823263888888</v>
      </c>
      <c r="G12" s="125" t="str">
        <f t="shared" si="11"/>
        <v>19:45</v>
      </c>
      <c r="H12" s="126" t="str">
        <f t="shared" si="6"/>
        <v>-</v>
      </c>
      <c r="I12" s="92" t="str">
        <f t="shared" si="7"/>
        <v>-</v>
      </c>
      <c r="J12" s="92" t="str">
        <f t="shared" si="8"/>
        <v>-</v>
      </c>
      <c r="K12" s="93">
        <f t="shared" si="9"/>
        <v>0</v>
      </c>
      <c r="L12" s="93"/>
      <c r="M12" s="164"/>
      <c r="N12" s="137"/>
    </row>
    <row r="13" spans="1:14">
      <c r="A13">
        <v>9018</v>
      </c>
      <c r="B13" t="s">
        <v>98</v>
      </c>
      <c r="C13" t="s">
        <v>43</v>
      </c>
      <c r="D13" s="143" t="s">
        <v>6</v>
      </c>
      <c r="E13" s="144">
        <v>43179.422511574077</v>
      </c>
      <c r="F13" s="104">
        <f t="shared" si="10"/>
        <v>43179.422511574077</v>
      </c>
      <c r="G13" s="125" t="str">
        <f t="shared" si="11"/>
        <v>10:8</v>
      </c>
      <c r="H13" s="126">
        <f t="shared" si="6"/>
        <v>8.4166666666666679</v>
      </c>
      <c r="I13" s="92">
        <f t="shared" si="7"/>
        <v>6.9166666666666679</v>
      </c>
      <c r="J13" s="92" t="str">
        <f t="shared" si="8"/>
        <v>-</v>
      </c>
      <c r="K13" s="93">
        <f t="shared" si="9"/>
        <v>0</v>
      </c>
      <c r="L13" s="93"/>
      <c r="M13" s="164"/>
    </row>
    <row r="14" spans="1:14">
      <c r="A14">
        <v>9033</v>
      </c>
      <c r="B14" t="s">
        <v>43</v>
      </c>
      <c r="C14" t="s">
        <v>43</v>
      </c>
      <c r="D14" s="143" t="s">
        <v>5</v>
      </c>
      <c r="E14" s="144">
        <v>43179.773518518516</v>
      </c>
      <c r="F14" s="104">
        <f t="shared" si="10"/>
        <v>43179.773518518516</v>
      </c>
      <c r="G14" s="125" t="str">
        <f t="shared" si="11"/>
        <v>18:33</v>
      </c>
      <c r="H14" s="126" t="str">
        <f t="shared" si="6"/>
        <v>-</v>
      </c>
      <c r="I14" s="92" t="str">
        <f t="shared" si="7"/>
        <v>-</v>
      </c>
      <c r="J14" s="92" t="str">
        <f t="shared" si="8"/>
        <v>-</v>
      </c>
      <c r="K14" s="93">
        <f t="shared" si="9"/>
        <v>0</v>
      </c>
      <c r="L14" s="93"/>
      <c r="M14" s="164"/>
    </row>
    <row r="15" spans="1:14">
      <c r="A15">
        <v>9055</v>
      </c>
      <c r="B15" t="s">
        <v>43</v>
      </c>
      <c r="C15" t="s">
        <v>43</v>
      </c>
      <c r="D15" s="143" t="s">
        <v>6</v>
      </c>
      <c r="E15" s="144">
        <v>43180.390474537038</v>
      </c>
      <c r="F15" s="104">
        <f t="shared" si="10"/>
        <v>43180.390474537038</v>
      </c>
      <c r="G15" s="125" t="str">
        <f t="shared" si="11"/>
        <v>9:22</v>
      </c>
      <c r="H15" s="126">
        <f t="shared" si="6"/>
        <v>11.95</v>
      </c>
      <c r="I15" s="92">
        <f t="shared" si="7"/>
        <v>8</v>
      </c>
      <c r="J15" s="92">
        <f t="shared" si="8"/>
        <v>1.9499999999999993</v>
      </c>
      <c r="K15" s="93">
        <f t="shared" si="9"/>
        <v>0</v>
      </c>
      <c r="L15" s="93"/>
      <c r="M15" s="164"/>
    </row>
    <row r="16" spans="1:14">
      <c r="A16">
        <v>9079</v>
      </c>
      <c r="B16" t="s">
        <v>43</v>
      </c>
      <c r="C16" t="s">
        <v>43</v>
      </c>
      <c r="D16" s="143" t="s">
        <v>5</v>
      </c>
      <c r="E16" s="144">
        <v>43180.888749999998</v>
      </c>
      <c r="F16" s="104">
        <f t="shared" ref="F16:F30" si="12">E16</f>
        <v>43180.888749999998</v>
      </c>
      <c r="G16" s="125" t="str">
        <f t="shared" ref="G16:G30" si="13">HOUR(E16)&amp;":"&amp;MINUTE(E16)</f>
        <v>21:19</v>
      </c>
      <c r="H16" s="126" t="str">
        <f t="shared" si="6"/>
        <v>-</v>
      </c>
      <c r="I16" s="92" t="str">
        <f t="shared" si="7"/>
        <v>-</v>
      </c>
      <c r="J16" s="92" t="str">
        <f t="shared" si="8"/>
        <v>-</v>
      </c>
      <c r="K16" s="93">
        <f t="shared" si="9"/>
        <v>0</v>
      </c>
      <c r="L16" s="93"/>
      <c r="M16" s="164"/>
    </row>
    <row r="17" spans="1:21" s="63" customFormat="1">
      <c r="A17" s="63">
        <v>9055</v>
      </c>
      <c r="B17" s="63" t="s">
        <v>43</v>
      </c>
      <c r="C17" s="63" t="s">
        <v>43</v>
      </c>
      <c r="D17" s="181" t="s">
        <v>6</v>
      </c>
      <c r="E17" s="180">
        <v>43181.416863425926</v>
      </c>
      <c r="F17" s="135">
        <f t="shared" si="12"/>
        <v>43181.416863425926</v>
      </c>
      <c r="G17" s="67" t="str">
        <f t="shared" si="13"/>
        <v>10:0</v>
      </c>
      <c r="H17" s="126">
        <f t="shared" si="6"/>
        <v>5.9999999999999982</v>
      </c>
      <c r="I17" s="92">
        <f t="shared" si="7"/>
        <v>4.4999999999999982</v>
      </c>
      <c r="J17" s="92" t="str">
        <f t="shared" si="8"/>
        <v>-</v>
      </c>
      <c r="K17" s="93">
        <f t="shared" si="9"/>
        <v>0</v>
      </c>
      <c r="L17" s="93"/>
      <c r="M17" s="186" t="s">
        <v>113</v>
      </c>
      <c r="N17" s="18"/>
    </row>
    <row r="18" spans="1:21" s="63" customFormat="1">
      <c r="A18" s="63">
        <v>9079</v>
      </c>
      <c r="B18" s="63" t="s">
        <v>43</v>
      </c>
      <c r="C18" s="63" t="s">
        <v>43</v>
      </c>
      <c r="D18" s="181" t="s">
        <v>5</v>
      </c>
      <c r="E18" s="180">
        <v>43181.667222222219</v>
      </c>
      <c r="F18" s="135">
        <f t="shared" si="12"/>
        <v>43181.667222222219</v>
      </c>
      <c r="G18" s="67" t="str">
        <f t="shared" si="13"/>
        <v>16:0</v>
      </c>
      <c r="H18" s="126" t="str">
        <f t="shared" si="6"/>
        <v>-</v>
      </c>
      <c r="I18" s="92" t="str">
        <f t="shared" si="7"/>
        <v>-</v>
      </c>
      <c r="J18" s="92" t="str">
        <f t="shared" si="8"/>
        <v>-</v>
      </c>
      <c r="K18" s="93">
        <f t="shared" si="9"/>
        <v>0</v>
      </c>
      <c r="L18" s="93"/>
      <c r="M18" s="186" t="s">
        <v>113</v>
      </c>
      <c r="N18" s="18"/>
    </row>
    <row r="19" spans="1:21">
      <c r="A19">
        <v>9170</v>
      </c>
      <c r="B19" t="s">
        <v>43</v>
      </c>
      <c r="C19" t="s">
        <v>43</v>
      </c>
      <c r="D19" s="143" t="s">
        <v>6</v>
      </c>
      <c r="E19" s="144">
        <v>43186.39571759259</v>
      </c>
      <c r="F19" s="104">
        <f t="shared" si="12"/>
        <v>43186.39571759259</v>
      </c>
      <c r="G19" s="125" t="str">
        <f t="shared" si="13"/>
        <v>9:29</v>
      </c>
      <c r="H19" s="126">
        <f t="shared" si="6"/>
        <v>9.35</v>
      </c>
      <c r="I19" s="92">
        <f t="shared" si="7"/>
        <v>7.85</v>
      </c>
      <c r="J19" s="92" t="str">
        <f t="shared" si="8"/>
        <v>-</v>
      </c>
      <c r="K19" s="93">
        <f t="shared" si="9"/>
        <v>0</v>
      </c>
      <c r="L19" s="93"/>
      <c r="M19" s="164"/>
    </row>
    <row r="20" spans="1:21">
      <c r="A20">
        <v>9181</v>
      </c>
      <c r="B20" t="s">
        <v>43</v>
      </c>
      <c r="C20" t="s">
        <v>43</v>
      </c>
      <c r="D20" s="143" t="s">
        <v>5</v>
      </c>
      <c r="E20" s="144">
        <v>43186.785081018519</v>
      </c>
      <c r="F20" s="104">
        <f t="shared" si="12"/>
        <v>43186.785081018519</v>
      </c>
      <c r="G20" s="125" t="str">
        <f t="shared" si="13"/>
        <v>18:50</v>
      </c>
      <c r="H20" s="126" t="str">
        <f t="shared" si="6"/>
        <v>-</v>
      </c>
      <c r="I20" s="92" t="str">
        <f t="shared" si="7"/>
        <v>-</v>
      </c>
      <c r="J20" s="92" t="str">
        <f t="shared" si="8"/>
        <v>-</v>
      </c>
      <c r="K20" s="93">
        <f t="shared" si="9"/>
        <v>0</v>
      </c>
      <c r="L20" s="93"/>
      <c r="M20" s="164"/>
      <c r="U20" t="s">
        <v>56</v>
      </c>
    </row>
    <row r="21" spans="1:21">
      <c r="A21">
        <v>9199</v>
      </c>
      <c r="B21" t="s">
        <v>43</v>
      </c>
      <c r="C21" t="s">
        <v>43</v>
      </c>
      <c r="D21" s="143" t="s">
        <v>6</v>
      </c>
      <c r="E21" s="144">
        <v>43187.415520833332</v>
      </c>
      <c r="F21" s="104">
        <f t="shared" si="12"/>
        <v>43187.415520833332</v>
      </c>
      <c r="G21" s="125" t="str">
        <f t="shared" si="13"/>
        <v>9:58</v>
      </c>
      <c r="H21" s="126">
        <f t="shared" si="6"/>
        <v>8.5499999999999972</v>
      </c>
      <c r="I21" s="92">
        <f t="shared" si="7"/>
        <v>7.0499999999999972</v>
      </c>
      <c r="J21" s="92" t="str">
        <f t="shared" si="8"/>
        <v>-</v>
      </c>
      <c r="K21" s="93">
        <f t="shared" si="9"/>
        <v>0</v>
      </c>
      <c r="L21" s="93"/>
      <c r="M21" s="164"/>
    </row>
    <row r="22" spans="1:21">
      <c r="A22">
        <v>9213</v>
      </c>
      <c r="B22" t="s">
        <v>43</v>
      </c>
      <c r="C22" t="s">
        <v>43</v>
      </c>
      <c r="D22" s="143" t="s">
        <v>5</v>
      </c>
      <c r="E22" s="144">
        <v>43187.771597222221</v>
      </c>
      <c r="F22" s="104">
        <f t="shared" si="12"/>
        <v>43187.771597222221</v>
      </c>
      <c r="G22" s="125" t="str">
        <f t="shared" si="13"/>
        <v>18:31</v>
      </c>
      <c r="H22" s="126" t="str">
        <f t="shared" si="6"/>
        <v>-</v>
      </c>
      <c r="I22" s="92" t="str">
        <f t="shared" si="7"/>
        <v>-</v>
      </c>
      <c r="J22" s="92" t="str">
        <f t="shared" si="8"/>
        <v>-</v>
      </c>
      <c r="K22" s="93">
        <f t="shared" si="9"/>
        <v>0</v>
      </c>
      <c r="L22" s="93"/>
      <c r="M22" s="164"/>
    </row>
    <row r="23" spans="1:21">
      <c r="A23">
        <v>9214</v>
      </c>
      <c r="B23" t="s">
        <v>43</v>
      </c>
      <c r="C23" t="s">
        <v>43</v>
      </c>
      <c r="D23" s="143" t="s">
        <v>6</v>
      </c>
      <c r="E23" s="144">
        <v>43187.771701388891</v>
      </c>
      <c r="F23" s="104">
        <f t="shared" si="12"/>
        <v>43187.771701388891</v>
      </c>
      <c r="G23" s="125" t="str">
        <f t="shared" si="13"/>
        <v>18:31</v>
      </c>
      <c r="H23" s="126">
        <f t="shared" si="6"/>
        <v>1.8500000000000014</v>
      </c>
      <c r="I23" s="92">
        <f>IF(D23="上班",IF(H23-1.5&gt;8,8,H23-1.5),"-")+1.5</f>
        <v>1.8500000000000014</v>
      </c>
      <c r="J23" s="92" t="str">
        <f t="shared" si="8"/>
        <v>-</v>
      </c>
      <c r="K23" s="93">
        <f t="shared" si="9"/>
        <v>0</v>
      </c>
      <c r="L23" s="93"/>
      <c r="M23" s="164"/>
    </row>
    <row r="24" spans="1:21">
      <c r="A24">
        <v>9220</v>
      </c>
      <c r="B24" t="s">
        <v>43</v>
      </c>
      <c r="C24" t="s">
        <v>43</v>
      </c>
      <c r="D24" s="143" t="s">
        <v>5</v>
      </c>
      <c r="E24" s="144">
        <v>43187.849131944444</v>
      </c>
      <c r="F24" s="104">
        <f t="shared" si="12"/>
        <v>43187.849131944444</v>
      </c>
      <c r="G24" s="125" t="str">
        <f t="shared" si="13"/>
        <v>20:22</v>
      </c>
      <c r="H24" s="126" t="str">
        <f t="shared" si="6"/>
        <v>-</v>
      </c>
      <c r="I24" s="92" t="str">
        <f t="shared" si="7"/>
        <v>-</v>
      </c>
      <c r="J24" s="92" t="str">
        <f t="shared" si="8"/>
        <v>-</v>
      </c>
      <c r="K24" s="93">
        <f t="shared" si="9"/>
        <v>0</v>
      </c>
      <c r="L24" s="93"/>
      <c r="M24" s="164"/>
    </row>
    <row r="25" spans="1:21">
      <c r="A25">
        <v>9236</v>
      </c>
      <c r="B25" t="s">
        <v>43</v>
      </c>
      <c r="C25" t="s">
        <v>43</v>
      </c>
      <c r="D25" s="143" t="s">
        <v>6</v>
      </c>
      <c r="E25" s="144">
        <v>43188.416863425926</v>
      </c>
      <c r="F25" s="104">
        <f t="shared" si="12"/>
        <v>43188.416863425926</v>
      </c>
      <c r="G25" s="125" t="str">
        <f t="shared" si="13"/>
        <v>10:0</v>
      </c>
      <c r="H25" s="126">
        <f t="shared" si="6"/>
        <v>8.5166666666666639</v>
      </c>
      <c r="I25" s="92">
        <f t="shared" si="7"/>
        <v>7.0166666666666639</v>
      </c>
      <c r="J25" s="92" t="str">
        <f t="shared" si="8"/>
        <v>-</v>
      </c>
      <c r="K25" s="93">
        <f t="shared" si="9"/>
        <v>0</v>
      </c>
      <c r="L25" s="93"/>
      <c r="M25" s="164"/>
    </row>
    <row r="26" spans="1:21" s="63" customFormat="1">
      <c r="A26" s="63">
        <v>9213</v>
      </c>
      <c r="B26" s="63" t="s">
        <v>43</v>
      </c>
      <c r="C26" s="63" t="s">
        <v>43</v>
      </c>
      <c r="D26" s="181" t="s">
        <v>5</v>
      </c>
      <c r="E26" s="180">
        <v>43188.771597222221</v>
      </c>
      <c r="F26" s="135">
        <f t="shared" si="12"/>
        <v>43188.771597222221</v>
      </c>
      <c r="G26" s="67" t="str">
        <f t="shared" si="13"/>
        <v>18:31</v>
      </c>
      <c r="H26" s="126" t="str">
        <f t="shared" si="6"/>
        <v>-</v>
      </c>
      <c r="I26" s="92" t="str">
        <f t="shared" si="7"/>
        <v>-</v>
      </c>
      <c r="J26" s="92" t="str">
        <f t="shared" si="8"/>
        <v>-</v>
      </c>
      <c r="K26" s="93">
        <f t="shared" si="9"/>
        <v>0</v>
      </c>
      <c r="L26" s="93"/>
      <c r="M26" s="186" t="s">
        <v>113</v>
      </c>
      <c r="N26" s="18"/>
    </row>
    <row r="27" spans="1:21" s="63" customFormat="1">
      <c r="A27" s="63">
        <v>9214</v>
      </c>
      <c r="B27" s="63" t="s">
        <v>43</v>
      </c>
      <c r="C27" s="63" t="s">
        <v>43</v>
      </c>
      <c r="D27" s="143" t="s">
        <v>6</v>
      </c>
      <c r="E27" s="180">
        <v>43188.771701388891</v>
      </c>
      <c r="F27" s="135">
        <f t="shared" si="12"/>
        <v>43188.771701388891</v>
      </c>
      <c r="G27" s="67" t="str">
        <f t="shared" si="13"/>
        <v>18:31</v>
      </c>
      <c r="H27" s="126">
        <f t="shared" si="6"/>
        <v>1.1000000000000014</v>
      </c>
      <c r="I27" s="92">
        <f>IF(D27="上班",IF(H27-1.5&gt;8,8,H27-1.5),"-")+1.5</f>
        <v>1.1000000000000014</v>
      </c>
      <c r="J27" s="92" t="str">
        <f t="shared" si="8"/>
        <v>-</v>
      </c>
      <c r="K27" s="93">
        <f t="shared" si="9"/>
        <v>0</v>
      </c>
      <c r="L27" s="93"/>
      <c r="M27" s="186" t="s">
        <v>113</v>
      </c>
      <c r="N27" s="18"/>
    </row>
    <row r="28" spans="1:21">
      <c r="A28">
        <v>9254</v>
      </c>
      <c r="B28" t="s">
        <v>43</v>
      </c>
      <c r="C28" t="s">
        <v>43</v>
      </c>
      <c r="D28" s="143" t="s">
        <v>5</v>
      </c>
      <c r="E28" s="144">
        <v>43188.81753472222</v>
      </c>
      <c r="F28" s="104">
        <f t="shared" si="12"/>
        <v>43188.81753472222</v>
      </c>
      <c r="G28" s="125" t="str">
        <f t="shared" si="13"/>
        <v>19:37</v>
      </c>
      <c r="H28" s="126" t="str">
        <f t="shared" si="6"/>
        <v>-</v>
      </c>
      <c r="I28" s="92" t="str">
        <f t="shared" si="7"/>
        <v>-</v>
      </c>
      <c r="J28" s="92" t="str">
        <f t="shared" si="8"/>
        <v>-</v>
      </c>
      <c r="K28" s="93">
        <f t="shared" si="9"/>
        <v>0</v>
      </c>
      <c r="L28" s="93"/>
      <c r="M28" s="164"/>
    </row>
    <row r="29" spans="1:21">
      <c r="A29">
        <v>9292</v>
      </c>
      <c r="B29" t="s">
        <v>43</v>
      </c>
      <c r="C29" t="s">
        <v>43</v>
      </c>
      <c r="D29" s="143" t="s">
        <v>6</v>
      </c>
      <c r="E29" s="144">
        <v>43190.411076388889</v>
      </c>
      <c r="F29" s="104">
        <f t="shared" si="12"/>
        <v>43190.411076388889</v>
      </c>
      <c r="G29" s="125" t="str">
        <f t="shared" si="13"/>
        <v>9:51</v>
      </c>
      <c r="H29" s="126">
        <f t="shared" si="6"/>
        <v>8.7666666666666675</v>
      </c>
      <c r="I29" s="92">
        <f t="shared" si="7"/>
        <v>7.2666666666666675</v>
      </c>
      <c r="J29" s="92" t="str">
        <f t="shared" si="8"/>
        <v>-</v>
      </c>
      <c r="K29" s="93">
        <f t="shared" si="9"/>
        <v>0</v>
      </c>
      <c r="L29" s="93"/>
      <c r="M29" s="164"/>
    </row>
    <row r="30" spans="1:21">
      <c r="A30">
        <v>9302</v>
      </c>
      <c r="B30" t="s">
        <v>43</v>
      </c>
      <c r="C30" t="s">
        <v>43</v>
      </c>
      <c r="D30" s="143" t="s">
        <v>5</v>
      </c>
      <c r="E30" s="144">
        <v>43190.776030092595</v>
      </c>
      <c r="F30" s="104">
        <f t="shared" si="12"/>
        <v>43190.776030092595</v>
      </c>
      <c r="G30" s="125" t="str">
        <f t="shared" si="13"/>
        <v>18:37</v>
      </c>
      <c r="H30" s="126" t="str">
        <f t="shared" si="6"/>
        <v>-</v>
      </c>
      <c r="I30" s="92" t="str">
        <f t="shared" si="7"/>
        <v>-</v>
      </c>
      <c r="J30" s="92" t="str">
        <f t="shared" si="8"/>
        <v>-</v>
      </c>
      <c r="K30" s="93">
        <f t="shared" si="9"/>
        <v>0</v>
      </c>
      <c r="L30" s="93"/>
      <c r="M30" s="164"/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工作表16"/>
  <dimension ref="A1:P11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8.5" style="3" customWidth="1" collapsed="1"/>
    <col min="5" max="5" width="15.625" style="3" customWidth="1"/>
    <col min="6" max="6" width="5.6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5.875" style="22" customWidth="1" collapsed="1"/>
    <col min="13" max="14" width="8.125" style="22" customWidth="1"/>
    <col min="15" max="15" width="18.62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B7</f>
        <v>denver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0"/>
      <c r="N2" s="110"/>
      <c r="O2" s="111" t="s">
        <v>28</v>
      </c>
    </row>
    <row r="3" spans="1:16" ht="17.25" thickBot="1">
      <c r="D3" s="24"/>
      <c r="E3" s="30"/>
      <c r="F3" s="25"/>
      <c r="G3" s="26"/>
      <c r="H3" s="26"/>
      <c r="I3" s="52">
        <f>I6+J6+M6+N6</f>
        <v>5.9999999999999982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27</v>
      </c>
      <c r="G5" s="117"/>
      <c r="H5" s="117"/>
      <c r="I5" s="118" t="s">
        <v>24</v>
      </c>
      <c r="J5" s="100" t="s">
        <v>42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23</v>
      </c>
      <c r="I6" s="124">
        <f>SUM(I7:I11)</f>
        <v>5.9999999999999982</v>
      </c>
      <c r="J6" s="124">
        <v>0</v>
      </c>
      <c r="K6" s="124">
        <f>SUM(K9:K11)</f>
        <v>0</v>
      </c>
      <c r="L6" s="124">
        <f>SUM(L9:L11)</f>
        <v>0</v>
      </c>
      <c r="M6" s="124">
        <f>SUM(M7:M11)</f>
        <v>0</v>
      </c>
      <c r="N6" s="124">
        <f>SUM(N7:N11)</f>
        <v>0</v>
      </c>
      <c r="O6" s="45"/>
    </row>
    <row r="7" spans="1:16" s="63" customFormat="1">
      <c r="A7" s="145">
        <v>9223</v>
      </c>
      <c r="B7" s="145" t="s">
        <v>105</v>
      </c>
      <c r="C7" s="145" t="s">
        <v>105</v>
      </c>
      <c r="D7" s="424" t="s">
        <v>6</v>
      </c>
      <c r="E7" s="146">
        <v>43174.583807870367</v>
      </c>
      <c r="F7" s="104">
        <f>E7</f>
        <v>43174.583807870367</v>
      </c>
      <c r="G7" s="125" t="str">
        <f>HOUR(E7)&amp;":"&amp;MINUTE(E7)</f>
        <v>14:0</v>
      </c>
      <c r="H7" s="126">
        <f t="shared" ref="H7" si="0">IF(D7="上班",(G8-G7)*24,"-")</f>
        <v>3.4999999999999982</v>
      </c>
      <c r="I7" s="92">
        <f>IF(D7="上班",IF(H7-1.5&gt;8,8,H7-1.5),"-")+1.5</f>
        <v>3.4999999999999982</v>
      </c>
      <c r="J7" s="127"/>
      <c r="K7" s="128">
        <f t="shared" ref="K7" si="1">IF(D7="加班",(G8-G7)*24,0)</f>
        <v>0</v>
      </c>
      <c r="L7" s="128"/>
      <c r="M7" s="129">
        <f t="shared" ref="M7" si="2">IF(K7&gt;2,2,K7)</f>
        <v>0</v>
      </c>
      <c r="N7" s="129">
        <f t="shared" ref="N7" si="3">IF(K7&gt;2,K7-2,0)</f>
        <v>0</v>
      </c>
      <c r="O7" s="164"/>
      <c r="P7" s="18"/>
    </row>
    <row r="8" spans="1:16" s="63" customFormat="1">
      <c r="A8" s="145">
        <v>9223</v>
      </c>
      <c r="B8" s="145" t="s">
        <v>105</v>
      </c>
      <c r="C8" s="145" t="s">
        <v>105</v>
      </c>
      <c r="D8" s="424" t="s">
        <v>5</v>
      </c>
      <c r="E8" s="146">
        <v>43174.729548611111</v>
      </c>
      <c r="F8" s="104">
        <f t="shared" ref="F8:F10" si="4">E8</f>
        <v>43174.729548611111</v>
      </c>
      <c r="G8" s="125" t="str">
        <f t="shared" ref="G8:G10" si="5">HOUR(E8)&amp;":"&amp;MINUTE(E8)</f>
        <v>17:30</v>
      </c>
      <c r="H8" s="126" t="str">
        <f t="shared" ref="H8:H10" si="6">IF(D8="上班",(G9-G8)*24,"-")</f>
        <v>-</v>
      </c>
      <c r="I8" s="92" t="str">
        <f>IF(D8="上班",IF(H8-1.5&gt;8,8,H8-1.5),"-")</f>
        <v>-</v>
      </c>
      <c r="J8" s="127"/>
      <c r="K8" s="128">
        <f t="shared" ref="K8:K10" si="7">IF(D8="加班",(G9-G8)*24,0)</f>
        <v>0</v>
      </c>
      <c r="L8" s="128"/>
      <c r="M8" s="129">
        <f t="shared" ref="M8:M10" si="8">IF(K8&gt;2,2,K8)</f>
        <v>0</v>
      </c>
      <c r="N8" s="129">
        <f t="shared" ref="N8:N10" si="9">IF(K8&gt;2,K8-2,0)</f>
        <v>0</v>
      </c>
      <c r="O8" s="164" t="s">
        <v>127</v>
      </c>
      <c r="P8" s="18"/>
    </row>
    <row r="9" spans="1:16">
      <c r="A9" s="406">
        <v>9223</v>
      </c>
      <c r="B9" s="406" t="s">
        <v>105</v>
      </c>
      <c r="C9" s="406" t="s">
        <v>105</v>
      </c>
      <c r="D9" s="424" t="s">
        <v>6</v>
      </c>
      <c r="E9" s="146">
        <v>43187.417141203703</v>
      </c>
      <c r="F9" s="104">
        <f t="shared" si="4"/>
        <v>43187.417141203703</v>
      </c>
      <c r="G9" s="125" t="str">
        <f t="shared" si="5"/>
        <v>10:0</v>
      </c>
      <c r="H9" s="126">
        <f t="shared" si="6"/>
        <v>2.5000000000000004</v>
      </c>
      <c r="I9" s="92">
        <f t="shared" ref="I9" si="10">IF(D9="上班",IF(H9-1.5&gt;8,8,H9-1.5),"-")+1.5</f>
        <v>2.5000000000000004</v>
      </c>
      <c r="J9" s="127"/>
      <c r="K9" s="128">
        <f t="shared" si="7"/>
        <v>0</v>
      </c>
      <c r="L9" s="128"/>
      <c r="M9" s="129">
        <f t="shared" si="8"/>
        <v>0</v>
      </c>
      <c r="N9" s="129">
        <f t="shared" si="9"/>
        <v>0</v>
      </c>
      <c r="O9" s="164"/>
    </row>
    <row r="10" spans="1:16">
      <c r="A10" s="406">
        <v>9223</v>
      </c>
      <c r="B10" s="406" t="s">
        <v>105</v>
      </c>
      <c r="C10" s="406" t="s">
        <v>105</v>
      </c>
      <c r="D10" s="424" t="s">
        <v>5</v>
      </c>
      <c r="E10" s="146">
        <v>43187.521215277775</v>
      </c>
      <c r="F10" s="104">
        <f t="shared" si="4"/>
        <v>43187.521215277775</v>
      </c>
      <c r="G10" s="125" t="str">
        <f t="shared" si="5"/>
        <v>12:30</v>
      </c>
      <c r="H10" s="126" t="str">
        <f t="shared" si="6"/>
        <v>-</v>
      </c>
      <c r="I10" s="92" t="str">
        <f>IF(D10="上班",IF(H10-1.5&gt;8,8,H10-1.5),"-")</f>
        <v>-</v>
      </c>
      <c r="J10" s="127"/>
      <c r="K10" s="128">
        <f t="shared" si="7"/>
        <v>0</v>
      </c>
      <c r="L10" s="128"/>
      <c r="M10" s="129">
        <f t="shared" si="8"/>
        <v>0</v>
      </c>
      <c r="N10" s="129">
        <f t="shared" si="9"/>
        <v>0</v>
      </c>
      <c r="O10" s="164" t="s">
        <v>126</v>
      </c>
    </row>
    <row r="11" spans="1:16">
      <c r="D11" s="178"/>
      <c r="E11" s="17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工作表17"/>
  <dimension ref="A1:O52"/>
  <sheetViews>
    <sheetView workbookViewId="0"/>
  </sheetViews>
  <sheetFormatPr defaultColWidth="8.875"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.125" style="3" customWidth="1"/>
    <col min="5" max="5" width="15.62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1.625" style="21" customWidth="1" collapsed="1"/>
    <col min="10" max="10" width="14.125" style="21" hidden="1" customWidth="1" outlineLevel="1"/>
    <col min="11" max="11" width="11.125" style="22" customWidth="1" collapsed="1"/>
    <col min="12" max="12" width="10.375" style="22" customWidth="1"/>
    <col min="13" max="13" width="15.5" style="28" customWidth="1"/>
    <col min="14" max="14" width="8.875" style="9"/>
  </cols>
  <sheetData>
    <row r="1" spans="1:15" ht="28.5" thickBot="1">
      <c r="A1" s="4"/>
      <c r="B1" s="4"/>
      <c r="C1" s="5"/>
      <c r="D1" s="6"/>
      <c r="E1" s="6"/>
      <c r="F1" s="10"/>
      <c r="G1" s="11"/>
      <c r="H1" s="12"/>
      <c r="I1" s="13"/>
      <c r="J1" s="46"/>
      <c r="K1" s="449"/>
      <c r="L1" s="14"/>
      <c r="M1" s="27"/>
      <c r="N1" s="19"/>
      <c r="O1" s="4"/>
    </row>
    <row r="2" spans="1:15">
      <c r="D2" s="23"/>
      <c r="E2" s="29"/>
      <c r="F2" s="105"/>
      <c r="G2" s="106"/>
      <c r="H2" s="106"/>
      <c r="I2" s="107"/>
      <c r="J2" s="107"/>
      <c r="K2" s="108"/>
      <c r="L2" s="109"/>
      <c r="M2" s="111"/>
    </row>
    <row r="3" spans="1:15" ht="17.25" thickBot="1">
      <c r="D3" s="24"/>
      <c r="E3" s="30"/>
      <c r="F3" s="25"/>
      <c r="G3" s="26"/>
      <c r="H3" s="26"/>
      <c r="I3" s="52"/>
      <c r="J3" s="54"/>
      <c r="K3" s="53"/>
      <c r="L3" s="53"/>
      <c r="M3" s="50"/>
    </row>
    <row r="4" spans="1:15">
      <c r="D4" s="37"/>
      <c r="E4" s="38"/>
      <c r="F4" s="112"/>
      <c r="G4" s="113"/>
      <c r="H4" s="113"/>
      <c r="I4" s="114"/>
      <c r="J4" s="114"/>
      <c r="K4" s="114"/>
      <c r="L4" s="114"/>
      <c r="M4" s="115"/>
    </row>
    <row r="5" spans="1:15">
      <c r="D5" s="40"/>
      <c r="E5" s="7"/>
      <c r="F5" s="116"/>
      <c r="G5" s="117"/>
      <c r="H5" s="117"/>
      <c r="I5" s="118"/>
      <c r="J5" s="118"/>
      <c r="K5" s="118"/>
      <c r="L5" s="118"/>
      <c r="M5" s="120"/>
    </row>
    <row r="6" spans="1:15" ht="17.25" thickBot="1">
      <c r="D6" s="42"/>
      <c r="E6" s="43"/>
      <c r="F6" s="121"/>
      <c r="G6" s="122"/>
      <c r="H6" s="123"/>
      <c r="I6" s="124"/>
      <c r="J6" s="124"/>
      <c r="K6" s="124"/>
      <c r="L6" s="124"/>
      <c r="M6" s="45"/>
    </row>
    <row r="7" spans="1:15">
      <c r="C7"/>
      <c r="D7" s="141"/>
      <c r="E7" s="142"/>
      <c r="F7" s="104"/>
      <c r="G7" s="125"/>
      <c r="H7" s="33"/>
      <c r="I7" s="92"/>
      <c r="J7" s="92"/>
      <c r="K7" s="93"/>
      <c r="L7" s="93"/>
      <c r="M7" s="164"/>
      <c r="N7" s="18"/>
      <c r="O7" s="63"/>
    </row>
    <row r="8" spans="1:15">
      <c r="C8"/>
      <c r="D8" s="143"/>
      <c r="E8" s="144"/>
      <c r="F8" s="450"/>
      <c r="G8" s="451"/>
      <c r="H8" s="33"/>
      <c r="I8" s="92"/>
      <c r="J8" s="92"/>
      <c r="K8" s="93"/>
      <c r="L8" s="93"/>
      <c r="M8" s="164"/>
    </row>
    <row r="9" spans="1:15">
      <c r="C9"/>
      <c r="D9" s="143"/>
      <c r="E9" s="144"/>
      <c r="F9" s="450"/>
      <c r="G9" s="451"/>
      <c r="H9" s="33"/>
      <c r="I9" s="92"/>
      <c r="J9" s="92"/>
      <c r="K9" s="93"/>
      <c r="L9" s="93"/>
      <c r="M9" s="164"/>
      <c r="N9" s="18"/>
      <c r="O9" s="63"/>
    </row>
    <row r="10" spans="1:15">
      <c r="A10" s="452"/>
      <c r="B10" s="452"/>
      <c r="C10" s="452"/>
      <c r="D10" s="453"/>
      <c r="E10" s="454"/>
      <c r="F10" s="455"/>
      <c r="G10" s="456"/>
      <c r="H10" s="33"/>
      <c r="I10" s="92"/>
      <c r="J10" s="92"/>
      <c r="K10" s="93"/>
      <c r="L10" s="93"/>
      <c r="M10" s="164"/>
      <c r="N10" s="457"/>
      <c r="O10" s="452"/>
    </row>
    <row r="11" spans="1:15">
      <c r="C11"/>
      <c r="D11" s="143"/>
      <c r="E11" s="144"/>
      <c r="F11" s="450"/>
      <c r="G11" s="451"/>
      <c r="H11" s="33"/>
      <c r="I11" s="458"/>
      <c r="J11" s="92"/>
      <c r="K11" s="459"/>
      <c r="L11" s="460"/>
      <c r="M11" s="164"/>
    </row>
    <row r="12" spans="1:15">
      <c r="C12"/>
      <c r="D12" s="143"/>
      <c r="E12" s="144"/>
      <c r="F12" s="450"/>
      <c r="G12" s="451"/>
      <c r="H12" s="33"/>
      <c r="I12" s="461"/>
      <c r="J12" s="92"/>
      <c r="K12" s="459"/>
      <c r="L12" s="93"/>
      <c r="M12" s="164"/>
    </row>
    <row r="13" spans="1:15">
      <c r="C13"/>
      <c r="D13" s="143"/>
      <c r="E13" s="144"/>
      <c r="F13" s="450"/>
      <c r="G13" s="451"/>
      <c r="H13" s="33"/>
      <c r="I13" s="458"/>
      <c r="J13" s="92"/>
      <c r="K13" s="459"/>
      <c r="L13" s="92"/>
      <c r="M13" s="164"/>
    </row>
    <row r="14" spans="1:15">
      <c r="C14"/>
      <c r="D14" s="143"/>
      <c r="E14" s="144"/>
      <c r="F14" s="450"/>
      <c r="G14" s="451"/>
      <c r="H14" s="33"/>
      <c r="I14" s="458"/>
      <c r="J14" s="92"/>
      <c r="K14" s="461"/>
      <c r="L14" s="93"/>
      <c r="M14" s="164"/>
    </row>
    <row r="15" spans="1:15">
      <c r="C15"/>
      <c r="D15" s="143"/>
      <c r="E15" s="144"/>
      <c r="F15" s="450"/>
      <c r="G15" s="451"/>
      <c r="H15" s="33"/>
      <c r="I15" s="92"/>
      <c r="J15" s="92"/>
      <c r="K15" s="93"/>
      <c r="L15" s="93"/>
      <c r="M15" s="164"/>
    </row>
    <row r="16" spans="1:15">
      <c r="C16"/>
      <c r="D16" s="143"/>
      <c r="E16" s="144"/>
      <c r="F16" s="450"/>
      <c r="G16" s="451"/>
      <c r="H16" s="33"/>
      <c r="I16" s="92"/>
      <c r="J16" s="92"/>
      <c r="K16" s="93"/>
      <c r="L16" s="93"/>
      <c r="M16" s="164"/>
    </row>
    <row r="17" spans="3:13">
      <c r="C17"/>
      <c r="D17" s="143"/>
      <c r="E17" s="144"/>
      <c r="F17" s="450"/>
      <c r="G17" s="451"/>
      <c r="H17" s="33"/>
      <c r="I17" s="92"/>
      <c r="J17" s="92"/>
      <c r="K17" s="93"/>
      <c r="L17" s="93"/>
      <c r="M17" s="164"/>
    </row>
    <row r="18" spans="3:13">
      <c r="C18"/>
      <c r="D18" s="143"/>
      <c r="E18" s="144"/>
      <c r="F18" s="450"/>
      <c r="G18" s="451"/>
      <c r="H18" s="33"/>
      <c r="I18" s="92"/>
      <c r="J18" s="92"/>
      <c r="K18" s="93"/>
      <c r="L18" s="93"/>
      <c r="M18" s="164"/>
    </row>
    <row r="19" spans="3:13">
      <c r="C19"/>
      <c r="D19" s="143"/>
      <c r="E19" s="144"/>
      <c r="F19" s="450"/>
      <c r="G19" s="451"/>
      <c r="H19" s="33"/>
      <c r="I19" s="92"/>
      <c r="J19" s="92"/>
      <c r="K19" s="93"/>
      <c r="L19" s="93"/>
      <c r="M19" s="164"/>
    </row>
    <row r="20" spans="3:13">
      <c r="C20"/>
      <c r="D20" s="143"/>
      <c r="E20" s="144"/>
      <c r="F20" s="450"/>
      <c r="G20" s="451"/>
      <c r="H20" s="33"/>
      <c r="I20" s="92"/>
      <c r="J20" s="92"/>
      <c r="K20" s="93"/>
      <c r="L20" s="93"/>
      <c r="M20" s="164"/>
    </row>
    <row r="21" spans="3:13">
      <c r="C21"/>
      <c r="D21" s="143"/>
      <c r="E21" s="144"/>
      <c r="F21" s="450"/>
      <c r="G21" s="451"/>
      <c r="H21" s="33"/>
      <c r="I21" s="92"/>
      <c r="J21" s="92"/>
      <c r="K21" s="93"/>
      <c r="L21" s="93"/>
      <c r="M21" s="164"/>
    </row>
    <row r="22" spans="3:13">
      <c r="C22"/>
      <c r="D22" s="143"/>
      <c r="E22" s="144"/>
      <c r="F22" s="450"/>
      <c r="G22" s="451"/>
      <c r="H22" s="33"/>
      <c r="I22" s="92"/>
      <c r="J22" s="92"/>
      <c r="K22" s="93"/>
      <c r="L22" s="93"/>
      <c r="M22" s="164"/>
    </row>
    <row r="23" spans="3:13">
      <c r="C23"/>
      <c r="D23" s="143"/>
      <c r="E23" s="144"/>
      <c r="F23" s="450"/>
      <c r="G23" s="451"/>
      <c r="H23" s="33"/>
      <c r="I23" s="92"/>
      <c r="J23" s="92"/>
      <c r="K23" s="93"/>
      <c r="L23" s="93"/>
      <c r="M23" s="164"/>
    </row>
    <row r="24" spans="3:13">
      <c r="C24"/>
      <c r="D24" s="143"/>
      <c r="E24" s="144"/>
      <c r="F24" s="450"/>
      <c r="G24" s="451"/>
      <c r="H24" s="33"/>
      <c r="I24" s="92"/>
      <c r="J24" s="92"/>
      <c r="K24" s="93"/>
      <c r="L24" s="93"/>
      <c r="M24" s="164"/>
    </row>
    <row r="25" spans="3:13">
      <c r="C25"/>
      <c r="D25" s="143"/>
      <c r="E25" s="144"/>
      <c r="F25" s="450"/>
      <c r="G25" s="451"/>
      <c r="H25" s="33"/>
      <c r="I25" s="458"/>
      <c r="J25" s="92"/>
      <c r="K25" s="93"/>
      <c r="L25" s="92"/>
      <c r="M25" s="164"/>
    </row>
    <row r="26" spans="3:13">
      <c r="C26"/>
      <c r="D26" s="143"/>
      <c r="E26" s="144"/>
      <c r="F26" s="450"/>
      <c r="G26" s="451"/>
      <c r="H26" s="33"/>
      <c r="I26" s="458"/>
      <c r="J26" s="92"/>
      <c r="K26" s="93"/>
      <c r="L26" s="92"/>
      <c r="M26" s="164"/>
    </row>
    <row r="27" spans="3:13">
      <c r="C27"/>
      <c r="D27" s="143"/>
      <c r="E27" s="144"/>
      <c r="F27" s="450"/>
      <c r="G27" s="451"/>
      <c r="H27" s="33"/>
      <c r="I27" s="458"/>
      <c r="J27" s="92"/>
      <c r="K27" s="93"/>
      <c r="L27" s="92"/>
      <c r="M27" s="164"/>
    </row>
    <row r="28" spans="3:13">
      <c r="C28"/>
      <c r="D28" s="143"/>
      <c r="E28" s="144"/>
      <c r="F28" s="450"/>
      <c r="G28" s="451"/>
      <c r="H28" s="33"/>
      <c r="I28" s="458"/>
      <c r="J28" s="92"/>
      <c r="K28" s="93"/>
      <c r="L28" s="92"/>
      <c r="M28" s="164"/>
    </row>
    <row r="29" spans="3:13">
      <c r="C29"/>
      <c r="D29" s="143"/>
      <c r="E29" s="144"/>
      <c r="F29" s="450"/>
      <c r="G29" s="451"/>
      <c r="H29" s="33"/>
      <c r="I29" s="458"/>
      <c r="J29" s="92"/>
      <c r="K29" s="93"/>
      <c r="L29" s="92"/>
      <c r="M29" s="164"/>
    </row>
    <row r="30" spans="3:13">
      <c r="C30"/>
      <c r="D30" s="143"/>
      <c r="E30" s="144"/>
      <c r="F30" s="450"/>
      <c r="G30" s="451"/>
      <c r="H30" s="33"/>
      <c r="I30" s="458"/>
      <c r="J30" s="92"/>
      <c r="K30" s="93"/>
      <c r="L30" s="92"/>
      <c r="M30" s="164"/>
    </row>
    <row r="31" spans="3:13">
      <c r="C31"/>
      <c r="D31" s="143"/>
      <c r="E31" s="144"/>
      <c r="F31" s="450"/>
      <c r="G31" s="451"/>
      <c r="H31" s="33"/>
      <c r="I31" s="92"/>
      <c r="J31" s="92"/>
      <c r="K31" s="93"/>
      <c r="L31" s="93"/>
      <c r="M31" s="164"/>
    </row>
    <row r="32" spans="3:13">
      <c r="C32"/>
      <c r="D32" s="143"/>
      <c r="E32" s="144"/>
      <c r="F32" s="450"/>
      <c r="G32" s="451"/>
      <c r="H32" s="33"/>
      <c r="I32" s="92"/>
      <c r="J32" s="92"/>
      <c r="K32" s="93"/>
      <c r="L32" s="93"/>
      <c r="M32" s="164"/>
    </row>
    <row r="33" spans="3:13">
      <c r="C33"/>
      <c r="D33" s="143"/>
      <c r="E33" s="144"/>
      <c r="F33" s="450"/>
      <c r="G33" s="451"/>
      <c r="H33" s="33"/>
      <c r="I33" s="92"/>
      <c r="J33" s="92"/>
      <c r="K33" s="93"/>
      <c r="L33" s="93"/>
      <c r="M33" s="164"/>
    </row>
    <row r="34" spans="3:13">
      <c r="C34"/>
      <c r="D34" s="143"/>
      <c r="E34" s="144"/>
      <c r="F34" s="450"/>
      <c r="G34" s="451"/>
      <c r="H34" s="33"/>
      <c r="I34" s="92"/>
      <c r="J34" s="92"/>
      <c r="K34" s="93"/>
      <c r="L34" s="93"/>
      <c r="M34" s="164"/>
    </row>
    <row r="35" spans="3:13">
      <c r="C35"/>
      <c r="D35" s="143"/>
      <c r="E35" s="144"/>
      <c r="F35" s="450"/>
      <c r="G35" s="451"/>
      <c r="H35" s="33"/>
      <c r="I35" s="92"/>
      <c r="J35" s="92"/>
      <c r="K35" s="93"/>
      <c r="L35" s="93"/>
      <c r="M35" s="164"/>
    </row>
    <row r="36" spans="3:13">
      <c r="C36"/>
      <c r="D36" s="143"/>
      <c r="E36" s="144"/>
      <c r="F36" s="450"/>
      <c r="G36" s="451"/>
      <c r="H36" s="33"/>
      <c r="I36" s="92"/>
      <c r="J36" s="92"/>
      <c r="K36" s="93"/>
      <c r="L36" s="93"/>
      <c r="M36" s="164"/>
    </row>
    <row r="37" spans="3:13">
      <c r="C37"/>
      <c r="D37" s="143"/>
      <c r="E37" s="144"/>
      <c r="F37" s="450"/>
      <c r="G37" s="451"/>
      <c r="H37" s="33"/>
      <c r="I37" s="92"/>
      <c r="J37" s="92"/>
      <c r="K37" s="93"/>
      <c r="L37" s="93"/>
      <c r="M37" s="164"/>
    </row>
    <row r="38" spans="3:13">
      <c r="C38"/>
      <c r="D38" s="143"/>
      <c r="E38" s="144"/>
      <c r="F38" s="450"/>
      <c r="G38" s="451"/>
      <c r="H38" s="33"/>
      <c r="I38" s="92"/>
      <c r="J38" s="92"/>
      <c r="K38" s="93"/>
      <c r="L38" s="93"/>
      <c r="M38" s="164"/>
    </row>
    <row r="39" spans="3:13">
      <c r="C39"/>
      <c r="D39" s="143"/>
      <c r="E39" s="144"/>
      <c r="F39" s="450"/>
      <c r="G39" s="451"/>
      <c r="H39" s="33"/>
      <c r="I39" s="92"/>
      <c r="J39" s="92"/>
      <c r="K39" s="93"/>
      <c r="L39" s="93"/>
      <c r="M39" s="164"/>
    </row>
    <row r="40" spans="3:13">
      <c r="C40"/>
      <c r="D40" s="143"/>
      <c r="E40" s="144"/>
      <c r="F40" s="450"/>
      <c r="G40" s="451"/>
      <c r="H40" s="33"/>
      <c r="I40" s="92"/>
      <c r="J40" s="92"/>
      <c r="K40" s="93"/>
      <c r="L40" s="93"/>
      <c r="M40" s="164"/>
    </row>
    <row r="41" spans="3:13">
      <c r="C41"/>
      <c r="D41" s="143"/>
      <c r="E41" s="144"/>
      <c r="F41" s="450"/>
      <c r="G41" s="451"/>
      <c r="H41" s="33"/>
      <c r="I41" s="458"/>
      <c r="J41" s="92"/>
      <c r="K41" s="93"/>
      <c r="L41" s="92"/>
      <c r="M41" s="164"/>
    </row>
    <row r="42" spans="3:13">
      <c r="C42"/>
      <c r="D42" s="143"/>
      <c r="E42" s="144"/>
      <c r="F42" s="450"/>
      <c r="G42" s="451"/>
      <c r="H42" s="33"/>
      <c r="I42" s="461"/>
      <c r="J42" s="92"/>
      <c r="K42" s="93"/>
      <c r="L42" s="93"/>
      <c r="M42" s="164"/>
    </row>
    <row r="43" spans="3:13">
      <c r="C43"/>
      <c r="D43" s="143"/>
      <c r="E43" s="144"/>
      <c r="F43" s="450"/>
      <c r="G43" s="451"/>
      <c r="H43" s="33"/>
      <c r="I43" s="92"/>
      <c r="J43" s="92"/>
      <c r="K43" s="93"/>
      <c r="L43" s="93"/>
      <c r="M43" s="164"/>
    </row>
    <row r="44" spans="3:13">
      <c r="C44"/>
      <c r="D44" s="143"/>
      <c r="E44" s="144"/>
      <c r="F44" s="450"/>
      <c r="G44" s="451"/>
      <c r="H44" s="33"/>
      <c r="I44" s="92"/>
      <c r="J44" s="92"/>
      <c r="K44" s="93"/>
      <c r="L44" s="93"/>
      <c r="M44" s="164"/>
    </row>
    <row r="45" spans="3:13">
      <c r="C45"/>
      <c r="D45" s="143"/>
      <c r="E45" s="144"/>
      <c r="F45" s="450"/>
      <c r="G45" s="451"/>
      <c r="H45" s="33"/>
      <c r="I45" s="92"/>
      <c r="J45" s="92"/>
      <c r="K45" s="93"/>
      <c r="L45" s="93"/>
      <c r="M45" s="164"/>
    </row>
    <row r="46" spans="3:13">
      <c r="C46"/>
      <c r="D46" s="143"/>
      <c r="E46" s="144"/>
      <c r="F46" s="450"/>
      <c r="G46" s="451"/>
      <c r="H46" s="33"/>
      <c r="I46" s="92"/>
      <c r="J46" s="92"/>
      <c r="K46" s="93"/>
      <c r="L46" s="93"/>
      <c r="M46" s="164"/>
    </row>
    <row r="47" spans="3:13">
      <c r="C47"/>
      <c r="D47" s="143"/>
      <c r="E47" s="144"/>
      <c r="F47" s="450"/>
      <c r="G47" s="451"/>
      <c r="H47" s="33"/>
      <c r="I47" s="92"/>
      <c r="J47" s="92"/>
      <c r="K47" s="93"/>
      <c r="L47" s="93"/>
      <c r="M47" s="164"/>
    </row>
    <row r="48" spans="3:13">
      <c r="C48"/>
      <c r="D48" s="143"/>
      <c r="E48" s="144"/>
      <c r="F48" s="450"/>
      <c r="G48" s="451"/>
      <c r="H48" s="33"/>
      <c r="I48" s="92"/>
      <c r="J48" s="92"/>
      <c r="K48" s="93"/>
      <c r="L48" s="93"/>
      <c r="M48" s="164"/>
    </row>
    <row r="49" spans="3:13">
      <c r="C49"/>
      <c r="D49" s="143"/>
      <c r="E49" s="144"/>
      <c r="F49" s="450"/>
      <c r="G49" s="451"/>
      <c r="H49" s="33"/>
      <c r="I49" s="92"/>
      <c r="J49" s="92"/>
      <c r="K49" s="93"/>
      <c r="L49" s="93"/>
      <c r="M49" s="164"/>
    </row>
    <row r="50" spans="3:13">
      <c r="C50"/>
      <c r="D50" s="143"/>
      <c r="E50" s="144"/>
      <c r="F50" s="450"/>
      <c r="G50" s="451"/>
      <c r="H50" s="33"/>
      <c r="I50" s="92"/>
      <c r="J50" s="92"/>
      <c r="K50" s="93"/>
      <c r="L50" s="93"/>
      <c r="M50" s="164"/>
    </row>
    <row r="51" spans="3:13">
      <c r="C51"/>
      <c r="D51" s="143"/>
      <c r="E51" s="144"/>
      <c r="F51" s="450"/>
      <c r="G51" s="451"/>
      <c r="H51" s="33"/>
      <c r="I51" s="92"/>
      <c r="J51" s="92"/>
      <c r="K51" s="93"/>
      <c r="L51" s="93"/>
      <c r="M51" s="164"/>
    </row>
    <row r="52" spans="3:13">
      <c r="C52"/>
      <c r="D52" s="143"/>
      <c r="E52" s="144"/>
      <c r="F52" s="450"/>
      <c r="G52" s="451"/>
      <c r="H52" s="33"/>
      <c r="I52" s="92"/>
      <c r="J52" s="92"/>
      <c r="K52" s="93"/>
      <c r="L52" s="93"/>
      <c r="M52" s="164"/>
    </row>
  </sheetData>
  <phoneticPr fontId="18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工作表18"/>
  <dimension ref="A1:P52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9.125" style="3" customWidth="1" collapsed="1"/>
    <col min="5" max="5" width="15.62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1.625" style="21" customWidth="1" collapsed="1"/>
    <col min="10" max="10" width="12.125" style="21" customWidth="1"/>
    <col min="11" max="11" width="2.5" style="22" hidden="1" customWidth="1" outlineLevel="1"/>
    <col min="12" max="12" width="5.875" style="22" customWidth="1" collapsed="1"/>
    <col min="13" max="14" width="8.125" style="22" customWidth="1"/>
    <col min="15" max="15" width="15.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B9</f>
        <v>wilson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0"/>
      <c r="N2" s="110"/>
      <c r="O2" s="111" t="s">
        <v>28</v>
      </c>
    </row>
    <row r="3" spans="1:16" ht="17.25" thickBot="1">
      <c r="D3" s="24"/>
      <c r="E3" s="30"/>
      <c r="F3" s="25"/>
      <c r="G3" s="26"/>
      <c r="H3" s="26"/>
      <c r="I3" s="52">
        <f>I6+J6+M6+N6</f>
        <v>145.65000000000003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27</v>
      </c>
      <c r="G5" s="117"/>
      <c r="H5" s="117"/>
      <c r="I5" s="118" t="s">
        <v>82</v>
      </c>
      <c r="J5" s="118" t="s">
        <v>83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23</v>
      </c>
      <c r="I6" s="124">
        <f>SUM(I7:I44)</f>
        <v>127.75000000000001</v>
      </c>
      <c r="J6" s="124">
        <f>SUM(J7:J44)</f>
        <v>17.900000000000006</v>
      </c>
      <c r="K6" s="124">
        <f>SUM(K9:K18)</f>
        <v>0</v>
      </c>
      <c r="L6" s="124">
        <f>SUM(L9:L18)</f>
        <v>0</v>
      </c>
      <c r="M6" s="124">
        <f>SUM(M9:M18)</f>
        <v>0</v>
      </c>
      <c r="N6" s="124">
        <f>SUM(N9:N18)</f>
        <v>0</v>
      </c>
      <c r="O6" s="45"/>
    </row>
    <row r="7" spans="1:16" s="63" customFormat="1">
      <c r="A7" s="140">
        <v>8497</v>
      </c>
      <c r="B7" s="140" t="s">
        <v>92</v>
      </c>
      <c r="C7" s="140" t="s">
        <v>91</v>
      </c>
      <c r="D7" s="143" t="s">
        <v>6</v>
      </c>
      <c r="E7" s="144">
        <v>43160.376539351855</v>
      </c>
      <c r="F7" s="104">
        <f>E7</f>
        <v>43160.376539351855</v>
      </c>
      <c r="G7" s="125" t="str">
        <f>HOUR(E7)&amp;":"&amp;MINUTE(E7)</f>
        <v>9:2</v>
      </c>
      <c r="H7" s="33">
        <f t="shared" ref="H7" si="0">IF(D7="上班",(G8-G7)*24,"-")</f>
        <v>9.2333333333333325</v>
      </c>
      <c r="I7" s="92">
        <f>IF(D7="上班",IF(H7-1.5&gt;8,8,H7-1.5),"-")</f>
        <v>7.7333333333333325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94">
        <f t="shared" ref="M7" si="2">IF(K7&gt;2,K7-2,0)</f>
        <v>0</v>
      </c>
      <c r="N7" s="129">
        <f t="shared" ref="N7" si="3">IF(K7&gt;2,K7-2,0)</f>
        <v>0</v>
      </c>
      <c r="O7" s="164"/>
      <c r="P7" s="18"/>
    </row>
    <row r="8" spans="1:16">
      <c r="A8" s="140">
        <v>8500</v>
      </c>
      <c r="B8" s="140" t="s">
        <v>91</v>
      </c>
      <c r="C8" s="140" t="s">
        <v>91</v>
      </c>
      <c r="D8" s="143" t="s">
        <v>5</v>
      </c>
      <c r="E8" s="144">
        <v>43160.761712962965</v>
      </c>
      <c r="F8" s="104">
        <f t="shared" ref="F8:F52" si="4">E8</f>
        <v>43160.761712962965</v>
      </c>
      <c r="G8" s="125" t="str">
        <f t="shared" ref="G8:G52" si="5">HOUR(E8)&amp;":"&amp;MINUTE(E8)</f>
        <v>18:16</v>
      </c>
      <c r="H8" s="33" t="str">
        <f t="shared" ref="H8:H52" si="6">IF(D8="上班",(G9-G8)*24,"-")</f>
        <v>-</v>
      </c>
      <c r="I8" s="92" t="str">
        <f t="shared" ref="I8:I52" si="7">IF(D8="上班",IF(H8-1.5&gt;8,8,H8-1.5),"-")</f>
        <v>-</v>
      </c>
      <c r="J8" s="92" t="str">
        <f t="shared" ref="J8:J52" si="8">IF(D8="上班",IF(H8&gt;(8+2),(H8-8-1.5-0.5),"-"),"-")</f>
        <v>-</v>
      </c>
      <c r="K8" s="93">
        <f t="shared" ref="K8:K52" si="9">IF(D8="加班",(G9-G8)*24,0)</f>
        <v>0</v>
      </c>
      <c r="L8" s="93"/>
      <c r="M8" s="94">
        <f t="shared" ref="M8:M52" si="10">IF(K8&gt;2,K8-2,0)</f>
        <v>0</v>
      </c>
      <c r="N8" s="129">
        <f t="shared" ref="N8:N52" si="11">IF(K8&gt;2,K8-2,0)</f>
        <v>0</v>
      </c>
      <c r="O8" s="164"/>
    </row>
    <row r="9" spans="1:16" s="63" customFormat="1">
      <c r="A9" s="140">
        <v>8530</v>
      </c>
      <c r="B9" s="140" t="s">
        <v>91</v>
      </c>
      <c r="C9" s="140" t="s">
        <v>91</v>
      </c>
      <c r="D9" s="143" t="s">
        <v>6</v>
      </c>
      <c r="E9" s="144">
        <v>43161.382303240738</v>
      </c>
      <c r="F9" s="104">
        <f t="shared" si="4"/>
        <v>43161.382303240738</v>
      </c>
      <c r="G9" s="125" t="str">
        <f t="shared" si="5"/>
        <v>9:10</v>
      </c>
      <c r="H9" s="33">
        <f t="shared" si="6"/>
        <v>12.166666666666666</v>
      </c>
      <c r="I9" s="92">
        <f t="shared" si="7"/>
        <v>8</v>
      </c>
      <c r="J9" s="92">
        <f t="shared" si="8"/>
        <v>2.1666666666666661</v>
      </c>
      <c r="K9" s="93">
        <f t="shared" si="9"/>
        <v>0</v>
      </c>
      <c r="L9" s="93"/>
      <c r="M9" s="94">
        <f t="shared" si="10"/>
        <v>0</v>
      </c>
      <c r="N9" s="129">
        <f t="shared" si="11"/>
        <v>0</v>
      </c>
      <c r="O9" s="164"/>
      <c r="P9" s="18"/>
    </row>
    <row r="10" spans="1:16">
      <c r="A10" s="140">
        <v>8500</v>
      </c>
      <c r="B10" s="140" t="s">
        <v>91</v>
      </c>
      <c r="C10" s="140" t="s">
        <v>91</v>
      </c>
      <c r="D10" s="143" t="s">
        <v>5</v>
      </c>
      <c r="E10" s="144">
        <v>43161.889490740738</v>
      </c>
      <c r="F10" s="104">
        <f t="shared" si="4"/>
        <v>43161.889490740738</v>
      </c>
      <c r="G10" s="125" t="str">
        <f t="shared" si="5"/>
        <v>21:20</v>
      </c>
      <c r="H10" s="33" t="str">
        <f t="shared" si="6"/>
        <v>-</v>
      </c>
      <c r="I10" s="92" t="str">
        <f t="shared" si="7"/>
        <v>-</v>
      </c>
      <c r="J10" s="92" t="str">
        <f t="shared" si="8"/>
        <v>-</v>
      </c>
      <c r="K10" s="93">
        <f t="shared" si="9"/>
        <v>0</v>
      </c>
      <c r="L10" s="93"/>
      <c r="M10" s="94">
        <f t="shared" si="10"/>
        <v>0</v>
      </c>
      <c r="N10" s="129">
        <f t="shared" si="11"/>
        <v>0</v>
      </c>
      <c r="O10" s="164"/>
    </row>
    <row r="11" spans="1:16">
      <c r="A11" s="140">
        <v>8549</v>
      </c>
      <c r="B11" s="140" t="s">
        <v>92</v>
      </c>
      <c r="C11" s="140" t="s">
        <v>91</v>
      </c>
      <c r="D11" s="143" t="s">
        <v>6</v>
      </c>
      <c r="E11" s="144">
        <v>43162.486400462964</v>
      </c>
      <c r="F11" s="104">
        <f t="shared" si="4"/>
        <v>43162.486400462964</v>
      </c>
      <c r="G11" s="125" t="str">
        <f t="shared" si="5"/>
        <v>11:40</v>
      </c>
      <c r="H11" s="33">
        <f t="shared" si="6"/>
        <v>4.2166666666666668</v>
      </c>
      <c r="I11" s="92">
        <f>IF(D11="上班",IF(H11-1.5&gt;8,8,H11-1.5),"-")+1.5</f>
        <v>4.2166666666666668</v>
      </c>
      <c r="J11" s="92" t="str">
        <f t="shared" si="8"/>
        <v>-</v>
      </c>
      <c r="K11" s="93">
        <f t="shared" si="9"/>
        <v>0</v>
      </c>
      <c r="L11" s="93"/>
      <c r="M11" s="94">
        <f t="shared" si="10"/>
        <v>0</v>
      </c>
      <c r="N11" s="129">
        <f t="shared" si="11"/>
        <v>0</v>
      </c>
      <c r="O11" s="164"/>
    </row>
    <row r="12" spans="1:16">
      <c r="A12" s="140">
        <v>8552</v>
      </c>
      <c r="B12" s="140" t="s">
        <v>91</v>
      </c>
      <c r="C12" s="140" t="s">
        <v>91</v>
      </c>
      <c r="D12" s="143" t="s">
        <v>5</v>
      </c>
      <c r="E12" s="144">
        <v>43162.661828703705</v>
      </c>
      <c r="F12" s="104">
        <f t="shared" si="4"/>
        <v>43162.661828703705</v>
      </c>
      <c r="G12" s="125" t="str">
        <f t="shared" si="5"/>
        <v>15:53</v>
      </c>
      <c r="H12" s="33" t="str">
        <f t="shared" si="6"/>
        <v>-</v>
      </c>
      <c r="I12" s="92" t="str">
        <f t="shared" si="7"/>
        <v>-</v>
      </c>
      <c r="J12" s="92" t="str">
        <f t="shared" si="8"/>
        <v>-</v>
      </c>
      <c r="K12" s="93">
        <f t="shared" si="9"/>
        <v>0</v>
      </c>
      <c r="L12" s="93"/>
      <c r="M12" s="94">
        <f t="shared" si="10"/>
        <v>0</v>
      </c>
      <c r="N12" s="129">
        <f t="shared" si="11"/>
        <v>0</v>
      </c>
      <c r="O12" s="164"/>
    </row>
    <row r="13" spans="1:16">
      <c r="A13" s="140">
        <v>8553</v>
      </c>
      <c r="B13" s="140" t="s">
        <v>91</v>
      </c>
      <c r="C13" s="140" t="s">
        <v>91</v>
      </c>
      <c r="D13" s="143" t="s">
        <v>6</v>
      </c>
      <c r="E13" s="144">
        <v>43162.683321759258</v>
      </c>
      <c r="F13" s="104">
        <f t="shared" si="4"/>
        <v>43162.683321759258</v>
      </c>
      <c r="G13" s="125" t="str">
        <f t="shared" si="5"/>
        <v>16:23</v>
      </c>
      <c r="H13" s="33">
        <f t="shared" si="6"/>
        <v>5.15</v>
      </c>
      <c r="I13" s="92">
        <f>IF(D13="上班",IF(H13-1.5&gt;8,8,H13-1.5),"-")+1.5</f>
        <v>5.15</v>
      </c>
      <c r="J13" s="92" t="str">
        <f t="shared" si="8"/>
        <v>-</v>
      </c>
      <c r="K13" s="93">
        <f t="shared" si="9"/>
        <v>0</v>
      </c>
      <c r="L13" s="93"/>
      <c r="M13" s="94">
        <f t="shared" si="10"/>
        <v>0</v>
      </c>
      <c r="N13" s="129">
        <f t="shared" si="11"/>
        <v>0</v>
      </c>
      <c r="O13" s="164"/>
    </row>
    <row r="14" spans="1:16">
      <c r="A14" s="140">
        <v>8555</v>
      </c>
      <c r="B14" s="140" t="s">
        <v>92</v>
      </c>
      <c r="C14" s="140" t="s">
        <v>91</v>
      </c>
      <c r="D14" s="143" t="s">
        <v>5</v>
      </c>
      <c r="E14" s="144">
        <v>43162.897245370368</v>
      </c>
      <c r="F14" s="104">
        <f t="shared" si="4"/>
        <v>43162.897245370368</v>
      </c>
      <c r="G14" s="125" t="str">
        <f t="shared" si="5"/>
        <v>21:32</v>
      </c>
      <c r="H14" s="33" t="str">
        <f t="shared" si="6"/>
        <v>-</v>
      </c>
      <c r="I14" s="92" t="str">
        <f t="shared" si="7"/>
        <v>-</v>
      </c>
      <c r="J14" s="92" t="str">
        <f t="shared" si="8"/>
        <v>-</v>
      </c>
      <c r="K14" s="93">
        <f t="shared" si="9"/>
        <v>0</v>
      </c>
      <c r="L14" s="93"/>
      <c r="M14" s="94">
        <f t="shared" si="10"/>
        <v>0</v>
      </c>
      <c r="N14" s="129">
        <f t="shared" si="11"/>
        <v>0</v>
      </c>
      <c r="O14" s="164"/>
    </row>
    <row r="15" spans="1:16">
      <c r="A15" s="140">
        <v>8563</v>
      </c>
      <c r="B15" s="140" t="s">
        <v>91</v>
      </c>
      <c r="C15" s="140" t="s">
        <v>91</v>
      </c>
      <c r="D15" s="143" t="s">
        <v>6</v>
      </c>
      <c r="E15" s="144">
        <v>43164.369537037041</v>
      </c>
      <c r="F15" s="104">
        <f t="shared" si="4"/>
        <v>43164.369537037041</v>
      </c>
      <c r="G15" s="125" t="str">
        <f t="shared" si="5"/>
        <v>8:52</v>
      </c>
      <c r="H15" s="33">
        <f t="shared" si="6"/>
        <v>13.733333333333334</v>
      </c>
      <c r="I15" s="92">
        <f t="shared" si="7"/>
        <v>8</v>
      </c>
      <c r="J15" s="92">
        <f t="shared" si="8"/>
        <v>3.7333333333333343</v>
      </c>
      <c r="K15" s="93">
        <f t="shared" si="9"/>
        <v>0</v>
      </c>
      <c r="L15" s="93"/>
      <c r="M15" s="94">
        <f t="shared" si="10"/>
        <v>0</v>
      </c>
      <c r="N15" s="129">
        <f t="shared" si="11"/>
        <v>0</v>
      </c>
      <c r="O15" s="164"/>
    </row>
    <row r="16" spans="1:16">
      <c r="A16" s="140">
        <v>8593</v>
      </c>
      <c r="B16" s="140" t="s">
        <v>92</v>
      </c>
      <c r="C16" s="140" t="s">
        <v>91</v>
      </c>
      <c r="D16" s="143" t="s">
        <v>5</v>
      </c>
      <c r="E16" s="144">
        <v>43164.941701388889</v>
      </c>
      <c r="F16" s="104">
        <f t="shared" si="4"/>
        <v>43164.941701388889</v>
      </c>
      <c r="G16" s="125" t="str">
        <f t="shared" si="5"/>
        <v>22:36</v>
      </c>
      <c r="H16" s="33" t="str">
        <f t="shared" si="6"/>
        <v>-</v>
      </c>
      <c r="I16" s="92" t="str">
        <f t="shared" si="7"/>
        <v>-</v>
      </c>
      <c r="J16" s="92" t="str">
        <f t="shared" si="8"/>
        <v>-</v>
      </c>
      <c r="K16" s="93">
        <f t="shared" si="9"/>
        <v>0</v>
      </c>
      <c r="L16" s="93"/>
      <c r="M16" s="94">
        <f t="shared" si="10"/>
        <v>0</v>
      </c>
      <c r="N16" s="129">
        <f t="shared" si="11"/>
        <v>0</v>
      </c>
      <c r="O16" s="164"/>
    </row>
    <row r="17" spans="1:15">
      <c r="A17" s="140">
        <v>8603</v>
      </c>
      <c r="B17" s="140" t="s">
        <v>92</v>
      </c>
      <c r="C17" s="140" t="s">
        <v>91</v>
      </c>
      <c r="D17" s="143" t="s">
        <v>6</v>
      </c>
      <c r="E17" s="144">
        <v>43165.383159722223</v>
      </c>
      <c r="F17" s="104">
        <f t="shared" si="4"/>
        <v>43165.383159722223</v>
      </c>
      <c r="G17" s="125" t="str">
        <f t="shared" si="5"/>
        <v>9:11</v>
      </c>
      <c r="H17" s="33">
        <f t="shared" si="6"/>
        <v>9.0833333333333321</v>
      </c>
      <c r="I17" s="92">
        <f t="shared" si="7"/>
        <v>7.5833333333333321</v>
      </c>
      <c r="J17" s="92" t="str">
        <f t="shared" si="8"/>
        <v>-</v>
      </c>
      <c r="K17" s="93">
        <f t="shared" si="9"/>
        <v>0</v>
      </c>
      <c r="L17" s="93"/>
      <c r="M17" s="94">
        <f t="shared" si="10"/>
        <v>0</v>
      </c>
      <c r="N17" s="129">
        <f t="shared" si="11"/>
        <v>0</v>
      </c>
      <c r="O17" s="164"/>
    </row>
    <row r="18" spans="1:15">
      <c r="A18" s="140">
        <v>8605</v>
      </c>
      <c r="B18" s="140" t="s">
        <v>96</v>
      </c>
      <c r="C18" s="140" t="s">
        <v>91</v>
      </c>
      <c r="D18" s="143" t="s">
        <v>5</v>
      </c>
      <c r="E18" s="144">
        <v>43165.761284722219</v>
      </c>
      <c r="F18" s="104">
        <f t="shared" si="4"/>
        <v>43165.761284722219</v>
      </c>
      <c r="G18" s="125" t="str">
        <f t="shared" si="5"/>
        <v>18:16</v>
      </c>
      <c r="H18" s="33" t="str">
        <f t="shared" si="6"/>
        <v>-</v>
      </c>
      <c r="I18" s="92" t="str">
        <f t="shared" si="7"/>
        <v>-</v>
      </c>
      <c r="J18" s="92" t="str">
        <f t="shared" si="8"/>
        <v>-</v>
      </c>
      <c r="K18" s="93">
        <f t="shared" si="9"/>
        <v>0</v>
      </c>
      <c r="L18" s="93"/>
      <c r="M18" s="94">
        <f t="shared" si="10"/>
        <v>0</v>
      </c>
      <c r="N18" s="129">
        <f t="shared" si="11"/>
        <v>0</v>
      </c>
      <c r="O18" s="164"/>
    </row>
    <row r="19" spans="1:15">
      <c r="A19" s="140">
        <v>8635</v>
      </c>
      <c r="B19" s="140" t="s">
        <v>96</v>
      </c>
      <c r="C19" s="140" t="s">
        <v>91</v>
      </c>
      <c r="D19" s="143" t="s">
        <v>6</v>
      </c>
      <c r="E19" s="144">
        <v>43166.399178240739</v>
      </c>
      <c r="F19" s="104">
        <f t="shared" si="4"/>
        <v>43166.399178240739</v>
      </c>
      <c r="G19" s="125" t="str">
        <f t="shared" si="5"/>
        <v>9:34</v>
      </c>
      <c r="H19" s="33">
        <f t="shared" si="6"/>
        <v>12.46666666666667</v>
      </c>
      <c r="I19" s="92">
        <f t="shared" si="7"/>
        <v>8</v>
      </c>
      <c r="J19" s="92">
        <f t="shared" si="8"/>
        <v>2.4666666666666703</v>
      </c>
      <c r="K19" s="93">
        <f t="shared" si="9"/>
        <v>0</v>
      </c>
      <c r="L19" s="93"/>
      <c r="M19" s="94">
        <f t="shared" si="10"/>
        <v>0</v>
      </c>
      <c r="N19" s="129">
        <f t="shared" si="11"/>
        <v>0</v>
      </c>
      <c r="O19" s="164"/>
    </row>
    <row r="20" spans="1:15">
      <c r="A20" s="140">
        <v>8660</v>
      </c>
      <c r="B20" s="140" t="s">
        <v>92</v>
      </c>
      <c r="C20" s="140" t="s">
        <v>91</v>
      </c>
      <c r="D20" s="143" t="s">
        <v>5</v>
      </c>
      <c r="E20" s="144">
        <v>43166.918379629627</v>
      </c>
      <c r="F20" s="104">
        <f t="shared" si="4"/>
        <v>43166.918379629627</v>
      </c>
      <c r="G20" s="125" t="str">
        <f t="shared" si="5"/>
        <v>22:2</v>
      </c>
      <c r="H20" s="33" t="str">
        <f t="shared" si="6"/>
        <v>-</v>
      </c>
      <c r="I20" s="92" t="str">
        <f t="shared" si="7"/>
        <v>-</v>
      </c>
      <c r="J20" s="92" t="str">
        <f t="shared" si="8"/>
        <v>-</v>
      </c>
      <c r="K20" s="93">
        <f t="shared" si="9"/>
        <v>0</v>
      </c>
      <c r="L20" s="93"/>
      <c r="M20" s="94">
        <f t="shared" si="10"/>
        <v>0</v>
      </c>
      <c r="N20" s="129">
        <f t="shared" si="11"/>
        <v>0</v>
      </c>
      <c r="O20" s="164"/>
    </row>
    <row r="21" spans="1:15">
      <c r="A21" s="140">
        <v>8662</v>
      </c>
      <c r="B21" s="140" t="s">
        <v>91</v>
      </c>
      <c r="C21" s="140" t="s">
        <v>91</v>
      </c>
      <c r="D21" s="143" t="s">
        <v>6</v>
      </c>
      <c r="E21" s="144">
        <v>43167.357511574075</v>
      </c>
      <c r="F21" s="104">
        <f t="shared" si="4"/>
        <v>43167.357511574075</v>
      </c>
      <c r="G21" s="125" t="str">
        <f t="shared" si="5"/>
        <v>8:34</v>
      </c>
      <c r="H21" s="33">
        <f t="shared" si="6"/>
        <v>9.8500000000000014</v>
      </c>
      <c r="I21" s="92">
        <f t="shared" si="7"/>
        <v>8</v>
      </c>
      <c r="J21" s="92" t="str">
        <f t="shared" si="8"/>
        <v>-</v>
      </c>
      <c r="K21" s="93">
        <f t="shared" si="9"/>
        <v>0</v>
      </c>
      <c r="L21" s="93"/>
      <c r="M21" s="94">
        <f t="shared" si="10"/>
        <v>0</v>
      </c>
      <c r="N21" s="129">
        <f t="shared" si="11"/>
        <v>0</v>
      </c>
      <c r="O21" s="164"/>
    </row>
    <row r="22" spans="1:15">
      <c r="A22" s="140">
        <v>8676</v>
      </c>
      <c r="B22" s="140" t="s">
        <v>91</v>
      </c>
      <c r="C22" s="140" t="s">
        <v>91</v>
      </c>
      <c r="D22" s="143" t="s">
        <v>5</v>
      </c>
      <c r="E22" s="144">
        <v>43167.767939814818</v>
      </c>
      <c r="F22" s="104">
        <f t="shared" si="4"/>
        <v>43167.767939814818</v>
      </c>
      <c r="G22" s="125" t="str">
        <f t="shared" si="5"/>
        <v>18:25</v>
      </c>
      <c r="H22" s="33" t="str">
        <f t="shared" si="6"/>
        <v>-</v>
      </c>
      <c r="I22" s="92" t="str">
        <f t="shared" si="7"/>
        <v>-</v>
      </c>
      <c r="J22" s="92" t="str">
        <f t="shared" si="8"/>
        <v>-</v>
      </c>
      <c r="K22" s="93">
        <f t="shared" si="9"/>
        <v>0</v>
      </c>
      <c r="L22" s="93"/>
      <c r="M22" s="94">
        <f t="shared" si="10"/>
        <v>0</v>
      </c>
      <c r="N22" s="129">
        <f t="shared" si="11"/>
        <v>0</v>
      </c>
      <c r="O22" s="164"/>
    </row>
    <row r="23" spans="1:15">
      <c r="A23" s="140">
        <v>8702</v>
      </c>
      <c r="B23" s="140" t="s">
        <v>92</v>
      </c>
      <c r="C23" s="140" t="s">
        <v>91</v>
      </c>
      <c r="D23" s="143" t="s">
        <v>6</v>
      </c>
      <c r="E23" s="144">
        <v>43168.381712962961</v>
      </c>
      <c r="F23" s="104">
        <f t="shared" si="4"/>
        <v>43168.381712962961</v>
      </c>
      <c r="G23" s="125" t="str">
        <f t="shared" si="5"/>
        <v>9:9</v>
      </c>
      <c r="H23" s="33">
        <f t="shared" si="6"/>
        <v>12.150000000000002</v>
      </c>
      <c r="I23" s="92">
        <f t="shared" si="7"/>
        <v>8</v>
      </c>
      <c r="J23" s="92">
        <f t="shared" si="8"/>
        <v>2.1500000000000021</v>
      </c>
      <c r="K23" s="93">
        <f t="shared" si="9"/>
        <v>0</v>
      </c>
      <c r="L23" s="93"/>
      <c r="M23" s="94">
        <f t="shared" si="10"/>
        <v>0</v>
      </c>
      <c r="N23" s="129">
        <f t="shared" si="11"/>
        <v>0</v>
      </c>
      <c r="O23" s="164"/>
    </row>
    <row r="24" spans="1:15">
      <c r="A24" s="140">
        <v>8716</v>
      </c>
      <c r="B24" s="140" t="s">
        <v>92</v>
      </c>
      <c r="C24" s="140" t="s">
        <v>91</v>
      </c>
      <c r="D24" s="143" t="s">
        <v>5</v>
      </c>
      <c r="E24" s="144">
        <v>43168.887557870374</v>
      </c>
      <c r="F24" s="104">
        <f t="shared" si="4"/>
        <v>43168.887557870374</v>
      </c>
      <c r="G24" s="125" t="str">
        <f t="shared" si="5"/>
        <v>21:18</v>
      </c>
      <c r="H24" s="33" t="str">
        <f t="shared" si="6"/>
        <v>-</v>
      </c>
      <c r="I24" s="92" t="str">
        <f t="shared" si="7"/>
        <v>-</v>
      </c>
      <c r="J24" s="92" t="str">
        <f t="shared" si="8"/>
        <v>-</v>
      </c>
      <c r="K24" s="93">
        <f t="shared" si="9"/>
        <v>0</v>
      </c>
      <c r="L24" s="93"/>
      <c r="M24" s="94">
        <f t="shared" si="10"/>
        <v>0</v>
      </c>
      <c r="N24" s="129">
        <f t="shared" si="11"/>
        <v>0</v>
      </c>
      <c r="O24" s="164"/>
    </row>
    <row r="25" spans="1:15">
      <c r="A25" s="140">
        <v>8731</v>
      </c>
      <c r="B25" s="140" t="s">
        <v>96</v>
      </c>
      <c r="C25" s="140" t="s">
        <v>91</v>
      </c>
      <c r="D25" s="143" t="s">
        <v>6</v>
      </c>
      <c r="E25" s="144">
        <v>43170.428483796299</v>
      </c>
      <c r="F25" s="104">
        <f t="shared" si="4"/>
        <v>43170.428483796299</v>
      </c>
      <c r="G25" s="125" t="str">
        <f t="shared" si="5"/>
        <v>10:17</v>
      </c>
      <c r="H25" s="33">
        <f t="shared" si="6"/>
        <v>3.183333333333334</v>
      </c>
      <c r="I25" s="92">
        <f>IF(D25="上班",IF(H25-1.5&gt;8,8,H25-1.5),"-")+1.5</f>
        <v>3.183333333333334</v>
      </c>
      <c r="J25" s="92" t="str">
        <f t="shared" si="8"/>
        <v>-</v>
      </c>
      <c r="K25" s="93">
        <f t="shared" si="9"/>
        <v>0</v>
      </c>
      <c r="L25" s="93"/>
      <c r="M25" s="94">
        <f t="shared" si="10"/>
        <v>0</v>
      </c>
      <c r="N25" s="129">
        <f t="shared" si="11"/>
        <v>0</v>
      </c>
      <c r="O25" s="164"/>
    </row>
    <row r="26" spans="1:15">
      <c r="A26" s="140">
        <v>8739</v>
      </c>
      <c r="B26" s="140" t="s">
        <v>91</v>
      </c>
      <c r="C26" s="140" t="s">
        <v>91</v>
      </c>
      <c r="D26" s="143" t="s">
        <v>5</v>
      </c>
      <c r="E26" s="144">
        <v>43170.561145833337</v>
      </c>
      <c r="F26" s="104">
        <f t="shared" si="4"/>
        <v>43170.561145833337</v>
      </c>
      <c r="G26" s="125" t="str">
        <f t="shared" si="5"/>
        <v>13:28</v>
      </c>
      <c r="H26" s="33" t="str">
        <f t="shared" si="6"/>
        <v>-</v>
      </c>
      <c r="I26" s="92" t="str">
        <f t="shared" si="7"/>
        <v>-</v>
      </c>
      <c r="J26" s="92" t="str">
        <f t="shared" si="8"/>
        <v>-</v>
      </c>
      <c r="K26" s="93">
        <f t="shared" si="9"/>
        <v>0</v>
      </c>
      <c r="L26" s="93"/>
      <c r="M26" s="94">
        <f t="shared" si="10"/>
        <v>0</v>
      </c>
      <c r="N26" s="129">
        <f t="shared" si="11"/>
        <v>0</v>
      </c>
      <c r="O26" s="164"/>
    </row>
    <row r="27" spans="1:15">
      <c r="A27" s="140">
        <v>8744</v>
      </c>
      <c r="B27" s="140" t="s">
        <v>92</v>
      </c>
      <c r="C27" s="140" t="s">
        <v>91</v>
      </c>
      <c r="D27" s="143" t="s">
        <v>6</v>
      </c>
      <c r="E27" s="144">
        <v>43170.604456018518</v>
      </c>
      <c r="F27" s="104">
        <f t="shared" si="4"/>
        <v>43170.604456018518</v>
      </c>
      <c r="G27" s="125" t="str">
        <f t="shared" si="5"/>
        <v>14:30</v>
      </c>
      <c r="H27" s="33">
        <f t="shared" si="6"/>
        <v>3.4333333333333345</v>
      </c>
      <c r="I27" s="92">
        <f>IF(D27="上班",IF(H27-1.5&gt;8,8,H27-1.5),"-")+1.5</f>
        <v>3.4333333333333345</v>
      </c>
      <c r="J27" s="92" t="str">
        <f t="shared" si="8"/>
        <v>-</v>
      </c>
      <c r="K27" s="93">
        <f t="shared" si="9"/>
        <v>0</v>
      </c>
      <c r="L27" s="93"/>
      <c r="M27" s="94">
        <f t="shared" si="10"/>
        <v>0</v>
      </c>
      <c r="N27" s="129">
        <f t="shared" si="11"/>
        <v>0</v>
      </c>
      <c r="O27" s="164"/>
    </row>
    <row r="28" spans="1:15">
      <c r="A28" s="140">
        <v>8747</v>
      </c>
      <c r="B28" s="140" t="s">
        <v>92</v>
      </c>
      <c r="C28" s="140" t="s">
        <v>91</v>
      </c>
      <c r="D28" s="143" t="s">
        <v>5</v>
      </c>
      <c r="E28" s="144">
        <v>43170.747303240743</v>
      </c>
      <c r="F28" s="104">
        <f t="shared" si="4"/>
        <v>43170.747303240743</v>
      </c>
      <c r="G28" s="125" t="str">
        <f t="shared" si="5"/>
        <v>17:56</v>
      </c>
      <c r="H28" s="33" t="str">
        <f t="shared" si="6"/>
        <v>-</v>
      </c>
      <c r="I28" s="92" t="str">
        <f t="shared" si="7"/>
        <v>-</v>
      </c>
      <c r="J28" s="92" t="str">
        <f t="shared" si="8"/>
        <v>-</v>
      </c>
      <c r="K28" s="93">
        <f t="shared" si="9"/>
        <v>0</v>
      </c>
      <c r="L28" s="93"/>
      <c r="M28" s="94">
        <f t="shared" si="10"/>
        <v>0</v>
      </c>
      <c r="N28" s="129">
        <f t="shared" si="11"/>
        <v>0</v>
      </c>
      <c r="O28" s="164"/>
    </row>
    <row r="29" spans="1:15">
      <c r="A29" s="140">
        <v>8748</v>
      </c>
      <c r="B29" s="140" t="s">
        <v>92</v>
      </c>
      <c r="C29" s="140" t="s">
        <v>91</v>
      </c>
      <c r="D29" s="143" t="s">
        <v>6</v>
      </c>
      <c r="E29" s="144">
        <v>43170.748113425929</v>
      </c>
      <c r="F29" s="104">
        <f t="shared" si="4"/>
        <v>43170.748113425929</v>
      </c>
      <c r="G29" s="125" t="str">
        <f t="shared" si="5"/>
        <v>17:57</v>
      </c>
      <c r="H29" s="33">
        <f t="shared" si="6"/>
        <v>1.1833333333333318</v>
      </c>
      <c r="I29" s="92">
        <f>IF(D29="上班",IF(H29-1.5&gt;8,8,H29-1.5),"-")+1.5</f>
        <v>1.1833333333333318</v>
      </c>
      <c r="J29" s="92" t="str">
        <f t="shared" si="8"/>
        <v>-</v>
      </c>
      <c r="K29" s="93">
        <f t="shared" si="9"/>
        <v>0</v>
      </c>
      <c r="L29" s="93"/>
      <c r="M29" s="94">
        <f t="shared" si="10"/>
        <v>0</v>
      </c>
      <c r="N29" s="129">
        <f t="shared" si="11"/>
        <v>0</v>
      </c>
      <c r="O29" s="164"/>
    </row>
    <row r="30" spans="1:15">
      <c r="A30" s="140">
        <v>8760</v>
      </c>
      <c r="B30" s="140" t="s">
        <v>92</v>
      </c>
      <c r="C30" s="140" t="s">
        <v>91</v>
      </c>
      <c r="D30" s="143" t="s">
        <v>5</v>
      </c>
      <c r="E30" s="144">
        <v>43170.797407407408</v>
      </c>
      <c r="F30" s="104">
        <f t="shared" si="4"/>
        <v>43170.797407407408</v>
      </c>
      <c r="G30" s="125" t="str">
        <f t="shared" si="5"/>
        <v>19:8</v>
      </c>
      <c r="H30" s="33" t="str">
        <f t="shared" si="6"/>
        <v>-</v>
      </c>
      <c r="I30" s="92" t="str">
        <f t="shared" si="7"/>
        <v>-</v>
      </c>
      <c r="J30" s="92" t="str">
        <f t="shared" si="8"/>
        <v>-</v>
      </c>
      <c r="K30" s="93">
        <f t="shared" si="9"/>
        <v>0</v>
      </c>
      <c r="L30" s="93"/>
      <c r="M30" s="94">
        <f t="shared" si="10"/>
        <v>0</v>
      </c>
      <c r="N30" s="129">
        <f t="shared" si="11"/>
        <v>0</v>
      </c>
      <c r="O30" s="164"/>
    </row>
    <row r="31" spans="1:15">
      <c r="A31" s="140">
        <v>8772</v>
      </c>
      <c r="B31" s="140" t="s">
        <v>91</v>
      </c>
      <c r="C31" s="140" t="s">
        <v>91</v>
      </c>
      <c r="D31" s="143" t="s">
        <v>6</v>
      </c>
      <c r="E31" s="144">
        <v>43171.382048611114</v>
      </c>
      <c r="F31" s="104">
        <f t="shared" si="4"/>
        <v>43171.382048611114</v>
      </c>
      <c r="G31" s="125" t="str">
        <f t="shared" si="5"/>
        <v>9:10</v>
      </c>
      <c r="H31" s="33">
        <f t="shared" si="6"/>
        <v>12.766666666666666</v>
      </c>
      <c r="I31" s="92">
        <f t="shared" si="7"/>
        <v>8</v>
      </c>
      <c r="J31" s="92">
        <f t="shared" si="8"/>
        <v>2.7666666666666657</v>
      </c>
      <c r="K31" s="93">
        <f t="shared" si="9"/>
        <v>0</v>
      </c>
      <c r="L31" s="93"/>
      <c r="M31" s="94">
        <f t="shared" si="10"/>
        <v>0</v>
      </c>
      <c r="N31" s="129">
        <f t="shared" si="11"/>
        <v>0</v>
      </c>
      <c r="O31" s="164"/>
    </row>
    <row r="32" spans="1:15">
      <c r="A32" s="140">
        <v>8798</v>
      </c>
      <c r="B32" s="140" t="s">
        <v>92</v>
      </c>
      <c r="C32" s="140" t="s">
        <v>91</v>
      </c>
      <c r="D32" s="143" t="s">
        <v>5</v>
      </c>
      <c r="E32" s="144">
        <v>43171.914039351854</v>
      </c>
      <c r="F32" s="104">
        <f t="shared" si="4"/>
        <v>43171.914039351854</v>
      </c>
      <c r="G32" s="125" t="str">
        <f t="shared" si="5"/>
        <v>21:56</v>
      </c>
      <c r="H32" s="33" t="str">
        <f t="shared" si="6"/>
        <v>-</v>
      </c>
      <c r="I32" s="92" t="str">
        <f t="shared" si="7"/>
        <v>-</v>
      </c>
      <c r="J32" s="92" t="str">
        <f t="shared" si="8"/>
        <v>-</v>
      </c>
      <c r="K32" s="93">
        <f t="shared" si="9"/>
        <v>0</v>
      </c>
      <c r="L32" s="93"/>
      <c r="M32" s="94">
        <f t="shared" si="10"/>
        <v>0</v>
      </c>
      <c r="N32" s="129">
        <f t="shared" si="11"/>
        <v>0</v>
      </c>
      <c r="O32" s="164"/>
    </row>
    <row r="33" spans="1:15">
      <c r="A33" s="140">
        <v>8806</v>
      </c>
      <c r="B33" s="140" t="s">
        <v>96</v>
      </c>
      <c r="C33" s="140" t="s">
        <v>91</v>
      </c>
      <c r="D33" s="143" t="s">
        <v>6</v>
      </c>
      <c r="E33" s="144">
        <v>43172.368321759262</v>
      </c>
      <c r="F33" s="104">
        <f t="shared" si="4"/>
        <v>43172.368321759262</v>
      </c>
      <c r="G33" s="125" t="str">
        <f t="shared" si="5"/>
        <v>8:50</v>
      </c>
      <c r="H33" s="33">
        <f t="shared" si="6"/>
        <v>9.7166666666666668</v>
      </c>
      <c r="I33" s="92">
        <f t="shared" si="7"/>
        <v>8</v>
      </c>
      <c r="J33" s="92" t="str">
        <f t="shared" si="8"/>
        <v>-</v>
      </c>
      <c r="K33" s="93">
        <f t="shared" si="9"/>
        <v>0</v>
      </c>
      <c r="L33" s="93"/>
      <c r="M33" s="94">
        <f t="shared" si="10"/>
        <v>0</v>
      </c>
      <c r="N33" s="129">
        <f t="shared" si="11"/>
        <v>0</v>
      </c>
      <c r="O33" s="164"/>
    </row>
    <row r="34" spans="1:15">
      <c r="A34" s="140">
        <v>8823</v>
      </c>
      <c r="B34" s="140" t="s">
        <v>91</v>
      </c>
      <c r="C34" s="140" t="s">
        <v>91</v>
      </c>
      <c r="D34" s="143" t="s">
        <v>5</v>
      </c>
      <c r="E34" s="144">
        <v>43172.773449074077</v>
      </c>
      <c r="F34" s="104">
        <f t="shared" si="4"/>
        <v>43172.773449074077</v>
      </c>
      <c r="G34" s="125" t="str">
        <f t="shared" si="5"/>
        <v>18:33</v>
      </c>
      <c r="H34" s="33" t="str">
        <f t="shared" si="6"/>
        <v>-</v>
      </c>
      <c r="I34" s="92" t="str">
        <f t="shared" si="7"/>
        <v>-</v>
      </c>
      <c r="J34" s="92" t="str">
        <f t="shared" si="8"/>
        <v>-</v>
      </c>
      <c r="K34" s="93">
        <f t="shared" si="9"/>
        <v>0</v>
      </c>
      <c r="L34" s="93"/>
      <c r="M34" s="94">
        <f t="shared" si="10"/>
        <v>0</v>
      </c>
      <c r="N34" s="129">
        <f t="shared" si="11"/>
        <v>0</v>
      </c>
      <c r="O34" s="164"/>
    </row>
    <row r="35" spans="1:15">
      <c r="A35" s="140">
        <v>8845</v>
      </c>
      <c r="B35" s="140" t="s">
        <v>91</v>
      </c>
      <c r="C35" s="140" t="s">
        <v>91</v>
      </c>
      <c r="D35" s="143" t="s">
        <v>6</v>
      </c>
      <c r="E35" s="144">
        <v>43173.372731481482</v>
      </c>
      <c r="F35" s="104">
        <f t="shared" si="4"/>
        <v>43173.372731481482</v>
      </c>
      <c r="G35" s="125" t="str">
        <f t="shared" si="5"/>
        <v>8:56</v>
      </c>
      <c r="H35" s="33">
        <f t="shared" si="6"/>
        <v>12.100000000000001</v>
      </c>
      <c r="I35" s="92">
        <f t="shared" si="7"/>
        <v>8</v>
      </c>
      <c r="J35" s="92">
        <f t="shared" si="8"/>
        <v>2.1000000000000014</v>
      </c>
      <c r="K35" s="93">
        <f t="shared" si="9"/>
        <v>0</v>
      </c>
      <c r="L35" s="93"/>
      <c r="M35" s="94">
        <f t="shared" si="10"/>
        <v>0</v>
      </c>
      <c r="N35" s="129">
        <f t="shared" si="11"/>
        <v>0</v>
      </c>
      <c r="O35" s="164"/>
    </row>
    <row r="36" spans="1:15">
      <c r="A36" s="140">
        <v>8869</v>
      </c>
      <c r="B36" s="140" t="s">
        <v>91</v>
      </c>
      <c r="C36" s="140" t="s">
        <v>91</v>
      </c>
      <c r="D36" s="143" t="s">
        <v>5</v>
      </c>
      <c r="E36" s="144">
        <v>43173.876458333332</v>
      </c>
      <c r="F36" s="104">
        <f t="shared" si="4"/>
        <v>43173.876458333332</v>
      </c>
      <c r="G36" s="125" t="str">
        <f t="shared" si="5"/>
        <v>21:2</v>
      </c>
      <c r="H36" s="33" t="str">
        <f t="shared" si="6"/>
        <v>-</v>
      </c>
      <c r="I36" s="92" t="str">
        <f t="shared" si="7"/>
        <v>-</v>
      </c>
      <c r="J36" s="92" t="str">
        <f t="shared" si="8"/>
        <v>-</v>
      </c>
      <c r="K36" s="93">
        <f t="shared" si="9"/>
        <v>0</v>
      </c>
      <c r="L36" s="93"/>
      <c r="M36" s="94">
        <f t="shared" si="10"/>
        <v>0</v>
      </c>
      <c r="N36" s="129">
        <f t="shared" si="11"/>
        <v>0</v>
      </c>
      <c r="O36" s="164"/>
    </row>
    <row r="37" spans="1:15">
      <c r="A37" s="140">
        <v>8881</v>
      </c>
      <c r="B37" s="140" t="s">
        <v>96</v>
      </c>
      <c r="C37" s="140" t="s">
        <v>91</v>
      </c>
      <c r="D37" s="143" t="s">
        <v>6</v>
      </c>
      <c r="E37" s="144">
        <v>43174.379340277781</v>
      </c>
      <c r="F37" s="104">
        <f t="shared" si="4"/>
        <v>43174.379340277781</v>
      </c>
      <c r="G37" s="125" t="str">
        <f t="shared" si="5"/>
        <v>9:6</v>
      </c>
      <c r="H37" s="33">
        <f t="shared" si="6"/>
        <v>9.5</v>
      </c>
      <c r="I37" s="92">
        <f t="shared" si="7"/>
        <v>8</v>
      </c>
      <c r="J37" s="92" t="str">
        <f t="shared" si="8"/>
        <v>-</v>
      </c>
      <c r="K37" s="93">
        <f t="shared" si="9"/>
        <v>0</v>
      </c>
      <c r="L37" s="93"/>
      <c r="M37" s="94">
        <f t="shared" si="10"/>
        <v>0</v>
      </c>
      <c r="N37" s="129">
        <f t="shared" si="11"/>
        <v>0</v>
      </c>
      <c r="O37" s="164"/>
    </row>
    <row r="38" spans="1:15">
      <c r="A38" s="140">
        <v>8895</v>
      </c>
      <c r="B38" s="140" t="s">
        <v>91</v>
      </c>
      <c r="C38" s="140" t="s">
        <v>91</v>
      </c>
      <c r="D38" s="143" t="s">
        <v>5</v>
      </c>
      <c r="E38" s="144">
        <v>43174.775312500002</v>
      </c>
      <c r="F38" s="104">
        <f t="shared" si="4"/>
        <v>43174.775312500002</v>
      </c>
      <c r="G38" s="125" t="str">
        <f t="shared" si="5"/>
        <v>18:36</v>
      </c>
      <c r="H38" s="33" t="str">
        <f t="shared" si="6"/>
        <v>-</v>
      </c>
      <c r="I38" s="92" t="str">
        <f t="shared" si="7"/>
        <v>-</v>
      </c>
      <c r="J38" s="92" t="str">
        <f t="shared" si="8"/>
        <v>-</v>
      </c>
      <c r="K38" s="93">
        <f t="shared" si="9"/>
        <v>0</v>
      </c>
      <c r="L38" s="93"/>
      <c r="M38" s="94">
        <f t="shared" si="10"/>
        <v>0</v>
      </c>
      <c r="N38" s="129">
        <f t="shared" si="11"/>
        <v>0</v>
      </c>
      <c r="O38" s="164"/>
    </row>
    <row r="39" spans="1:15">
      <c r="A39" s="140">
        <v>8916</v>
      </c>
      <c r="B39" s="140" t="s">
        <v>91</v>
      </c>
      <c r="C39" s="140" t="s">
        <v>91</v>
      </c>
      <c r="D39" s="143" t="s">
        <v>6</v>
      </c>
      <c r="E39" s="144">
        <v>43175.389456018522</v>
      </c>
      <c r="F39" s="104">
        <f t="shared" si="4"/>
        <v>43175.389456018522</v>
      </c>
      <c r="G39" s="125" t="str">
        <f t="shared" si="5"/>
        <v>9:20</v>
      </c>
      <c r="H39" s="33">
        <f t="shared" si="6"/>
        <v>12.516666666666667</v>
      </c>
      <c r="I39" s="92">
        <f t="shared" si="7"/>
        <v>8</v>
      </c>
      <c r="J39" s="92">
        <f t="shared" si="8"/>
        <v>2.5166666666666675</v>
      </c>
      <c r="K39" s="93">
        <f t="shared" si="9"/>
        <v>0</v>
      </c>
      <c r="L39" s="93"/>
      <c r="M39" s="94">
        <f t="shared" si="10"/>
        <v>0</v>
      </c>
      <c r="N39" s="129">
        <f t="shared" si="11"/>
        <v>0</v>
      </c>
      <c r="O39" s="164"/>
    </row>
    <row r="40" spans="1:15">
      <c r="A40" s="140">
        <v>8941</v>
      </c>
      <c r="B40" s="140" t="s">
        <v>96</v>
      </c>
      <c r="C40" s="140" t="s">
        <v>91</v>
      </c>
      <c r="D40" s="143" t="s">
        <v>5</v>
      </c>
      <c r="E40" s="144">
        <v>43175.910613425927</v>
      </c>
      <c r="F40" s="104">
        <f t="shared" si="4"/>
        <v>43175.910613425927</v>
      </c>
      <c r="G40" s="125" t="str">
        <f t="shared" si="5"/>
        <v>21:51</v>
      </c>
      <c r="H40" s="33" t="str">
        <f t="shared" si="6"/>
        <v>-</v>
      </c>
      <c r="I40" s="92" t="str">
        <f t="shared" si="7"/>
        <v>-</v>
      </c>
      <c r="J40" s="92" t="str">
        <f t="shared" si="8"/>
        <v>-</v>
      </c>
      <c r="K40" s="93">
        <f t="shared" si="9"/>
        <v>0</v>
      </c>
      <c r="L40" s="93"/>
      <c r="M40" s="94">
        <f t="shared" si="10"/>
        <v>0</v>
      </c>
      <c r="N40" s="129">
        <f t="shared" si="11"/>
        <v>0</v>
      </c>
      <c r="O40" s="164"/>
    </row>
    <row r="41" spans="1:15">
      <c r="A41">
        <v>8950</v>
      </c>
      <c r="B41" t="s">
        <v>96</v>
      </c>
      <c r="C41" t="s">
        <v>91</v>
      </c>
      <c r="D41" s="143" t="s">
        <v>6</v>
      </c>
      <c r="E41" s="144">
        <v>43176.471851851849</v>
      </c>
      <c r="F41" s="104">
        <f t="shared" si="4"/>
        <v>43176.471851851849</v>
      </c>
      <c r="G41" s="125" t="str">
        <f t="shared" si="5"/>
        <v>11:19</v>
      </c>
      <c r="H41" s="33">
        <f t="shared" si="6"/>
        <v>8.7666666666666657</v>
      </c>
      <c r="I41" s="92">
        <f t="shared" si="7"/>
        <v>7.2666666666666657</v>
      </c>
      <c r="J41" s="92" t="str">
        <f t="shared" si="8"/>
        <v>-</v>
      </c>
      <c r="K41" s="93">
        <f t="shared" si="9"/>
        <v>0</v>
      </c>
      <c r="L41" s="93"/>
      <c r="M41" s="94">
        <f t="shared" si="10"/>
        <v>0</v>
      </c>
      <c r="N41" s="129">
        <f t="shared" si="11"/>
        <v>0</v>
      </c>
      <c r="O41" s="164"/>
    </row>
    <row r="42" spans="1:15">
      <c r="A42">
        <v>8972</v>
      </c>
      <c r="B42" t="s">
        <v>96</v>
      </c>
      <c r="C42" t="s">
        <v>91</v>
      </c>
      <c r="D42" s="143" t="s">
        <v>5</v>
      </c>
      <c r="E42" s="144">
        <v>43176.836921296293</v>
      </c>
      <c r="F42" s="104">
        <f t="shared" si="4"/>
        <v>43176.836921296293</v>
      </c>
      <c r="G42" s="125" t="str">
        <f t="shared" si="5"/>
        <v>20:5</v>
      </c>
      <c r="H42" s="33" t="str">
        <f t="shared" si="6"/>
        <v>-</v>
      </c>
      <c r="I42" s="92" t="str">
        <f t="shared" si="7"/>
        <v>-</v>
      </c>
      <c r="J42" s="92" t="str">
        <f t="shared" si="8"/>
        <v>-</v>
      </c>
      <c r="K42" s="93">
        <f t="shared" si="9"/>
        <v>0</v>
      </c>
      <c r="L42" s="93"/>
      <c r="M42" s="94">
        <f t="shared" si="10"/>
        <v>0</v>
      </c>
      <c r="N42" s="129">
        <f t="shared" si="11"/>
        <v>0</v>
      </c>
      <c r="O42" s="164"/>
    </row>
    <row r="43" spans="1:15">
      <c r="A43">
        <v>8977</v>
      </c>
      <c r="B43" t="s">
        <v>91</v>
      </c>
      <c r="C43" t="s">
        <v>91</v>
      </c>
      <c r="D43" s="143" t="s">
        <v>6</v>
      </c>
      <c r="E43" s="144">
        <v>43178.368078703701</v>
      </c>
      <c r="F43" s="104">
        <f t="shared" si="4"/>
        <v>43178.368078703701</v>
      </c>
      <c r="G43" s="125" t="str">
        <f t="shared" si="5"/>
        <v>8:50</v>
      </c>
      <c r="H43" s="33">
        <f t="shared" si="6"/>
        <v>9.6333333333333311</v>
      </c>
      <c r="I43" s="92">
        <f t="shared" si="7"/>
        <v>8</v>
      </c>
      <c r="J43" s="92" t="str">
        <f t="shared" si="8"/>
        <v>-</v>
      </c>
      <c r="K43" s="93">
        <f t="shared" si="9"/>
        <v>0</v>
      </c>
      <c r="L43" s="93"/>
      <c r="M43" s="94">
        <f t="shared" si="10"/>
        <v>0</v>
      </c>
      <c r="N43" s="129">
        <f t="shared" si="11"/>
        <v>0</v>
      </c>
      <c r="O43" s="164"/>
    </row>
    <row r="44" spans="1:15">
      <c r="A44">
        <v>8992</v>
      </c>
      <c r="B44" t="s">
        <v>92</v>
      </c>
      <c r="C44" t="s">
        <v>91</v>
      </c>
      <c r="D44" s="143" t="s">
        <v>5</v>
      </c>
      <c r="E44" s="144">
        <v>43178.770011574074</v>
      </c>
      <c r="F44" s="104">
        <f t="shared" si="4"/>
        <v>43178.770011574074</v>
      </c>
      <c r="G44" s="125" t="str">
        <f t="shared" si="5"/>
        <v>18:28</v>
      </c>
      <c r="H44" s="33" t="str">
        <f t="shared" si="6"/>
        <v>-</v>
      </c>
      <c r="I44" s="92" t="str">
        <f t="shared" si="7"/>
        <v>-</v>
      </c>
      <c r="J44" s="92" t="str">
        <f t="shared" si="8"/>
        <v>-</v>
      </c>
      <c r="K44" s="93">
        <f t="shared" si="9"/>
        <v>0</v>
      </c>
      <c r="L44" s="93"/>
      <c r="M44" s="94">
        <f t="shared" si="10"/>
        <v>0</v>
      </c>
      <c r="N44" s="129">
        <f t="shared" si="11"/>
        <v>0</v>
      </c>
      <c r="O44" s="164"/>
    </row>
    <row r="45" spans="1:15">
      <c r="A45">
        <v>8993</v>
      </c>
      <c r="B45" t="s">
        <v>92</v>
      </c>
      <c r="C45" t="s">
        <v>91</v>
      </c>
      <c r="D45" s="143" t="s">
        <v>7</v>
      </c>
      <c r="E45" s="144">
        <v>43178.770069444443</v>
      </c>
      <c r="F45" s="104">
        <f t="shared" si="4"/>
        <v>43178.770069444443</v>
      </c>
      <c r="G45" s="125" t="str">
        <f t="shared" si="5"/>
        <v>18:28</v>
      </c>
      <c r="H45" s="33" t="str">
        <f t="shared" si="6"/>
        <v>-</v>
      </c>
      <c r="I45" s="92" t="str">
        <f t="shared" si="7"/>
        <v>-</v>
      </c>
      <c r="J45" s="92" t="str">
        <f t="shared" si="8"/>
        <v>-</v>
      </c>
      <c r="K45" s="93">
        <f t="shared" si="9"/>
        <v>2.3666666666666663</v>
      </c>
      <c r="L45" s="93"/>
      <c r="M45" s="94">
        <f t="shared" si="10"/>
        <v>0.36666666666666625</v>
      </c>
      <c r="N45" s="129">
        <f t="shared" si="11"/>
        <v>0.36666666666666625</v>
      </c>
      <c r="O45" s="164"/>
    </row>
    <row r="46" spans="1:15">
      <c r="A46">
        <v>9004</v>
      </c>
      <c r="B46" t="s">
        <v>91</v>
      </c>
      <c r="C46" t="s">
        <v>91</v>
      </c>
      <c r="D46" s="143" t="s">
        <v>8</v>
      </c>
      <c r="E46" s="144">
        <v>43178.868437500001</v>
      </c>
      <c r="F46" s="104">
        <f t="shared" si="4"/>
        <v>43178.868437500001</v>
      </c>
      <c r="G46" s="125" t="str">
        <f t="shared" si="5"/>
        <v>20:50</v>
      </c>
      <c r="H46" s="33" t="str">
        <f t="shared" si="6"/>
        <v>-</v>
      </c>
      <c r="I46" s="92" t="str">
        <f t="shared" si="7"/>
        <v>-</v>
      </c>
      <c r="J46" s="92" t="str">
        <f t="shared" si="8"/>
        <v>-</v>
      </c>
      <c r="K46" s="93">
        <f t="shared" si="9"/>
        <v>0</v>
      </c>
      <c r="L46" s="93"/>
      <c r="M46" s="94">
        <f t="shared" si="10"/>
        <v>0</v>
      </c>
      <c r="N46" s="129">
        <f t="shared" si="11"/>
        <v>0</v>
      </c>
      <c r="O46" s="164"/>
    </row>
    <row r="47" spans="1:15">
      <c r="A47">
        <v>9017</v>
      </c>
      <c r="B47" t="s">
        <v>91</v>
      </c>
      <c r="C47" t="s">
        <v>91</v>
      </c>
      <c r="D47" s="143" t="s">
        <v>6</v>
      </c>
      <c r="E47" s="144">
        <v>43179.37332175926</v>
      </c>
      <c r="F47" s="104">
        <f t="shared" si="4"/>
        <v>43179.37332175926</v>
      </c>
      <c r="G47" s="125" t="str">
        <f t="shared" si="5"/>
        <v>8:57</v>
      </c>
      <c r="H47" s="33">
        <f t="shared" si="6"/>
        <v>9.3166666666666664</v>
      </c>
      <c r="I47" s="92">
        <f t="shared" si="7"/>
        <v>7.8166666666666664</v>
      </c>
      <c r="J47" s="92" t="str">
        <f t="shared" si="8"/>
        <v>-</v>
      </c>
      <c r="K47" s="93">
        <f t="shared" si="9"/>
        <v>0</v>
      </c>
      <c r="L47" s="93"/>
      <c r="M47" s="94">
        <f t="shared" si="10"/>
        <v>0</v>
      </c>
      <c r="N47" s="129">
        <f t="shared" si="11"/>
        <v>0</v>
      </c>
      <c r="O47" s="164"/>
    </row>
    <row r="48" spans="1:15">
      <c r="A48">
        <v>9021</v>
      </c>
      <c r="B48" t="s">
        <v>96</v>
      </c>
      <c r="C48" t="s">
        <v>91</v>
      </c>
      <c r="D48" s="143" t="s">
        <v>5</v>
      </c>
      <c r="E48" s="144">
        <v>43179.76152777778</v>
      </c>
      <c r="F48" s="104">
        <f t="shared" si="4"/>
        <v>43179.76152777778</v>
      </c>
      <c r="G48" s="125" t="str">
        <f t="shared" si="5"/>
        <v>18:16</v>
      </c>
      <c r="H48" s="33" t="str">
        <f t="shared" si="6"/>
        <v>-</v>
      </c>
      <c r="I48" s="92" t="str">
        <f t="shared" si="7"/>
        <v>-</v>
      </c>
      <c r="J48" s="92" t="str">
        <f t="shared" si="8"/>
        <v>-</v>
      </c>
      <c r="K48" s="93">
        <f t="shared" si="9"/>
        <v>0</v>
      </c>
      <c r="L48" s="93"/>
      <c r="M48" s="94">
        <f t="shared" si="10"/>
        <v>0</v>
      </c>
      <c r="N48" s="129">
        <f t="shared" si="11"/>
        <v>0</v>
      </c>
      <c r="O48" s="164"/>
    </row>
    <row r="49" spans="1:15">
      <c r="A49">
        <v>9054</v>
      </c>
      <c r="B49" t="s">
        <v>96</v>
      </c>
      <c r="C49" t="s">
        <v>91</v>
      </c>
      <c r="D49" s="143" t="s">
        <v>6</v>
      </c>
      <c r="E49" s="144">
        <v>43180.375254629631</v>
      </c>
      <c r="F49" s="104">
        <f t="shared" si="4"/>
        <v>43180.375254629631</v>
      </c>
      <c r="G49" s="125" t="str">
        <f t="shared" si="5"/>
        <v>9:0</v>
      </c>
      <c r="H49" s="33">
        <f t="shared" si="6"/>
        <v>10.033333333333335</v>
      </c>
      <c r="I49" s="92">
        <f t="shared" si="7"/>
        <v>8</v>
      </c>
      <c r="J49" s="92">
        <f t="shared" si="8"/>
        <v>3.3333333333334991E-2</v>
      </c>
      <c r="K49" s="93">
        <f t="shared" si="9"/>
        <v>0</v>
      </c>
      <c r="L49" s="93"/>
      <c r="M49" s="94">
        <f t="shared" si="10"/>
        <v>0</v>
      </c>
      <c r="N49" s="129">
        <f t="shared" si="11"/>
        <v>0</v>
      </c>
      <c r="O49" s="164"/>
    </row>
    <row r="50" spans="1:15">
      <c r="A50">
        <v>9071</v>
      </c>
      <c r="B50" t="s">
        <v>91</v>
      </c>
      <c r="C50" t="s">
        <v>91</v>
      </c>
      <c r="D50" s="143" t="s">
        <v>5</v>
      </c>
      <c r="E50" s="144">
        <v>43180.79347222222</v>
      </c>
      <c r="F50" s="104">
        <f t="shared" si="4"/>
        <v>43180.79347222222</v>
      </c>
      <c r="G50" s="125" t="str">
        <f t="shared" si="5"/>
        <v>19:2</v>
      </c>
      <c r="H50" s="33" t="str">
        <f t="shared" si="6"/>
        <v>-</v>
      </c>
      <c r="I50" s="92" t="str">
        <f t="shared" si="7"/>
        <v>-</v>
      </c>
      <c r="J50" s="92" t="str">
        <f t="shared" si="8"/>
        <v>-</v>
      </c>
      <c r="K50" s="93">
        <f t="shared" si="9"/>
        <v>0</v>
      </c>
      <c r="L50" s="93"/>
      <c r="M50" s="94">
        <f t="shared" si="10"/>
        <v>0</v>
      </c>
      <c r="N50" s="129">
        <f t="shared" si="11"/>
        <v>0</v>
      </c>
      <c r="O50" s="164"/>
    </row>
    <row r="51" spans="1:15">
      <c r="A51">
        <v>9075</v>
      </c>
      <c r="B51" t="s">
        <v>92</v>
      </c>
      <c r="C51" t="s">
        <v>91</v>
      </c>
      <c r="D51" s="143" t="s">
        <v>7</v>
      </c>
      <c r="E51" s="144">
        <v>43180.817465277774</v>
      </c>
      <c r="F51" s="104">
        <f t="shared" si="4"/>
        <v>43180.817465277774</v>
      </c>
      <c r="G51" s="125" t="str">
        <f t="shared" si="5"/>
        <v>19:37</v>
      </c>
      <c r="H51" s="33" t="str">
        <f t="shared" si="6"/>
        <v>-</v>
      </c>
      <c r="I51" s="92" t="str">
        <f t="shared" si="7"/>
        <v>-</v>
      </c>
      <c r="J51" s="92" t="str">
        <f t="shared" si="8"/>
        <v>-</v>
      </c>
      <c r="K51" s="93">
        <f t="shared" si="9"/>
        <v>1.8333333333333321</v>
      </c>
      <c r="L51" s="93"/>
      <c r="M51" s="94">
        <f t="shared" si="10"/>
        <v>0</v>
      </c>
      <c r="N51" s="129">
        <f t="shared" si="11"/>
        <v>0</v>
      </c>
      <c r="O51" s="164"/>
    </row>
    <row r="52" spans="1:15">
      <c r="A52">
        <v>9080</v>
      </c>
      <c r="B52" t="s">
        <v>92</v>
      </c>
      <c r="C52" t="s">
        <v>91</v>
      </c>
      <c r="D52" s="143" t="s">
        <v>8</v>
      </c>
      <c r="E52" s="144">
        <v>43180.893796296295</v>
      </c>
      <c r="F52" s="104">
        <f t="shared" si="4"/>
        <v>43180.893796296295</v>
      </c>
      <c r="G52" s="125" t="str">
        <f t="shared" si="5"/>
        <v>21:27</v>
      </c>
      <c r="H52" s="33" t="str">
        <f t="shared" si="6"/>
        <v>-</v>
      </c>
      <c r="I52" s="92" t="str">
        <f t="shared" si="7"/>
        <v>-</v>
      </c>
      <c r="J52" s="92" t="str">
        <f t="shared" si="8"/>
        <v>-</v>
      </c>
      <c r="K52" s="93">
        <f t="shared" si="9"/>
        <v>0</v>
      </c>
      <c r="L52" s="93"/>
      <c r="M52" s="94">
        <f t="shared" si="10"/>
        <v>0</v>
      </c>
      <c r="N52" s="129">
        <f t="shared" si="11"/>
        <v>0</v>
      </c>
      <c r="O52" s="16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工作表19"/>
  <dimension ref="A1"/>
  <sheetViews>
    <sheetView workbookViewId="0"/>
  </sheetViews>
  <sheetFormatPr defaultColWidth="8.875" defaultRowHeight="16.5"/>
  <sheetData/>
  <phoneticPr fontId="18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工作表20"/>
  <dimension ref="A1:P21"/>
  <sheetViews>
    <sheetView topLeftCell="D1" workbookViewId="0"/>
  </sheetViews>
  <sheetFormatPr defaultColWidth="9" defaultRowHeight="16.5" outlineLevelCol="1"/>
  <cols>
    <col min="1" max="1" width="5.625" style="201" hidden="1" customWidth="1" outlineLevel="1"/>
    <col min="2" max="2" width="6.875" style="201" hidden="1" customWidth="1" outlineLevel="1"/>
    <col min="3" max="3" width="6.5" style="202" hidden="1" customWidth="1" outlineLevel="1"/>
    <col min="4" max="4" width="10.375" style="202" customWidth="1" collapsed="1"/>
    <col min="5" max="5" width="15.625" style="202" customWidth="1"/>
    <col min="6" max="6" width="7.875" style="245" customWidth="1"/>
    <col min="7" max="7" width="8.625" style="246" hidden="1" customWidth="1" outlineLevel="1"/>
    <col min="8" max="8" width="11.125" style="247" hidden="1" customWidth="1" outlineLevel="1"/>
    <col min="9" max="9" width="10.125" style="248" customWidth="1" collapsed="1"/>
    <col min="10" max="10" width="10" style="248" customWidth="1"/>
    <col min="11" max="11" width="8.375" style="249" hidden="1" customWidth="1" outlineLevel="1"/>
    <col min="12" max="12" width="5.875" style="249" customWidth="1" collapsed="1"/>
    <col min="13" max="14" width="8.125" style="249" customWidth="1"/>
    <col min="15" max="15" width="11.625" style="250" customWidth="1"/>
    <col min="16" max="16" width="9" style="212"/>
    <col min="17" max="16384" width="9" style="201"/>
  </cols>
  <sheetData>
    <row r="1" spans="1:16" s="190" customFormat="1" ht="28.5" thickBot="1">
      <c r="C1" s="191"/>
      <c r="D1" s="192"/>
      <c r="E1" s="192"/>
      <c r="F1" s="193"/>
      <c r="G1" s="194"/>
      <c r="H1" s="195"/>
      <c r="I1" s="196" t="str">
        <f>B7</f>
        <v>anne</v>
      </c>
      <c r="J1" s="197" t="s">
        <v>30</v>
      </c>
      <c r="K1" s="198"/>
      <c r="L1" s="198"/>
      <c r="M1" s="198"/>
      <c r="N1" s="198"/>
      <c r="O1" s="199"/>
      <c r="P1" s="200"/>
    </row>
    <row r="2" spans="1:16">
      <c r="D2" s="203"/>
      <c r="E2" s="204"/>
      <c r="F2" s="205" t="s">
        <v>29</v>
      </c>
      <c r="G2" s="206"/>
      <c r="H2" s="206"/>
      <c r="I2" s="207" t="s">
        <v>25</v>
      </c>
      <c r="J2" s="207"/>
      <c r="K2" s="208"/>
      <c r="L2" s="209"/>
      <c r="M2" s="210"/>
      <c r="N2" s="210"/>
      <c r="O2" s="211" t="s">
        <v>28</v>
      </c>
    </row>
    <row r="3" spans="1:16" ht="17.25" thickBot="1">
      <c r="D3" s="213"/>
      <c r="E3" s="214"/>
      <c r="F3" s="215"/>
      <c r="G3" s="216"/>
      <c r="H3" s="216"/>
      <c r="I3" s="217">
        <f>I6+J6+M6+N6</f>
        <v>48.216666666666661</v>
      </c>
      <c r="J3" s="218"/>
      <c r="K3" s="219"/>
      <c r="L3" s="219"/>
      <c r="M3" s="219"/>
      <c r="N3" s="219"/>
      <c r="O3" s="220"/>
    </row>
    <row r="4" spans="1:16">
      <c r="D4" s="221"/>
      <c r="E4" s="222"/>
      <c r="F4" s="223"/>
      <c r="G4" s="224"/>
      <c r="H4" s="224"/>
      <c r="I4" s="225" t="s">
        <v>34</v>
      </c>
      <c r="J4" s="225"/>
      <c r="K4" s="225"/>
      <c r="L4" s="225"/>
      <c r="M4" s="225"/>
      <c r="N4" s="225"/>
      <c r="O4" s="226"/>
    </row>
    <row r="5" spans="1:16">
      <c r="D5" s="227"/>
      <c r="E5" s="228"/>
      <c r="F5" s="229" t="s">
        <v>27</v>
      </c>
      <c r="G5" s="230"/>
      <c r="H5" s="230"/>
      <c r="I5" s="231" t="s">
        <v>82</v>
      </c>
      <c r="J5" s="231" t="s">
        <v>83</v>
      </c>
      <c r="K5" s="231"/>
      <c r="L5" s="231"/>
      <c r="M5" s="232"/>
      <c r="N5" s="232"/>
      <c r="O5" s="233"/>
    </row>
    <row r="6" spans="1:16" ht="17.25" thickBot="1">
      <c r="A6" s="201" t="s">
        <v>0</v>
      </c>
      <c r="B6" s="201" t="s">
        <v>1</v>
      </c>
      <c r="C6" s="202" t="s">
        <v>2</v>
      </c>
      <c r="D6" s="234" t="s">
        <v>3</v>
      </c>
      <c r="E6" s="235" t="s">
        <v>4</v>
      </c>
      <c r="F6" s="236"/>
      <c r="G6" s="237"/>
      <c r="H6" s="238" t="s">
        <v>23</v>
      </c>
      <c r="I6" s="239">
        <f>SUM(I7:I18)</f>
        <v>48</v>
      </c>
      <c r="J6" s="239">
        <f>SUM(J7:J18)</f>
        <v>0.21666666666666146</v>
      </c>
      <c r="K6" s="239" t="e">
        <f>SUM(#REF!)</f>
        <v>#REF!</v>
      </c>
      <c r="L6" s="239"/>
      <c r="M6" s="239"/>
      <c r="N6" s="239"/>
      <c r="O6" s="240"/>
    </row>
    <row r="7" spans="1:16">
      <c r="A7" s="312">
        <v>5138</v>
      </c>
      <c r="B7" s="312" t="s">
        <v>80</v>
      </c>
      <c r="C7" s="312" t="s">
        <v>80</v>
      </c>
      <c r="D7" s="315" t="s">
        <v>6</v>
      </c>
      <c r="E7" s="316">
        <v>42979.355613425927</v>
      </c>
      <c r="F7" s="241">
        <f t="shared" ref="F7" si="0">E7</f>
        <v>42979.355613425927</v>
      </c>
      <c r="G7" s="242" t="str">
        <f t="shared" ref="G7" si="1">HOUR(E7)&amp;":"&amp;MINUTE(E7)</f>
        <v>8:32</v>
      </c>
      <c r="H7" s="33">
        <f t="shared" ref="H7" si="2">IF(D7="上班",(G8-G7)*24,"-")</f>
        <v>9.9333333333333318</v>
      </c>
      <c r="I7" s="92">
        <f>IF(D7="上班",IF(H7-1.5&gt;8,8,H7-1.5),"-")</f>
        <v>8</v>
      </c>
      <c r="J7" s="92" t="str">
        <f>IF(D7="上班",IF(H7&gt;(8+2),(H7-8-1.5-0.5),"-"),"-")</f>
        <v>-</v>
      </c>
      <c r="K7" s="93">
        <f t="shared" ref="K7" si="3">IF(D7="加班",(G8-G7)*24,0)</f>
        <v>0</v>
      </c>
      <c r="L7" s="93"/>
      <c r="M7" s="94">
        <f t="shared" ref="M7" si="4">IF(K7&gt;2,K7-2,0)</f>
        <v>0</v>
      </c>
      <c r="N7" s="129">
        <f t="shared" ref="N7" si="5">IF(K7&gt;2,K7-2,0)</f>
        <v>0</v>
      </c>
      <c r="O7" s="243"/>
    </row>
    <row r="8" spans="1:16">
      <c r="A8" s="312">
        <v>5150</v>
      </c>
      <c r="B8" s="312" t="s">
        <v>80</v>
      </c>
      <c r="C8" s="312" t="s">
        <v>80</v>
      </c>
      <c r="D8" s="317" t="s">
        <v>5</v>
      </c>
      <c r="E8" s="318">
        <v>42979.770127314812</v>
      </c>
      <c r="F8" s="241">
        <f t="shared" ref="F8:F9" si="6">E8</f>
        <v>42979.770127314812</v>
      </c>
      <c r="G8" s="242" t="str">
        <f t="shared" ref="G8:G9" si="7">HOUR(E8)&amp;":"&amp;MINUTE(E8)</f>
        <v>18:28</v>
      </c>
      <c r="H8" s="33" t="str">
        <f t="shared" ref="H8:H18" si="8">IF(D8="上班",(G9-G8)*24,"-")</f>
        <v>-</v>
      </c>
      <c r="I8" s="92" t="str">
        <f t="shared" ref="I8:I18" si="9">IF(D8="上班",IF(H8-1.5&gt;8,8,H8-1.5),"-")</f>
        <v>-</v>
      </c>
      <c r="J8" s="92" t="str">
        <f t="shared" ref="J8:J18" si="10">IF(D8="上班",IF(H8&gt;(8+2),(H8-8-1.5-0.5),"-"),"-")</f>
        <v>-</v>
      </c>
      <c r="K8" s="93">
        <f t="shared" ref="K8:K18" si="11">IF(D8="加班",(G9-G8)*24,0)</f>
        <v>0</v>
      </c>
      <c r="L8" s="93"/>
      <c r="M8" s="94">
        <f t="shared" ref="M8:M18" si="12">IF(K8&gt;2,K8-2,0)</f>
        <v>0</v>
      </c>
      <c r="N8" s="129">
        <f t="shared" ref="N8:N18" si="13">IF(K8&gt;2,K8-2,0)</f>
        <v>0</v>
      </c>
      <c r="O8" s="243"/>
    </row>
    <row r="9" spans="1:16">
      <c r="A9" s="312">
        <v>5153</v>
      </c>
      <c r="B9" s="312" t="s">
        <v>80</v>
      </c>
      <c r="C9" s="312" t="s">
        <v>80</v>
      </c>
      <c r="D9" s="317" t="s">
        <v>6</v>
      </c>
      <c r="E9" s="318">
        <v>42982.358182870368</v>
      </c>
      <c r="F9" s="241">
        <f t="shared" si="6"/>
        <v>42982.358182870368</v>
      </c>
      <c r="G9" s="242" t="str">
        <f t="shared" si="7"/>
        <v>8:35</v>
      </c>
      <c r="H9" s="33">
        <f t="shared" si="8"/>
        <v>10.066666666666665</v>
      </c>
      <c r="I9" s="92">
        <f t="shared" si="9"/>
        <v>8</v>
      </c>
      <c r="J9" s="92">
        <f t="shared" si="10"/>
        <v>6.6666666666664653E-2</v>
      </c>
      <c r="K9" s="93">
        <f t="shared" si="11"/>
        <v>0</v>
      </c>
      <c r="L9" s="93"/>
      <c r="M9" s="94">
        <f t="shared" si="12"/>
        <v>0</v>
      </c>
      <c r="N9" s="129">
        <f t="shared" si="13"/>
        <v>0</v>
      </c>
      <c r="O9" s="243"/>
    </row>
    <row r="10" spans="1:16">
      <c r="A10" s="312">
        <v>5169</v>
      </c>
      <c r="B10" s="312" t="s">
        <v>80</v>
      </c>
      <c r="C10" s="312" t="s">
        <v>80</v>
      </c>
      <c r="D10" s="317" t="s">
        <v>5</v>
      </c>
      <c r="E10" s="318">
        <v>42982.777268518519</v>
      </c>
      <c r="F10" s="241">
        <f t="shared" ref="F10:F18" si="14">E10</f>
        <v>42982.777268518519</v>
      </c>
      <c r="G10" s="242" t="str">
        <f t="shared" ref="G10:G18" si="15">HOUR(E10)&amp;":"&amp;MINUTE(E10)</f>
        <v>18:39</v>
      </c>
      <c r="H10" s="33" t="str">
        <f t="shared" si="8"/>
        <v>-</v>
      </c>
      <c r="I10" s="92" t="str">
        <f t="shared" si="9"/>
        <v>-</v>
      </c>
      <c r="J10" s="92" t="str">
        <f t="shared" si="10"/>
        <v>-</v>
      </c>
      <c r="K10" s="93">
        <f t="shared" si="11"/>
        <v>0</v>
      </c>
      <c r="L10" s="93"/>
      <c r="M10" s="94">
        <f t="shared" si="12"/>
        <v>0</v>
      </c>
      <c r="N10" s="129">
        <f t="shared" si="13"/>
        <v>0</v>
      </c>
      <c r="O10" s="243"/>
    </row>
    <row r="11" spans="1:16">
      <c r="A11" s="312">
        <v>5177</v>
      </c>
      <c r="B11" s="312" t="s">
        <v>80</v>
      </c>
      <c r="C11" s="312" t="s">
        <v>80</v>
      </c>
      <c r="D11" s="317" t="s">
        <v>6</v>
      </c>
      <c r="E11" s="318">
        <v>42983.354479166665</v>
      </c>
      <c r="F11" s="241">
        <f t="shared" si="14"/>
        <v>42983.354479166665</v>
      </c>
      <c r="G11" s="242" t="str">
        <f t="shared" si="15"/>
        <v>8:30</v>
      </c>
      <c r="H11" s="33">
        <f t="shared" si="8"/>
        <v>10.149999999999997</v>
      </c>
      <c r="I11" s="92">
        <f t="shared" si="9"/>
        <v>8</v>
      </c>
      <c r="J11" s="92">
        <f t="shared" si="10"/>
        <v>0.1499999999999968</v>
      </c>
      <c r="K11" s="93">
        <f t="shared" si="11"/>
        <v>0</v>
      </c>
      <c r="L11" s="93"/>
      <c r="M11" s="94">
        <f t="shared" si="12"/>
        <v>0</v>
      </c>
      <c r="N11" s="129">
        <f t="shared" si="13"/>
        <v>0</v>
      </c>
      <c r="O11" s="243"/>
    </row>
    <row r="12" spans="1:16" s="63" customFormat="1">
      <c r="A12" s="322">
        <v>5169</v>
      </c>
      <c r="B12" s="322" t="s">
        <v>80</v>
      </c>
      <c r="C12" s="322" t="s">
        <v>80</v>
      </c>
      <c r="D12" s="321" t="s">
        <v>5</v>
      </c>
      <c r="E12" s="320">
        <v>42983.777268518519</v>
      </c>
      <c r="F12" s="135">
        <f t="shared" si="14"/>
        <v>42983.777268518519</v>
      </c>
      <c r="G12" s="67" t="str">
        <f t="shared" si="15"/>
        <v>18:39</v>
      </c>
      <c r="H12" s="33" t="str">
        <f t="shared" si="8"/>
        <v>-</v>
      </c>
      <c r="I12" s="92" t="str">
        <f t="shared" si="9"/>
        <v>-</v>
      </c>
      <c r="J12" s="92" t="str">
        <f t="shared" si="10"/>
        <v>-</v>
      </c>
      <c r="K12" s="93">
        <f t="shared" si="11"/>
        <v>0</v>
      </c>
      <c r="L12" s="93"/>
      <c r="M12" s="94">
        <f t="shared" si="12"/>
        <v>0</v>
      </c>
      <c r="N12" s="129">
        <f t="shared" si="13"/>
        <v>0</v>
      </c>
      <c r="O12" s="186"/>
      <c r="P12" s="18"/>
    </row>
    <row r="13" spans="1:16">
      <c r="A13" s="312">
        <v>5204</v>
      </c>
      <c r="B13" s="312" t="s">
        <v>80</v>
      </c>
      <c r="C13" s="312" t="s">
        <v>80</v>
      </c>
      <c r="D13" s="317" t="s">
        <v>6</v>
      </c>
      <c r="E13" s="318">
        <v>42984.356087962966</v>
      </c>
      <c r="F13" s="241">
        <f t="shared" si="14"/>
        <v>42984.356087962966</v>
      </c>
      <c r="G13" s="242" t="str">
        <f t="shared" si="15"/>
        <v>8:32</v>
      </c>
      <c r="H13" s="33">
        <f t="shared" si="8"/>
        <v>9.9833333333333307</v>
      </c>
      <c r="I13" s="92">
        <f t="shared" si="9"/>
        <v>8</v>
      </c>
      <c r="J13" s="92" t="str">
        <f t="shared" si="10"/>
        <v>-</v>
      </c>
      <c r="K13" s="93">
        <f t="shared" si="11"/>
        <v>0</v>
      </c>
      <c r="L13" s="93"/>
      <c r="M13" s="94">
        <f t="shared" si="12"/>
        <v>0</v>
      </c>
      <c r="N13" s="129">
        <f t="shared" si="13"/>
        <v>0</v>
      </c>
      <c r="O13" s="243"/>
    </row>
    <row r="14" spans="1:16">
      <c r="A14" s="312">
        <v>5219</v>
      </c>
      <c r="B14" s="312" t="s">
        <v>80</v>
      </c>
      <c r="C14" s="312" t="s">
        <v>80</v>
      </c>
      <c r="D14" s="317" t="s">
        <v>5</v>
      </c>
      <c r="E14" s="318">
        <v>42984.772187499999</v>
      </c>
      <c r="F14" s="241">
        <f t="shared" si="14"/>
        <v>42984.772187499999</v>
      </c>
      <c r="G14" s="242" t="str">
        <f t="shared" si="15"/>
        <v>18:31</v>
      </c>
      <c r="H14" s="33" t="str">
        <f t="shared" si="8"/>
        <v>-</v>
      </c>
      <c r="I14" s="92" t="str">
        <f t="shared" si="9"/>
        <v>-</v>
      </c>
      <c r="J14" s="92" t="str">
        <f t="shared" si="10"/>
        <v>-</v>
      </c>
      <c r="K14" s="93">
        <f t="shared" si="11"/>
        <v>0</v>
      </c>
      <c r="L14" s="93"/>
      <c r="M14" s="94">
        <f t="shared" si="12"/>
        <v>0</v>
      </c>
      <c r="N14" s="129">
        <f t="shared" si="13"/>
        <v>0</v>
      </c>
      <c r="O14" s="243"/>
    </row>
    <row r="15" spans="1:16">
      <c r="A15" s="312">
        <v>5227</v>
      </c>
      <c r="B15" s="312" t="s">
        <v>80</v>
      </c>
      <c r="C15" s="312" t="s">
        <v>80</v>
      </c>
      <c r="D15" s="317" t="s">
        <v>6</v>
      </c>
      <c r="E15" s="318">
        <v>42985.353888888887</v>
      </c>
      <c r="F15" s="241">
        <f t="shared" si="14"/>
        <v>42985.353888888887</v>
      </c>
      <c r="G15" s="242" t="str">
        <f t="shared" si="15"/>
        <v>8:29</v>
      </c>
      <c r="H15" s="33">
        <f t="shared" si="8"/>
        <v>9.9833333333333325</v>
      </c>
      <c r="I15" s="92">
        <f t="shared" si="9"/>
        <v>8</v>
      </c>
      <c r="J15" s="92" t="str">
        <f t="shared" si="10"/>
        <v>-</v>
      </c>
      <c r="K15" s="93">
        <f t="shared" si="11"/>
        <v>0</v>
      </c>
      <c r="L15" s="93"/>
      <c r="M15" s="94">
        <f t="shared" si="12"/>
        <v>0</v>
      </c>
      <c r="N15" s="129">
        <f t="shared" si="13"/>
        <v>0</v>
      </c>
      <c r="O15" s="243"/>
    </row>
    <row r="16" spans="1:16">
      <c r="A16" s="312">
        <v>5238</v>
      </c>
      <c r="B16" s="312" t="s">
        <v>80</v>
      </c>
      <c r="C16" s="312" t="s">
        <v>80</v>
      </c>
      <c r="D16" s="317" t="s">
        <v>5</v>
      </c>
      <c r="E16" s="318">
        <v>42985.769872685189</v>
      </c>
      <c r="F16" s="241">
        <f t="shared" si="14"/>
        <v>42985.769872685189</v>
      </c>
      <c r="G16" s="242" t="str">
        <f t="shared" si="15"/>
        <v>18:28</v>
      </c>
      <c r="H16" s="33" t="str">
        <f t="shared" si="8"/>
        <v>-</v>
      </c>
      <c r="I16" s="92" t="str">
        <f t="shared" si="9"/>
        <v>-</v>
      </c>
      <c r="J16" s="92" t="str">
        <f t="shared" si="10"/>
        <v>-</v>
      </c>
      <c r="K16" s="93">
        <f t="shared" si="11"/>
        <v>0</v>
      </c>
      <c r="L16" s="93"/>
      <c r="M16" s="94">
        <f t="shared" si="12"/>
        <v>0</v>
      </c>
      <c r="N16" s="129">
        <f t="shared" si="13"/>
        <v>0</v>
      </c>
      <c r="O16" s="243"/>
    </row>
    <row r="17" spans="1:15">
      <c r="A17" s="312">
        <v>5256</v>
      </c>
      <c r="B17" s="312" t="s">
        <v>80</v>
      </c>
      <c r="C17" s="312" t="s">
        <v>80</v>
      </c>
      <c r="D17" s="317" t="s">
        <v>6</v>
      </c>
      <c r="E17" s="318">
        <v>42986.360937500001</v>
      </c>
      <c r="F17" s="241">
        <f t="shared" si="14"/>
        <v>42986.360937500001</v>
      </c>
      <c r="G17" s="242" t="str">
        <f t="shared" si="15"/>
        <v>8:39</v>
      </c>
      <c r="H17" s="33">
        <f t="shared" si="8"/>
        <v>9.9333333333333318</v>
      </c>
      <c r="I17" s="92">
        <f t="shared" si="9"/>
        <v>8</v>
      </c>
      <c r="J17" s="92" t="str">
        <f t="shared" si="10"/>
        <v>-</v>
      </c>
      <c r="K17" s="93">
        <f t="shared" si="11"/>
        <v>0</v>
      </c>
      <c r="L17" s="93"/>
      <c r="M17" s="94">
        <f t="shared" si="12"/>
        <v>0</v>
      </c>
      <c r="N17" s="129">
        <f t="shared" si="13"/>
        <v>0</v>
      </c>
      <c r="O17" s="243"/>
    </row>
    <row r="18" spans="1:15">
      <c r="A18" s="312">
        <v>5266</v>
      </c>
      <c r="B18" s="312" t="s">
        <v>80</v>
      </c>
      <c r="C18" s="312" t="s">
        <v>80</v>
      </c>
      <c r="D18" s="317" t="s">
        <v>5</v>
      </c>
      <c r="E18" s="318">
        <v>42986.774837962963</v>
      </c>
      <c r="F18" s="241">
        <f t="shared" si="14"/>
        <v>42986.774837962963</v>
      </c>
      <c r="G18" s="242" t="str">
        <f t="shared" si="15"/>
        <v>18:35</v>
      </c>
      <c r="H18" s="33" t="str">
        <f t="shared" si="8"/>
        <v>-</v>
      </c>
      <c r="I18" s="92" t="str">
        <f t="shared" si="9"/>
        <v>-</v>
      </c>
      <c r="J18" s="92" t="str">
        <f t="shared" si="10"/>
        <v>-</v>
      </c>
      <c r="K18" s="93">
        <f t="shared" si="11"/>
        <v>0</v>
      </c>
      <c r="L18" s="93"/>
      <c r="M18" s="94">
        <f t="shared" si="12"/>
        <v>0</v>
      </c>
      <c r="N18" s="129">
        <f t="shared" si="13"/>
        <v>0</v>
      </c>
      <c r="O18" s="243"/>
    </row>
    <row r="20" spans="1:15">
      <c r="D20" s="244"/>
    </row>
    <row r="21" spans="1:15">
      <c r="D21" s="24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工作表21"/>
  <dimension ref="A1:P23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10.375" style="3" customWidth="1" collapsed="1"/>
    <col min="5" max="5" width="15.62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2.125" style="22" hidden="1" customWidth="1" outlineLevel="1"/>
    <col min="12" max="12" width="5.875" style="22" customWidth="1" collapsed="1"/>
    <col min="13" max="14" width="8.125" style="22" customWidth="1"/>
    <col min="15" max="15" width="18.62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B9</f>
        <v>yvonne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0"/>
      <c r="N2" s="110"/>
      <c r="O2" s="111" t="s">
        <v>28</v>
      </c>
    </row>
    <row r="3" spans="1:16" ht="17.25" thickBot="1">
      <c r="D3" s="24"/>
      <c r="E3" s="30"/>
      <c r="F3" s="25"/>
      <c r="G3" s="26"/>
      <c r="H3" s="26"/>
      <c r="I3" s="52">
        <f>I6+J6+M6+N6</f>
        <v>47.283333333333331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27</v>
      </c>
      <c r="G5" s="117"/>
      <c r="H5" s="117"/>
      <c r="I5" s="118" t="s">
        <v>82</v>
      </c>
      <c r="J5" s="118" t="s">
        <v>83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23</v>
      </c>
      <c r="I6" s="124">
        <f>SUM(I7:I22)</f>
        <v>47.283333333333331</v>
      </c>
      <c r="J6" s="124">
        <f>SUM(J7:J20)</f>
        <v>0</v>
      </c>
      <c r="K6" s="124">
        <f>SUM(K9:K20)</f>
        <v>0</v>
      </c>
      <c r="L6" s="124">
        <f>SUM(L9:L20)</f>
        <v>0</v>
      </c>
      <c r="M6" s="124">
        <f>SUM(M9:M20)</f>
        <v>0</v>
      </c>
      <c r="N6" s="124">
        <f>SUM(N9:N20)</f>
        <v>0</v>
      </c>
      <c r="O6" s="45"/>
    </row>
    <row r="7" spans="1:16" s="63" customFormat="1">
      <c r="A7" s="314">
        <v>5160</v>
      </c>
      <c r="B7" s="314" t="s">
        <v>74</v>
      </c>
      <c r="C7" s="314" t="s">
        <v>74</v>
      </c>
      <c r="D7" s="317" t="s">
        <v>6</v>
      </c>
      <c r="E7" s="318">
        <v>42982.373495370368</v>
      </c>
      <c r="F7" s="104">
        <f>E7</f>
        <v>42982.373495370368</v>
      </c>
      <c r="G7" s="125" t="str">
        <f>HOUR(E7)&amp;":"&amp;MINUTE(E7)</f>
        <v>8:57</v>
      </c>
      <c r="H7" s="33">
        <f t="shared" ref="H7:H20" si="0">IF(D7="上班",(G8-G7)*24,"-")</f>
        <v>9.6333333333333329</v>
      </c>
      <c r="I7" s="92">
        <f>IF(D7="上班",IF(H7-1.5&gt;8,8,H7-1.5),"-")</f>
        <v>8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94">
        <f t="shared" ref="M7" si="2">IF(K7&gt;2,K7-2,0)</f>
        <v>0</v>
      </c>
      <c r="N7" s="129">
        <f t="shared" ref="N7:N8" si="3">IF(K7&gt;2,K7-2,0)</f>
        <v>0</v>
      </c>
      <c r="O7" s="164"/>
      <c r="P7" s="18"/>
    </row>
    <row r="8" spans="1:16">
      <c r="A8" s="312">
        <v>5168</v>
      </c>
      <c r="B8" s="312" t="s">
        <v>74</v>
      </c>
      <c r="C8" s="312" t="s">
        <v>74</v>
      </c>
      <c r="D8" s="317" t="s">
        <v>5</v>
      </c>
      <c r="E8" s="318">
        <v>42982.774629629632</v>
      </c>
      <c r="F8" s="104">
        <f t="shared" ref="F8:F20" si="4">E8</f>
        <v>42982.774629629632</v>
      </c>
      <c r="G8" s="125" t="str">
        <f t="shared" ref="G8:G9" si="5">HOUR(E8)&amp;":"&amp;MINUTE(E8)</f>
        <v>18:35</v>
      </c>
      <c r="H8" s="33" t="str">
        <f t="shared" si="0"/>
        <v>-</v>
      </c>
      <c r="I8" s="92" t="str">
        <f t="shared" ref="I8:I20" si="6">IF(D8="上班",IF(H8-1.5&gt;8,8,H8-1.5),"-")</f>
        <v>-</v>
      </c>
      <c r="J8" s="92" t="str">
        <f t="shared" ref="J8:J20" si="7">IF(D8="上班",IF(H8&gt;(8+2),(H8-8-1.5-0.5),"-"),"-")</f>
        <v>-</v>
      </c>
      <c r="K8" s="128">
        <f>IF(D8="加班",(#REF!-G8)*24,0)</f>
        <v>0</v>
      </c>
      <c r="L8" s="128"/>
      <c r="M8" s="129">
        <f t="shared" ref="M8" si="8">IF(K8&gt;2,2,K8)</f>
        <v>0</v>
      </c>
      <c r="N8" s="129">
        <f t="shared" si="3"/>
        <v>0</v>
      </c>
      <c r="O8" s="164"/>
    </row>
    <row r="9" spans="1:16" s="63" customFormat="1">
      <c r="A9" s="314">
        <v>5183</v>
      </c>
      <c r="B9" s="314" t="s">
        <v>74</v>
      </c>
      <c r="C9" s="314" t="s">
        <v>74</v>
      </c>
      <c r="D9" s="317" t="s">
        <v>6</v>
      </c>
      <c r="E9" s="318">
        <v>42983.587708333333</v>
      </c>
      <c r="F9" s="104">
        <f t="shared" si="4"/>
        <v>42983.587708333333</v>
      </c>
      <c r="G9" s="125" t="str">
        <f t="shared" si="5"/>
        <v>14:6</v>
      </c>
      <c r="H9" s="33">
        <f t="shared" si="0"/>
        <v>4.6333333333333329</v>
      </c>
      <c r="I9" s="92">
        <f>IF(D9="上班",IF(H9-1.5&gt;8,8,H9-1.5),"-")+1.5</f>
        <v>4.6333333333333329</v>
      </c>
      <c r="J9" s="92" t="str">
        <f t="shared" si="7"/>
        <v>-</v>
      </c>
      <c r="K9" s="128">
        <f>IF(D9="加班",(#REF!-G9)*24,0)</f>
        <v>0</v>
      </c>
      <c r="L9" s="128"/>
      <c r="M9" s="129">
        <f t="shared" ref="M9:M20" si="9">IF(K9&gt;2,2,K9)</f>
        <v>0</v>
      </c>
      <c r="N9" s="129">
        <f t="shared" ref="N9:N20" si="10">IF(K9&gt;2,K9-2,0)</f>
        <v>0</v>
      </c>
      <c r="O9" s="164"/>
      <c r="P9" s="18"/>
    </row>
    <row r="10" spans="1:16">
      <c r="A10" s="312">
        <v>5197</v>
      </c>
      <c r="B10" s="312" t="s">
        <v>74</v>
      </c>
      <c r="C10" s="312" t="s">
        <v>74</v>
      </c>
      <c r="D10" s="317" t="s">
        <v>5</v>
      </c>
      <c r="E10" s="318">
        <v>42983.780925925923</v>
      </c>
      <c r="F10" s="104">
        <f t="shared" si="4"/>
        <v>42983.780925925923</v>
      </c>
      <c r="G10" s="125" t="str">
        <f t="shared" ref="G10:G20" si="11">HOUR(E10)&amp;":"&amp;MINUTE(E10)</f>
        <v>18:44</v>
      </c>
      <c r="H10" s="33" t="str">
        <f t="shared" si="0"/>
        <v>-</v>
      </c>
      <c r="I10" s="92" t="str">
        <f t="shared" si="6"/>
        <v>-</v>
      </c>
      <c r="J10" s="92" t="str">
        <f t="shared" si="7"/>
        <v>-</v>
      </c>
      <c r="K10" s="128">
        <f>IF(D10="加班",(#REF!-G10)*24,0)</f>
        <v>0</v>
      </c>
      <c r="L10" s="128"/>
      <c r="M10" s="129">
        <f t="shared" si="9"/>
        <v>0</v>
      </c>
      <c r="N10" s="129">
        <f t="shared" si="10"/>
        <v>0</v>
      </c>
      <c r="O10" s="164"/>
    </row>
    <row r="11" spans="1:16">
      <c r="A11" s="312">
        <v>5212</v>
      </c>
      <c r="B11" s="312" t="s">
        <v>74</v>
      </c>
      <c r="C11" s="312" t="s">
        <v>74</v>
      </c>
      <c r="D11" s="317" t="s">
        <v>6</v>
      </c>
      <c r="E11" s="318">
        <v>42984.434351851851</v>
      </c>
      <c r="F11" s="104">
        <f t="shared" si="4"/>
        <v>42984.434351851851</v>
      </c>
      <c r="G11" s="125" t="str">
        <f t="shared" si="11"/>
        <v>10:25</v>
      </c>
      <c r="H11" s="33">
        <f t="shared" si="0"/>
        <v>8.2666666666666675</v>
      </c>
      <c r="I11" s="92">
        <f t="shared" si="6"/>
        <v>6.7666666666666675</v>
      </c>
      <c r="J11" s="92" t="str">
        <f t="shared" si="7"/>
        <v>-</v>
      </c>
      <c r="K11" s="128">
        <f>IF(D11="加班",(#REF!-G11)*24,0)</f>
        <v>0</v>
      </c>
      <c r="L11" s="128"/>
      <c r="M11" s="129">
        <f t="shared" si="9"/>
        <v>0</v>
      </c>
      <c r="N11" s="129">
        <f t="shared" si="10"/>
        <v>0</v>
      </c>
      <c r="O11" s="164"/>
    </row>
    <row r="12" spans="1:16">
      <c r="A12" s="312">
        <v>5222</v>
      </c>
      <c r="B12" s="312" t="s">
        <v>74</v>
      </c>
      <c r="C12" s="312" t="s">
        <v>74</v>
      </c>
      <c r="D12" s="317" t="s">
        <v>5</v>
      </c>
      <c r="E12" s="318">
        <v>42984.778622685182</v>
      </c>
      <c r="F12" s="104">
        <f t="shared" si="4"/>
        <v>42984.778622685182</v>
      </c>
      <c r="G12" s="125" t="str">
        <f t="shared" si="11"/>
        <v>18:41</v>
      </c>
      <c r="H12" s="33" t="str">
        <f t="shared" si="0"/>
        <v>-</v>
      </c>
      <c r="I12" s="92" t="str">
        <f t="shared" si="6"/>
        <v>-</v>
      </c>
      <c r="J12" s="92" t="str">
        <f t="shared" si="7"/>
        <v>-</v>
      </c>
      <c r="K12" s="128">
        <f>IF(D12="加班",(#REF!-G12)*24,0)</f>
        <v>0</v>
      </c>
      <c r="L12" s="128"/>
      <c r="M12" s="129">
        <f t="shared" si="9"/>
        <v>0</v>
      </c>
      <c r="N12" s="129">
        <f t="shared" si="10"/>
        <v>0</v>
      </c>
      <c r="O12" s="164"/>
    </row>
    <row r="13" spans="1:16">
      <c r="A13" s="312">
        <v>5234</v>
      </c>
      <c r="B13" s="312" t="s">
        <v>74</v>
      </c>
      <c r="C13" s="312" t="s">
        <v>74</v>
      </c>
      <c r="D13" s="317" t="s">
        <v>6</v>
      </c>
      <c r="E13" s="318">
        <v>42985.58697916667</v>
      </c>
      <c r="F13" s="104">
        <f t="shared" si="4"/>
        <v>42985.58697916667</v>
      </c>
      <c r="G13" s="125" t="str">
        <f t="shared" si="11"/>
        <v>14:5</v>
      </c>
      <c r="H13" s="33">
        <f t="shared" si="0"/>
        <v>4.4666666666666668</v>
      </c>
      <c r="I13" s="92">
        <f>IF(D13="上班",IF(H13-1.5&gt;8,8,H13-1.5),"-")+1.5</f>
        <v>4.4666666666666668</v>
      </c>
      <c r="J13" s="92" t="str">
        <f t="shared" si="7"/>
        <v>-</v>
      </c>
      <c r="K13" s="128">
        <f>IF(D13="加班",(#REF!-G13)*24,0)</f>
        <v>0</v>
      </c>
      <c r="L13" s="128"/>
      <c r="M13" s="129">
        <f t="shared" si="9"/>
        <v>0</v>
      </c>
      <c r="N13" s="129">
        <f t="shared" si="10"/>
        <v>0</v>
      </c>
      <c r="O13" s="164"/>
    </row>
    <row r="14" spans="1:16">
      <c r="A14" s="312">
        <v>5243</v>
      </c>
      <c r="B14" s="312" t="s">
        <v>74</v>
      </c>
      <c r="C14" s="312" t="s">
        <v>74</v>
      </c>
      <c r="D14" s="317" t="s">
        <v>5</v>
      </c>
      <c r="E14" s="318">
        <v>42985.773564814815</v>
      </c>
      <c r="F14" s="104">
        <f t="shared" si="4"/>
        <v>42985.773564814815</v>
      </c>
      <c r="G14" s="125" t="str">
        <f t="shared" si="11"/>
        <v>18:33</v>
      </c>
      <c r="H14" s="33" t="str">
        <f t="shared" si="0"/>
        <v>-</v>
      </c>
      <c r="I14" s="92" t="str">
        <f t="shared" si="6"/>
        <v>-</v>
      </c>
      <c r="J14" s="92" t="str">
        <f t="shared" si="7"/>
        <v>-</v>
      </c>
      <c r="K14" s="128">
        <f>IF(D14="加班",(#REF!-G14)*24,0)</f>
        <v>0</v>
      </c>
      <c r="L14" s="128"/>
      <c r="M14" s="129">
        <f t="shared" si="9"/>
        <v>0</v>
      </c>
      <c r="N14" s="129">
        <f t="shared" si="10"/>
        <v>0</v>
      </c>
      <c r="O14" s="164"/>
    </row>
    <row r="15" spans="1:16">
      <c r="A15" s="312">
        <v>5262</v>
      </c>
      <c r="B15" s="312" t="s">
        <v>74</v>
      </c>
      <c r="C15" s="312" t="s">
        <v>74</v>
      </c>
      <c r="D15" s="317" t="s">
        <v>6</v>
      </c>
      <c r="E15" s="318">
        <v>42986.37400462963</v>
      </c>
      <c r="F15" s="104">
        <f t="shared" si="4"/>
        <v>42986.37400462963</v>
      </c>
      <c r="G15" s="125" t="str">
        <f t="shared" si="11"/>
        <v>8:58</v>
      </c>
      <c r="H15" s="33">
        <f t="shared" si="0"/>
        <v>9.7166666666666668</v>
      </c>
      <c r="I15" s="92">
        <f t="shared" si="6"/>
        <v>8</v>
      </c>
      <c r="J15" s="92" t="str">
        <f t="shared" si="7"/>
        <v>-</v>
      </c>
      <c r="K15" s="128">
        <f>IF(D15="加班",(#REF!-G15)*24,0)</f>
        <v>0</v>
      </c>
      <c r="L15" s="128"/>
      <c r="M15" s="129">
        <f t="shared" si="9"/>
        <v>0</v>
      </c>
      <c r="N15" s="129">
        <f t="shared" si="10"/>
        <v>0</v>
      </c>
      <c r="O15" s="164"/>
    </row>
    <row r="16" spans="1:16">
      <c r="A16" s="312">
        <v>5267</v>
      </c>
      <c r="B16" s="312" t="s">
        <v>74</v>
      </c>
      <c r="C16" s="312" t="s">
        <v>74</v>
      </c>
      <c r="D16" s="317" t="s">
        <v>5</v>
      </c>
      <c r="E16" s="318">
        <v>42986.778564814813</v>
      </c>
      <c r="F16" s="104">
        <f t="shared" si="4"/>
        <v>42986.778564814813</v>
      </c>
      <c r="G16" s="125" t="str">
        <f t="shared" si="11"/>
        <v>18:41</v>
      </c>
      <c r="H16" s="33" t="str">
        <f t="shared" si="0"/>
        <v>-</v>
      </c>
      <c r="I16" s="92" t="str">
        <f t="shared" si="6"/>
        <v>-</v>
      </c>
      <c r="J16" s="92" t="str">
        <f t="shared" si="7"/>
        <v>-</v>
      </c>
      <c r="K16" s="128">
        <f>IF(D16="加班",(#REF!-G16)*24,0)</f>
        <v>0</v>
      </c>
      <c r="L16" s="128"/>
      <c r="M16" s="129">
        <f t="shared" si="9"/>
        <v>0</v>
      </c>
      <c r="N16" s="129">
        <f t="shared" si="10"/>
        <v>0</v>
      </c>
      <c r="O16" s="164"/>
    </row>
    <row r="17" spans="1:16">
      <c r="A17" s="313">
        <v>5262</v>
      </c>
      <c r="B17" s="313" t="s">
        <v>74</v>
      </c>
      <c r="C17" s="313" t="s">
        <v>74</v>
      </c>
      <c r="D17" s="319" t="s">
        <v>6</v>
      </c>
      <c r="E17" s="320">
        <v>42993.375393518516</v>
      </c>
      <c r="F17" s="104">
        <f t="shared" si="4"/>
        <v>42993.375393518516</v>
      </c>
      <c r="G17" s="125" t="str">
        <f t="shared" si="11"/>
        <v>9:0</v>
      </c>
      <c r="H17" s="33">
        <f t="shared" si="0"/>
        <v>9.5</v>
      </c>
      <c r="I17" s="92">
        <f t="shared" si="6"/>
        <v>8</v>
      </c>
      <c r="J17" s="92" t="str">
        <f t="shared" si="7"/>
        <v>-</v>
      </c>
      <c r="K17" s="128">
        <f>IF(D17="加班",(#REF!-G17)*24,0)</f>
        <v>0</v>
      </c>
      <c r="L17" s="128"/>
      <c r="M17" s="129">
        <f t="shared" si="9"/>
        <v>0</v>
      </c>
      <c r="N17" s="129">
        <f t="shared" si="10"/>
        <v>0</v>
      </c>
      <c r="O17" s="164"/>
    </row>
    <row r="18" spans="1:16">
      <c r="A18" s="313">
        <v>5267</v>
      </c>
      <c r="B18" s="313" t="s">
        <v>74</v>
      </c>
      <c r="C18" s="313" t="s">
        <v>74</v>
      </c>
      <c r="D18" s="319" t="s">
        <v>5</v>
      </c>
      <c r="E18" s="320">
        <v>42993.770925925928</v>
      </c>
      <c r="F18" s="104">
        <f t="shared" si="4"/>
        <v>42993.770925925928</v>
      </c>
      <c r="G18" s="125" t="str">
        <f t="shared" si="11"/>
        <v>18:30</v>
      </c>
      <c r="H18" s="33" t="str">
        <f t="shared" si="0"/>
        <v>-</v>
      </c>
      <c r="I18" s="92" t="str">
        <f t="shared" si="6"/>
        <v>-</v>
      </c>
      <c r="J18" s="92" t="str">
        <f t="shared" si="7"/>
        <v>-</v>
      </c>
      <c r="K18" s="128">
        <f>IF(D18="加班",(#REF!-G18)*24,0)</f>
        <v>0</v>
      </c>
      <c r="L18" s="128"/>
      <c r="M18" s="129">
        <f t="shared" si="9"/>
        <v>0</v>
      </c>
      <c r="N18" s="129">
        <f t="shared" si="10"/>
        <v>0</v>
      </c>
      <c r="O18" s="164"/>
    </row>
    <row r="19" spans="1:16">
      <c r="A19" s="313">
        <v>5262</v>
      </c>
      <c r="B19" s="313" t="s">
        <v>74</v>
      </c>
      <c r="C19" s="313" t="s">
        <v>74</v>
      </c>
      <c r="D19" s="319" t="s">
        <v>6</v>
      </c>
      <c r="E19" s="320">
        <v>43008.358032407406</v>
      </c>
      <c r="F19" s="104">
        <f t="shared" si="4"/>
        <v>43008.358032407406</v>
      </c>
      <c r="G19" s="125" t="str">
        <f t="shared" si="11"/>
        <v>8:35</v>
      </c>
      <c r="H19" s="33">
        <f t="shared" si="0"/>
        <v>8.9166666666666661</v>
      </c>
      <c r="I19" s="92">
        <f t="shared" si="6"/>
        <v>7.4166666666666661</v>
      </c>
      <c r="J19" s="92" t="str">
        <f t="shared" si="7"/>
        <v>-</v>
      </c>
      <c r="K19" s="128">
        <f>IF(D19="加班",(#REF!-G19)*24,0)</f>
        <v>0</v>
      </c>
      <c r="L19" s="128"/>
      <c r="M19" s="129">
        <f t="shared" si="9"/>
        <v>0</v>
      </c>
      <c r="N19" s="129">
        <f t="shared" si="10"/>
        <v>0</v>
      </c>
      <c r="O19" s="164"/>
    </row>
    <row r="20" spans="1:16">
      <c r="A20" s="313">
        <v>5267</v>
      </c>
      <c r="B20" s="313" t="s">
        <v>74</v>
      </c>
      <c r="C20" s="313" t="s">
        <v>74</v>
      </c>
      <c r="D20" s="319" t="s">
        <v>5</v>
      </c>
      <c r="E20" s="320">
        <v>43008.729259259257</v>
      </c>
      <c r="F20" s="104">
        <f t="shared" si="4"/>
        <v>43008.729259259257</v>
      </c>
      <c r="G20" s="125" t="str">
        <f t="shared" si="11"/>
        <v>17:30</v>
      </c>
      <c r="H20" s="33" t="str">
        <f t="shared" si="0"/>
        <v>-</v>
      </c>
      <c r="I20" s="92" t="str">
        <f t="shared" si="6"/>
        <v>-</v>
      </c>
      <c r="J20" s="92" t="str">
        <f t="shared" si="7"/>
        <v>-</v>
      </c>
      <c r="K20" s="128">
        <f>IF(D20="加班",(#REF!-G20)*24,0)</f>
        <v>0</v>
      </c>
      <c r="L20" s="128"/>
      <c r="M20" s="129">
        <f t="shared" si="9"/>
        <v>0</v>
      </c>
      <c r="N20" s="129">
        <f t="shared" si="10"/>
        <v>0</v>
      </c>
      <c r="O20" s="164"/>
    </row>
    <row r="22" spans="1:16" s="3" customFormat="1">
      <c r="A22"/>
      <c r="B22"/>
      <c r="D22" s="178"/>
      <c r="F22" s="16"/>
      <c r="G22" s="17"/>
      <c r="H22" s="51"/>
      <c r="I22" s="21"/>
      <c r="J22" s="21"/>
      <c r="K22" s="22"/>
      <c r="L22" s="22"/>
      <c r="M22" s="22"/>
      <c r="N22" s="22"/>
      <c r="O22" s="28"/>
      <c r="P22" s="9"/>
    </row>
    <row r="23" spans="1:16" s="3" customFormat="1">
      <c r="A23"/>
      <c r="B23"/>
      <c r="D23" s="178"/>
      <c r="F23" s="16"/>
      <c r="G23" s="17"/>
      <c r="H23" s="51"/>
      <c r="I23" s="21"/>
      <c r="J23" s="21"/>
      <c r="K23" s="22"/>
      <c r="L23" s="22"/>
      <c r="M23" s="22"/>
      <c r="N23" s="22"/>
      <c r="O23" s="28"/>
      <c r="P23" s="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工作表22"/>
  <dimension ref="A1:P8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8.5" style="3" customWidth="1" collapsed="1"/>
    <col min="5" max="5" width="15.625" style="3" customWidth="1"/>
    <col min="6" max="6" width="5.6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6.5" style="22" customWidth="1" collapsed="1"/>
    <col min="13" max="14" width="8.125" style="22" customWidth="1"/>
    <col min="15" max="15" width="18.62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B7</f>
        <v>B6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0"/>
      <c r="N2" s="110"/>
      <c r="O2" s="111" t="s">
        <v>28</v>
      </c>
    </row>
    <row r="3" spans="1:16" ht="17.25" thickBot="1">
      <c r="D3" s="24"/>
      <c r="E3" s="30"/>
      <c r="F3" s="25"/>
      <c r="G3" s="26"/>
      <c r="H3" s="26"/>
      <c r="I3" s="52">
        <f>I6+J6</f>
        <v>3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27</v>
      </c>
      <c r="G5" s="117"/>
      <c r="H5" s="117"/>
      <c r="I5" s="118" t="s">
        <v>24</v>
      </c>
      <c r="J5" s="100" t="s">
        <v>42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23</v>
      </c>
      <c r="I6" s="124">
        <f>SUM(I7:I22)</f>
        <v>0</v>
      </c>
      <c r="J6" s="78">
        <f>SUM(J7:J24)</f>
        <v>3</v>
      </c>
      <c r="K6" s="124">
        <f>SUM(K7:K22)</f>
        <v>0</v>
      </c>
      <c r="L6" s="124">
        <f>SUM(L7:L22)</f>
        <v>0</v>
      </c>
      <c r="M6" s="124">
        <f>SUM(M7:M22)</f>
        <v>0</v>
      </c>
      <c r="N6" s="124">
        <f>SUM(N7:N22)</f>
        <v>0</v>
      </c>
      <c r="O6" s="45"/>
    </row>
    <row r="7" spans="1:16" s="16" customFormat="1">
      <c r="A7" s="145">
        <v>1857</v>
      </c>
      <c r="B7" s="148" t="s">
        <v>58</v>
      </c>
      <c r="C7" s="151" t="s">
        <v>59</v>
      </c>
      <c r="D7" s="138" t="s">
        <v>6</v>
      </c>
      <c r="E7" s="146">
        <v>42879</v>
      </c>
      <c r="F7" s="31">
        <f t="shared" ref="F7:F8" si="0">E7</f>
        <v>42879</v>
      </c>
      <c r="G7" s="32" t="str">
        <f t="shared" ref="G7:G8" si="1">HOUR(E7)&amp;":"&amp;MINUTE(E7)</f>
        <v>0:0</v>
      </c>
      <c r="H7" s="33">
        <f t="shared" ref="H7" si="2">IF(D7="上班",(G8-G7)*24,"-")</f>
        <v>0</v>
      </c>
      <c r="I7" s="58">
        <v>0</v>
      </c>
      <c r="J7" s="58">
        <v>3</v>
      </c>
      <c r="K7" s="34">
        <f t="shared" ref="K7" si="3">IF(D7="加班",(G8-G7)*24,0)</f>
        <v>0</v>
      </c>
      <c r="L7" s="34"/>
      <c r="M7" s="35">
        <f t="shared" ref="M7:M8" si="4">IF(K7&gt;2,2,K7)</f>
        <v>0</v>
      </c>
      <c r="N7" s="35">
        <f t="shared" ref="N7:N8" si="5">IF(K7&gt;2,K7-2,0)</f>
        <v>0</v>
      </c>
      <c r="O7" s="36" t="s">
        <v>55</v>
      </c>
      <c r="P7" s="137"/>
    </row>
    <row r="8" spans="1:16" s="16" customFormat="1">
      <c r="A8" s="145">
        <v>1864</v>
      </c>
      <c r="B8" s="148" t="s">
        <v>58</v>
      </c>
      <c r="C8" s="151" t="s">
        <v>59</v>
      </c>
      <c r="D8" s="138" t="s">
        <v>5</v>
      </c>
      <c r="E8" s="146">
        <v>42879</v>
      </c>
      <c r="F8" s="31">
        <f t="shared" si="0"/>
        <v>42879</v>
      </c>
      <c r="G8" s="32" t="str">
        <f t="shared" si="1"/>
        <v>0:0</v>
      </c>
      <c r="H8" s="33" t="str">
        <f>IF(D8="上班",(#REF!-G8)*24,"-")</f>
        <v>-</v>
      </c>
      <c r="I8" s="58" t="str">
        <f>IF(D8="上班",IF(H8-1.5&gt;8,8,H8-1.5),"-")</f>
        <v>-</v>
      </c>
      <c r="J8" s="58"/>
      <c r="K8" s="34">
        <f>IF(D8="加班",(#REF!-G8)*24,0)</f>
        <v>0</v>
      </c>
      <c r="L8" s="34"/>
      <c r="M8" s="35">
        <f t="shared" si="4"/>
        <v>0</v>
      </c>
      <c r="N8" s="35">
        <f t="shared" si="5"/>
        <v>0</v>
      </c>
      <c r="O8" s="36"/>
      <c r="P8" s="137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工作表23"/>
  <dimension ref="A1:P9"/>
  <sheetViews>
    <sheetView topLeftCell="D1" workbookViewId="0"/>
  </sheetViews>
  <sheetFormatPr defaultColWidth="8.875" defaultRowHeight="16.5" outlineLevelCol="1"/>
  <cols>
    <col min="1" max="1" width="4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6" style="3" customWidth="1"/>
    <col min="6" max="6" width="5.6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5.625" style="22" customWidth="1"/>
    <col min="14" max="14" width="8.625" style="22" customWidth="1"/>
    <col min="15" max="15" width="19.12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B7</f>
        <v>TL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131"/>
      <c r="F2" s="132" t="s">
        <v>29</v>
      </c>
      <c r="G2" s="80"/>
      <c r="H2" s="80"/>
      <c r="I2" s="81" t="s">
        <v>25</v>
      </c>
      <c r="J2" s="81"/>
      <c r="K2" s="82"/>
      <c r="L2" s="83"/>
      <c r="M2" s="84"/>
      <c r="N2" s="84"/>
      <c r="O2" s="85" t="s">
        <v>28</v>
      </c>
    </row>
    <row r="3" spans="1:16" ht="17.25" thickBot="1">
      <c r="D3" s="24"/>
      <c r="E3" s="30"/>
      <c r="F3" s="25"/>
      <c r="G3" s="26"/>
      <c r="H3" s="26"/>
      <c r="I3" s="52">
        <f>I6+J6</f>
        <v>3.2166666666666659</v>
      </c>
      <c r="J3" s="54"/>
      <c r="K3" s="53"/>
      <c r="L3" s="53"/>
      <c r="M3" s="53"/>
      <c r="N3" s="53"/>
      <c r="O3" s="50"/>
    </row>
    <row r="4" spans="1:16">
      <c r="D4" s="37"/>
      <c r="E4" s="38"/>
      <c r="F4" s="96"/>
      <c r="G4" s="70"/>
      <c r="H4" s="70"/>
      <c r="I4" s="97" t="s">
        <v>34</v>
      </c>
      <c r="J4" s="97"/>
      <c r="K4" s="97"/>
      <c r="L4" s="97"/>
      <c r="M4" s="97"/>
      <c r="N4" s="97"/>
      <c r="O4" s="98"/>
    </row>
    <row r="5" spans="1:16">
      <c r="D5" s="40"/>
      <c r="E5" s="7"/>
      <c r="F5" s="99" t="s">
        <v>27</v>
      </c>
      <c r="G5" s="72"/>
      <c r="H5" s="72"/>
      <c r="I5" s="100" t="s">
        <v>24</v>
      </c>
      <c r="J5" s="100" t="s">
        <v>42</v>
      </c>
      <c r="K5" s="100"/>
      <c r="L5" s="100"/>
      <c r="M5" s="101"/>
      <c r="N5" s="101"/>
      <c r="O5" s="102"/>
    </row>
    <row r="6" spans="1:16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76"/>
      <c r="G6" s="77"/>
      <c r="H6" s="75" t="s">
        <v>23</v>
      </c>
      <c r="I6" s="78">
        <f>SUM(I7:I40)</f>
        <v>3.2166666666666659</v>
      </c>
      <c r="J6" s="78">
        <f>SUM(J7:J40)</f>
        <v>0</v>
      </c>
      <c r="K6" s="78"/>
      <c r="L6" s="78"/>
      <c r="M6" s="44"/>
      <c r="N6" s="44"/>
      <c r="O6" s="45"/>
    </row>
    <row r="7" spans="1:16" s="2" customFormat="1">
      <c r="A7" s="140">
        <v>1791</v>
      </c>
      <c r="B7" s="140" t="s">
        <v>57</v>
      </c>
      <c r="C7" t="s">
        <v>16</v>
      </c>
      <c r="D7" s="141" t="s">
        <v>6</v>
      </c>
      <c r="E7" s="142">
        <v>42748.428356481483</v>
      </c>
      <c r="F7" s="89">
        <f>E7</f>
        <v>42748.428356481483</v>
      </c>
      <c r="G7" s="90" t="str">
        <f>HOUR(E7)&amp;":"&amp;MINUTE(E7)</f>
        <v>10:16</v>
      </c>
      <c r="H7" s="91">
        <f t="shared" ref="H7" si="0">IF(D7="上班",(G8-G7)*24,"-")</f>
        <v>4.7166666666666659</v>
      </c>
      <c r="I7" s="91">
        <f t="shared" ref="I7" si="1">IF(D7="上班",IF(H7-1.5&gt;8,8,H7-1.5),"-")</f>
        <v>3.2166666666666659</v>
      </c>
      <c r="J7" s="91"/>
      <c r="K7" s="93"/>
      <c r="L7" s="93"/>
      <c r="M7" s="94"/>
      <c r="N7" s="94"/>
      <c r="O7" s="171"/>
      <c r="P7" s="8"/>
    </row>
    <row r="8" spans="1:16">
      <c r="A8" s="140">
        <v>1793</v>
      </c>
      <c r="B8" s="140" t="s">
        <v>16</v>
      </c>
      <c r="C8" t="s">
        <v>16</v>
      </c>
      <c r="D8" s="143" t="s">
        <v>5</v>
      </c>
      <c r="E8" s="144">
        <v>42748.62431712963</v>
      </c>
      <c r="F8" s="89">
        <f t="shared" ref="F8" si="2">E8</f>
        <v>42748.62431712963</v>
      </c>
      <c r="G8" s="90" t="str">
        <f t="shared" ref="G8" si="3">HOUR(E8)&amp;":"&amp;MINUTE(E8)</f>
        <v>14:59</v>
      </c>
      <c r="H8" s="91" t="str">
        <f>IF(D8="上班",(#REF!-G8)*24,"-")</f>
        <v>-</v>
      </c>
      <c r="I8" s="91" t="str">
        <f t="shared" ref="I8" si="4">IF(D8="上班",IF(H8-1.5&gt;8,8,H8-1.5),"-")</f>
        <v>-</v>
      </c>
      <c r="J8" s="91"/>
      <c r="K8" s="93"/>
      <c r="L8" s="93"/>
      <c r="M8" s="94"/>
      <c r="N8" s="94"/>
      <c r="O8" s="95"/>
    </row>
    <row r="9" spans="1:16">
      <c r="C9"/>
      <c r="D9"/>
      <c r="E9" s="1"/>
    </row>
  </sheetData>
  <phoneticPr fontId="18" type="noConversion"/>
  <printOptions horizontalCentered="1"/>
  <pageMargins left="0.19685039370078741" right="3.937007874015748E-2" top="0.74803149606299213" bottom="0.74803149606299213" header="0.31496062992125984" footer="0.31496062992125984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工作表24"/>
  <dimension ref="A1:P16"/>
  <sheetViews>
    <sheetView topLeftCell="D1" workbookViewId="0"/>
  </sheetViews>
  <sheetFormatPr defaultColWidth="8.875"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8" style="3" customWidth="1"/>
    <col min="6" max="6" width="5.6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9" style="21" customWidth="1"/>
    <col min="11" max="11" width="8.375" style="22" hidden="1" customWidth="1" outlineLevel="1"/>
    <col min="12" max="12" width="6.125" style="22" customWidth="1" collapsed="1"/>
    <col min="13" max="13" width="6.625" style="22" customWidth="1"/>
    <col min="14" max="14" width="8.625" style="22" customWidth="1"/>
    <col min="15" max="15" width="14.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">
        <v>53</v>
      </c>
      <c r="J1" s="46" t="s">
        <v>30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29</v>
      </c>
      <c r="G2" s="106"/>
      <c r="H2" s="106"/>
      <c r="I2" s="107" t="s">
        <v>25</v>
      </c>
      <c r="J2" s="107"/>
      <c r="K2" s="108"/>
      <c r="L2" s="109"/>
      <c r="M2" s="110"/>
      <c r="N2" s="110"/>
      <c r="O2" s="111" t="s">
        <v>28</v>
      </c>
    </row>
    <row r="3" spans="1:16" ht="17.25" thickBot="1">
      <c r="D3" s="24"/>
      <c r="E3" s="30"/>
      <c r="F3" s="25"/>
      <c r="G3" s="26"/>
      <c r="H3" s="26"/>
      <c r="I3" s="52">
        <f>I6+J6</f>
        <v>15.166666666666666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34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27</v>
      </c>
      <c r="G5" s="117"/>
      <c r="H5" s="117"/>
      <c r="I5" s="118" t="s">
        <v>24</v>
      </c>
      <c r="J5" s="100" t="s">
        <v>42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23</v>
      </c>
      <c r="I6" s="124">
        <f>SUM(I7:I41)</f>
        <v>3.1666666666666661</v>
      </c>
      <c r="J6" s="78">
        <f>SUM(J7:J55)</f>
        <v>12</v>
      </c>
      <c r="K6" s="124">
        <f>SUM(K13:K41)</f>
        <v>0</v>
      </c>
      <c r="L6" s="124">
        <f>SUM(L13:L41)</f>
        <v>0</v>
      </c>
      <c r="M6" s="124">
        <f>SUM(M13:M41)</f>
        <v>0</v>
      </c>
      <c r="N6" s="124">
        <f>SUM(N13:N41)</f>
        <v>0</v>
      </c>
      <c r="O6" s="45"/>
    </row>
    <row r="7" spans="1:16" s="2" customFormat="1">
      <c r="A7" s="140">
        <v>1809</v>
      </c>
      <c r="B7" s="140" t="s">
        <v>38</v>
      </c>
      <c r="C7" s="140" t="s">
        <v>38</v>
      </c>
      <c r="D7" s="141" t="s">
        <v>6</v>
      </c>
      <c r="E7" s="142">
        <v>42706.412881944445</v>
      </c>
      <c r="F7" s="104">
        <f t="shared" ref="F7" si="0">E7</f>
        <v>42706.412881944445</v>
      </c>
      <c r="G7" s="125" t="str">
        <f>HOUR(E7)&amp;":"&amp;MINUTE(E7)</f>
        <v>9:54</v>
      </c>
      <c r="H7" s="126">
        <f t="shared" ref="H7" si="1">IF(D7="上班",(G8-G7)*24,"-")</f>
        <v>0.2333333333333325</v>
      </c>
      <c r="I7" s="92">
        <f>IF(D7="上班",IF(H7-1.5&gt;8,8,H7-1.5),"-")+1.5</f>
        <v>0.2333333333333325</v>
      </c>
      <c r="J7" s="92"/>
      <c r="K7" s="93">
        <f t="shared" ref="K7" si="2">IF(D7="加班",(G8-G7)*24,0)</f>
        <v>0</v>
      </c>
      <c r="L7" s="93"/>
      <c r="M7" s="94">
        <f t="shared" ref="M7" si="3">IF(K7&gt;2,2,K7)</f>
        <v>0</v>
      </c>
      <c r="N7" s="94">
        <f t="shared" ref="N7" si="4">IF(K7&gt;2,K7-2,0)</f>
        <v>0</v>
      </c>
      <c r="O7" s="36"/>
      <c r="P7" s="8"/>
    </row>
    <row r="8" spans="1:16">
      <c r="A8" s="140">
        <v>1810</v>
      </c>
      <c r="B8" s="140" t="s">
        <v>38</v>
      </c>
      <c r="C8" s="140" t="s">
        <v>38</v>
      </c>
      <c r="D8" s="143" t="s">
        <v>5</v>
      </c>
      <c r="E8" s="144">
        <v>42706.422777777778</v>
      </c>
      <c r="F8" s="104">
        <f t="shared" ref="F8:F12" si="5">E8</f>
        <v>42706.422777777778</v>
      </c>
      <c r="G8" s="125" t="str">
        <f t="shared" ref="G8:G12" si="6">HOUR(E8)&amp;":"&amp;MINUTE(E8)</f>
        <v>10:8</v>
      </c>
      <c r="H8" s="126" t="str">
        <f>IF(D8="上班",(G11-G8)*24,"-")</f>
        <v>-</v>
      </c>
      <c r="I8" s="92" t="str">
        <f>IF(D8="上班",IF(H8-1.5&gt;8,8,H8-1.5),"-")</f>
        <v>-</v>
      </c>
      <c r="J8" s="92"/>
      <c r="K8" s="93">
        <f>IF(D8="加班",(G11-G8)*24,0)</f>
        <v>0</v>
      </c>
      <c r="L8" s="93"/>
      <c r="M8" s="94">
        <f t="shared" ref="M8:M12" si="7">IF(K8&gt;2,2,K8)</f>
        <v>0</v>
      </c>
      <c r="N8" s="94">
        <f t="shared" ref="N8:N12" si="8">IF(K8&gt;2,K8-2,0)</f>
        <v>0</v>
      </c>
      <c r="O8" s="36"/>
    </row>
    <row r="9" spans="1:16" s="16" customFormat="1">
      <c r="A9" s="145">
        <v>1857</v>
      </c>
      <c r="B9" s="140" t="s">
        <v>38</v>
      </c>
      <c r="C9" s="140" t="s">
        <v>38</v>
      </c>
      <c r="D9" s="138" t="s">
        <v>6</v>
      </c>
      <c r="E9" s="146">
        <v>42709</v>
      </c>
      <c r="F9" s="31">
        <f t="shared" si="5"/>
        <v>42709</v>
      </c>
      <c r="G9" s="32" t="str">
        <f t="shared" si="6"/>
        <v>0:0</v>
      </c>
      <c r="H9" s="33">
        <f t="shared" ref="H9:H10" si="9">IF(D9="上班",(G10-G9)*24,"-")</f>
        <v>0</v>
      </c>
      <c r="I9" s="58">
        <v>0</v>
      </c>
      <c r="J9" s="58">
        <v>2</v>
      </c>
      <c r="K9" s="34">
        <f t="shared" ref="K9:K10" si="10">IF(D9="加班",(G10-G9)*24,0)</f>
        <v>0</v>
      </c>
      <c r="L9" s="34"/>
      <c r="M9" s="35">
        <f t="shared" si="7"/>
        <v>0</v>
      </c>
      <c r="N9" s="35">
        <f t="shared" si="8"/>
        <v>0</v>
      </c>
      <c r="O9" s="36" t="s">
        <v>55</v>
      </c>
      <c r="P9" s="137"/>
    </row>
    <row r="10" spans="1:16" s="16" customFormat="1">
      <c r="A10" s="145">
        <v>1864</v>
      </c>
      <c r="B10" s="140" t="s">
        <v>38</v>
      </c>
      <c r="C10" s="140" t="s">
        <v>38</v>
      </c>
      <c r="D10" s="138" t="s">
        <v>5</v>
      </c>
      <c r="E10" s="146">
        <v>42709</v>
      </c>
      <c r="F10" s="31">
        <f t="shared" si="5"/>
        <v>42709</v>
      </c>
      <c r="G10" s="32" t="str">
        <f t="shared" si="6"/>
        <v>0:0</v>
      </c>
      <c r="H10" s="33" t="str">
        <f t="shared" si="9"/>
        <v>-</v>
      </c>
      <c r="I10" s="58" t="str">
        <f>IF(D10="上班",IF(H10-1.5&gt;8,8,H10-1.5),"-")</f>
        <v>-</v>
      </c>
      <c r="J10" s="58"/>
      <c r="K10" s="34">
        <f t="shared" si="10"/>
        <v>0</v>
      </c>
      <c r="L10" s="34"/>
      <c r="M10" s="35">
        <f t="shared" si="7"/>
        <v>0</v>
      </c>
      <c r="N10" s="35">
        <f t="shared" si="8"/>
        <v>0</v>
      </c>
      <c r="O10" s="36"/>
      <c r="P10" s="137"/>
    </row>
    <row r="11" spans="1:16" s="16" customFormat="1">
      <c r="A11" s="140">
        <v>1894</v>
      </c>
      <c r="B11" s="140" t="s">
        <v>38</v>
      </c>
      <c r="C11" s="140" t="s">
        <v>38</v>
      </c>
      <c r="D11" s="141" t="s">
        <v>6</v>
      </c>
      <c r="E11" s="142">
        <v>42716.384826388887</v>
      </c>
      <c r="F11" s="104">
        <f t="shared" si="5"/>
        <v>42716.384826388887</v>
      </c>
      <c r="G11" s="125" t="str">
        <f t="shared" si="6"/>
        <v>9:14</v>
      </c>
      <c r="H11" s="126">
        <f t="shared" ref="H11:H14" si="11">IF(D11="上班",(G12-G11)*24,"-")</f>
        <v>2.9333333333333336</v>
      </c>
      <c r="I11" s="92">
        <f t="shared" ref="I11" si="12">IF(D11="上班",IF(H11-1.5&gt;8,8,H11-1.5),"-")+1.5</f>
        <v>2.9333333333333336</v>
      </c>
      <c r="J11" s="92"/>
      <c r="K11" s="93">
        <f t="shared" ref="K11:K14" si="13">IF(D11="加班",(G12-G11)*24,0)</f>
        <v>0</v>
      </c>
      <c r="L11" s="93"/>
      <c r="M11" s="94">
        <f t="shared" si="7"/>
        <v>0</v>
      </c>
      <c r="N11" s="94">
        <f t="shared" si="8"/>
        <v>0</v>
      </c>
      <c r="O11" s="36"/>
      <c r="P11" s="137"/>
    </row>
    <row r="12" spans="1:16" s="16" customFormat="1">
      <c r="A12" s="140">
        <v>1895</v>
      </c>
      <c r="B12" s="140" t="s">
        <v>38</v>
      </c>
      <c r="C12" s="140" t="s">
        <v>38</v>
      </c>
      <c r="D12" s="143" t="s">
        <v>5</v>
      </c>
      <c r="E12" s="144">
        <v>42716.507060185184</v>
      </c>
      <c r="F12" s="104">
        <f t="shared" si="5"/>
        <v>42716.507060185184</v>
      </c>
      <c r="G12" s="125" t="str">
        <f t="shared" si="6"/>
        <v>12:10</v>
      </c>
      <c r="H12" s="126" t="str">
        <f t="shared" si="11"/>
        <v>-</v>
      </c>
      <c r="I12" s="92" t="str">
        <f>IF(D12="上班",IF(H12-1.5&gt;8,8,H12-1.5),"-")</f>
        <v>-</v>
      </c>
      <c r="J12" s="92"/>
      <c r="K12" s="93">
        <f t="shared" si="13"/>
        <v>0</v>
      </c>
      <c r="L12" s="93"/>
      <c r="M12" s="94">
        <f t="shared" si="7"/>
        <v>0</v>
      </c>
      <c r="N12" s="94">
        <f t="shared" si="8"/>
        <v>0</v>
      </c>
      <c r="O12" s="36"/>
      <c r="P12" s="137"/>
    </row>
    <row r="13" spans="1:16" s="16" customFormat="1">
      <c r="A13" s="145">
        <v>1857</v>
      </c>
      <c r="B13" s="140" t="s">
        <v>38</v>
      </c>
      <c r="C13" s="140" t="s">
        <v>38</v>
      </c>
      <c r="D13" s="138" t="s">
        <v>6</v>
      </c>
      <c r="E13" s="146">
        <v>42723</v>
      </c>
      <c r="F13" s="31">
        <f t="shared" ref="F13:F14" si="14">E13</f>
        <v>42723</v>
      </c>
      <c r="G13" s="32" t="str">
        <f t="shared" ref="G13:G14" si="15">HOUR(E13)&amp;":"&amp;MINUTE(E13)</f>
        <v>0:0</v>
      </c>
      <c r="H13" s="33">
        <f t="shared" si="11"/>
        <v>0</v>
      </c>
      <c r="I13" s="58">
        <v>0</v>
      </c>
      <c r="J13" s="58">
        <v>7</v>
      </c>
      <c r="K13" s="34">
        <f t="shared" si="13"/>
        <v>0</v>
      </c>
      <c r="L13" s="34"/>
      <c r="M13" s="35">
        <f t="shared" ref="M13:M14" si="16">IF(K13&gt;2,2,K13)</f>
        <v>0</v>
      </c>
      <c r="N13" s="35">
        <f t="shared" ref="N13:N14" si="17">IF(K13&gt;2,K13-2,0)</f>
        <v>0</v>
      </c>
      <c r="O13" s="36" t="s">
        <v>55</v>
      </c>
      <c r="P13" s="137"/>
    </row>
    <row r="14" spans="1:16" s="16" customFormat="1">
      <c r="A14" s="145">
        <v>1864</v>
      </c>
      <c r="B14" s="140" t="s">
        <v>38</v>
      </c>
      <c r="C14" s="140" t="s">
        <v>38</v>
      </c>
      <c r="D14" s="138" t="s">
        <v>5</v>
      </c>
      <c r="E14" s="146">
        <v>42723</v>
      </c>
      <c r="F14" s="31">
        <f t="shared" si="14"/>
        <v>42723</v>
      </c>
      <c r="G14" s="32" t="str">
        <f t="shared" si="15"/>
        <v>0:0</v>
      </c>
      <c r="H14" s="33" t="str">
        <f t="shared" si="11"/>
        <v>-</v>
      </c>
      <c r="I14" s="58" t="str">
        <f>IF(D14="上班",IF(H14-1.5&gt;8,8,H14-1.5),"-")</f>
        <v>-</v>
      </c>
      <c r="J14" s="58"/>
      <c r="K14" s="34">
        <f t="shared" si="13"/>
        <v>0</v>
      </c>
      <c r="L14" s="34"/>
      <c r="M14" s="35">
        <f t="shared" si="16"/>
        <v>0</v>
      </c>
      <c r="N14" s="35">
        <f t="shared" si="17"/>
        <v>0</v>
      </c>
      <c r="O14" s="36"/>
      <c r="P14" s="137"/>
    </row>
    <row r="15" spans="1:16" s="16" customFormat="1">
      <c r="A15" s="145">
        <v>1857</v>
      </c>
      <c r="B15" s="140" t="s">
        <v>38</v>
      </c>
      <c r="C15" s="140" t="s">
        <v>38</v>
      </c>
      <c r="D15" s="138" t="s">
        <v>6</v>
      </c>
      <c r="E15" s="146">
        <v>42725</v>
      </c>
      <c r="F15" s="31">
        <f t="shared" ref="F15:F16" si="18">E15</f>
        <v>42725</v>
      </c>
      <c r="G15" s="32" t="str">
        <f t="shared" ref="G15:G16" si="19">HOUR(E15)&amp;":"&amp;MINUTE(E15)</f>
        <v>0:0</v>
      </c>
      <c r="H15" s="33">
        <f t="shared" ref="H15:H16" si="20">IF(D15="上班",(G16-G15)*24,"-")</f>
        <v>0</v>
      </c>
      <c r="I15" s="58">
        <v>0</v>
      </c>
      <c r="J15" s="58">
        <v>3</v>
      </c>
      <c r="K15" s="34">
        <f t="shared" ref="K15:K16" si="21">IF(D15="加班",(G16-G15)*24,0)</f>
        <v>0</v>
      </c>
      <c r="L15" s="34"/>
      <c r="M15" s="35">
        <f t="shared" ref="M15:M16" si="22">IF(K15&gt;2,2,K15)</f>
        <v>0</v>
      </c>
      <c r="N15" s="35">
        <f t="shared" ref="N15:N16" si="23">IF(K15&gt;2,K15-2,0)</f>
        <v>0</v>
      </c>
      <c r="O15" s="36" t="s">
        <v>55</v>
      </c>
      <c r="P15" s="137"/>
    </row>
    <row r="16" spans="1:16" s="16" customFormat="1">
      <c r="A16" s="145">
        <v>1864</v>
      </c>
      <c r="B16" s="140" t="s">
        <v>38</v>
      </c>
      <c r="C16" s="140" t="s">
        <v>38</v>
      </c>
      <c r="D16" s="138" t="s">
        <v>5</v>
      </c>
      <c r="E16" s="146">
        <v>42725</v>
      </c>
      <c r="F16" s="31">
        <f t="shared" si="18"/>
        <v>42725</v>
      </c>
      <c r="G16" s="32" t="str">
        <f t="shared" si="19"/>
        <v>0:0</v>
      </c>
      <c r="H16" s="33" t="str">
        <f t="shared" si="20"/>
        <v>-</v>
      </c>
      <c r="I16" s="58" t="str">
        <f>IF(D16="上班",IF(H16-1.5&gt;8,8,H16-1.5),"-")</f>
        <v>-</v>
      </c>
      <c r="J16" s="58"/>
      <c r="K16" s="34">
        <f t="shared" si="21"/>
        <v>0</v>
      </c>
      <c r="L16" s="34"/>
      <c r="M16" s="35">
        <f t="shared" si="22"/>
        <v>0</v>
      </c>
      <c r="N16" s="35">
        <f t="shared" si="23"/>
        <v>0</v>
      </c>
      <c r="O16" s="36"/>
      <c r="P16" s="137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工作表25"/>
  <dimension ref="A1:U81"/>
  <sheetViews>
    <sheetView topLeftCell="D1" workbookViewId="0"/>
  </sheetViews>
  <sheetFormatPr defaultColWidth="8.875" defaultRowHeight="16.5" outlineLevelCol="1"/>
  <cols>
    <col min="1" max="1" width="6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5.125" style="3" customWidth="1"/>
    <col min="6" max="6" width="6.1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9.625" style="22" customWidth="1"/>
    <col min="15" max="15" width="18.12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B38</f>
        <v>sam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75</v>
      </c>
      <c r="E2" s="184">
        <f>24-8</f>
        <v>16</v>
      </c>
      <c r="F2" s="79" t="s">
        <v>76</v>
      </c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7.25" thickBot="1">
      <c r="D3" s="24" t="s">
        <v>77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SUM(K15:K52)</f>
        <v>17.716666666666665</v>
      </c>
      <c r="L3" s="53">
        <f>J3</f>
        <v>0</v>
      </c>
      <c r="M3" s="53">
        <f>M6-J3</f>
        <v>18.149999999999999</v>
      </c>
      <c r="N3" s="53">
        <f>N6</f>
        <v>5.15</v>
      </c>
      <c r="O3" s="50"/>
    </row>
    <row r="4" spans="1:21">
      <c r="D4" s="134" t="s">
        <v>46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168</v>
      </c>
    </row>
    <row r="5" spans="1:21">
      <c r="D5" s="87">
        <v>0</v>
      </c>
      <c r="E5" s="86">
        <v>0</v>
      </c>
      <c r="F5" s="86">
        <v>8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0.14562499999999998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SUM(I7:I76)</f>
        <v>168</v>
      </c>
      <c r="J6" s="78">
        <f>SUM(J7:J62)</f>
        <v>0</v>
      </c>
      <c r="K6" s="78">
        <f>SUM(K7:K62)</f>
        <v>23.099999999999998</v>
      </c>
      <c r="L6" s="78">
        <f>SUM(L7:L62)</f>
        <v>0</v>
      </c>
      <c r="M6" s="78">
        <f>SUM(M7:M76)</f>
        <v>18.149999999999999</v>
      </c>
      <c r="N6" s="78">
        <f>SUM(N7:N74)</f>
        <v>5.15</v>
      </c>
      <c r="O6" s="45"/>
      <c r="Q6" s="47"/>
      <c r="U6" s="49"/>
    </row>
    <row r="7" spans="1:21" s="130" customFormat="1">
      <c r="A7" s="140">
        <v>4167</v>
      </c>
      <c r="B7" s="140" t="s">
        <v>49</v>
      </c>
      <c r="C7" s="140" t="s">
        <v>49</v>
      </c>
      <c r="D7" s="141" t="s">
        <v>6</v>
      </c>
      <c r="E7" s="142">
        <v>42919.357164351852</v>
      </c>
      <c r="F7" s="89">
        <f t="shared" ref="F7" si="0">E7</f>
        <v>42919.357164351852</v>
      </c>
      <c r="G7" s="90" t="str">
        <f>HOUR(E7)&amp;":"&amp;MINUTE(E7)</f>
        <v>8:34</v>
      </c>
      <c r="H7" s="91">
        <f>IF(D7="上班",(G8-G7)*24,"-")</f>
        <v>10</v>
      </c>
      <c r="I7" s="92">
        <f t="shared" ref="I7" si="1">IF(D7="上班",IF(H7-1.5&gt;8,8,H7-1.5),"-")</f>
        <v>8</v>
      </c>
      <c r="J7" s="92" t="str">
        <f>IF(I7&lt;8,8-I7,"-")</f>
        <v>-</v>
      </c>
      <c r="K7" s="93">
        <f t="shared" ref="K7" si="2">IF(D7="加班",(G8-G7)*24,0)</f>
        <v>0</v>
      </c>
      <c r="L7" s="93"/>
      <c r="M7" s="94">
        <f t="shared" ref="M7" si="3">IF(K7&gt;2,2,K7)</f>
        <v>0</v>
      </c>
      <c r="N7" s="94">
        <f t="shared" ref="N7" si="4">IF(K7&gt;2,K7-2,0)</f>
        <v>0</v>
      </c>
      <c r="O7" s="95"/>
      <c r="P7" s="149"/>
      <c r="Q7" s="149"/>
      <c r="R7" s="149"/>
      <c r="S7" s="149"/>
    </row>
    <row r="8" spans="1:21" s="16" customFormat="1">
      <c r="A8" s="140">
        <v>4181</v>
      </c>
      <c r="B8" s="140" t="s">
        <v>49</v>
      </c>
      <c r="C8" s="140" t="s">
        <v>49</v>
      </c>
      <c r="D8" s="143" t="s">
        <v>5</v>
      </c>
      <c r="E8" s="144">
        <v>42919.773877314816</v>
      </c>
      <c r="F8" s="89">
        <f t="shared" ref="F8:F70" si="5">E8</f>
        <v>42919.773877314816</v>
      </c>
      <c r="G8" s="90" t="str">
        <f t="shared" ref="G8:G70" si="6">HOUR(E8)&amp;":"&amp;MINUTE(E8)</f>
        <v>18:34</v>
      </c>
      <c r="H8" s="91" t="str">
        <f t="shared" ref="H8:H69" si="7">IF(D8="上班",(G9-G8)*24,"-")</f>
        <v>-</v>
      </c>
      <c r="I8" s="92" t="str">
        <f t="shared" ref="I8:I70" si="8">IF(D8="上班",IF(H8-1.5&gt;8,8,H8-1.5),"-")</f>
        <v>-</v>
      </c>
      <c r="J8" s="92" t="str">
        <f t="shared" ref="J8:J70" si="9">IF(I8&lt;8,8-I8,"-")</f>
        <v>-</v>
      </c>
      <c r="K8" s="93">
        <f t="shared" ref="K8:K69" si="10">IF(D8="加班",(G9-G8)*24,0)</f>
        <v>0</v>
      </c>
      <c r="L8" s="93"/>
      <c r="M8" s="94">
        <f t="shared" ref="M8:M70" si="11">IF(K8&gt;2,2,K8)</f>
        <v>0</v>
      </c>
      <c r="N8" s="94">
        <f t="shared" ref="N8:N70" si="12">IF(K8&gt;2,K8-2,0)</f>
        <v>0</v>
      </c>
      <c r="O8" s="95"/>
      <c r="P8" s="137"/>
      <c r="Q8" s="137"/>
      <c r="R8" s="137"/>
      <c r="S8" s="137"/>
    </row>
    <row r="9" spans="1:21" s="16" customFormat="1">
      <c r="A9" s="140">
        <v>4182</v>
      </c>
      <c r="B9" s="140" t="s">
        <v>49</v>
      </c>
      <c r="C9" s="140" t="s">
        <v>49</v>
      </c>
      <c r="D9" s="141" t="s">
        <v>7</v>
      </c>
      <c r="E9" s="142">
        <v>42919.773900462962</v>
      </c>
      <c r="F9" s="89">
        <f t="shared" si="5"/>
        <v>42919.773900462962</v>
      </c>
      <c r="G9" s="90" t="str">
        <f t="shared" si="6"/>
        <v>18:34</v>
      </c>
      <c r="H9" s="91" t="str">
        <f t="shared" si="7"/>
        <v>-</v>
      </c>
      <c r="I9" s="92" t="str">
        <f t="shared" si="8"/>
        <v>-</v>
      </c>
      <c r="J9" s="92" t="str">
        <f t="shared" si="9"/>
        <v>-</v>
      </c>
      <c r="K9" s="93">
        <f t="shared" si="10"/>
        <v>0.83333333333333037</v>
      </c>
      <c r="L9" s="93"/>
      <c r="M9" s="94">
        <f t="shared" si="11"/>
        <v>0.83333333333333037</v>
      </c>
      <c r="N9" s="94">
        <f t="shared" si="12"/>
        <v>0</v>
      </c>
      <c r="O9" s="95"/>
      <c r="P9" s="137"/>
      <c r="Q9" s="137"/>
      <c r="R9" s="137"/>
      <c r="S9" s="137"/>
    </row>
    <row r="10" spans="1:21" s="16" customFormat="1">
      <c r="A10" s="140">
        <v>4185</v>
      </c>
      <c r="B10" s="140" t="s">
        <v>49</v>
      </c>
      <c r="C10" s="140" t="s">
        <v>49</v>
      </c>
      <c r="D10" s="143" t="s">
        <v>8</v>
      </c>
      <c r="E10" s="144">
        <v>42919.808703703704</v>
      </c>
      <c r="F10" s="89">
        <f t="shared" si="5"/>
        <v>42919.808703703704</v>
      </c>
      <c r="G10" s="90" t="str">
        <f t="shared" si="6"/>
        <v>19:24</v>
      </c>
      <c r="H10" s="91" t="str">
        <f t="shared" si="7"/>
        <v>-</v>
      </c>
      <c r="I10" s="92" t="str">
        <f t="shared" si="8"/>
        <v>-</v>
      </c>
      <c r="J10" s="92" t="str">
        <f t="shared" si="9"/>
        <v>-</v>
      </c>
      <c r="K10" s="93">
        <f t="shared" si="10"/>
        <v>0</v>
      </c>
      <c r="L10" s="93"/>
      <c r="M10" s="94">
        <f t="shared" si="11"/>
        <v>0</v>
      </c>
      <c r="N10" s="94">
        <f t="shared" si="12"/>
        <v>0</v>
      </c>
      <c r="O10" s="95"/>
      <c r="P10" s="137"/>
      <c r="Q10" s="137"/>
      <c r="R10" s="137"/>
      <c r="S10" s="137"/>
    </row>
    <row r="11" spans="1:21" s="16" customFormat="1">
      <c r="A11" s="140">
        <v>4190</v>
      </c>
      <c r="B11" s="140" t="s">
        <v>49</v>
      </c>
      <c r="C11" s="140" t="s">
        <v>49</v>
      </c>
      <c r="D11" s="141" t="s">
        <v>6</v>
      </c>
      <c r="E11" s="142">
        <v>42920.355694444443</v>
      </c>
      <c r="F11" s="89">
        <f t="shared" si="5"/>
        <v>42920.355694444443</v>
      </c>
      <c r="G11" s="90" t="str">
        <f t="shared" si="6"/>
        <v>8:32</v>
      </c>
      <c r="H11" s="91">
        <f t="shared" si="7"/>
        <v>9.7333333333333325</v>
      </c>
      <c r="I11" s="92">
        <f t="shared" si="8"/>
        <v>8</v>
      </c>
      <c r="J11" s="92" t="str">
        <f t="shared" si="9"/>
        <v>-</v>
      </c>
      <c r="K11" s="93">
        <f t="shared" si="10"/>
        <v>0</v>
      </c>
      <c r="L11" s="93"/>
      <c r="M11" s="94">
        <f t="shared" si="11"/>
        <v>0</v>
      </c>
      <c r="N11" s="94">
        <f t="shared" si="12"/>
        <v>0</v>
      </c>
      <c r="O11" s="95"/>
      <c r="P11" s="137"/>
      <c r="Q11" s="137"/>
      <c r="R11" s="137"/>
      <c r="S11" s="137"/>
    </row>
    <row r="12" spans="1:21" s="16" customFormat="1">
      <c r="A12" s="140">
        <v>4197</v>
      </c>
      <c r="B12" s="140" t="s">
        <v>49</v>
      </c>
      <c r="C12" s="140" t="s">
        <v>49</v>
      </c>
      <c r="D12" s="143" t="s">
        <v>5</v>
      </c>
      <c r="E12" s="144">
        <v>42920.761238425926</v>
      </c>
      <c r="F12" s="89">
        <f t="shared" si="5"/>
        <v>42920.761238425926</v>
      </c>
      <c r="G12" s="90" t="str">
        <f t="shared" si="6"/>
        <v>18:16</v>
      </c>
      <c r="H12" s="91" t="str">
        <f t="shared" si="7"/>
        <v>-</v>
      </c>
      <c r="I12" s="92" t="str">
        <f t="shared" si="8"/>
        <v>-</v>
      </c>
      <c r="J12" s="92" t="str">
        <f t="shared" si="9"/>
        <v>-</v>
      </c>
      <c r="K12" s="93">
        <f t="shared" si="10"/>
        <v>0</v>
      </c>
      <c r="L12" s="93"/>
      <c r="M12" s="94">
        <f t="shared" si="11"/>
        <v>0</v>
      </c>
      <c r="N12" s="94">
        <f t="shared" si="12"/>
        <v>0</v>
      </c>
      <c r="O12" s="95"/>
      <c r="P12" s="137"/>
      <c r="Q12" s="137"/>
      <c r="R12" s="137"/>
      <c r="S12" s="137"/>
    </row>
    <row r="13" spans="1:21" s="16" customFormat="1">
      <c r="A13" s="140">
        <v>4203</v>
      </c>
      <c r="B13" s="140" t="s">
        <v>49</v>
      </c>
      <c r="C13" s="140" t="s">
        <v>49</v>
      </c>
      <c r="D13" s="141" t="s">
        <v>7</v>
      </c>
      <c r="E13" s="142">
        <v>42920.784594907411</v>
      </c>
      <c r="F13" s="89">
        <f t="shared" si="5"/>
        <v>42920.784594907411</v>
      </c>
      <c r="G13" s="90" t="str">
        <f t="shared" si="6"/>
        <v>18:49</v>
      </c>
      <c r="H13" s="91" t="str">
        <f t="shared" si="7"/>
        <v>-</v>
      </c>
      <c r="I13" s="92" t="str">
        <f t="shared" si="8"/>
        <v>-</v>
      </c>
      <c r="J13" s="92" t="str">
        <f t="shared" si="9"/>
        <v>-</v>
      </c>
      <c r="K13" s="93">
        <f t="shared" si="10"/>
        <v>1.6666666666666687</v>
      </c>
      <c r="L13" s="93"/>
      <c r="M13" s="94">
        <f t="shared" si="11"/>
        <v>1.6666666666666687</v>
      </c>
      <c r="N13" s="94">
        <f t="shared" si="12"/>
        <v>0</v>
      </c>
      <c r="O13" s="95"/>
      <c r="P13" s="137"/>
      <c r="Q13" s="137"/>
      <c r="R13" s="137"/>
      <c r="S13" s="137"/>
    </row>
    <row r="14" spans="1:21" s="16" customFormat="1">
      <c r="A14" s="140">
        <v>4209</v>
      </c>
      <c r="B14" s="140" t="s">
        <v>49</v>
      </c>
      <c r="C14" s="140" t="s">
        <v>49</v>
      </c>
      <c r="D14" s="143" t="s">
        <v>8</v>
      </c>
      <c r="E14" s="144">
        <v>42920.853530092594</v>
      </c>
      <c r="F14" s="89">
        <f t="shared" si="5"/>
        <v>42920.853530092594</v>
      </c>
      <c r="G14" s="90" t="str">
        <f t="shared" si="6"/>
        <v>20:29</v>
      </c>
      <c r="H14" s="91" t="str">
        <f t="shared" si="7"/>
        <v>-</v>
      </c>
      <c r="I14" s="92" t="str">
        <f t="shared" si="8"/>
        <v>-</v>
      </c>
      <c r="J14" s="92" t="str">
        <f t="shared" si="9"/>
        <v>-</v>
      </c>
      <c r="K14" s="93">
        <f t="shared" si="10"/>
        <v>0</v>
      </c>
      <c r="L14" s="93"/>
      <c r="M14" s="94">
        <f t="shared" si="11"/>
        <v>0</v>
      </c>
      <c r="N14" s="94">
        <f t="shared" si="12"/>
        <v>0</v>
      </c>
      <c r="O14" s="95"/>
      <c r="P14" s="137"/>
      <c r="Q14" s="137"/>
      <c r="R14" s="137"/>
      <c r="S14" s="137"/>
    </row>
    <row r="15" spans="1:21" s="16" customFormat="1">
      <c r="A15" s="140">
        <v>4211</v>
      </c>
      <c r="B15" s="140" t="s">
        <v>49</v>
      </c>
      <c r="C15" s="140" t="s">
        <v>49</v>
      </c>
      <c r="D15" s="141" t="s">
        <v>6</v>
      </c>
      <c r="E15" s="142">
        <v>42921.354641203703</v>
      </c>
      <c r="F15" s="89">
        <f t="shared" si="5"/>
        <v>42921.354641203703</v>
      </c>
      <c r="G15" s="90" t="str">
        <f t="shared" si="6"/>
        <v>8:30</v>
      </c>
      <c r="H15" s="91">
        <f t="shared" si="7"/>
        <v>10.08333333333333</v>
      </c>
      <c r="I15" s="92">
        <f t="shared" si="8"/>
        <v>8</v>
      </c>
      <c r="J15" s="92" t="str">
        <f t="shared" si="9"/>
        <v>-</v>
      </c>
      <c r="K15" s="93">
        <f t="shared" si="10"/>
        <v>0</v>
      </c>
      <c r="L15" s="93"/>
      <c r="M15" s="94">
        <f t="shared" si="11"/>
        <v>0</v>
      </c>
      <c r="N15" s="94">
        <f t="shared" si="12"/>
        <v>0</v>
      </c>
      <c r="O15" s="95"/>
      <c r="P15" s="137"/>
      <c r="Q15" s="137"/>
      <c r="R15" s="137"/>
      <c r="S15" s="137"/>
    </row>
    <row r="16" spans="1:21" s="16" customFormat="1">
      <c r="A16" s="140">
        <v>4224</v>
      </c>
      <c r="B16" s="140" t="s">
        <v>49</v>
      </c>
      <c r="C16" s="140" t="s">
        <v>49</v>
      </c>
      <c r="D16" s="143" t="s">
        <v>5</v>
      </c>
      <c r="E16" s="144">
        <v>42921.774687500001</v>
      </c>
      <c r="F16" s="89">
        <f t="shared" si="5"/>
        <v>42921.774687500001</v>
      </c>
      <c r="G16" s="90" t="str">
        <f t="shared" si="6"/>
        <v>18:35</v>
      </c>
      <c r="H16" s="91" t="str">
        <f t="shared" si="7"/>
        <v>-</v>
      </c>
      <c r="I16" s="92" t="str">
        <f t="shared" si="8"/>
        <v>-</v>
      </c>
      <c r="J16" s="92" t="str">
        <f t="shared" si="9"/>
        <v>-</v>
      </c>
      <c r="K16" s="93">
        <f t="shared" si="10"/>
        <v>0</v>
      </c>
      <c r="L16" s="93"/>
      <c r="M16" s="94">
        <f t="shared" si="11"/>
        <v>0</v>
      </c>
      <c r="N16" s="94">
        <f t="shared" si="12"/>
        <v>0</v>
      </c>
      <c r="O16" s="95"/>
      <c r="P16" s="137"/>
      <c r="Q16" s="137"/>
      <c r="R16" s="137"/>
      <c r="S16" s="137"/>
    </row>
    <row r="17" spans="1:19" s="16" customFormat="1">
      <c r="A17" s="140">
        <v>4225</v>
      </c>
      <c r="B17" s="140" t="s">
        <v>49</v>
      </c>
      <c r="C17" s="140" t="s">
        <v>49</v>
      </c>
      <c r="D17" s="141" t="s">
        <v>7</v>
      </c>
      <c r="E17" s="142">
        <v>42921.774722222224</v>
      </c>
      <c r="F17" s="89">
        <f t="shared" si="5"/>
        <v>42921.774722222224</v>
      </c>
      <c r="G17" s="90" t="str">
        <f t="shared" si="6"/>
        <v>18:35</v>
      </c>
      <c r="H17" s="91" t="str">
        <f t="shared" si="7"/>
        <v>-</v>
      </c>
      <c r="I17" s="92" t="str">
        <f t="shared" si="8"/>
        <v>-</v>
      </c>
      <c r="J17" s="92" t="str">
        <f t="shared" si="9"/>
        <v>-</v>
      </c>
      <c r="K17" s="93">
        <f t="shared" si="10"/>
        <v>1.5666666666666664</v>
      </c>
      <c r="L17" s="93"/>
      <c r="M17" s="94">
        <f t="shared" si="11"/>
        <v>1.5666666666666664</v>
      </c>
      <c r="N17" s="94">
        <f t="shared" si="12"/>
        <v>0</v>
      </c>
      <c r="O17" s="95"/>
      <c r="P17" s="137"/>
      <c r="Q17" s="137"/>
      <c r="R17" s="137"/>
      <c r="S17" s="137"/>
    </row>
    <row r="18" spans="1:19" s="16" customFormat="1">
      <c r="A18" s="140">
        <v>4230</v>
      </c>
      <c r="B18" s="140" t="s">
        <v>49</v>
      </c>
      <c r="C18" s="140" t="s">
        <v>49</v>
      </c>
      <c r="D18" s="143" t="s">
        <v>8</v>
      </c>
      <c r="E18" s="144">
        <v>42921.83965277778</v>
      </c>
      <c r="F18" s="89">
        <f t="shared" si="5"/>
        <v>42921.83965277778</v>
      </c>
      <c r="G18" s="90" t="str">
        <f t="shared" si="6"/>
        <v>20:9</v>
      </c>
      <c r="H18" s="91" t="str">
        <f t="shared" si="7"/>
        <v>-</v>
      </c>
      <c r="I18" s="92" t="str">
        <f t="shared" si="8"/>
        <v>-</v>
      </c>
      <c r="J18" s="92" t="str">
        <f t="shared" si="9"/>
        <v>-</v>
      </c>
      <c r="K18" s="93">
        <f t="shared" si="10"/>
        <v>0</v>
      </c>
      <c r="L18" s="93"/>
      <c r="M18" s="94">
        <f t="shared" si="11"/>
        <v>0</v>
      </c>
      <c r="N18" s="94">
        <f t="shared" si="12"/>
        <v>0</v>
      </c>
      <c r="O18" s="95"/>
      <c r="P18" s="137"/>
      <c r="Q18" s="137"/>
      <c r="R18" s="137"/>
      <c r="S18" s="137"/>
    </row>
    <row r="19" spans="1:19" s="16" customFormat="1">
      <c r="A19" s="140">
        <v>4233</v>
      </c>
      <c r="B19" s="140" t="s">
        <v>49</v>
      </c>
      <c r="C19" s="140" t="s">
        <v>49</v>
      </c>
      <c r="D19" s="141" t="s">
        <v>6</v>
      </c>
      <c r="E19" s="142">
        <v>42922.356909722221</v>
      </c>
      <c r="F19" s="89">
        <f t="shared" si="5"/>
        <v>42922.356909722221</v>
      </c>
      <c r="G19" s="90" t="str">
        <f t="shared" si="6"/>
        <v>8:33</v>
      </c>
      <c r="H19" s="91">
        <f t="shared" si="7"/>
        <v>9.7333333333333343</v>
      </c>
      <c r="I19" s="92">
        <f t="shared" si="8"/>
        <v>8</v>
      </c>
      <c r="J19" s="92" t="str">
        <f t="shared" si="9"/>
        <v>-</v>
      </c>
      <c r="K19" s="93">
        <f t="shared" si="10"/>
        <v>0</v>
      </c>
      <c r="L19" s="93"/>
      <c r="M19" s="94">
        <f t="shared" si="11"/>
        <v>0</v>
      </c>
      <c r="N19" s="94">
        <f t="shared" si="12"/>
        <v>0</v>
      </c>
      <c r="O19" s="95"/>
      <c r="P19" s="137"/>
      <c r="Q19" s="137"/>
      <c r="R19" s="137"/>
      <c r="S19" s="137"/>
    </row>
    <row r="20" spans="1:19" s="16" customFormat="1">
      <c r="A20" s="140">
        <v>4239</v>
      </c>
      <c r="B20" s="140" t="s">
        <v>49</v>
      </c>
      <c r="C20" s="140" t="s">
        <v>49</v>
      </c>
      <c r="D20" s="143" t="s">
        <v>5</v>
      </c>
      <c r="E20" s="144">
        <v>42922.76185185185</v>
      </c>
      <c r="F20" s="89">
        <f t="shared" si="5"/>
        <v>42922.76185185185</v>
      </c>
      <c r="G20" s="90" t="str">
        <f t="shared" si="6"/>
        <v>18:17</v>
      </c>
      <c r="H20" s="91" t="str">
        <f t="shared" si="7"/>
        <v>-</v>
      </c>
      <c r="I20" s="92" t="str">
        <f t="shared" si="8"/>
        <v>-</v>
      </c>
      <c r="J20" s="92" t="str">
        <f t="shared" si="9"/>
        <v>-</v>
      </c>
      <c r="K20" s="93">
        <f t="shared" si="10"/>
        <v>0</v>
      </c>
      <c r="L20" s="93"/>
      <c r="M20" s="94">
        <f t="shared" si="11"/>
        <v>0</v>
      </c>
      <c r="N20" s="94">
        <f t="shared" si="12"/>
        <v>0</v>
      </c>
      <c r="O20" s="95"/>
      <c r="P20" s="137"/>
      <c r="Q20" s="137"/>
      <c r="R20" s="137"/>
      <c r="S20" s="137"/>
    </row>
    <row r="21" spans="1:19" s="2" customFormat="1">
      <c r="A21" s="140">
        <v>4249</v>
      </c>
      <c r="B21" s="140" t="s">
        <v>49</v>
      </c>
      <c r="C21" s="140" t="s">
        <v>49</v>
      </c>
      <c r="D21" s="141" t="s">
        <v>6</v>
      </c>
      <c r="E21" s="142">
        <v>42923.356550925928</v>
      </c>
      <c r="F21" s="89">
        <f t="shared" si="5"/>
        <v>42923.356550925928</v>
      </c>
      <c r="G21" s="90" t="str">
        <f t="shared" si="6"/>
        <v>8:33</v>
      </c>
      <c r="H21" s="91">
        <f t="shared" si="7"/>
        <v>10.016666666666667</v>
      </c>
      <c r="I21" s="92">
        <f t="shared" si="8"/>
        <v>8</v>
      </c>
      <c r="J21" s="92" t="str">
        <f t="shared" si="9"/>
        <v>-</v>
      </c>
      <c r="K21" s="93">
        <f t="shared" si="10"/>
        <v>0</v>
      </c>
      <c r="L21" s="93"/>
      <c r="M21" s="94">
        <f t="shared" si="11"/>
        <v>0</v>
      </c>
      <c r="N21" s="94">
        <f t="shared" si="12"/>
        <v>0</v>
      </c>
      <c r="O21" s="95"/>
      <c r="P21" s="8"/>
      <c r="Q21" s="8"/>
      <c r="R21" s="8"/>
      <c r="S21" s="8"/>
    </row>
    <row r="22" spans="1:19">
      <c r="A22" s="140">
        <v>4265</v>
      </c>
      <c r="B22" s="140" t="s">
        <v>49</v>
      </c>
      <c r="C22" s="140" t="s">
        <v>49</v>
      </c>
      <c r="D22" s="143" t="s">
        <v>5</v>
      </c>
      <c r="E22" s="144">
        <v>42923.773715277777</v>
      </c>
      <c r="F22" s="89">
        <f t="shared" si="5"/>
        <v>42923.773715277777</v>
      </c>
      <c r="G22" s="90" t="str">
        <f t="shared" si="6"/>
        <v>18:34</v>
      </c>
      <c r="H22" s="91" t="str">
        <f t="shared" si="7"/>
        <v>-</v>
      </c>
      <c r="I22" s="92" t="str">
        <f t="shared" si="8"/>
        <v>-</v>
      </c>
      <c r="J22" s="92" t="str">
        <f t="shared" si="9"/>
        <v>-</v>
      </c>
      <c r="K22" s="93">
        <f t="shared" si="10"/>
        <v>0</v>
      </c>
      <c r="L22" s="93"/>
      <c r="M22" s="94">
        <f t="shared" si="11"/>
        <v>0</v>
      </c>
      <c r="N22" s="94">
        <f t="shared" si="12"/>
        <v>0</v>
      </c>
      <c r="O22" s="95"/>
    </row>
    <row r="23" spans="1:19" s="2" customFormat="1">
      <c r="A23" s="140">
        <v>4266</v>
      </c>
      <c r="B23" s="140" t="s">
        <v>49</v>
      </c>
      <c r="C23" s="140" t="s">
        <v>49</v>
      </c>
      <c r="D23" s="141" t="s">
        <v>7</v>
      </c>
      <c r="E23" s="142">
        <v>42923.77375</v>
      </c>
      <c r="F23" s="89">
        <f t="shared" si="5"/>
        <v>42923.77375</v>
      </c>
      <c r="G23" s="90" t="str">
        <f t="shared" si="6"/>
        <v>18:34</v>
      </c>
      <c r="H23" s="91" t="str">
        <f t="shared" si="7"/>
        <v>-</v>
      </c>
      <c r="I23" s="92" t="str">
        <f t="shared" si="8"/>
        <v>-</v>
      </c>
      <c r="J23" s="92" t="str">
        <f t="shared" si="9"/>
        <v>-</v>
      </c>
      <c r="K23" s="93">
        <f t="shared" si="10"/>
        <v>2.4666666666666686</v>
      </c>
      <c r="L23" s="93"/>
      <c r="M23" s="94">
        <f t="shared" si="11"/>
        <v>2</v>
      </c>
      <c r="N23" s="94">
        <f t="shared" si="12"/>
        <v>0.46666666666666856</v>
      </c>
      <c r="O23" s="95"/>
      <c r="P23" s="8"/>
      <c r="Q23" s="8"/>
      <c r="R23" s="8"/>
      <c r="S23" s="8"/>
    </row>
    <row r="24" spans="1:19">
      <c r="A24" s="140">
        <v>4271</v>
      </c>
      <c r="B24" s="140" t="s">
        <v>49</v>
      </c>
      <c r="C24" s="140" t="s">
        <v>49</v>
      </c>
      <c r="D24" s="143" t="s">
        <v>8</v>
      </c>
      <c r="E24" s="144">
        <v>42923.876851851855</v>
      </c>
      <c r="F24" s="89">
        <f t="shared" si="5"/>
        <v>42923.876851851855</v>
      </c>
      <c r="G24" s="90" t="str">
        <f t="shared" si="6"/>
        <v>21:2</v>
      </c>
      <c r="H24" s="91" t="str">
        <f t="shared" si="7"/>
        <v>-</v>
      </c>
      <c r="I24" s="92" t="str">
        <f t="shared" si="8"/>
        <v>-</v>
      </c>
      <c r="J24" s="92" t="str">
        <f t="shared" si="9"/>
        <v>-</v>
      </c>
      <c r="K24" s="93">
        <f t="shared" si="10"/>
        <v>0</v>
      </c>
      <c r="L24" s="93"/>
      <c r="M24" s="94">
        <f t="shared" si="11"/>
        <v>0</v>
      </c>
      <c r="N24" s="94">
        <f t="shared" si="12"/>
        <v>0</v>
      </c>
      <c r="O24" s="95"/>
    </row>
    <row r="25" spans="1:19" s="2" customFormat="1">
      <c r="A25" s="140">
        <v>4274</v>
      </c>
      <c r="B25" s="140" t="s">
        <v>49</v>
      </c>
      <c r="C25" s="140" t="s">
        <v>49</v>
      </c>
      <c r="D25" s="141" t="s">
        <v>6</v>
      </c>
      <c r="E25" s="142">
        <v>42926.359293981484</v>
      </c>
      <c r="F25" s="89">
        <f t="shared" si="5"/>
        <v>42926.359293981484</v>
      </c>
      <c r="G25" s="90" t="str">
        <f t="shared" si="6"/>
        <v>8:37</v>
      </c>
      <c r="H25" s="91">
        <f t="shared" si="7"/>
        <v>9.9500000000000011</v>
      </c>
      <c r="I25" s="92">
        <f t="shared" si="8"/>
        <v>8</v>
      </c>
      <c r="J25" s="92" t="str">
        <f t="shared" si="9"/>
        <v>-</v>
      </c>
      <c r="K25" s="93">
        <f t="shared" si="10"/>
        <v>0</v>
      </c>
      <c r="L25" s="93"/>
      <c r="M25" s="94">
        <f t="shared" si="11"/>
        <v>0</v>
      </c>
      <c r="N25" s="94">
        <f t="shared" si="12"/>
        <v>0</v>
      </c>
      <c r="O25" s="95"/>
      <c r="P25" s="8"/>
      <c r="Q25" s="8"/>
      <c r="R25" s="8"/>
      <c r="S25" s="8"/>
    </row>
    <row r="26" spans="1:19" s="63" customFormat="1">
      <c r="A26" s="140">
        <v>4290</v>
      </c>
      <c r="B26" s="140" t="s">
        <v>49</v>
      </c>
      <c r="C26" s="140" t="s">
        <v>49</v>
      </c>
      <c r="D26" s="143" t="s">
        <v>5</v>
      </c>
      <c r="E26" s="144">
        <v>42926.774224537039</v>
      </c>
      <c r="F26" s="89">
        <f t="shared" si="5"/>
        <v>42926.774224537039</v>
      </c>
      <c r="G26" s="90" t="str">
        <f t="shared" si="6"/>
        <v>18:34</v>
      </c>
      <c r="H26" s="91" t="str">
        <f t="shared" si="7"/>
        <v>-</v>
      </c>
      <c r="I26" s="92" t="str">
        <f t="shared" si="8"/>
        <v>-</v>
      </c>
      <c r="J26" s="92" t="str">
        <f t="shared" si="9"/>
        <v>-</v>
      </c>
      <c r="K26" s="93">
        <f t="shared" si="10"/>
        <v>0</v>
      </c>
      <c r="L26" s="93"/>
      <c r="M26" s="94">
        <f t="shared" si="11"/>
        <v>0</v>
      </c>
      <c r="N26" s="94">
        <f t="shared" si="12"/>
        <v>0</v>
      </c>
      <c r="O26" s="95"/>
      <c r="P26" s="18"/>
      <c r="Q26" s="18"/>
      <c r="R26" s="18"/>
      <c r="S26" s="18"/>
    </row>
    <row r="27" spans="1:19" s="9" customFormat="1">
      <c r="A27" s="140">
        <v>4291</v>
      </c>
      <c r="B27" s="140" t="s">
        <v>49</v>
      </c>
      <c r="C27" s="140" t="s">
        <v>49</v>
      </c>
      <c r="D27" s="143" t="s">
        <v>7</v>
      </c>
      <c r="E27" s="144">
        <v>42926.774259259262</v>
      </c>
      <c r="F27" s="89">
        <f t="shared" si="5"/>
        <v>42926.774259259262</v>
      </c>
      <c r="G27" s="90" t="str">
        <f t="shared" si="6"/>
        <v>18:34</v>
      </c>
      <c r="H27" s="91" t="str">
        <f t="shared" si="7"/>
        <v>-</v>
      </c>
      <c r="I27" s="92" t="str">
        <f t="shared" si="8"/>
        <v>-</v>
      </c>
      <c r="J27" s="92" t="str">
        <f t="shared" si="9"/>
        <v>-</v>
      </c>
      <c r="K27" s="93">
        <f t="shared" si="10"/>
        <v>2.2666666666666639</v>
      </c>
      <c r="L27" s="93"/>
      <c r="M27" s="94">
        <f t="shared" si="11"/>
        <v>2</v>
      </c>
      <c r="N27" s="94">
        <f t="shared" si="12"/>
        <v>0.26666666666666394</v>
      </c>
      <c r="O27" s="95"/>
    </row>
    <row r="28" spans="1:19" s="9" customFormat="1">
      <c r="A28" s="140">
        <v>4296</v>
      </c>
      <c r="B28" s="140" t="s">
        <v>49</v>
      </c>
      <c r="C28" s="140" t="s">
        <v>49</v>
      </c>
      <c r="D28" s="143" t="s">
        <v>8</v>
      </c>
      <c r="E28" s="144">
        <v>42926.868495370371</v>
      </c>
      <c r="F28" s="89">
        <f t="shared" si="5"/>
        <v>42926.868495370371</v>
      </c>
      <c r="G28" s="90" t="str">
        <f t="shared" si="6"/>
        <v>20:50</v>
      </c>
      <c r="H28" s="91" t="str">
        <f t="shared" si="7"/>
        <v>-</v>
      </c>
      <c r="I28" s="92" t="str">
        <f t="shared" si="8"/>
        <v>-</v>
      </c>
      <c r="J28" s="92" t="str">
        <f t="shared" si="9"/>
        <v>-</v>
      </c>
      <c r="K28" s="93">
        <f t="shared" si="10"/>
        <v>0</v>
      </c>
      <c r="L28" s="93"/>
      <c r="M28" s="94">
        <f t="shared" si="11"/>
        <v>0</v>
      </c>
      <c r="N28" s="94">
        <f t="shared" si="12"/>
        <v>0</v>
      </c>
      <c r="O28" s="95"/>
    </row>
    <row r="29" spans="1:19" s="2" customFormat="1">
      <c r="A29" s="140">
        <v>4301</v>
      </c>
      <c r="B29" s="140" t="s">
        <v>49</v>
      </c>
      <c r="C29" s="140" t="s">
        <v>49</v>
      </c>
      <c r="D29" s="141" t="s">
        <v>6</v>
      </c>
      <c r="E29" s="142">
        <v>42927.357557870368</v>
      </c>
      <c r="F29" s="89">
        <f t="shared" si="5"/>
        <v>42927.357557870368</v>
      </c>
      <c r="G29" s="90" t="str">
        <f t="shared" si="6"/>
        <v>8:34</v>
      </c>
      <c r="H29" s="91">
        <f t="shared" si="7"/>
        <v>10.149999999999997</v>
      </c>
      <c r="I29" s="92">
        <f t="shared" si="8"/>
        <v>8</v>
      </c>
      <c r="J29" s="92" t="str">
        <f t="shared" si="9"/>
        <v>-</v>
      </c>
      <c r="K29" s="93">
        <f t="shared" si="10"/>
        <v>0</v>
      </c>
      <c r="L29" s="93"/>
      <c r="M29" s="94">
        <f t="shared" si="11"/>
        <v>0</v>
      </c>
      <c r="N29" s="94">
        <f t="shared" si="12"/>
        <v>0</v>
      </c>
      <c r="O29" s="95"/>
      <c r="P29" s="8"/>
      <c r="Q29" s="8"/>
      <c r="R29" s="8"/>
      <c r="S29" s="8"/>
    </row>
    <row r="30" spans="1:19">
      <c r="A30" s="140">
        <v>4314</v>
      </c>
      <c r="B30" s="140" t="s">
        <v>49</v>
      </c>
      <c r="C30" s="140" t="s">
        <v>49</v>
      </c>
      <c r="D30" s="143" t="s">
        <v>5</v>
      </c>
      <c r="E30" s="144">
        <v>42927.779930555553</v>
      </c>
      <c r="F30" s="89">
        <f t="shared" si="5"/>
        <v>42927.779930555553</v>
      </c>
      <c r="G30" s="90" t="str">
        <f t="shared" si="6"/>
        <v>18:43</v>
      </c>
      <c r="H30" s="91" t="str">
        <f t="shared" si="7"/>
        <v>-</v>
      </c>
      <c r="I30" s="92" t="str">
        <f t="shared" si="8"/>
        <v>-</v>
      </c>
      <c r="J30" s="92" t="str">
        <f t="shared" si="9"/>
        <v>-</v>
      </c>
      <c r="K30" s="93">
        <f t="shared" si="10"/>
        <v>0</v>
      </c>
      <c r="L30" s="93"/>
      <c r="M30" s="94">
        <f t="shared" si="11"/>
        <v>0</v>
      </c>
      <c r="N30" s="94">
        <f t="shared" si="12"/>
        <v>0</v>
      </c>
      <c r="O30" s="95"/>
    </row>
    <row r="31" spans="1:19" s="137" customFormat="1">
      <c r="A31" s="140">
        <v>4324</v>
      </c>
      <c r="B31" s="140" t="s">
        <v>49</v>
      </c>
      <c r="C31" s="140" t="s">
        <v>49</v>
      </c>
      <c r="D31" s="143" t="s">
        <v>6</v>
      </c>
      <c r="E31" s="144">
        <v>42928.356631944444</v>
      </c>
      <c r="F31" s="89">
        <f t="shared" si="5"/>
        <v>42928.356631944444</v>
      </c>
      <c r="G31" s="90" t="str">
        <f t="shared" si="6"/>
        <v>8:33</v>
      </c>
      <c r="H31" s="91">
        <f t="shared" si="7"/>
        <v>10.116666666666667</v>
      </c>
      <c r="I31" s="92">
        <f t="shared" si="8"/>
        <v>8</v>
      </c>
      <c r="J31" s="92" t="str">
        <f t="shared" si="9"/>
        <v>-</v>
      </c>
      <c r="K31" s="93">
        <f t="shared" si="10"/>
        <v>0</v>
      </c>
      <c r="L31" s="93"/>
      <c r="M31" s="94">
        <f t="shared" si="11"/>
        <v>0</v>
      </c>
      <c r="N31" s="94">
        <f t="shared" si="12"/>
        <v>0</v>
      </c>
      <c r="O31" s="95"/>
    </row>
    <row r="32" spans="1:19" s="137" customFormat="1" ht="17.25" customHeight="1">
      <c r="A32" s="140">
        <v>4334</v>
      </c>
      <c r="B32" s="140" t="s">
        <v>49</v>
      </c>
      <c r="C32" s="140" t="s">
        <v>49</v>
      </c>
      <c r="D32" s="143" t="s">
        <v>5</v>
      </c>
      <c r="E32" s="144">
        <v>42928.77815972222</v>
      </c>
      <c r="F32" s="89">
        <f t="shared" si="5"/>
        <v>42928.77815972222</v>
      </c>
      <c r="G32" s="90" t="str">
        <f t="shared" si="6"/>
        <v>18:40</v>
      </c>
      <c r="H32" s="91" t="str">
        <f t="shared" si="7"/>
        <v>-</v>
      </c>
      <c r="I32" s="92" t="str">
        <f t="shared" si="8"/>
        <v>-</v>
      </c>
      <c r="J32" s="92" t="str">
        <f t="shared" si="9"/>
        <v>-</v>
      </c>
      <c r="K32" s="93">
        <f t="shared" si="10"/>
        <v>0</v>
      </c>
      <c r="L32" s="93"/>
      <c r="M32" s="94">
        <f t="shared" si="11"/>
        <v>0</v>
      </c>
      <c r="N32" s="94">
        <f t="shared" si="12"/>
        <v>0</v>
      </c>
      <c r="O32" s="95"/>
    </row>
    <row r="33" spans="1:19" s="2" customFormat="1">
      <c r="A33" s="140">
        <v>4336</v>
      </c>
      <c r="B33" s="140" t="s">
        <v>49</v>
      </c>
      <c r="C33" s="140" t="s">
        <v>49</v>
      </c>
      <c r="D33" s="143" t="s">
        <v>7</v>
      </c>
      <c r="E33" s="144">
        <v>42928.778194444443</v>
      </c>
      <c r="F33" s="89">
        <f t="shared" si="5"/>
        <v>42928.778194444443</v>
      </c>
      <c r="G33" s="90" t="str">
        <f t="shared" si="6"/>
        <v>18:40</v>
      </c>
      <c r="H33" s="91" t="str">
        <f t="shared" si="7"/>
        <v>-</v>
      </c>
      <c r="I33" s="92" t="str">
        <f t="shared" si="8"/>
        <v>-</v>
      </c>
      <c r="J33" s="92" t="str">
        <f t="shared" si="9"/>
        <v>-</v>
      </c>
      <c r="K33" s="93">
        <f t="shared" si="10"/>
        <v>3.2500000000000018</v>
      </c>
      <c r="L33" s="93"/>
      <c r="M33" s="94">
        <f t="shared" si="11"/>
        <v>2</v>
      </c>
      <c r="N33" s="94">
        <f t="shared" si="12"/>
        <v>1.2500000000000018</v>
      </c>
      <c r="O33" s="95"/>
      <c r="P33" s="8"/>
      <c r="Q33" s="8"/>
      <c r="R33" s="8"/>
      <c r="S33" s="8"/>
    </row>
    <row r="34" spans="1:19" s="63" customFormat="1">
      <c r="A34" s="140">
        <v>4347</v>
      </c>
      <c r="B34" s="140" t="s">
        <v>49</v>
      </c>
      <c r="C34" s="140" t="s">
        <v>49</v>
      </c>
      <c r="D34" s="143" t="s">
        <v>8</v>
      </c>
      <c r="E34" s="144">
        <v>42928.913506944446</v>
      </c>
      <c r="F34" s="89">
        <f t="shared" si="5"/>
        <v>42928.913506944446</v>
      </c>
      <c r="G34" s="90" t="str">
        <f t="shared" si="6"/>
        <v>21:55</v>
      </c>
      <c r="H34" s="91" t="str">
        <f t="shared" si="7"/>
        <v>-</v>
      </c>
      <c r="I34" s="92" t="str">
        <f t="shared" si="8"/>
        <v>-</v>
      </c>
      <c r="J34" s="92" t="str">
        <f t="shared" si="9"/>
        <v>-</v>
      </c>
      <c r="K34" s="93">
        <f t="shared" si="10"/>
        <v>0</v>
      </c>
      <c r="L34" s="93"/>
      <c r="M34" s="94">
        <f t="shared" si="11"/>
        <v>0</v>
      </c>
      <c r="N34" s="94">
        <f t="shared" si="12"/>
        <v>0</v>
      </c>
      <c r="O34" s="95"/>
      <c r="P34" s="18"/>
      <c r="Q34" s="18"/>
      <c r="R34" s="18"/>
      <c r="S34" s="18"/>
    </row>
    <row r="35" spans="1:19" s="9" customFormat="1">
      <c r="A35" s="140">
        <v>4352</v>
      </c>
      <c r="B35" s="140" t="s">
        <v>49</v>
      </c>
      <c r="C35" s="140" t="s">
        <v>49</v>
      </c>
      <c r="D35" s="143" t="s">
        <v>6</v>
      </c>
      <c r="E35" s="144">
        <v>42929.360590277778</v>
      </c>
      <c r="F35" s="89">
        <f t="shared" si="5"/>
        <v>42929.360590277778</v>
      </c>
      <c r="G35" s="90" t="str">
        <f t="shared" si="6"/>
        <v>8:39</v>
      </c>
      <c r="H35" s="91">
        <f t="shared" si="7"/>
        <v>9.9</v>
      </c>
      <c r="I35" s="92">
        <f t="shared" si="8"/>
        <v>8</v>
      </c>
      <c r="J35" s="92" t="str">
        <f t="shared" si="9"/>
        <v>-</v>
      </c>
      <c r="K35" s="93">
        <f t="shared" si="10"/>
        <v>0</v>
      </c>
      <c r="L35" s="93"/>
      <c r="M35" s="94">
        <f t="shared" si="11"/>
        <v>0</v>
      </c>
      <c r="N35" s="94">
        <f t="shared" si="12"/>
        <v>0</v>
      </c>
      <c r="O35" s="95"/>
    </row>
    <row r="36" spans="1:19" s="9" customFormat="1">
      <c r="A36" s="140">
        <v>4361</v>
      </c>
      <c r="B36" s="140" t="s">
        <v>49</v>
      </c>
      <c r="C36" s="140" t="s">
        <v>49</v>
      </c>
      <c r="D36" s="143" t="s">
        <v>5</v>
      </c>
      <c r="E36" s="144">
        <v>42929.773414351854</v>
      </c>
      <c r="F36" s="89">
        <f t="shared" si="5"/>
        <v>42929.773414351854</v>
      </c>
      <c r="G36" s="90" t="str">
        <f t="shared" si="6"/>
        <v>18:33</v>
      </c>
      <c r="H36" s="91" t="str">
        <f t="shared" si="7"/>
        <v>-</v>
      </c>
      <c r="I36" s="92" t="str">
        <f t="shared" si="8"/>
        <v>-</v>
      </c>
      <c r="J36" s="92" t="str">
        <f t="shared" si="9"/>
        <v>-</v>
      </c>
      <c r="K36" s="93">
        <f t="shared" si="10"/>
        <v>0</v>
      </c>
      <c r="L36" s="93"/>
      <c r="M36" s="94">
        <f t="shared" si="11"/>
        <v>0</v>
      </c>
      <c r="N36" s="94">
        <f t="shared" si="12"/>
        <v>0</v>
      </c>
      <c r="O36" s="95"/>
    </row>
    <row r="37" spans="1:19" s="130" customFormat="1">
      <c r="A37" s="140">
        <v>4362</v>
      </c>
      <c r="B37" s="140" t="s">
        <v>49</v>
      </c>
      <c r="C37" s="140" t="s">
        <v>49</v>
      </c>
      <c r="D37" s="143" t="s">
        <v>7</v>
      </c>
      <c r="E37" s="144">
        <v>42929.773449074077</v>
      </c>
      <c r="F37" s="89">
        <f t="shared" si="5"/>
        <v>42929.773449074077</v>
      </c>
      <c r="G37" s="90" t="str">
        <f t="shared" si="6"/>
        <v>18:33</v>
      </c>
      <c r="H37" s="91" t="str">
        <f t="shared" si="7"/>
        <v>-</v>
      </c>
      <c r="I37" s="92" t="str">
        <f t="shared" si="8"/>
        <v>-</v>
      </c>
      <c r="J37" s="92" t="str">
        <f t="shared" si="9"/>
        <v>-</v>
      </c>
      <c r="K37" s="93">
        <f t="shared" si="10"/>
        <v>4.0999999999999988</v>
      </c>
      <c r="L37" s="93"/>
      <c r="M37" s="94">
        <f t="shared" si="11"/>
        <v>2</v>
      </c>
      <c r="N37" s="94">
        <f t="shared" si="12"/>
        <v>2.0999999999999988</v>
      </c>
      <c r="O37" s="95"/>
      <c r="P37" s="149"/>
      <c r="Q37" s="149"/>
      <c r="R37" s="149"/>
      <c r="S37" s="149"/>
    </row>
    <row r="38" spans="1:19">
      <c r="A38" s="140">
        <v>4371</v>
      </c>
      <c r="B38" s="140" t="s">
        <v>49</v>
      </c>
      <c r="C38" s="140" t="s">
        <v>49</v>
      </c>
      <c r="D38" s="143" t="s">
        <v>8</v>
      </c>
      <c r="E38" s="144">
        <v>42929.944062499999</v>
      </c>
      <c r="F38" s="89">
        <f t="shared" si="5"/>
        <v>42929.944062499999</v>
      </c>
      <c r="G38" s="90" t="str">
        <f t="shared" si="6"/>
        <v>22:39</v>
      </c>
      <c r="H38" s="91" t="str">
        <f t="shared" si="7"/>
        <v>-</v>
      </c>
      <c r="I38" s="92" t="str">
        <f t="shared" si="8"/>
        <v>-</v>
      </c>
      <c r="J38" s="92" t="str">
        <f t="shared" si="9"/>
        <v>-</v>
      </c>
      <c r="K38" s="93">
        <f t="shared" si="10"/>
        <v>0</v>
      </c>
      <c r="L38" s="93"/>
      <c r="M38" s="94">
        <f t="shared" si="11"/>
        <v>0</v>
      </c>
      <c r="N38" s="94">
        <f t="shared" si="12"/>
        <v>0</v>
      </c>
      <c r="O38" s="95"/>
    </row>
    <row r="39" spans="1:19">
      <c r="A39" s="140">
        <v>4374</v>
      </c>
      <c r="B39" s="140" t="s">
        <v>49</v>
      </c>
      <c r="C39" s="140" t="s">
        <v>49</v>
      </c>
      <c r="D39" s="143" t="s">
        <v>6</v>
      </c>
      <c r="E39" s="144">
        <v>42930.356689814813</v>
      </c>
      <c r="F39" s="89">
        <f t="shared" si="5"/>
        <v>42930.356689814813</v>
      </c>
      <c r="G39" s="90" t="str">
        <f t="shared" si="6"/>
        <v>8:33</v>
      </c>
      <c r="H39" s="91">
        <f t="shared" si="7"/>
        <v>10.216666666666667</v>
      </c>
      <c r="I39" s="92">
        <f t="shared" si="8"/>
        <v>8</v>
      </c>
      <c r="J39" s="92" t="str">
        <f t="shared" si="9"/>
        <v>-</v>
      </c>
      <c r="K39" s="93">
        <f t="shared" si="10"/>
        <v>0</v>
      </c>
      <c r="L39" s="93"/>
      <c r="M39" s="94">
        <f t="shared" si="11"/>
        <v>0</v>
      </c>
      <c r="N39" s="94">
        <f t="shared" si="12"/>
        <v>0</v>
      </c>
      <c r="O39" s="95"/>
    </row>
    <row r="40" spans="1:19" s="2" customFormat="1">
      <c r="A40" s="140">
        <v>4389</v>
      </c>
      <c r="B40" s="140" t="s">
        <v>49</v>
      </c>
      <c r="C40" s="140" t="s">
        <v>49</v>
      </c>
      <c r="D40" s="143" t="s">
        <v>5</v>
      </c>
      <c r="E40" s="144">
        <v>42930.782141203701</v>
      </c>
      <c r="F40" s="89">
        <f t="shared" si="5"/>
        <v>42930.782141203701</v>
      </c>
      <c r="G40" s="90" t="str">
        <f t="shared" si="6"/>
        <v>18:46</v>
      </c>
      <c r="H40" s="91" t="str">
        <f t="shared" si="7"/>
        <v>-</v>
      </c>
      <c r="I40" s="92" t="str">
        <f t="shared" si="8"/>
        <v>-</v>
      </c>
      <c r="J40" s="92" t="str">
        <f t="shared" si="9"/>
        <v>-</v>
      </c>
      <c r="K40" s="93">
        <f t="shared" si="10"/>
        <v>0</v>
      </c>
      <c r="L40" s="93"/>
      <c r="M40" s="94">
        <f t="shared" si="11"/>
        <v>0</v>
      </c>
      <c r="N40" s="94">
        <f t="shared" si="12"/>
        <v>0</v>
      </c>
      <c r="O40" s="95"/>
      <c r="P40" s="8"/>
      <c r="Q40" s="8"/>
      <c r="R40" s="8"/>
      <c r="S40" s="8"/>
    </row>
    <row r="41" spans="1:19">
      <c r="A41" s="140">
        <v>4397</v>
      </c>
      <c r="B41" s="140" t="s">
        <v>49</v>
      </c>
      <c r="C41" s="140" t="s">
        <v>49</v>
      </c>
      <c r="D41" s="143" t="s">
        <v>6</v>
      </c>
      <c r="E41" s="144">
        <v>42933.357407407406</v>
      </c>
      <c r="F41" s="89">
        <f t="shared" si="5"/>
        <v>42933.357407407406</v>
      </c>
      <c r="G41" s="90" t="str">
        <f t="shared" si="6"/>
        <v>8:34</v>
      </c>
      <c r="H41" s="91">
        <f t="shared" si="7"/>
        <v>9.8666666666666671</v>
      </c>
      <c r="I41" s="92">
        <f t="shared" si="8"/>
        <v>8</v>
      </c>
      <c r="J41" s="92" t="str">
        <f t="shared" si="9"/>
        <v>-</v>
      </c>
      <c r="K41" s="93">
        <f t="shared" si="10"/>
        <v>0</v>
      </c>
      <c r="L41" s="93"/>
      <c r="M41" s="94">
        <f t="shared" si="11"/>
        <v>0</v>
      </c>
      <c r="N41" s="94">
        <f t="shared" si="12"/>
        <v>0</v>
      </c>
      <c r="O41" s="95"/>
    </row>
    <row r="42" spans="1:19">
      <c r="A42" s="140">
        <v>4409</v>
      </c>
      <c r="B42" s="140" t="s">
        <v>49</v>
      </c>
      <c r="C42" s="140" t="s">
        <v>49</v>
      </c>
      <c r="D42" s="143" t="s">
        <v>5</v>
      </c>
      <c r="E42" s="144">
        <v>42933.768125000002</v>
      </c>
      <c r="F42" s="89">
        <f t="shared" si="5"/>
        <v>42933.768125000002</v>
      </c>
      <c r="G42" s="90" t="str">
        <f t="shared" si="6"/>
        <v>18:26</v>
      </c>
      <c r="H42" s="91" t="str">
        <f t="shared" si="7"/>
        <v>-</v>
      </c>
      <c r="I42" s="92" t="str">
        <f t="shared" si="8"/>
        <v>-</v>
      </c>
      <c r="J42" s="92" t="str">
        <f t="shared" si="9"/>
        <v>-</v>
      </c>
      <c r="K42" s="93">
        <f t="shared" si="10"/>
        <v>0</v>
      </c>
      <c r="L42" s="93"/>
      <c r="M42" s="94">
        <f t="shared" si="11"/>
        <v>0</v>
      </c>
      <c r="N42" s="94">
        <f t="shared" si="12"/>
        <v>0</v>
      </c>
      <c r="O42" s="95"/>
    </row>
    <row r="43" spans="1:19" s="16" customFormat="1">
      <c r="A43" s="140">
        <v>4418</v>
      </c>
      <c r="B43" s="140" t="s">
        <v>49</v>
      </c>
      <c r="C43" s="140" t="s">
        <v>49</v>
      </c>
      <c r="D43" s="143" t="s">
        <v>6</v>
      </c>
      <c r="E43" s="144">
        <v>42934.356585648151</v>
      </c>
      <c r="F43" s="89">
        <f t="shared" si="5"/>
        <v>42934.356585648151</v>
      </c>
      <c r="G43" s="90" t="str">
        <f t="shared" si="6"/>
        <v>8:33</v>
      </c>
      <c r="H43" s="91">
        <f t="shared" si="7"/>
        <v>9.8333333333333321</v>
      </c>
      <c r="I43" s="92">
        <f t="shared" si="8"/>
        <v>8</v>
      </c>
      <c r="J43" s="92" t="str">
        <f t="shared" si="9"/>
        <v>-</v>
      </c>
      <c r="K43" s="93">
        <f t="shared" si="10"/>
        <v>0</v>
      </c>
      <c r="L43" s="93"/>
      <c r="M43" s="94">
        <f t="shared" si="11"/>
        <v>0</v>
      </c>
      <c r="N43" s="94">
        <f t="shared" si="12"/>
        <v>0</v>
      </c>
      <c r="O43" s="95"/>
      <c r="P43" s="137"/>
      <c r="Q43" s="137"/>
      <c r="R43" s="137"/>
      <c r="S43" s="137"/>
    </row>
    <row r="44" spans="1:19" s="16" customFormat="1">
      <c r="A44" s="140">
        <v>4426</v>
      </c>
      <c r="B44" s="140" t="s">
        <v>49</v>
      </c>
      <c r="C44" s="140" t="s">
        <v>49</v>
      </c>
      <c r="D44" s="143" t="s">
        <v>5</v>
      </c>
      <c r="E44" s="144">
        <v>42934.766550925924</v>
      </c>
      <c r="F44" s="89">
        <f t="shared" si="5"/>
        <v>42934.766550925924</v>
      </c>
      <c r="G44" s="90" t="str">
        <f t="shared" si="6"/>
        <v>18:23</v>
      </c>
      <c r="H44" s="91" t="str">
        <f t="shared" si="7"/>
        <v>-</v>
      </c>
      <c r="I44" s="92" t="str">
        <f t="shared" si="8"/>
        <v>-</v>
      </c>
      <c r="J44" s="92" t="str">
        <f t="shared" si="9"/>
        <v>-</v>
      </c>
      <c r="K44" s="93">
        <f t="shared" si="10"/>
        <v>0</v>
      </c>
      <c r="L44" s="93"/>
      <c r="M44" s="94">
        <f t="shared" si="11"/>
        <v>0</v>
      </c>
      <c r="N44" s="94">
        <f t="shared" si="12"/>
        <v>0</v>
      </c>
      <c r="O44" s="95"/>
      <c r="P44" s="137"/>
      <c r="Q44" s="137"/>
      <c r="R44" s="137"/>
      <c r="S44" s="137"/>
    </row>
    <row r="45" spans="1:19">
      <c r="A45" s="140">
        <v>4431</v>
      </c>
      <c r="B45" s="140" t="s">
        <v>49</v>
      </c>
      <c r="C45" s="140" t="s">
        <v>49</v>
      </c>
      <c r="D45" s="143" t="s">
        <v>7</v>
      </c>
      <c r="E45" s="144">
        <v>42934.795358796298</v>
      </c>
      <c r="F45" s="89">
        <f t="shared" si="5"/>
        <v>42934.795358796298</v>
      </c>
      <c r="G45" s="90" t="str">
        <f t="shared" si="6"/>
        <v>19:5</v>
      </c>
      <c r="H45" s="91" t="str">
        <f t="shared" si="7"/>
        <v>-</v>
      </c>
      <c r="I45" s="92" t="str">
        <f t="shared" si="8"/>
        <v>-</v>
      </c>
      <c r="J45" s="92" t="str">
        <f t="shared" si="9"/>
        <v>-</v>
      </c>
      <c r="K45" s="93">
        <f t="shared" si="10"/>
        <v>1.883333333333332</v>
      </c>
      <c r="L45" s="93"/>
      <c r="M45" s="94">
        <f t="shared" si="11"/>
        <v>1.883333333333332</v>
      </c>
      <c r="N45" s="94">
        <f t="shared" si="12"/>
        <v>0</v>
      </c>
      <c r="O45" s="95"/>
    </row>
    <row r="46" spans="1:19">
      <c r="A46" s="140">
        <v>4439</v>
      </c>
      <c r="B46" s="140" t="s">
        <v>49</v>
      </c>
      <c r="C46" s="140" t="s">
        <v>49</v>
      </c>
      <c r="D46" s="143" t="s">
        <v>8</v>
      </c>
      <c r="E46" s="144">
        <v>42934.874201388891</v>
      </c>
      <c r="F46" s="89">
        <f t="shared" si="5"/>
        <v>42934.874201388891</v>
      </c>
      <c r="G46" s="90" t="str">
        <f t="shared" si="6"/>
        <v>20:58</v>
      </c>
      <c r="H46" s="91" t="str">
        <f t="shared" si="7"/>
        <v>-</v>
      </c>
      <c r="I46" s="92" t="str">
        <f t="shared" si="8"/>
        <v>-</v>
      </c>
      <c r="J46" s="92" t="str">
        <f t="shared" si="9"/>
        <v>-</v>
      </c>
      <c r="K46" s="93">
        <f t="shared" si="10"/>
        <v>0</v>
      </c>
      <c r="L46" s="93"/>
      <c r="M46" s="94">
        <f t="shared" si="11"/>
        <v>0</v>
      </c>
      <c r="N46" s="94">
        <f t="shared" si="12"/>
        <v>0</v>
      </c>
      <c r="O46" s="95"/>
    </row>
    <row r="47" spans="1:19">
      <c r="A47" s="140">
        <v>4443</v>
      </c>
      <c r="B47" s="140" t="s">
        <v>49</v>
      </c>
      <c r="C47" s="140" t="s">
        <v>49</v>
      </c>
      <c r="D47" s="143" t="s">
        <v>6</v>
      </c>
      <c r="E47" s="144">
        <v>42935.358611111114</v>
      </c>
      <c r="F47" s="89">
        <f t="shared" si="5"/>
        <v>42935.358611111114</v>
      </c>
      <c r="G47" s="90" t="str">
        <f t="shared" si="6"/>
        <v>8:36</v>
      </c>
      <c r="H47" s="91">
        <f t="shared" si="7"/>
        <v>9.9833333333333307</v>
      </c>
      <c r="I47" s="92">
        <f t="shared" si="8"/>
        <v>8</v>
      </c>
      <c r="J47" s="92" t="str">
        <f t="shared" si="9"/>
        <v>-</v>
      </c>
      <c r="K47" s="93">
        <f t="shared" si="10"/>
        <v>0</v>
      </c>
      <c r="L47" s="93"/>
      <c r="M47" s="94">
        <f t="shared" si="11"/>
        <v>0</v>
      </c>
      <c r="N47" s="94">
        <f t="shared" si="12"/>
        <v>0</v>
      </c>
      <c r="O47" s="95"/>
    </row>
    <row r="48" spans="1:19">
      <c r="A48" s="140">
        <v>4455</v>
      </c>
      <c r="B48" s="140" t="s">
        <v>49</v>
      </c>
      <c r="C48" s="140" t="s">
        <v>49</v>
      </c>
      <c r="D48" s="143" t="s">
        <v>5</v>
      </c>
      <c r="E48" s="144">
        <v>42935.77480324074</v>
      </c>
      <c r="F48" s="89">
        <f t="shared" si="5"/>
        <v>42935.77480324074</v>
      </c>
      <c r="G48" s="90" t="str">
        <f t="shared" si="6"/>
        <v>18:35</v>
      </c>
      <c r="H48" s="91" t="str">
        <f t="shared" si="7"/>
        <v>-</v>
      </c>
      <c r="I48" s="92" t="str">
        <f t="shared" si="8"/>
        <v>-</v>
      </c>
      <c r="J48" s="92" t="str">
        <f t="shared" si="9"/>
        <v>-</v>
      </c>
      <c r="K48" s="93">
        <f t="shared" si="10"/>
        <v>0</v>
      </c>
      <c r="L48" s="93"/>
      <c r="M48" s="94">
        <f t="shared" si="11"/>
        <v>0</v>
      </c>
      <c r="N48" s="94">
        <f t="shared" si="12"/>
        <v>0</v>
      </c>
      <c r="O48" s="95"/>
    </row>
    <row r="49" spans="1:19">
      <c r="A49" s="140">
        <v>4456</v>
      </c>
      <c r="B49" s="140" t="s">
        <v>49</v>
      </c>
      <c r="C49" s="140" t="s">
        <v>49</v>
      </c>
      <c r="D49" s="143" t="s">
        <v>7</v>
      </c>
      <c r="E49" s="144">
        <v>42935.77484953704</v>
      </c>
      <c r="F49" s="89">
        <f t="shared" si="5"/>
        <v>42935.77484953704</v>
      </c>
      <c r="G49" s="90" t="str">
        <f t="shared" si="6"/>
        <v>18:35</v>
      </c>
      <c r="H49" s="91" t="str">
        <f t="shared" si="7"/>
        <v>-</v>
      </c>
      <c r="I49" s="92" t="str">
        <f t="shared" si="8"/>
        <v>-</v>
      </c>
      <c r="J49" s="92" t="str">
        <f t="shared" si="9"/>
        <v>-</v>
      </c>
      <c r="K49" s="93">
        <f t="shared" si="10"/>
        <v>2.1833333333333336</v>
      </c>
      <c r="L49" s="93"/>
      <c r="M49" s="94">
        <f t="shared" si="11"/>
        <v>2</v>
      </c>
      <c r="N49" s="94">
        <f t="shared" si="12"/>
        <v>0.18333333333333357</v>
      </c>
      <c r="O49" s="95"/>
    </row>
    <row r="50" spans="1:19">
      <c r="A50" s="140">
        <v>4464</v>
      </c>
      <c r="B50" s="140" t="s">
        <v>49</v>
      </c>
      <c r="C50" s="140" t="s">
        <v>49</v>
      </c>
      <c r="D50" s="143" t="s">
        <v>8</v>
      </c>
      <c r="E50" s="144">
        <v>42935.865590277775</v>
      </c>
      <c r="F50" s="89">
        <f t="shared" si="5"/>
        <v>42935.865590277775</v>
      </c>
      <c r="G50" s="90" t="str">
        <f t="shared" si="6"/>
        <v>20:46</v>
      </c>
      <c r="H50" s="91" t="str">
        <f t="shared" si="7"/>
        <v>-</v>
      </c>
      <c r="I50" s="92" t="str">
        <f t="shared" si="8"/>
        <v>-</v>
      </c>
      <c r="J50" s="92" t="str">
        <f t="shared" si="9"/>
        <v>-</v>
      </c>
      <c r="K50" s="93">
        <f t="shared" si="10"/>
        <v>0</v>
      </c>
      <c r="L50" s="93"/>
      <c r="M50" s="94">
        <f t="shared" si="11"/>
        <v>0</v>
      </c>
      <c r="N50" s="94">
        <f t="shared" si="12"/>
        <v>0</v>
      </c>
      <c r="O50" s="95"/>
      <c r="P50" s="9" t="s">
        <v>20</v>
      </c>
    </row>
    <row r="51" spans="1:19">
      <c r="A51" s="140">
        <v>4466</v>
      </c>
      <c r="B51" s="140" t="s">
        <v>51</v>
      </c>
      <c r="C51" s="140" t="s">
        <v>49</v>
      </c>
      <c r="D51" s="143" t="s">
        <v>6</v>
      </c>
      <c r="E51" s="144">
        <v>42936.356134259258</v>
      </c>
      <c r="F51" s="89">
        <f t="shared" si="5"/>
        <v>42936.356134259258</v>
      </c>
      <c r="G51" s="90" t="str">
        <f t="shared" si="6"/>
        <v>8:32</v>
      </c>
      <c r="H51" s="91">
        <f t="shared" si="7"/>
        <v>9.6666666666666661</v>
      </c>
      <c r="I51" s="92">
        <f t="shared" si="8"/>
        <v>8</v>
      </c>
      <c r="J51" s="92" t="str">
        <f t="shared" si="9"/>
        <v>-</v>
      </c>
      <c r="K51" s="93">
        <f t="shared" si="10"/>
        <v>0</v>
      </c>
      <c r="L51" s="93"/>
      <c r="M51" s="94">
        <f t="shared" si="11"/>
        <v>0</v>
      </c>
      <c r="N51" s="94">
        <f t="shared" si="12"/>
        <v>0</v>
      </c>
      <c r="O51" s="95"/>
    </row>
    <row r="52" spans="1:19">
      <c r="A52" s="140">
        <v>4475</v>
      </c>
      <c r="B52" s="140" t="s">
        <v>51</v>
      </c>
      <c r="C52" s="140" t="s">
        <v>49</v>
      </c>
      <c r="D52" s="143" t="s">
        <v>5</v>
      </c>
      <c r="E52" s="144">
        <v>42936.758622685185</v>
      </c>
      <c r="F52" s="89">
        <f t="shared" si="5"/>
        <v>42936.758622685185</v>
      </c>
      <c r="G52" s="90" t="str">
        <f t="shared" si="6"/>
        <v>18:12</v>
      </c>
      <c r="H52" s="91" t="str">
        <f t="shared" si="7"/>
        <v>-</v>
      </c>
      <c r="I52" s="92" t="str">
        <f t="shared" si="8"/>
        <v>-</v>
      </c>
      <c r="J52" s="92" t="str">
        <f t="shared" si="9"/>
        <v>-</v>
      </c>
      <c r="K52" s="93">
        <f t="shared" si="10"/>
        <v>0</v>
      </c>
      <c r="L52" s="93"/>
      <c r="M52" s="94">
        <f t="shared" si="11"/>
        <v>0</v>
      </c>
      <c r="N52" s="94">
        <f t="shared" si="12"/>
        <v>0</v>
      </c>
      <c r="O52" s="95"/>
    </row>
    <row r="53" spans="1:19">
      <c r="A53" s="140">
        <v>4493</v>
      </c>
      <c r="B53" s="140" t="s">
        <v>49</v>
      </c>
      <c r="C53" s="140" t="s">
        <v>49</v>
      </c>
      <c r="D53" s="143" t="s">
        <v>6</v>
      </c>
      <c r="E53" s="144">
        <v>42937.359791666669</v>
      </c>
      <c r="F53" s="89">
        <f t="shared" si="5"/>
        <v>42937.359791666669</v>
      </c>
      <c r="G53" s="90" t="str">
        <f t="shared" si="6"/>
        <v>8:38</v>
      </c>
      <c r="H53" s="91">
        <f t="shared" si="7"/>
        <v>10.25</v>
      </c>
      <c r="I53" s="92">
        <f t="shared" si="8"/>
        <v>8</v>
      </c>
      <c r="J53" s="92" t="str">
        <f t="shared" si="9"/>
        <v>-</v>
      </c>
      <c r="K53" s="93">
        <f t="shared" si="10"/>
        <v>0</v>
      </c>
      <c r="L53" s="93"/>
      <c r="M53" s="94">
        <f t="shared" si="11"/>
        <v>0</v>
      </c>
      <c r="N53" s="94">
        <f t="shared" si="12"/>
        <v>0</v>
      </c>
      <c r="O53" s="95"/>
      <c r="P53"/>
      <c r="Q53"/>
      <c r="R53"/>
      <c r="S53"/>
    </row>
    <row r="54" spans="1:19">
      <c r="A54" s="140">
        <v>4503</v>
      </c>
      <c r="B54" s="140" t="s">
        <v>49</v>
      </c>
      <c r="C54" s="140" t="s">
        <v>49</v>
      </c>
      <c r="D54" s="143" t="s">
        <v>5</v>
      </c>
      <c r="E54" s="144">
        <v>42937.786932870367</v>
      </c>
      <c r="F54" s="89">
        <f t="shared" si="5"/>
        <v>42937.786932870367</v>
      </c>
      <c r="G54" s="90" t="str">
        <f t="shared" si="6"/>
        <v>18:53</v>
      </c>
      <c r="H54" s="91" t="str">
        <f t="shared" si="7"/>
        <v>-</v>
      </c>
      <c r="I54" s="92" t="str">
        <f t="shared" si="8"/>
        <v>-</v>
      </c>
      <c r="J54" s="92" t="str">
        <f t="shared" si="9"/>
        <v>-</v>
      </c>
      <c r="K54" s="93">
        <f t="shared" si="10"/>
        <v>0</v>
      </c>
      <c r="L54" s="93"/>
      <c r="M54" s="94">
        <f t="shared" si="11"/>
        <v>0</v>
      </c>
      <c r="N54" s="94">
        <f t="shared" si="12"/>
        <v>0</v>
      </c>
      <c r="O54" s="95"/>
      <c r="P54"/>
      <c r="Q54"/>
      <c r="R54"/>
      <c r="S54"/>
    </row>
    <row r="55" spans="1:19" s="2" customFormat="1">
      <c r="A55" s="140">
        <v>4508</v>
      </c>
      <c r="B55" s="140" t="s">
        <v>49</v>
      </c>
      <c r="C55" s="140" t="s">
        <v>49</v>
      </c>
      <c r="D55" s="143" t="s">
        <v>6</v>
      </c>
      <c r="E55" s="144">
        <v>42940.356087962966</v>
      </c>
      <c r="F55" s="89">
        <f t="shared" si="5"/>
        <v>42940.356087962966</v>
      </c>
      <c r="G55" s="90" t="str">
        <f t="shared" si="6"/>
        <v>8:32</v>
      </c>
      <c r="H55" s="91">
        <f t="shared" si="7"/>
        <v>10.216666666666667</v>
      </c>
      <c r="I55" s="92">
        <f t="shared" si="8"/>
        <v>8</v>
      </c>
      <c r="J55" s="92" t="str">
        <f t="shared" si="9"/>
        <v>-</v>
      </c>
      <c r="K55" s="93">
        <f t="shared" si="10"/>
        <v>0</v>
      </c>
      <c r="L55" s="93"/>
      <c r="M55" s="94">
        <f t="shared" si="11"/>
        <v>0</v>
      </c>
      <c r="N55" s="94">
        <f t="shared" si="12"/>
        <v>0</v>
      </c>
      <c r="O55" s="95"/>
    </row>
    <row r="56" spans="1:19" s="2" customFormat="1">
      <c r="A56" s="140">
        <v>4524</v>
      </c>
      <c r="B56" s="140" t="s">
        <v>49</v>
      </c>
      <c r="C56" s="140" t="s">
        <v>49</v>
      </c>
      <c r="D56" s="143" t="s">
        <v>5</v>
      </c>
      <c r="E56" s="144">
        <v>42940.781458333331</v>
      </c>
      <c r="F56" s="89">
        <f t="shared" si="5"/>
        <v>42940.781458333331</v>
      </c>
      <c r="G56" s="90" t="str">
        <f t="shared" si="6"/>
        <v>18:45</v>
      </c>
      <c r="H56" s="91" t="str">
        <f t="shared" si="7"/>
        <v>-</v>
      </c>
      <c r="I56" s="92" t="str">
        <f t="shared" si="8"/>
        <v>-</v>
      </c>
      <c r="J56" s="92" t="str">
        <f t="shared" si="9"/>
        <v>-</v>
      </c>
      <c r="K56" s="93">
        <f t="shared" si="10"/>
        <v>0</v>
      </c>
      <c r="L56" s="93"/>
      <c r="M56" s="94">
        <f t="shared" si="11"/>
        <v>0</v>
      </c>
      <c r="N56" s="94">
        <f t="shared" si="12"/>
        <v>0</v>
      </c>
      <c r="O56" s="95"/>
    </row>
    <row r="57" spans="1:19">
      <c r="A57" s="140">
        <v>4525</v>
      </c>
      <c r="B57" s="140" t="s">
        <v>49</v>
      </c>
      <c r="C57" s="140" t="s">
        <v>49</v>
      </c>
      <c r="D57" s="143" t="s">
        <v>7</v>
      </c>
      <c r="E57" s="144">
        <v>42940.781493055554</v>
      </c>
      <c r="F57" s="89">
        <f t="shared" si="5"/>
        <v>42940.781493055554</v>
      </c>
      <c r="G57" s="90" t="str">
        <f t="shared" si="6"/>
        <v>18:45</v>
      </c>
      <c r="H57" s="91" t="str">
        <f t="shared" si="7"/>
        <v>-</v>
      </c>
      <c r="I57" s="92" t="str">
        <f t="shared" si="8"/>
        <v>-</v>
      </c>
      <c r="J57" s="92" t="str">
        <f t="shared" si="9"/>
        <v>-</v>
      </c>
      <c r="K57" s="93">
        <f t="shared" si="10"/>
        <v>2.8833333333333337</v>
      </c>
      <c r="L57" s="93"/>
      <c r="M57" s="94">
        <f t="shared" si="11"/>
        <v>2</v>
      </c>
      <c r="N57" s="94">
        <f t="shared" si="12"/>
        <v>0.88333333333333375</v>
      </c>
      <c r="O57" s="95"/>
    </row>
    <row r="58" spans="1:19">
      <c r="A58" s="140">
        <v>4531</v>
      </c>
      <c r="B58" s="140" t="s">
        <v>49</v>
      </c>
      <c r="C58" s="140" t="s">
        <v>49</v>
      </c>
      <c r="D58" s="143" t="s">
        <v>8</v>
      </c>
      <c r="E58" s="144">
        <v>42940.901689814818</v>
      </c>
      <c r="F58" s="89">
        <f t="shared" si="5"/>
        <v>42940.901689814818</v>
      </c>
      <c r="G58" s="90" t="str">
        <f t="shared" si="6"/>
        <v>21:38</v>
      </c>
      <c r="H58" s="91" t="str">
        <f t="shared" si="7"/>
        <v>-</v>
      </c>
      <c r="I58" s="92" t="str">
        <f t="shared" si="8"/>
        <v>-</v>
      </c>
      <c r="J58" s="92" t="str">
        <f t="shared" si="9"/>
        <v>-</v>
      </c>
      <c r="K58" s="93">
        <f t="shared" si="10"/>
        <v>0</v>
      </c>
      <c r="L58" s="93"/>
      <c r="M58" s="94">
        <f t="shared" si="11"/>
        <v>0</v>
      </c>
      <c r="N58" s="94">
        <f t="shared" si="12"/>
        <v>0</v>
      </c>
      <c r="O58" s="95"/>
    </row>
    <row r="59" spans="1:19" s="63" customFormat="1">
      <c r="A59" s="140">
        <v>4538</v>
      </c>
      <c r="B59" s="140" t="s">
        <v>49</v>
      </c>
      <c r="C59" s="140" t="s">
        <v>49</v>
      </c>
      <c r="D59" s="143" t="s">
        <v>6</v>
      </c>
      <c r="E59" s="144">
        <v>42941.358611111114</v>
      </c>
      <c r="F59" s="89">
        <f t="shared" si="5"/>
        <v>42941.358611111114</v>
      </c>
      <c r="G59" s="90" t="str">
        <f t="shared" si="6"/>
        <v>8:36</v>
      </c>
      <c r="H59" s="91">
        <f t="shared" si="7"/>
        <v>10.533333333333331</v>
      </c>
      <c r="I59" s="92">
        <f t="shared" si="8"/>
        <v>8</v>
      </c>
      <c r="J59" s="92" t="str">
        <f t="shared" si="9"/>
        <v>-</v>
      </c>
      <c r="K59" s="93">
        <f t="shared" si="10"/>
        <v>0</v>
      </c>
      <c r="L59" s="93"/>
      <c r="M59" s="94">
        <f t="shared" si="11"/>
        <v>0</v>
      </c>
      <c r="N59" s="94">
        <f t="shared" si="12"/>
        <v>0</v>
      </c>
      <c r="O59" s="95"/>
      <c r="P59" s="18"/>
      <c r="Q59" s="18"/>
      <c r="R59" s="18"/>
      <c r="S59" s="18"/>
    </row>
    <row r="60" spans="1:19" s="63" customFormat="1">
      <c r="A60" s="140">
        <v>4551</v>
      </c>
      <c r="B60" s="140" t="s">
        <v>49</v>
      </c>
      <c r="C60" s="140" t="s">
        <v>49</v>
      </c>
      <c r="D60" s="143" t="s">
        <v>5</v>
      </c>
      <c r="E60" s="144">
        <v>42941.797615740739</v>
      </c>
      <c r="F60" s="89">
        <f t="shared" si="5"/>
        <v>42941.797615740739</v>
      </c>
      <c r="G60" s="90" t="str">
        <f t="shared" si="6"/>
        <v>19:8</v>
      </c>
      <c r="H60" s="91" t="str">
        <f t="shared" si="7"/>
        <v>-</v>
      </c>
      <c r="I60" s="92" t="str">
        <f t="shared" si="8"/>
        <v>-</v>
      </c>
      <c r="J60" s="92" t="str">
        <f t="shared" si="9"/>
        <v>-</v>
      </c>
      <c r="K60" s="93">
        <f t="shared" si="10"/>
        <v>0</v>
      </c>
      <c r="L60" s="93"/>
      <c r="M60" s="94">
        <f t="shared" si="11"/>
        <v>0</v>
      </c>
      <c r="N60" s="94">
        <f t="shared" si="12"/>
        <v>0</v>
      </c>
      <c r="O60" s="95"/>
      <c r="P60" s="18"/>
      <c r="Q60" s="18"/>
      <c r="R60" s="18"/>
      <c r="S60" s="18"/>
    </row>
    <row r="61" spans="1:19">
      <c r="A61" s="140">
        <v>4560</v>
      </c>
      <c r="B61" s="140" t="s">
        <v>49</v>
      </c>
      <c r="C61" s="140" t="s">
        <v>49</v>
      </c>
      <c r="D61" s="143" t="s">
        <v>6</v>
      </c>
      <c r="E61" s="144">
        <v>42942.358252314814</v>
      </c>
      <c r="F61" s="89">
        <f t="shared" si="5"/>
        <v>42942.358252314814</v>
      </c>
      <c r="G61" s="90" t="str">
        <f t="shared" si="6"/>
        <v>8:35</v>
      </c>
      <c r="H61" s="91">
        <f t="shared" si="7"/>
        <v>10.65</v>
      </c>
      <c r="I61" s="92">
        <f t="shared" si="8"/>
        <v>8</v>
      </c>
      <c r="J61" s="92" t="str">
        <f t="shared" si="9"/>
        <v>-</v>
      </c>
      <c r="K61" s="93">
        <f t="shared" si="10"/>
        <v>0</v>
      </c>
      <c r="L61" s="93"/>
      <c r="M61" s="94">
        <f t="shared" si="11"/>
        <v>0</v>
      </c>
      <c r="N61" s="94">
        <f t="shared" si="12"/>
        <v>0</v>
      </c>
      <c r="O61" s="95"/>
    </row>
    <row r="62" spans="1:19">
      <c r="A62" s="140">
        <v>4574</v>
      </c>
      <c r="B62" s="140" t="s">
        <v>49</v>
      </c>
      <c r="C62" s="140" t="s">
        <v>49</v>
      </c>
      <c r="D62" s="143" t="s">
        <v>5</v>
      </c>
      <c r="E62" s="144">
        <v>42942.801655092589</v>
      </c>
      <c r="F62" s="89">
        <f t="shared" si="5"/>
        <v>42942.801655092589</v>
      </c>
      <c r="G62" s="90" t="str">
        <f t="shared" si="6"/>
        <v>19:14</v>
      </c>
      <c r="H62" s="91" t="str">
        <f t="shared" si="7"/>
        <v>-</v>
      </c>
      <c r="I62" s="92" t="str">
        <f t="shared" si="8"/>
        <v>-</v>
      </c>
      <c r="J62" s="92" t="str">
        <f t="shared" si="9"/>
        <v>-</v>
      </c>
      <c r="K62" s="93">
        <f t="shared" si="10"/>
        <v>0</v>
      </c>
      <c r="L62" s="93"/>
      <c r="M62" s="94">
        <f t="shared" si="11"/>
        <v>0</v>
      </c>
      <c r="N62" s="94">
        <f t="shared" si="12"/>
        <v>0</v>
      </c>
      <c r="O62" s="95"/>
    </row>
    <row r="63" spans="1:19">
      <c r="A63">
        <v>4575</v>
      </c>
      <c r="B63" t="s">
        <v>49</v>
      </c>
      <c r="C63" t="s">
        <v>49</v>
      </c>
      <c r="D63" s="143" t="s">
        <v>7</v>
      </c>
      <c r="E63" s="144">
        <v>42942.801701388889</v>
      </c>
      <c r="F63" s="89">
        <f t="shared" si="5"/>
        <v>42942.801701388889</v>
      </c>
      <c r="G63" s="90" t="str">
        <f t="shared" si="6"/>
        <v>19:14</v>
      </c>
      <c r="H63" s="91" t="str">
        <f t="shared" si="7"/>
        <v>-</v>
      </c>
      <c r="I63" s="92" t="str">
        <f t="shared" si="8"/>
        <v>-</v>
      </c>
      <c r="J63" s="92" t="str">
        <f t="shared" si="9"/>
        <v>-</v>
      </c>
      <c r="K63" s="93">
        <f t="shared" si="10"/>
        <v>0.19999999999999929</v>
      </c>
      <c r="L63" s="93"/>
      <c r="M63" s="94">
        <f t="shared" si="11"/>
        <v>0.19999999999999929</v>
      </c>
      <c r="N63" s="94">
        <f t="shared" si="12"/>
        <v>0</v>
      </c>
      <c r="O63" s="95"/>
    </row>
    <row r="64" spans="1:19" s="63" customFormat="1">
      <c r="A64">
        <v>4576</v>
      </c>
      <c r="B64" t="s">
        <v>51</v>
      </c>
      <c r="C64" t="s">
        <v>49</v>
      </c>
      <c r="D64" s="143" t="s">
        <v>8</v>
      </c>
      <c r="E64" s="144">
        <v>42942.810173611113</v>
      </c>
      <c r="F64" s="89">
        <f t="shared" si="5"/>
        <v>42942.810173611113</v>
      </c>
      <c r="G64" s="90" t="str">
        <f t="shared" si="6"/>
        <v>19:26</v>
      </c>
      <c r="H64" s="91" t="str">
        <f t="shared" si="7"/>
        <v>-</v>
      </c>
      <c r="I64" s="92" t="str">
        <f t="shared" si="8"/>
        <v>-</v>
      </c>
      <c r="J64" s="92" t="str">
        <f t="shared" si="9"/>
        <v>-</v>
      </c>
      <c r="K64" s="93">
        <f t="shared" si="10"/>
        <v>0</v>
      </c>
      <c r="L64" s="93"/>
      <c r="M64" s="94">
        <f t="shared" si="11"/>
        <v>0</v>
      </c>
      <c r="N64" s="94">
        <f t="shared" si="12"/>
        <v>0</v>
      </c>
      <c r="O64" s="95"/>
      <c r="P64" s="18"/>
      <c r="Q64" s="18"/>
      <c r="R64" s="18"/>
      <c r="S64" s="18"/>
    </row>
    <row r="65" spans="1:19">
      <c r="A65">
        <v>4584</v>
      </c>
      <c r="B65" t="s">
        <v>51</v>
      </c>
      <c r="C65" t="s">
        <v>49</v>
      </c>
      <c r="D65" s="143" t="s">
        <v>6</v>
      </c>
      <c r="E65" s="144">
        <v>42943.359733796293</v>
      </c>
      <c r="F65" s="89">
        <f t="shared" si="5"/>
        <v>42943.359733796293</v>
      </c>
      <c r="G65" s="90" t="str">
        <f t="shared" si="6"/>
        <v>8:38</v>
      </c>
      <c r="H65" s="91">
        <f t="shared" si="7"/>
        <v>9.7666666666666657</v>
      </c>
      <c r="I65" s="92">
        <f t="shared" si="8"/>
        <v>8</v>
      </c>
      <c r="J65" s="92" t="str">
        <f t="shared" si="9"/>
        <v>-</v>
      </c>
      <c r="K65" s="93">
        <f t="shared" si="10"/>
        <v>0</v>
      </c>
      <c r="L65" s="93"/>
      <c r="M65" s="94">
        <f t="shared" si="11"/>
        <v>0</v>
      </c>
      <c r="N65" s="94">
        <f t="shared" si="12"/>
        <v>0</v>
      </c>
      <c r="O65" s="95"/>
    </row>
    <row r="66" spans="1:19">
      <c r="A66">
        <v>4594</v>
      </c>
      <c r="B66" t="s">
        <v>49</v>
      </c>
      <c r="C66" t="s">
        <v>49</v>
      </c>
      <c r="D66" s="143" t="s">
        <v>5</v>
      </c>
      <c r="E66" s="144">
        <v>42943.767094907409</v>
      </c>
      <c r="F66" s="89">
        <f t="shared" si="5"/>
        <v>42943.767094907409</v>
      </c>
      <c r="G66" s="90" t="str">
        <f t="shared" si="6"/>
        <v>18:24</v>
      </c>
      <c r="H66" s="91" t="str">
        <f t="shared" si="7"/>
        <v>-</v>
      </c>
      <c r="I66" s="92" t="str">
        <f t="shared" si="8"/>
        <v>-</v>
      </c>
      <c r="J66" s="92" t="str">
        <f t="shared" si="9"/>
        <v>-</v>
      </c>
      <c r="K66" s="93">
        <f t="shared" si="10"/>
        <v>0</v>
      </c>
      <c r="L66" s="93"/>
      <c r="M66" s="94">
        <f t="shared" si="11"/>
        <v>0</v>
      </c>
      <c r="N66" s="94">
        <f t="shared" si="12"/>
        <v>0</v>
      </c>
      <c r="O66" s="95"/>
    </row>
    <row r="67" spans="1:19">
      <c r="A67">
        <v>4603</v>
      </c>
      <c r="B67" t="s">
        <v>49</v>
      </c>
      <c r="C67" t="s">
        <v>49</v>
      </c>
      <c r="D67" s="143" t="s">
        <v>6</v>
      </c>
      <c r="E67" s="144">
        <v>42944.356435185182</v>
      </c>
      <c r="F67" s="89">
        <f t="shared" si="5"/>
        <v>42944.356435185182</v>
      </c>
      <c r="G67" s="90" t="str">
        <f t="shared" si="6"/>
        <v>8:33</v>
      </c>
      <c r="H67" s="91">
        <f t="shared" si="7"/>
        <v>10.316666666666666</v>
      </c>
      <c r="I67" s="92">
        <f t="shared" si="8"/>
        <v>8</v>
      </c>
      <c r="J67" s="92" t="str">
        <f t="shared" si="9"/>
        <v>-</v>
      </c>
      <c r="K67" s="93">
        <f t="shared" si="10"/>
        <v>0</v>
      </c>
      <c r="L67" s="93"/>
      <c r="M67" s="94">
        <f t="shared" si="11"/>
        <v>0</v>
      </c>
      <c r="N67" s="94">
        <f t="shared" si="12"/>
        <v>0</v>
      </c>
      <c r="O67" s="95"/>
    </row>
    <row r="68" spans="1:19">
      <c r="A68">
        <v>4618</v>
      </c>
      <c r="B68" t="s">
        <v>49</v>
      </c>
      <c r="C68" t="s">
        <v>49</v>
      </c>
      <c r="D68" s="143" t="s">
        <v>5</v>
      </c>
      <c r="E68" s="144">
        <v>42944.786377314813</v>
      </c>
      <c r="F68" s="89">
        <f t="shared" si="5"/>
        <v>42944.786377314813</v>
      </c>
      <c r="G68" s="90" t="str">
        <f t="shared" si="6"/>
        <v>18:52</v>
      </c>
      <c r="H68" s="91" t="str">
        <f t="shared" si="7"/>
        <v>-</v>
      </c>
      <c r="I68" s="92" t="str">
        <f t="shared" si="8"/>
        <v>-</v>
      </c>
      <c r="J68" s="92" t="str">
        <f t="shared" si="9"/>
        <v>-</v>
      </c>
      <c r="K68" s="93">
        <f t="shared" si="10"/>
        <v>0</v>
      </c>
      <c r="L68" s="93"/>
      <c r="M68" s="94">
        <f t="shared" si="11"/>
        <v>0</v>
      </c>
      <c r="N68" s="94">
        <f t="shared" si="12"/>
        <v>0</v>
      </c>
      <c r="O68" s="95"/>
    </row>
    <row r="69" spans="1:19" s="63" customFormat="1">
      <c r="A69" s="63">
        <v>4603</v>
      </c>
      <c r="B69" s="63" t="s">
        <v>49</v>
      </c>
      <c r="C69" s="63" t="s">
        <v>49</v>
      </c>
      <c r="D69" s="181" t="s">
        <v>6</v>
      </c>
      <c r="E69" s="180">
        <v>42947.354351851849</v>
      </c>
      <c r="F69" s="135">
        <f t="shared" si="5"/>
        <v>42947.354351851849</v>
      </c>
      <c r="G69" s="67" t="str">
        <f t="shared" si="6"/>
        <v>8:30</v>
      </c>
      <c r="H69" s="64">
        <f t="shared" si="7"/>
        <v>9.5</v>
      </c>
      <c r="I69" s="66">
        <f t="shared" si="8"/>
        <v>8</v>
      </c>
      <c r="J69" s="66" t="str">
        <f t="shared" si="9"/>
        <v>-</v>
      </c>
      <c r="K69" s="68">
        <f t="shared" si="10"/>
        <v>0</v>
      </c>
      <c r="L69" s="68"/>
      <c r="M69" s="65">
        <f t="shared" si="11"/>
        <v>0</v>
      </c>
      <c r="N69" s="65">
        <f t="shared" si="12"/>
        <v>0</v>
      </c>
      <c r="O69" s="147" t="s">
        <v>81</v>
      </c>
      <c r="P69" s="18"/>
      <c r="Q69" s="18"/>
      <c r="R69" s="18"/>
      <c r="S69" s="18"/>
    </row>
    <row r="70" spans="1:19" s="63" customFormat="1">
      <c r="A70" s="63">
        <v>4618</v>
      </c>
      <c r="B70" s="63" t="s">
        <v>49</v>
      </c>
      <c r="C70" s="63" t="s">
        <v>49</v>
      </c>
      <c r="D70" s="181" t="s">
        <v>5</v>
      </c>
      <c r="E70" s="180">
        <v>42947.7502662037</v>
      </c>
      <c r="F70" s="135">
        <f t="shared" si="5"/>
        <v>42947.7502662037</v>
      </c>
      <c r="G70" s="67" t="str">
        <f t="shared" si="6"/>
        <v>18:0</v>
      </c>
      <c r="H70" s="64" t="str">
        <f>IF(D70="上班",(#REF!-G70)*24,"-")</f>
        <v>-</v>
      </c>
      <c r="I70" s="66" t="str">
        <f t="shared" si="8"/>
        <v>-</v>
      </c>
      <c r="J70" s="66" t="str">
        <f t="shared" si="9"/>
        <v>-</v>
      </c>
      <c r="K70" s="68">
        <f>IF(D70="加班",(#REF!-G70)*24,0)</f>
        <v>0</v>
      </c>
      <c r="L70" s="68"/>
      <c r="M70" s="65">
        <f t="shared" si="11"/>
        <v>0</v>
      </c>
      <c r="N70" s="65">
        <f t="shared" si="12"/>
        <v>0</v>
      </c>
      <c r="O70" s="147"/>
      <c r="P70" s="18"/>
      <c r="Q70" s="18"/>
      <c r="R70" s="18"/>
      <c r="S70" s="18"/>
    </row>
    <row r="71" spans="1:19">
      <c r="D71"/>
    </row>
    <row r="72" spans="1:19">
      <c r="D72"/>
    </row>
    <row r="73" spans="1:19">
      <c r="D73" s="9" t="s">
        <v>50</v>
      </c>
      <c r="E73" s="9"/>
      <c r="F73" s="55"/>
      <c r="G73" s="55"/>
      <c r="H73" s="9"/>
      <c r="I73" s="60"/>
      <c r="J73" s="61"/>
      <c r="K73" s="61"/>
      <c r="L73" s="59"/>
    </row>
    <row r="74" spans="1:19">
      <c r="D74" s="9" t="s">
        <v>40</v>
      </c>
      <c r="E74"/>
      <c r="F74" s="3"/>
      <c r="G74"/>
      <c r="H74"/>
      <c r="I74" s="62"/>
      <c r="J74" s="62"/>
      <c r="K74" s="62"/>
      <c r="L74" s="59"/>
    </row>
    <row r="75" spans="1:19">
      <c r="D75" s="172" t="s">
        <v>64</v>
      </c>
      <c r="E75" s="173"/>
      <c r="F75" s="130"/>
      <c r="G75" s="174"/>
      <c r="H75" s="175"/>
      <c r="I75" s="176"/>
      <c r="J75" s="176"/>
      <c r="K75" s="177"/>
      <c r="L75" s="177"/>
      <c r="M75" s="177"/>
    </row>
    <row r="76" spans="1:19">
      <c r="D76" t="s">
        <v>67</v>
      </c>
    </row>
    <row r="77" spans="1:19">
      <c r="D77" t="s">
        <v>65</v>
      </c>
    </row>
    <row r="78" spans="1:19">
      <c r="D78" t="s">
        <v>69</v>
      </c>
    </row>
    <row r="79" spans="1:19">
      <c r="D79" t="s">
        <v>70</v>
      </c>
    </row>
    <row r="80" spans="1:19">
      <c r="D80" t="s">
        <v>66</v>
      </c>
    </row>
    <row r="81" spans="4:4">
      <c r="D81" t="s">
        <v>68</v>
      </c>
    </row>
  </sheetData>
  <phoneticPr fontId="18" type="noConversion"/>
  <pageMargins left="0.23622047244094491" right="0.23622047244094491" top="0.15748031496062992" bottom="0.15748031496062992" header="0.31496062992125984" footer="0.31496062992125984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工作表26"/>
  <dimension ref="A1:U39"/>
  <sheetViews>
    <sheetView topLeftCell="D1" workbookViewId="0"/>
  </sheetViews>
  <sheetFormatPr defaultColWidth="8.875" defaultRowHeight="16.5" outlineLevelCol="1"/>
  <cols>
    <col min="1" max="1" width="5.375" hidden="1" customWidth="1" outlineLevel="1"/>
    <col min="2" max="2" width="6.875" hidden="1" customWidth="1" outlineLevel="1"/>
    <col min="3" max="3" width="6.5" style="3" hidden="1" customWidth="1" outlineLevel="1"/>
    <col min="4" max="4" width="10.5" style="3" customWidth="1" collapsed="1"/>
    <col min="5" max="5" width="15.125" style="3" customWidth="1"/>
    <col min="6" max="6" width="6.125" style="16" customWidth="1"/>
    <col min="7" max="7" width="8.625" style="17" hidden="1" customWidth="1" outlineLevel="1"/>
    <col min="8" max="8" width="11.125" style="51" hidden="1" customWidth="1" outlineLevel="1"/>
    <col min="9" max="9" width="10.1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8.625" style="22" customWidth="1"/>
    <col min="15" max="15" width="18.12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LZ</v>
      </c>
      <c r="J1" s="46" t="s">
        <v>30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29</v>
      </c>
      <c r="E2" s="29"/>
      <c r="F2" s="79"/>
      <c r="G2" s="80"/>
      <c r="H2" s="80"/>
      <c r="I2" s="81"/>
      <c r="J2" s="81" t="s">
        <v>35</v>
      </c>
      <c r="K2" s="82"/>
      <c r="L2" s="83" t="s">
        <v>21</v>
      </c>
      <c r="M2" s="84" t="s">
        <v>18</v>
      </c>
      <c r="N2" s="84" t="s">
        <v>19</v>
      </c>
      <c r="O2" s="85" t="s">
        <v>28</v>
      </c>
    </row>
    <row r="3" spans="1:21" ht="17.25" thickBot="1">
      <c r="D3" s="24"/>
      <c r="E3" s="30"/>
      <c r="F3" s="25"/>
      <c r="G3" s="26"/>
      <c r="H3" s="26"/>
      <c r="I3" s="88"/>
      <c r="J3" s="54">
        <f>D5+E5</f>
        <v>5.0000000000000711E-2</v>
      </c>
      <c r="K3" s="53">
        <f>SUM(K15:K41)</f>
        <v>4.1333333333333346</v>
      </c>
      <c r="L3" s="53">
        <v>0.05</v>
      </c>
      <c r="M3" s="53">
        <f>M6-L3</f>
        <v>4.8500000000000014</v>
      </c>
      <c r="N3" s="53">
        <f>N6</f>
        <v>0</v>
      </c>
      <c r="O3" s="50"/>
    </row>
    <row r="4" spans="1:21">
      <c r="D4" s="134" t="s">
        <v>46</v>
      </c>
      <c r="E4" s="69" t="s">
        <v>45</v>
      </c>
      <c r="F4" s="69" t="s">
        <v>47</v>
      </c>
      <c r="G4" s="70"/>
      <c r="H4" s="70"/>
      <c r="I4" s="71" t="s">
        <v>34</v>
      </c>
      <c r="J4" s="71" t="s">
        <v>26</v>
      </c>
      <c r="K4" s="71"/>
      <c r="L4" s="71" t="s">
        <v>13</v>
      </c>
      <c r="M4" s="71" t="s">
        <v>13</v>
      </c>
      <c r="N4" s="71" t="s">
        <v>13</v>
      </c>
      <c r="O4" s="39"/>
      <c r="Q4" s="15" t="s">
        <v>24</v>
      </c>
      <c r="R4" s="9" t="s">
        <v>31</v>
      </c>
      <c r="S4" s="15" t="s">
        <v>26</v>
      </c>
      <c r="T4" s="48" t="s">
        <v>32</v>
      </c>
      <c r="U4" s="49">
        <f>I6+J6</f>
        <v>59</v>
      </c>
    </row>
    <row r="5" spans="1:21">
      <c r="D5" s="162">
        <f>J27</f>
        <v>5.0000000000000711E-2</v>
      </c>
      <c r="E5" s="150">
        <v>0</v>
      </c>
      <c r="F5" s="86">
        <v>0</v>
      </c>
      <c r="G5" s="72"/>
      <c r="H5" s="72"/>
      <c r="I5" s="73" t="s">
        <v>48</v>
      </c>
      <c r="J5" s="73" t="s">
        <v>48</v>
      </c>
      <c r="K5" s="73" t="s">
        <v>17</v>
      </c>
      <c r="L5" s="73" t="s">
        <v>21</v>
      </c>
      <c r="M5" s="73" t="s">
        <v>18</v>
      </c>
      <c r="N5" s="73" t="s">
        <v>19</v>
      </c>
      <c r="O5" s="41"/>
      <c r="Q5" s="9" t="s">
        <v>41</v>
      </c>
      <c r="S5" s="57">
        <f>(L6+M6+N6)/160</f>
        <v>3.0625000000000006E-2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23</v>
      </c>
      <c r="I6" s="78">
        <f>SUM(I7:I36)</f>
        <v>58.95</v>
      </c>
      <c r="J6" s="78">
        <f t="shared" ref="J6:N6" si="0">SUM(J7:J36)</f>
        <v>5.0000000000000711E-2</v>
      </c>
      <c r="K6" s="78">
        <f t="shared" si="0"/>
        <v>4.9000000000000012</v>
      </c>
      <c r="L6" s="78">
        <f t="shared" si="0"/>
        <v>0</v>
      </c>
      <c r="M6" s="78">
        <f t="shared" si="0"/>
        <v>4.9000000000000012</v>
      </c>
      <c r="N6" s="78">
        <f t="shared" si="0"/>
        <v>0</v>
      </c>
      <c r="O6" s="45"/>
      <c r="Q6" s="47"/>
    </row>
    <row r="7" spans="1:21" s="137" customFormat="1">
      <c r="A7" s="152">
        <v>2100</v>
      </c>
      <c r="B7" s="152" t="s">
        <v>60</v>
      </c>
      <c r="C7" s="152" t="s">
        <v>14</v>
      </c>
      <c r="D7" s="153" t="s">
        <v>6</v>
      </c>
      <c r="E7" s="154">
        <v>42738.365381944444</v>
      </c>
      <c r="F7" s="89">
        <f t="shared" ref="F7:F36" si="1">E7</f>
        <v>42738.365381944444</v>
      </c>
      <c r="G7" s="32" t="str">
        <f t="shared" ref="G7" si="2">HOUR(E7)&amp;":"&amp;MINUTE(E7)</f>
        <v>8:46</v>
      </c>
      <c r="H7" s="33">
        <f t="shared" ref="H7" si="3">IF(D7="上班",(G8-G7)*24,"-")</f>
        <v>9.8666666666666671</v>
      </c>
      <c r="I7" s="92">
        <f t="shared" ref="I7:I8" si="4">IF(D7="上班",IF(H7-1.5&gt;8,8,H7-1.5),"-")</f>
        <v>8</v>
      </c>
      <c r="J7" s="92" t="str">
        <f t="shared" ref="J7:J8" si="5">IF(I7&lt;8,8-I7,"-")</f>
        <v>-</v>
      </c>
      <c r="K7" s="93">
        <f t="shared" ref="K7:K8" si="6">IF(D7="加班",(G8-G7)*24,0)</f>
        <v>0</v>
      </c>
      <c r="L7" s="93"/>
      <c r="M7" s="94">
        <f t="shared" ref="M7:M8" si="7">IF(K7&gt;2,2,K7)</f>
        <v>0</v>
      </c>
      <c r="N7" s="94">
        <f t="shared" ref="N7:N8" si="8">IF(K7&gt;2,K7-2,0)</f>
        <v>0</v>
      </c>
      <c r="O7" s="20"/>
    </row>
    <row r="8" spans="1:21" s="137" customFormat="1">
      <c r="A8" s="152">
        <v>2108</v>
      </c>
      <c r="B8" s="152" t="s">
        <v>14</v>
      </c>
      <c r="C8" s="152" t="s">
        <v>14</v>
      </c>
      <c r="D8" s="155" t="s">
        <v>5</v>
      </c>
      <c r="E8" s="156">
        <v>42738.776435185187</v>
      </c>
      <c r="F8" s="89">
        <f t="shared" si="1"/>
        <v>42738.776435185187</v>
      </c>
      <c r="G8" s="90" t="str">
        <f t="shared" ref="G8:G34" si="9">HOUR(E8)&amp;":"&amp;MINUTE(E8)</f>
        <v>18:38</v>
      </c>
      <c r="H8" s="91" t="str">
        <f t="shared" ref="H8:H33" si="10">IF(D8="上班",(G9-G8)*24,"-")</f>
        <v>-</v>
      </c>
      <c r="I8" s="92" t="str">
        <f t="shared" si="4"/>
        <v>-</v>
      </c>
      <c r="J8" s="92" t="str">
        <f t="shared" si="5"/>
        <v>-</v>
      </c>
      <c r="K8" s="93">
        <f t="shared" si="6"/>
        <v>0</v>
      </c>
      <c r="L8" s="93"/>
      <c r="M8" s="94">
        <f t="shared" si="7"/>
        <v>0</v>
      </c>
      <c r="N8" s="94">
        <f t="shared" si="8"/>
        <v>0</v>
      </c>
      <c r="O8" s="20"/>
    </row>
    <row r="9" spans="1:21">
      <c r="A9" s="152">
        <v>2112</v>
      </c>
      <c r="B9" s="152" t="s">
        <v>14</v>
      </c>
      <c r="C9" s="152" t="s">
        <v>14</v>
      </c>
      <c r="D9" s="155" t="s">
        <v>6</v>
      </c>
      <c r="E9" s="156">
        <v>42739.358425925922</v>
      </c>
      <c r="F9" s="89">
        <f t="shared" si="1"/>
        <v>42739.358425925922</v>
      </c>
      <c r="G9" s="90" t="str">
        <f t="shared" si="9"/>
        <v>8:36</v>
      </c>
      <c r="H9" s="91">
        <f t="shared" si="10"/>
        <v>10.066666666666666</v>
      </c>
      <c r="I9" s="92">
        <f t="shared" ref="I9:I10" si="11">IF(D9="上班",IF(H9-1.5&gt;8,8,H9-1.5),"-")</f>
        <v>8</v>
      </c>
      <c r="J9" s="92" t="str">
        <f t="shared" ref="J9:J10" si="12">IF(I9&lt;8,8-I9,"-")</f>
        <v>-</v>
      </c>
      <c r="K9" s="93">
        <f t="shared" ref="K9:K10" si="13">IF(D9="加班",(G10-G9)*24,0)</f>
        <v>0</v>
      </c>
      <c r="L9" s="93"/>
      <c r="M9" s="94">
        <f t="shared" ref="M9:M10" si="14">IF(K9&gt;2,2,K9)</f>
        <v>0</v>
      </c>
      <c r="N9" s="94">
        <f t="shared" ref="N9:N10" si="15">IF(K9&gt;2,K9-2,0)</f>
        <v>0</v>
      </c>
      <c r="O9" s="20"/>
    </row>
    <row r="10" spans="1:21">
      <c r="A10" s="152">
        <v>2122</v>
      </c>
      <c r="B10" s="152" t="s">
        <v>14</v>
      </c>
      <c r="C10" s="152" t="s">
        <v>14</v>
      </c>
      <c r="D10" s="155" t="s">
        <v>5</v>
      </c>
      <c r="E10" s="156">
        <v>42739.777812499997</v>
      </c>
      <c r="F10" s="89">
        <f t="shared" si="1"/>
        <v>42739.777812499997</v>
      </c>
      <c r="G10" s="90" t="str">
        <f t="shared" si="9"/>
        <v>18:40</v>
      </c>
      <c r="H10" s="91" t="str">
        <f t="shared" si="10"/>
        <v>-</v>
      </c>
      <c r="I10" s="92" t="str">
        <f t="shared" si="11"/>
        <v>-</v>
      </c>
      <c r="J10" s="92" t="str">
        <f t="shared" si="12"/>
        <v>-</v>
      </c>
      <c r="K10" s="93">
        <f t="shared" si="13"/>
        <v>0</v>
      </c>
      <c r="L10" s="93"/>
      <c r="M10" s="94">
        <f t="shared" si="14"/>
        <v>0</v>
      </c>
      <c r="N10" s="94">
        <f t="shared" si="15"/>
        <v>0</v>
      </c>
      <c r="O10" s="20"/>
    </row>
    <row r="11" spans="1:21" s="16" customFormat="1">
      <c r="A11" s="152">
        <v>2123</v>
      </c>
      <c r="B11" s="152" t="s">
        <v>14</v>
      </c>
      <c r="C11" s="152" t="s">
        <v>14</v>
      </c>
      <c r="D11" s="155" t="s">
        <v>7</v>
      </c>
      <c r="E11" s="156">
        <v>42739.77784722222</v>
      </c>
      <c r="F11" s="89">
        <f t="shared" si="1"/>
        <v>42739.77784722222</v>
      </c>
      <c r="G11" s="32" t="str">
        <f t="shared" si="9"/>
        <v>18:40</v>
      </c>
      <c r="H11" s="33" t="str">
        <f t="shared" si="10"/>
        <v>-</v>
      </c>
      <c r="I11" s="92" t="str">
        <f t="shared" ref="I11:I36" si="16">IF(D11="上班",IF(H11-1.5&gt;8,8,H11-1.5),"-")</f>
        <v>-</v>
      </c>
      <c r="J11" s="92" t="str">
        <f t="shared" ref="J11:J36" si="17">IF(I11&lt;8,8-I11,"-")</f>
        <v>-</v>
      </c>
      <c r="K11" s="93">
        <f t="shared" ref="K11:K36" si="18">IF(D11="加班",(G12-G11)*24,0)</f>
        <v>0.76666666666666661</v>
      </c>
      <c r="L11" s="93"/>
      <c r="M11" s="94">
        <f t="shared" ref="M11:M36" si="19">IF(K11&gt;2,2,K11)</f>
        <v>0.76666666666666661</v>
      </c>
      <c r="N11" s="94">
        <f t="shared" ref="N11:N36" si="20">IF(K11&gt;2,K11-2,0)</f>
        <v>0</v>
      </c>
      <c r="O11" s="20"/>
      <c r="P11" s="137"/>
      <c r="Q11" s="137"/>
      <c r="R11" s="137"/>
      <c r="S11" s="137"/>
    </row>
    <row r="12" spans="1:21" s="16" customFormat="1">
      <c r="A12" s="152">
        <v>2124</v>
      </c>
      <c r="B12" s="152" t="s">
        <v>14</v>
      </c>
      <c r="C12" s="152" t="s">
        <v>14</v>
      </c>
      <c r="D12" s="155" t="s">
        <v>8</v>
      </c>
      <c r="E12" s="156">
        <v>42739.809872685182</v>
      </c>
      <c r="F12" s="89">
        <f t="shared" si="1"/>
        <v>42739.809872685182</v>
      </c>
      <c r="G12" s="32" t="str">
        <f t="shared" si="9"/>
        <v>19:26</v>
      </c>
      <c r="H12" s="33" t="str">
        <f t="shared" si="10"/>
        <v>-</v>
      </c>
      <c r="I12" s="92" t="str">
        <f t="shared" si="16"/>
        <v>-</v>
      </c>
      <c r="J12" s="92" t="str">
        <f t="shared" si="17"/>
        <v>-</v>
      </c>
      <c r="K12" s="93">
        <f t="shared" si="18"/>
        <v>0</v>
      </c>
      <c r="L12" s="93"/>
      <c r="M12" s="94">
        <f t="shared" si="19"/>
        <v>0</v>
      </c>
      <c r="N12" s="94">
        <f t="shared" si="20"/>
        <v>0</v>
      </c>
      <c r="O12" s="20"/>
      <c r="P12" s="137"/>
      <c r="Q12" s="137"/>
      <c r="R12" s="137"/>
      <c r="S12" s="137"/>
    </row>
    <row r="13" spans="1:21">
      <c r="A13" s="152">
        <v>2131</v>
      </c>
      <c r="B13" s="152" t="s">
        <v>14</v>
      </c>
      <c r="C13" s="152" t="s">
        <v>14</v>
      </c>
      <c r="D13" s="155" t="s">
        <v>6</v>
      </c>
      <c r="E13" s="156">
        <v>42740.368576388886</v>
      </c>
      <c r="F13" s="89">
        <f t="shared" si="1"/>
        <v>42740.368576388886</v>
      </c>
      <c r="G13" s="90" t="str">
        <f t="shared" si="9"/>
        <v>8:50</v>
      </c>
      <c r="H13" s="91">
        <f t="shared" si="10"/>
        <v>9.6666666666666679</v>
      </c>
      <c r="I13" s="92">
        <f t="shared" si="16"/>
        <v>8</v>
      </c>
      <c r="J13" s="92" t="str">
        <f t="shared" si="17"/>
        <v>-</v>
      </c>
      <c r="K13" s="93">
        <f t="shared" si="18"/>
        <v>0</v>
      </c>
      <c r="L13" s="93"/>
      <c r="M13" s="94">
        <f t="shared" si="19"/>
        <v>0</v>
      </c>
      <c r="N13" s="94">
        <f t="shared" si="20"/>
        <v>0</v>
      </c>
      <c r="O13" s="20"/>
    </row>
    <row r="14" spans="1:21">
      <c r="A14" s="152">
        <v>2136</v>
      </c>
      <c r="B14" s="152" t="s">
        <v>14</v>
      </c>
      <c r="C14" s="152" t="s">
        <v>14</v>
      </c>
      <c r="D14" s="155" t="s">
        <v>5</v>
      </c>
      <c r="E14" s="156">
        <v>42740.770972222221</v>
      </c>
      <c r="F14" s="89">
        <f t="shared" si="1"/>
        <v>42740.770972222221</v>
      </c>
      <c r="G14" s="90" t="str">
        <f t="shared" si="9"/>
        <v>18:30</v>
      </c>
      <c r="H14" s="91" t="str">
        <f t="shared" si="10"/>
        <v>-</v>
      </c>
      <c r="I14" s="92" t="str">
        <f t="shared" si="16"/>
        <v>-</v>
      </c>
      <c r="J14" s="92" t="str">
        <f t="shared" si="17"/>
        <v>-</v>
      </c>
      <c r="K14" s="93">
        <f t="shared" si="18"/>
        <v>0</v>
      </c>
      <c r="L14" s="93"/>
      <c r="M14" s="94">
        <f t="shared" si="19"/>
        <v>0</v>
      </c>
      <c r="N14" s="94">
        <f t="shared" si="20"/>
        <v>0</v>
      </c>
      <c r="O14" s="20"/>
    </row>
    <row r="15" spans="1:21" s="2" customFormat="1">
      <c r="A15" s="152">
        <v>2137</v>
      </c>
      <c r="B15" s="152" t="s">
        <v>14</v>
      </c>
      <c r="C15" s="152" t="s">
        <v>14</v>
      </c>
      <c r="D15" s="155" t="s">
        <v>7</v>
      </c>
      <c r="E15" s="156">
        <v>42740.771006944444</v>
      </c>
      <c r="F15" s="89">
        <f t="shared" si="1"/>
        <v>42740.771006944444</v>
      </c>
      <c r="G15" s="90" t="str">
        <f t="shared" si="9"/>
        <v>18:30</v>
      </c>
      <c r="H15" s="91" t="str">
        <f t="shared" si="10"/>
        <v>-</v>
      </c>
      <c r="I15" s="92" t="str">
        <f t="shared" si="16"/>
        <v>-</v>
      </c>
      <c r="J15" s="92" t="str">
        <f t="shared" si="17"/>
        <v>-</v>
      </c>
      <c r="K15" s="93">
        <f t="shared" si="18"/>
        <v>0.16666666666666607</v>
      </c>
      <c r="L15" s="93"/>
      <c r="M15" s="94">
        <f t="shared" si="19"/>
        <v>0.16666666666666607</v>
      </c>
      <c r="N15" s="94">
        <f t="shared" si="20"/>
        <v>0</v>
      </c>
      <c r="O15" s="20"/>
      <c r="P15" s="8"/>
      <c r="Q15" s="8"/>
      <c r="R15" s="8"/>
      <c r="S15" s="8"/>
    </row>
    <row r="16" spans="1:21">
      <c r="A16" s="152">
        <v>2143</v>
      </c>
      <c r="B16" s="152" t="s">
        <v>14</v>
      </c>
      <c r="C16" s="152" t="s">
        <v>14</v>
      </c>
      <c r="D16" s="155" t="s">
        <v>8</v>
      </c>
      <c r="E16" s="156">
        <v>42740.777824074074</v>
      </c>
      <c r="F16" s="89">
        <f t="shared" si="1"/>
        <v>42740.777824074074</v>
      </c>
      <c r="G16" s="90" t="str">
        <f t="shared" si="9"/>
        <v>18:40</v>
      </c>
      <c r="H16" s="91" t="str">
        <f t="shared" si="10"/>
        <v>-</v>
      </c>
      <c r="I16" s="92" t="str">
        <f t="shared" si="16"/>
        <v>-</v>
      </c>
      <c r="J16" s="92" t="str">
        <f t="shared" si="17"/>
        <v>-</v>
      </c>
      <c r="K16" s="93">
        <f t="shared" si="18"/>
        <v>0</v>
      </c>
      <c r="L16" s="93"/>
      <c r="M16" s="94">
        <f t="shared" si="19"/>
        <v>0</v>
      </c>
      <c r="N16" s="94">
        <f t="shared" si="20"/>
        <v>0</v>
      </c>
      <c r="O16" s="20"/>
    </row>
    <row r="17" spans="1:19">
      <c r="A17" s="152">
        <v>2150</v>
      </c>
      <c r="B17" s="152" t="s">
        <v>14</v>
      </c>
      <c r="C17" s="152" t="s">
        <v>14</v>
      </c>
      <c r="D17" s="155" t="s">
        <v>6</v>
      </c>
      <c r="E17" s="156">
        <v>42741.36550925926</v>
      </c>
      <c r="F17" s="89">
        <f t="shared" si="1"/>
        <v>42741.36550925926</v>
      </c>
      <c r="G17" s="90" t="str">
        <f t="shared" si="9"/>
        <v>8:46</v>
      </c>
      <c r="H17" s="91">
        <f t="shared" si="10"/>
        <v>9.7333333333333343</v>
      </c>
      <c r="I17" s="92">
        <f t="shared" si="16"/>
        <v>8</v>
      </c>
      <c r="J17" s="92" t="str">
        <f t="shared" si="17"/>
        <v>-</v>
      </c>
      <c r="K17" s="93">
        <f t="shared" si="18"/>
        <v>0</v>
      </c>
      <c r="L17" s="93"/>
      <c r="M17" s="94">
        <f t="shared" si="19"/>
        <v>0</v>
      </c>
      <c r="N17" s="94">
        <f t="shared" si="20"/>
        <v>0</v>
      </c>
      <c r="O17" s="20"/>
    </row>
    <row r="18" spans="1:19" s="16" customFormat="1">
      <c r="A18" s="157">
        <v>2136</v>
      </c>
      <c r="B18" s="157" t="s">
        <v>14</v>
      </c>
      <c r="C18" s="157" t="s">
        <v>14</v>
      </c>
      <c r="D18" s="160" t="s">
        <v>5</v>
      </c>
      <c r="E18" s="158">
        <v>42741.770833333336</v>
      </c>
      <c r="F18" s="31">
        <f t="shared" si="1"/>
        <v>42741.770833333336</v>
      </c>
      <c r="G18" s="32" t="str">
        <f t="shared" si="9"/>
        <v>18:30</v>
      </c>
      <c r="H18" s="33" t="str">
        <f t="shared" si="10"/>
        <v>-</v>
      </c>
      <c r="I18" s="58" t="str">
        <f t="shared" si="16"/>
        <v>-</v>
      </c>
      <c r="J18" s="58" t="str">
        <f t="shared" si="17"/>
        <v>-</v>
      </c>
      <c r="K18" s="34">
        <f t="shared" si="18"/>
        <v>0</v>
      </c>
      <c r="L18" s="34"/>
      <c r="M18" s="35">
        <f t="shared" si="19"/>
        <v>0</v>
      </c>
      <c r="N18" s="35">
        <f t="shared" si="20"/>
        <v>0</v>
      </c>
      <c r="O18" s="20"/>
      <c r="P18" s="137"/>
      <c r="Q18" s="137"/>
      <c r="R18" s="137"/>
      <c r="S18" s="137"/>
    </row>
    <row r="19" spans="1:19" s="16" customFormat="1">
      <c r="A19" s="157">
        <v>2137</v>
      </c>
      <c r="B19" s="157" t="s">
        <v>14</v>
      </c>
      <c r="C19" s="159" t="s">
        <v>14</v>
      </c>
      <c r="D19" s="160" t="s">
        <v>7</v>
      </c>
      <c r="E19" s="158">
        <v>42741.771006944444</v>
      </c>
      <c r="F19" s="31">
        <f t="shared" si="1"/>
        <v>42741.771006944444</v>
      </c>
      <c r="G19" s="32" t="str">
        <f t="shared" si="9"/>
        <v>18:30</v>
      </c>
      <c r="H19" s="33" t="str">
        <f t="shared" si="10"/>
        <v>-</v>
      </c>
      <c r="I19" s="58" t="str">
        <f t="shared" si="16"/>
        <v>-</v>
      </c>
      <c r="J19" s="58" t="str">
        <f t="shared" si="17"/>
        <v>-</v>
      </c>
      <c r="K19" s="34">
        <f t="shared" si="18"/>
        <v>0.5333333333333341</v>
      </c>
      <c r="L19" s="34"/>
      <c r="M19" s="35">
        <f t="shared" si="19"/>
        <v>0.5333333333333341</v>
      </c>
      <c r="N19" s="35">
        <f t="shared" si="20"/>
        <v>0</v>
      </c>
      <c r="O19" s="20"/>
      <c r="P19" s="137"/>
      <c r="Q19" s="137"/>
      <c r="R19" s="137"/>
      <c r="S19" s="137"/>
    </row>
    <row r="20" spans="1:19">
      <c r="A20" s="152">
        <v>2158</v>
      </c>
      <c r="B20" s="152" t="s">
        <v>14</v>
      </c>
      <c r="C20" s="152" t="s">
        <v>14</v>
      </c>
      <c r="D20" s="155" t="s">
        <v>8</v>
      </c>
      <c r="E20" s="156">
        <v>42741.793240740742</v>
      </c>
      <c r="F20" s="89">
        <f t="shared" si="1"/>
        <v>42741.793240740742</v>
      </c>
      <c r="G20" s="90" t="str">
        <f t="shared" si="9"/>
        <v>19:2</v>
      </c>
      <c r="H20" s="91" t="str">
        <f t="shared" si="10"/>
        <v>-</v>
      </c>
      <c r="I20" s="92" t="str">
        <f t="shared" si="16"/>
        <v>-</v>
      </c>
      <c r="J20" s="92" t="str">
        <f t="shared" si="17"/>
        <v>-</v>
      </c>
      <c r="K20" s="93">
        <f t="shared" si="18"/>
        <v>0</v>
      </c>
      <c r="L20" s="93"/>
      <c r="M20" s="94">
        <f t="shared" si="19"/>
        <v>0</v>
      </c>
      <c r="N20" s="94">
        <f t="shared" si="20"/>
        <v>0</v>
      </c>
      <c r="O20" s="20"/>
    </row>
    <row r="21" spans="1:19">
      <c r="A21" s="152">
        <v>2164</v>
      </c>
      <c r="B21" s="152" t="s">
        <v>14</v>
      </c>
      <c r="C21" s="152" t="s">
        <v>14</v>
      </c>
      <c r="D21" s="155" t="s">
        <v>6</v>
      </c>
      <c r="E21" s="156">
        <v>42744.361875000002</v>
      </c>
      <c r="F21" s="89">
        <f t="shared" si="1"/>
        <v>42744.361875000002</v>
      </c>
      <c r="G21" s="90" t="str">
        <f t="shared" si="9"/>
        <v>8:41</v>
      </c>
      <c r="H21" s="91">
        <f t="shared" si="10"/>
        <v>9.8333333333333321</v>
      </c>
      <c r="I21" s="92">
        <f t="shared" si="16"/>
        <v>8</v>
      </c>
      <c r="J21" s="92" t="str">
        <f t="shared" si="17"/>
        <v>-</v>
      </c>
      <c r="K21" s="93">
        <f t="shared" si="18"/>
        <v>0</v>
      </c>
      <c r="L21" s="93"/>
      <c r="M21" s="94">
        <f t="shared" si="19"/>
        <v>0</v>
      </c>
      <c r="N21" s="94">
        <f t="shared" si="20"/>
        <v>0</v>
      </c>
      <c r="O21" s="20"/>
    </row>
    <row r="22" spans="1:19">
      <c r="A22" s="152">
        <v>2171</v>
      </c>
      <c r="B22" s="152" t="s">
        <v>14</v>
      </c>
      <c r="C22" s="152" t="s">
        <v>14</v>
      </c>
      <c r="D22" s="155" t="s">
        <v>5</v>
      </c>
      <c r="E22" s="156">
        <v>42744.771631944444</v>
      </c>
      <c r="F22" s="89">
        <f t="shared" si="1"/>
        <v>42744.771631944444</v>
      </c>
      <c r="G22" s="90" t="str">
        <f t="shared" si="9"/>
        <v>18:31</v>
      </c>
      <c r="H22" s="91" t="str">
        <f t="shared" si="10"/>
        <v>-</v>
      </c>
      <c r="I22" s="92" t="str">
        <f t="shared" si="16"/>
        <v>-</v>
      </c>
      <c r="J22" s="92" t="str">
        <f t="shared" si="17"/>
        <v>-</v>
      </c>
      <c r="K22" s="93">
        <f t="shared" si="18"/>
        <v>0</v>
      </c>
      <c r="L22" s="93"/>
      <c r="M22" s="94">
        <f t="shared" si="19"/>
        <v>0</v>
      </c>
      <c r="N22" s="94">
        <f t="shared" si="20"/>
        <v>0</v>
      </c>
      <c r="O22" s="20"/>
    </row>
    <row r="23" spans="1:19" s="16" customFormat="1">
      <c r="A23" s="152">
        <v>2172</v>
      </c>
      <c r="B23" s="152" t="s">
        <v>14</v>
      </c>
      <c r="C23" s="152" t="s">
        <v>14</v>
      </c>
      <c r="D23" s="155" t="s">
        <v>7</v>
      </c>
      <c r="E23" s="156">
        <v>42744.771666666667</v>
      </c>
      <c r="F23" s="89">
        <f t="shared" si="1"/>
        <v>42744.771666666667</v>
      </c>
      <c r="G23" s="32" t="str">
        <f t="shared" si="9"/>
        <v>18:31</v>
      </c>
      <c r="H23" s="33" t="str">
        <f t="shared" si="10"/>
        <v>-</v>
      </c>
      <c r="I23" s="92" t="str">
        <f t="shared" si="16"/>
        <v>-</v>
      </c>
      <c r="J23" s="92" t="str">
        <f t="shared" si="17"/>
        <v>-</v>
      </c>
      <c r="K23" s="93">
        <f t="shared" si="18"/>
        <v>0.50000000000000089</v>
      </c>
      <c r="L23" s="93"/>
      <c r="M23" s="94">
        <f t="shared" si="19"/>
        <v>0.50000000000000089</v>
      </c>
      <c r="N23" s="94">
        <f t="shared" si="20"/>
        <v>0</v>
      </c>
      <c r="O23" s="20"/>
      <c r="P23" s="137"/>
      <c r="Q23" s="137"/>
      <c r="R23" s="137"/>
      <c r="S23" s="137"/>
    </row>
    <row r="24" spans="1:19" s="16" customFormat="1">
      <c r="A24" s="152">
        <v>2176</v>
      </c>
      <c r="B24" s="152" t="s">
        <v>14</v>
      </c>
      <c r="C24" s="152" t="s">
        <v>14</v>
      </c>
      <c r="D24" s="155" t="s">
        <v>8</v>
      </c>
      <c r="E24" s="161">
        <v>42744.792847222219</v>
      </c>
      <c r="F24" s="89">
        <f t="shared" si="1"/>
        <v>42744.792847222219</v>
      </c>
      <c r="G24" s="32" t="str">
        <f t="shared" si="9"/>
        <v>19:1</v>
      </c>
      <c r="H24" s="33" t="str">
        <f t="shared" si="10"/>
        <v>-</v>
      </c>
      <c r="I24" s="92" t="str">
        <f t="shared" si="16"/>
        <v>-</v>
      </c>
      <c r="J24" s="92" t="str">
        <f t="shared" si="17"/>
        <v>-</v>
      </c>
      <c r="K24" s="93">
        <f t="shared" si="18"/>
        <v>0</v>
      </c>
      <c r="L24" s="93"/>
      <c r="M24" s="94">
        <f t="shared" si="19"/>
        <v>0</v>
      </c>
      <c r="N24" s="94">
        <f t="shared" si="20"/>
        <v>0</v>
      </c>
      <c r="O24" s="20"/>
      <c r="P24" s="137"/>
      <c r="Q24" s="137"/>
      <c r="R24" s="137"/>
      <c r="S24" s="137"/>
    </row>
    <row r="25" spans="1:19">
      <c r="A25" s="152">
        <v>2181</v>
      </c>
      <c r="B25" s="152" t="s">
        <v>14</v>
      </c>
      <c r="C25" s="152" t="s">
        <v>14</v>
      </c>
      <c r="D25" s="155" t="s">
        <v>6</v>
      </c>
      <c r="E25" s="156">
        <v>42745.364907407406</v>
      </c>
      <c r="F25" s="89">
        <f t="shared" si="1"/>
        <v>42745.364907407406</v>
      </c>
      <c r="G25" s="90" t="str">
        <f t="shared" si="9"/>
        <v>8:45</v>
      </c>
      <c r="H25" s="91">
        <f t="shared" si="10"/>
        <v>3.2500000000000004</v>
      </c>
      <c r="I25" s="92">
        <f>IF(D25="上班",IF(H25-1.5&gt;8,8,H25-1.5),"-")+1.5</f>
        <v>3.2500000000000004</v>
      </c>
      <c r="J25" s="92"/>
      <c r="K25" s="93">
        <f t="shared" si="18"/>
        <v>0</v>
      </c>
      <c r="L25" s="93"/>
      <c r="M25" s="94">
        <f t="shared" si="19"/>
        <v>0</v>
      </c>
      <c r="N25" s="94">
        <f t="shared" si="20"/>
        <v>0</v>
      </c>
      <c r="O25" s="20"/>
    </row>
    <row r="26" spans="1:19" s="16" customFormat="1">
      <c r="A26" s="157">
        <v>2171</v>
      </c>
      <c r="B26" s="157" t="s">
        <v>14</v>
      </c>
      <c r="C26" s="157" t="s">
        <v>14</v>
      </c>
      <c r="D26" s="160" t="s">
        <v>5</v>
      </c>
      <c r="E26" s="158">
        <v>42745.5</v>
      </c>
      <c r="F26" s="31">
        <f t="shared" si="1"/>
        <v>42745.5</v>
      </c>
      <c r="G26" s="32" t="str">
        <f t="shared" si="9"/>
        <v>12:0</v>
      </c>
      <c r="H26" s="33" t="str">
        <f t="shared" si="10"/>
        <v>-</v>
      </c>
      <c r="I26" s="58" t="str">
        <f t="shared" si="16"/>
        <v>-</v>
      </c>
      <c r="J26" s="58" t="str">
        <f t="shared" si="17"/>
        <v>-</v>
      </c>
      <c r="K26" s="34">
        <f t="shared" si="18"/>
        <v>0</v>
      </c>
      <c r="L26" s="34"/>
      <c r="M26" s="35">
        <f t="shared" si="19"/>
        <v>0</v>
      </c>
      <c r="N26" s="35">
        <f t="shared" si="20"/>
        <v>0</v>
      </c>
      <c r="O26" s="20"/>
      <c r="P26" s="137"/>
      <c r="Q26" s="137"/>
      <c r="R26" s="137"/>
      <c r="S26" s="137"/>
    </row>
    <row r="27" spans="1:19" s="16" customFormat="1">
      <c r="A27" s="157">
        <v>2189</v>
      </c>
      <c r="B27" s="157" t="s">
        <v>14</v>
      </c>
      <c r="C27" s="157" t="s">
        <v>14</v>
      </c>
      <c r="D27" s="160" t="s">
        <v>52</v>
      </c>
      <c r="E27" s="158">
        <v>42745.574999999997</v>
      </c>
      <c r="F27" s="31">
        <f t="shared" si="1"/>
        <v>42745.574999999997</v>
      </c>
      <c r="G27" s="32" t="str">
        <f t="shared" si="9"/>
        <v>13:48</v>
      </c>
      <c r="H27" s="33">
        <f t="shared" si="10"/>
        <v>4.6999999999999993</v>
      </c>
      <c r="I27" s="58">
        <f>IF(D27="上班",IF(H27-1.5&gt;8,8,H27-1.5),"-")+1.5</f>
        <v>4.6999999999999993</v>
      </c>
      <c r="J27" s="58">
        <f>8-I25-I27</f>
        <v>5.0000000000000711E-2</v>
      </c>
      <c r="K27" s="34">
        <f t="shared" si="18"/>
        <v>0</v>
      </c>
      <c r="L27" s="34"/>
      <c r="M27" s="35">
        <f t="shared" si="19"/>
        <v>0</v>
      </c>
      <c r="N27" s="35">
        <f t="shared" si="20"/>
        <v>0</v>
      </c>
      <c r="O27" s="20" t="s">
        <v>62</v>
      </c>
      <c r="P27" s="137"/>
      <c r="Q27" s="137"/>
      <c r="R27" s="137"/>
      <c r="S27" s="137"/>
    </row>
    <row r="28" spans="1:19">
      <c r="A28" s="152">
        <v>2189</v>
      </c>
      <c r="B28" s="152" t="s">
        <v>14</v>
      </c>
      <c r="C28" s="152" t="s">
        <v>14</v>
      </c>
      <c r="D28" s="155" t="s">
        <v>5</v>
      </c>
      <c r="E28" s="156">
        <v>42745.771423611113</v>
      </c>
      <c r="F28" s="89">
        <f t="shared" si="1"/>
        <v>42745.771423611113</v>
      </c>
      <c r="G28" s="90" t="str">
        <f t="shared" si="9"/>
        <v>18:30</v>
      </c>
      <c r="H28" s="91" t="str">
        <f t="shared" si="10"/>
        <v>-</v>
      </c>
      <c r="I28" s="92" t="str">
        <f t="shared" si="16"/>
        <v>-</v>
      </c>
      <c r="J28" s="92" t="str">
        <f t="shared" si="17"/>
        <v>-</v>
      </c>
      <c r="K28" s="93">
        <f t="shared" si="18"/>
        <v>0</v>
      </c>
      <c r="L28" s="93"/>
      <c r="M28" s="94">
        <f t="shared" si="19"/>
        <v>0</v>
      </c>
      <c r="N28" s="94">
        <f t="shared" si="20"/>
        <v>0</v>
      </c>
      <c r="O28" s="20"/>
    </row>
    <row r="29" spans="1:19">
      <c r="A29" s="152">
        <v>2190</v>
      </c>
      <c r="B29" s="152" t="s">
        <v>14</v>
      </c>
      <c r="C29" s="152" t="s">
        <v>14</v>
      </c>
      <c r="D29" s="155" t="s">
        <v>7</v>
      </c>
      <c r="E29" s="156">
        <v>42745.771458333336</v>
      </c>
      <c r="F29" s="89">
        <f t="shared" si="1"/>
        <v>42745.771458333336</v>
      </c>
      <c r="G29" s="90" t="str">
        <f t="shared" si="9"/>
        <v>18:30</v>
      </c>
      <c r="H29" s="91" t="str">
        <f t="shared" si="10"/>
        <v>-</v>
      </c>
      <c r="I29" s="92" t="str">
        <f t="shared" si="16"/>
        <v>-</v>
      </c>
      <c r="J29" s="92" t="str">
        <f t="shared" si="17"/>
        <v>-</v>
      </c>
      <c r="K29" s="93">
        <f t="shared" si="18"/>
        <v>1.133333333333332</v>
      </c>
      <c r="L29" s="93"/>
      <c r="M29" s="94">
        <f t="shared" si="19"/>
        <v>1.133333333333332</v>
      </c>
      <c r="N29" s="94">
        <f t="shared" si="20"/>
        <v>0</v>
      </c>
      <c r="O29" s="20"/>
    </row>
    <row r="30" spans="1:19">
      <c r="A30" s="152">
        <v>2193</v>
      </c>
      <c r="B30" s="152" t="s">
        <v>14</v>
      </c>
      <c r="C30" s="152" t="s">
        <v>14</v>
      </c>
      <c r="D30" s="155" t="s">
        <v>8</v>
      </c>
      <c r="E30" s="156">
        <v>42745.818726851852</v>
      </c>
      <c r="F30" s="89">
        <f t="shared" si="1"/>
        <v>42745.818726851852</v>
      </c>
      <c r="G30" s="90" t="str">
        <f t="shared" si="9"/>
        <v>19:38</v>
      </c>
      <c r="H30" s="91" t="str">
        <f t="shared" si="10"/>
        <v>-</v>
      </c>
      <c r="I30" s="92" t="str">
        <f t="shared" si="16"/>
        <v>-</v>
      </c>
      <c r="J30" s="92" t="str">
        <f t="shared" si="17"/>
        <v>-</v>
      </c>
      <c r="K30" s="93">
        <f t="shared" si="18"/>
        <v>0</v>
      </c>
      <c r="L30" s="93"/>
      <c r="M30" s="94">
        <f t="shared" si="19"/>
        <v>0</v>
      </c>
      <c r="N30" s="94">
        <f t="shared" si="20"/>
        <v>0</v>
      </c>
      <c r="O30" s="20"/>
    </row>
    <row r="31" spans="1:19" s="137" customFormat="1">
      <c r="A31" s="152">
        <v>2199</v>
      </c>
      <c r="B31" s="152" t="s">
        <v>14</v>
      </c>
      <c r="C31" s="152" t="s">
        <v>14</v>
      </c>
      <c r="D31" s="155" t="s">
        <v>6</v>
      </c>
      <c r="E31" s="156">
        <v>42746.370474537034</v>
      </c>
      <c r="F31" s="89">
        <f t="shared" si="1"/>
        <v>42746.370474537034</v>
      </c>
      <c r="G31" s="32" t="str">
        <f t="shared" si="9"/>
        <v>8:53</v>
      </c>
      <c r="H31" s="33">
        <f t="shared" si="10"/>
        <v>9.6333333333333329</v>
      </c>
      <c r="I31" s="92">
        <f t="shared" si="16"/>
        <v>8</v>
      </c>
      <c r="J31" s="92" t="str">
        <f t="shared" si="17"/>
        <v>-</v>
      </c>
      <c r="K31" s="93">
        <f t="shared" si="18"/>
        <v>0</v>
      </c>
      <c r="L31" s="93"/>
      <c r="M31" s="94">
        <f t="shared" si="19"/>
        <v>0</v>
      </c>
      <c r="N31" s="94">
        <f t="shared" si="20"/>
        <v>0</v>
      </c>
      <c r="O31" s="20"/>
    </row>
    <row r="32" spans="1:19" s="137" customFormat="1">
      <c r="A32" s="152">
        <v>2206</v>
      </c>
      <c r="B32" s="152" t="s">
        <v>14</v>
      </c>
      <c r="C32" s="152" t="s">
        <v>14</v>
      </c>
      <c r="D32" s="155" t="s">
        <v>5</v>
      </c>
      <c r="E32" s="156">
        <v>42746.772118055553</v>
      </c>
      <c r="F32" s="89">
        <f t="shared" si="1"/>
        <v>42746.772118055553</v>
      </c>
      <c r="G32" s="32" t="str">
        <f t="shared" si="9"/>
        <v>18:31</v>
      </c>
      <c r="H32" s="33" t="str">
        <f t="shared" si="10"/>
        <v>-</v>
      </c>
      <c r="I32" s="92" t="str">
        <f t="shared" si="16"/>
        <v>-</v>
      </c>
      <c r="J32" s="92" t="str">
        <f t="shared" si="17"/>
        <v>-</v>
      </c>
      <c r="K32" s="93">
        <f t="shared" si="18"/>
        <v>0</v>
      </c>
      <c r="L32" s="93"/>
      <c r="M32" s="94">
        <f t="shared" si="19"/>
        <v>0</v>
      </c>
      <c r="N32" s="94">
        <f t="shared" si="20"/>
        <v>0</v>
      </c>
      <c r="O32" s="20"/>
    </row>
    <row r="33" spans="1:19" s="137" customFormat="1">
      <c r="A33" s="152">
        <v>2207</v>
      </c>
      <c r="B33" s="152" t="s">
        <v>14</v>
      </c>
      <c r="C33" s="152" t="s">
        <v>14</v>
      </c>
      <c r="D33" s="155" t="s">
        <v>7</v>
      </c>
      <c r="E33" s="156">
        <v>42746.772175925929</v>
      </c>
      <c r="F33" s="89">
        <f t="shared" si="1"/>
        <v>42746.772175925929</v>
      </c>
      <c r="G33" s="32" t="str">
        <f t="shared" si="9"/>
        <v>18:31</v>
      </c>
      <c r="H33" s="33" t="str">
        <f t="shared" si="10"/>
        <v>-</v>
      </c>
      <c r="I33" s="92" t="str">
        <f t="shared" si="16"/>
        <v>-</v>
      </c>
      <c r="J33" s="92" t="str">
        <f t="shared" si="17"/>
        <v>-</v>
      </c>
      <c r="K33" s="93">
        <f t="shared" si="18"/>
        <v>1.8000000000000016</v>
      </c>
      <c r="L33" s="93"/>
      <c r="M33" s="94">
        <f t="shared" si="19"/>
        <v>1.8000000000000016</v>
      </c>
      <c r="N33" s="94">
        <f t="shared" si="20"/>
        <v>0</v>
      </c>
      <c r="O33" s="20"/>
    </row>
    <row r="34" spans="1:19" s="137" customFormat="1">
      <c r="A34" s="152">
        <v>2211</v>
      </c>
      <c r="B34" s="152" t="s">
        <v>14</v>
      </c>
      <c r="C34" s="152" t="s">
        <v>14</v>
      </c>
      <c r="D34" s="155" t="s">
        <v>8</v>
      </c>
      <c r="E34" s="156">
        <v>42746.847118055557</v>
      </c>
      <c r="F34" s="89">
        <f t="shared" si="1"/>
        <v>42746.847118055557</v>
      </c>
      <c r="G34" s="32" t="str">
        <f t="shared" si="9"/>
        <v>20:19</v>
      </c>
      <c r="H34" s="33" t="str">
        <f>IF(D34="上班",(#REF!-G34)*24,"-")</f>
        <v>-</v>
      </c>
      <c r="I34" s="92" t="str">
        <f t="shared" si="16"/>
        <v>-</v>
      </c>
      <c r="J34" s="92" t="str">
        <f t="shared" si="17"/>
        <v>-</v>
      </c>
      <c r="K34" s="93">
        <f t="shared" si="18"/>
        <v>0</v>
      </c>
      <c r="L34" s="93"/>
      <c r="M34" s="94">
        <f t="shared" si="19"/>
        <v>0</v>
      </c>
      <c r="N34" s="94">
        <f t="shared" si="20"/>
        <v>0</v>
      </c>
      <c r="O34" s="20"/>
    </row>
    <row r="35" spans="1:19" s="137" customFormat="1">
      <c r="A35" s="152">
        <v>2199</v>
      </c>
      <c r="B35" s="152" t="s">
        <v>14</v>
      </c>
      <c r="C35" s="152" t="s">
        <v>14</v>
      </c>
      <c r="D35" s="163" t="s">
        <v>6</v>
      </c>
      <c r="E35" s="158">
        <v>42751.375</v>
      </c>
      <c r="F35" s="31">
        <f t="shared" si="1"/>
        <v>42751.375</v>
      </c>
      <c r="G35" s="32" t="str">
        <f t="shared" ref="G35:G36" si="21">HOUR(E35)&amp;":"&amp;MINUTE(E35)</f>
        <v>9:0</v>
      </c>
      <c r="H35" s="33">
        <f t="shared" ref="H35:H36" si="22">IF(D35="上班",(G36-G35)*24,"-")</f>
        <v>3</v>
      </c>
      <c r="I35" s="58">
        <f>IF(D35="上班",IF(H35-1.5&gt;8,8,H35-1.5),"-")+1.5</f>
        <v>3</v>
      </c>
      <c r="J35" s="58">
        <v>0</v>
      </c>
      <c r="K35" s="34">
        <f t="shared" si="18"/>
        <v>0</v>
      </c>
      <c r="L35" s="34"/>
      <c r="M35" s="35">
        <f t="shared" si="19"/>
        <v>0</v>
      </c>
      <c r="N35" s="35">
        <f t="shared" si="20"/>
        <v>0</v>
      </c>
      <c r="O35" s="20" t="s">
        <v>61</v>
      </c>
    </row>
    <row r="36" spans="1:19" s="137" customFormat="1">
      <c r="A36" s="152">
        <v>2206</v>
      </c>
      <c r="B36" s="152" t="s">
        <v>14</v>
      </c>
      <c r="C36" s="152" t="s">
        <v>14</v>
      </c>
      <c r="D36" s="163" t="s">
        <v>5</v>
      </c>
      <c r="E36" s="158">
        <v>42751.5</v>
      </c>
      <c r="F36" s="31">
        <f t="shared" si="1"/>
        <v>42751.5</v>
      </c>
      <c r="G36" s="32" t="str">
        <f t="shared" si="21"/>
        <v>12:0</v>
      </c>
      <c r="H36" s="33" t="str">
        <f t="shared" si="22"/>
        <v>-</v>
      </c>
      <c r="I36" s="58" t="str">
        <f t="shared" si="16"/>
        <v>-</v>
      </c>
      <c r="J36" s="58" t="str">
        <f t="shared" si="17"/>
        <v>-</v>
      </c>
      <c r="K36" s="34">
        <f t="shared" si="18"/>
        <v>0</v>
      </c>
      <c r="L36" s="34"/>
      <c r="M36" s="35">
        <f t="shared" si="19"/>
        <v>0</v>
      </c>
      <c r="N36" s="35">
        <f t="shared" si="20"/>
        <v>0</v>
      </c>
      <c r="O36" s="20"/>
    </row>
    <row r="37" spans="1:19">
      <c r="D37" s="9" t="s">
        <v>37</v>
      </c>
      <c r="E37" s="9"/>
      <c r="F37" s="55"/>
      <c r="G37" s="55"/>
      <c r="H37" s="9"/>
      <c r="I37" s="55"/>
      <c r="J37" s="9"/>
      <c r="K37" s="9"/>
      <c r="M37" s="56"/>
      <c r="N37" s="56"/>
    </row>
    <row r="38" spans="1:19">
      <c r="D38" s="9" t="s">
        <v>36</v>
      </c>
      <c r="E38"/>
      <c r="F38" s="3"/>
      <c r="G38"/>
      <c r="H38"/>
      <c r="I38"/>
      <c r="J38"/>
      <c r="K38"/>
    </row>
    <row r="39" spans="1:19" s="2" customFormat="1">
      <c r="C39" s="165"/>
      <c r="D39" s="8" t="s">
        <v>64</v>
      </c>
      <c r="E39" s="165"/>
      <c r="F39" s="63"/>
      <c r="G39" s="166"/>
      <c r="H39" s="167"/>
      <c r="I39" s="168"/>
      <c r="J39" s="168"/>
      <c r="K39" s="169"/>
      <c r="L39" s="169"/>
      <c r="M39" s="169"/>
      <c r="N39" s="169"/>
      <c r="O39" s="170"/>
      <c r="P39" s="8"/>
      <c r="Q39" s="8"/>
      <c r="R39" s="8"/>
      <c r="S39" s="8"/>
    </row>
  </sheetData>
  <phoneticPr fontId="18" type="noConversion"/>
  <pageMargins left="0.25" right="0.25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27</vt:i4>
      </vt:variant>
      <vt:variant>
        <vt:lpstr>具名範圍</vt:lpstr>
      </vt:variant>
      <vt:variant>
        <vt:i4>37</vt:i4>
      </vt:variant>
    </vt:vector>
  </HeadingPairs>
  <TitlesOfParts>
    <vt:vector size="64" baseType="lpstr">
      <vt:lpstr>原始DATA</vt:lpstr>
      <vt:lpstr>修改後DATA</vt:lpstr>
      <vt:lpstr>VBA_DATA</vt:lpstr>
      <vt:lpstr>MY</vt:lpstr>
      <vt:lpstr>Justin </vt:lpstr>
      <vt:lpstr>Amber</vt:lpstr>
      <vt:lpstr>Ruby</vt:lpstr>
      <vt:lpstr>Lorah</vt:lpstr>
      <vt:lpstr>Nick</vt:lpstr>
      <vt:lpstr>Jason</vt:lpstr>
      <vt:lpstr>Owen</vt:lpstr>
      <vt:lpstr>Leo</vt:lpstr>
      <vt:lpstr>工作表1</vt:lpstr>
      <vt:lpstr>Paul </vt:lpstr>
      <vt:lpstr>Willy</vt:lpstr>
      <vt:lpstr>Albert</vt:lpstr>
      <vt:lpstr>Denver</vt:lpstr>
      <vt:lpstr>未使用</vt:lpstr>
      <vt:lpstr>Wilson</vt:lpstr>
      <vt:lpstr>統計</vt:lpstr>
      <vt:lpstr>Anne</vt:lpstr>
      <vt:lpstr>Yvonne</vt:lpstr>
      <vt:lpstr>B6</vt:lpstr>
      <vt:lpstr>TL</vt:lpstr>
      <vt:lpstr>吳悠 </vt:lpstr>
      <vt:lpstr>Sam</vt:lpstr>
      <vt:lpstr>LZ(done)</vt:lpstr>
      <vt:lpstr>Amber!Print_Area</vt:lpstr>
      <vt:lpstr>Anne!Print_Area</vt:lpstr>
      <vt:lpstr>Denver!Print_Area</vt:lpstr>
      <vt:lpstr>Jason!Print_Area</vt:lpstr>
      <vt:lpstr>'Justin '!Print_Area</vt:lpstr>
      <vt:lpstr>Leo!Print_Area</vt:lpstr>
      <vt:lpstr>Lorah!Print_Area</vt:lpstr>
      <vt:lpstr>MY!Print_Area</vt:lpstr>
      <vt:lpstr>Nick!Print_Area</vt:lpstr>
      <vt:lpstr>Owen!Print_Area</vt:lpstr>
      <vt:lpstr>'Paul '!Print_Area</vt:lpstr>
      <vt:lpstr>Ruby!Print_Area</vt:lpstr>
      <vt:lpstr>Sam!Print_Area</vt:lpstr>
      <vt:lpstr>Willy!Print_Area</vt:lpstr>
      <vt:lpstr>Wilson!Print_Area</vt:lpstr>
      <vt:lpstr>Yvonne!Print_Area</vt:lpstr>
      <vt:lpstr>Albert!Print_Titles</vt:lpstr>
      <vt:lpstr>Amber!Print_Titles</vt:lpstr>
      <vt:lpstr>Anne!Print_Titles</vt:lpstr>
      <vt:lpstr>'B6'!Print_Titles</vt:lpstr>
      <vt:lpstr>Denver!Print_Titles</vt:lpstr>
      <vt:lpstr>Jason!Print_Titles</vt:lpstr>
      <vt:lpstr>'Justin '!Print_Titles</vt:lpstr>
      <vt:lpstr>Leo!Print_Titles</vt:lpstr>
      <vt:lpstr>Lorah!Print_Titles</vt:lpstr>
      <vt:lpstr>'LZ(done)'!Print_Titles</vt:lpstr>
      <vt:lpstr>MY!Print_Titles</vt:lpstr>
      <vt:lpstr>Nick!Print_Titles</vt:lpstr>
      <vt:lpstr>Owen!Print_Titles</vt:lpstr>
      <vt:lpstr>'Paul '!Print_Titles</vt:lpstr>
      <vt:lpstr>Ruby!Print_Titles</vt:lpstr>
      <vt:lpstr>Sam!Print_Titles</vt:lpstr>
      <vt:lpstr>TL!Print_Titles</vt:lpstr>
      <vt:lpstr>Willy!Print_Titles</vt:lpstr>
      <vt:lpstr>Wilson!Print_Titles</vt:lpstr>
      <vt:lpstr>Yvonne!Print_Titles</vt:lpstr>
      <vt:lpstr>'吳悠 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</dc:creator>
  <cp:lastModifiedBy>Ruby</cp:lastModifiedBy>
  <cp:lastPrinted>2018-04-05T14:45:37Z</cp:lastPrinted>
  <dcterms:created xsi:type="dcterms:W3CDTF">2016-08-28T16:20:00Z</dcterms:created>
  <dcterms:modified xsi:type="dcterms:W3CDTF">2018-05-11T09:37:53Z</dcterms:modified>
</cp:coreProperties>
</file>