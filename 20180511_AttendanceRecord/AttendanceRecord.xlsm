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n\Documents\VbaProject\20180511_AttendanceRecord\"/>
    </mc:Choice>
  </mc:AlternateContent>
  <xr:revisionPtr revIDLastSave="0" documentId="13_ncr:1_{044C9EC4-0059-4E8B-94CF-38D71347F58D}" xr6:coauthVersionLast="47" xr6:coauthVersionMax="47" xr10:uidLastSave="{00000000-0000-0000-0000-000000000000}"/>
  <bookViews>
    <workbookView xWindow="-108" yWindow="-108" windowWidth="23256" windowHeight="12456" tabRatio="810" xr2:uid="{00000000-000D-0000-FFFF-FFFF00000000}"/>
  </bookViews>
  <sheets>
    <sheet name="Release Notes" sheetId="80" r:id="rId1"/>
    <sheet name="工時" sheetId="66" r:id="rId2"/>
    <sheet name="工時計算結果" sheetId="81" r:id="rId3"/>
  </sheets>
  <functionGroups builtInGroupCount="19"/>
  <calcPr calcId="191029" refMode="R1C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80" l="1" a="1"/>
  <c r="C2" i="8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<sst xmlns="http://schemas.openxmlformats.org/spreadsheetml/2006/main" count="506" uniqueCount="138">
  <si>
    <t>-</t>
  </si>
  <si>
    <r>
      <rPr>
        <sz val="12"/>
        <color theme="1"/>
        <rFont val="微軟正黑體"/>
        <family val="2"/>
        <charset val="136"/>
      </rPr>
      <t>上班</t>
    </r>
  </si>
  <si>
    <r>
      <rPr>
        <sz val="12"/>
        <color theme="1"/>
        <rFont val="微軟正黑體"/>
        <family val="2"/>
        <charset val="136"/>
      </rPr>
      <t>下班</t>
    </r>
  </si>
  <si>
    <r>
      <rPr>
        <sz val="12"/>
        <color theme="1"/>
        <rFont val="微軟正黑體"/>
        <family val="2"/>
        <charset val="136"/>
      </rPr>
      <t>加班</t>
    </r>
  </si>
  <si>
    <r>
      <rPr>
        <sz val="12"/>
        <color theme="1"/>
        <rFont val="微軟正黑體"/>
        <family val="2"/>
        <charset val="136"/>
      </rPr>
      <t>加班結束</t>
    </r>
  </si>
  <si>
    <t>Current version</t>
    <phoneticPr fontId="18" type="noConversion"/>
  </si>
  <si>
    <t>2.3.0</t>
    <phoneticPr fontId="18" type="noConversion"/>
  </si>
  <si>
    <t xml:space="preserve"> </t>
  </si>
  <si>
    <r>
      <rPr>
        <sz val="12"/>
        <color theme="1"/>
        <rFont val="微軟正黑體"/>
        <family val="2"/>
        <charset val="136"/>
      </rPr>
      <t>平日工時從</t>
    </r>
    <r>
      <rPr>
        <sz val="12"/>
        <color theme="1"/>
        <rFont val="Calibri"/>
        <family val="2"/>
      </rPr>
      <t xml:space="preserve"> 6:30 </t>
    </r>
    <r>
      <rPr>
        <sz val="12"/>
        <color theme="1"/>
        <rFont val="微軟正黑體"/>
        <family val="2"/>
        <charset val="136"/>
      </rPr>
      <t>之後才算加班</t>
    </r>
    <phoneticPr fontId="18" type="noConversion"/>
  </si>
  <si>
    <t>2.2.1</t>
    <phoneticPr fontId="18" type="noConversion"/>
  </si>
  <si>
    <t>2.1.1</t>
    <phoneticPr fontId="18" type="noConversion"/>
  </si>
  <si>
    <r>
      <rPr>
        <sz val="12"/>
        <color theme="1"/>
        <rFont val="微軟正黑體"/>
        <family val="2"/>
        <charset val="136"/>
      </rPr>
      <t>修正格式錯誤</t>
    </r>
    <r>
      <rPr>
        <sz val="12"/>
        <color theme="1"/>
        <rFont val="Calibri"/>
        <family val="2"/>
      </rPr>
      <t>(</t>
    </r>
    <r>
      <rPr>
        <sz val="12"/>
        <color theme="1"/>
        <rFont val="微軟正黑體"/>
        <family val="2"/>
        <charset val="136"/>
      </rPr>
      <t>週</t>
    </r>
    <r>
      <rPr>
        <sz val="12"/>
        <color theme="1"/>
        <rFont val="Calibri"/>
        <family val="2"/>
      </rPr>
      <t>)</t>
    </r>
    <phoneticPr fontId="18" type="noConversion"/>
  </si>
  <si>
    <t>2.1.0</t>
    <phoneticPr fontId="18" type="noConversion"/>
  </si>
  <si>
    <r>
      <t xml:space="preserve">Output </t>
    </r>
    <r>
      <rPr>
        <sz val="12"/>
        <color theme="1"/>
        <rFont val="微軟正黑體"/>
        <family val="2"/>
        <charset val="136"/>
      </rPr>
      <t>顏色同步</t>
    </r>
    <r>
      <rPr>
        <sz val="12"/>
        <color theme="1"/>
        <rFont val="Calibri"/>
        <family val="2"/>
      </rPr>
      <t xml:space="preserve"> Input</t>
    </r>
    <phoneticPr fontId="18" type="noConversion"/>
  </si>
  <si>
    <t>2.0.0</t>
    <phoneticPr fontId="18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</si>
  <si>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18" type="noConversion"/>
  </si>
  <si>
    <r>
      <rPr>
        <sz val="12"/>
        <color theme="1"/>
        <rFont val="微軟正黑體"/>
        <family val="2"/>
        <charset val="136"/>
      </rPr>
      <t>星期幾</t>
    </r>
    <phoneticPr fontId="18" type="noConversion"/>
  </si>
  <si>
    <r>
      <rPr>
        <sz val="12"/>
        <color theme="1"/>
        <rFont val="微軟正黑體"/>
        <family val="2"/>
        <charset val="136"/>
      </rPr>
      <t>時間</t>
    </r>
    <phoneticPr fontId="18" type="noConversion"/>
  </si>
  <si>
    <r>
      <rPr>
        <sz val="12"/>
        <color theme="1"/>
        <rFont val="微軟正黑體"/>
        <family val="2"/>
        <charset val="136"/>
      </rPr>
      <t>打卡上班時數</t>
    </r>
    <phoneticPr fontId="18" type="noConversion"/>
  </si>
  <si>
    <r>
      <rPr>
        <sz val="12"/>
        <color theme="1"/>
        <rFont val="微軟正黑體"/>
        <family val="2"/>
        <charset val="136"/>
      </rPr>
      <t>出勤時數</t>
    </r>
    <phoneticPr fontId="18" type="noConversion"/>
  </si>
  <si>
    <r>
      <rPr>
        <sz val="12"/>
        <color theme="1"/>
        <rFont val="微軟正黑體"/>
        <family val="2"/>
        <charset val="136"/>
      </rPr>
      <t>請假時數</t>
    </r>
    <phoneticPr fontId="18" type="noConversion"/>
  </si>
  <si>
    <r>
      <rPr>
        <sz val="12"/>
        <color theme="1"/>
        <rFont val="微軟正黑體"/>
        <family val="2"/>
        <charset val="136"/>
      </rPr>
      <t>加班時數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</si>
  <si>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1.0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</si>
  <si>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1.34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</si>
  <si>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1.67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</si>
  <si>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t>input check</t>
    <phoneticPr fontId="18" type="noConversion"/>
  </si>
  <si>
    <t>2.4.0</t>
    <phoneticPr fontId="18" type="noConversion"/>
  </si>
  <si>
    <r>
      <rPr>
        <sz val="12"/>
        <color theme="1"/>
        <rFont val="微軟正黑體"/>
        <family val="2"/>
        <charset val="136"/>
      </rPr>
      <t>更新個人工作表</t>
    </r>
    <phoneticPr fontId="18" type="noConversion"/>
  </si>
  <si>
    <r>
      <rPr>
        <sz val="12"/>
        <color theme="1"/>
        <rFont val="微軟正黑體"/>
        <family val="2"/>
        <charset val="136"/>
      </rPr>
      <t>公出不會報錯</t>
    </r>
    <phoneticPr fontId="18" type="noConversion"/>
  </si>
  <si>
    <r>
      <rPr>
        <sz val="12"/>
        <color theme="1"/>
        <rFont val="微軟正黑體"/>
        <family val="2"/>
        <charset val="136"/>
      </rPr>
      <t>四捨五入到小數點三位</t>
    </r>
    <phoneticPr fontId="18" type="noConversion"/>
  </si>
  <si>
    <t>2.4.1</t>
    <phoneticPr fontId="18" type="noConversion"/>
  </si>
  <si>
    <r>
      <rPr>
        <sz val="12"/>
        <color theme="1"/>
        <rFont val="微軟正黑體"/>
        <family val="2"/>
        <charset val="136"/>
      </rPr>
      <t>更新公出不會處理，需要先移出提示訊息。</t>
    </r>
    <phoneticPr fontId="18" type="noConversion"/>
  </si>
  <si>
    <t>2.5.0</t>
  </si>
  <si>
    <t>2.6.0</t>
    <phoneticPr fontId="18" type="noConversion"/>
  </si>
  <si>
    <r>
      <rPr>
        <sz val="12"/>
        <color theme="1"/>
        <rFont val="微軟正黑體"/>
        <family val="2"/>
        <charset val="136"/>
      </rPr>
      <t>忽略公出、公出返回，現在不用移出。</t>
    </r>
    <phoneticPr fontId="18" type="noConversion"/>
  </si>
  <si>
    <r>
      <rPr>
        <sz val="12"/>
        <color theme="1"/>
        <rFont val="微軟正黑體"/>
        <family val="2"/>
        <charset val="136"/>
      </rPr>
      <t>錯誤資訊一次提示</t>
    </r>
    <phoneticPr fontId="18" type="noConversion"/>
  </si>
  <si>
    <r>
      <rPr>
        <sz val="12"/>
        <color theme="1"/>
        <rFont val="微軟正黑體"/>
        <family val="2"/>
        <charset val="136"/>
      </rPr>
      <t>版本修正</t>
    </r>
  </si>
  <si>
    <t>3.0.0</t>
    <phoneticPr fontId="18" type="noConversion"/>
  </si>
  <si>
    <t>5f275aed5391c1000710d082</t>
  </si>
  <si>
    <t>E0024</t>
  </si>
  <si>
    <t>PAUL</t>
  </si>
  <si>
    <t>2020/08/03 08:31:39</t>
  </si>
  <si>
    <t>5f27e2195391c1000710d0bc</t>
  </si>
  <si>
    <t>2020/08/03 18:08:26</t>
  </si>
  <si>
    <t>5f28ae9b949ceb00070ef5a3</t>
  </si>
  <si>
    <t>2020/08/04 08:40:58</t>
  </si>
  <si>
    <t>5f2935c5949ceb00070ef5e1</t>
  </si>
  <si>
    <t>2020/08/04 18:17:41</t>
  </si>
  <si>
    <t>5f29fd83949ceb00070ef65a</t>
  </si>
  <si>
    <t>2020/08/05 08:29:55</t>
  </si>
  <si>
    <t>5f2a838b949ceb00070ef687</t>
  </si>
  <si>
    <t>2020/08/05 18:01:48</t>
  </si>
  <si>
    <t>5f2a8d34949ceb00070ef6fb</t>
  </si>
  <si>
    <t>2020/08/05 18:43:01</t>
  </si>
  <si>
    <t>5f2a9c6e949ceb00070ef724</t>
  </si>
  <si>
    <t>2020/08/05 19:48:00</t>
  </si>
  <si>
    <t>5f2b5169949ceb00070ef748</t>
  </si>
  <si>
    <t>2020/08/06 08:40:09</t>
  </si>
  <si>
    <t>5f2bd765949ceb00070ef7a8</t>
  </si>
  <si>
    <t>2020/08/06 18:11:48</t>
  </si>
  <si>
    <t>5f2ca296949ceb00070ef814</t>
  </si>
  <si>
    <t>2020/08/07 08:38:46</t>
  </si>
  <si>
    <t>5f2d2ad4949ceb00070ef867</t>
  </si>
  <si>
    <t>2020/08/07 18:20:04</t>
  </si>
  <si>
    <t>5f2d2d28949ceb00070ef882</t>
  </si>
  <si>
    <t>2020/08/07 18:30:00</t>
  </si>
  <si>
    <t>5f2d3471949ceb00070ef8a9</t>
  </si>
  <si>
    <t>2020/08/07 19:01:05</t>
  </si>
  <si>
    <t>5f309729949ceb00070ef8e6</t>
  </si>
  <si>
    <t>2020/08/10 08:39:05</t>
  </si>
  <si>
    <t>5f312192949ceb00070efa71</t>
  </si>
  <si>
    <t>2020/08/10 18:29:40</t>
  </si>
  <si>
    <t>5f312198949ceb00070efa72</t>
  </si>
  <si>
    <t>2020/08/10 18:29:47</t>
  </si>
  <si>
    <t>5f312885949ceb00070efa97</t>
  </si>
  <si>
    <t>2020/08/10 18:59:20</t>
  </si>
  <si>
    <t>5f3337e69d510400072953f6</t>
  </si>
  <si>
    <t>2020/08/12 08:29:25</t>
  </si>
  <si>
    <t>5f33bf719d51040007295448</t>
  </si>
  <si>
    <t>2020/08/12 18:07:45</t>
  </si>
  <si>
    <t>5f33c6239d5104000729548d</t>
  </si>
  <si>
    <t>2020/08/12 18:36:19</t>
  </si>
  <si>
    <t>5f33cbfe9d510400072954a2</t>
  </si>
  <si>
    <t>2020/08/12 19:01:18</t>
  </si>
  <si>
    <t>5f3489d59d510400072954ed</t>
  </si>
  <si>
    <t>2020/08/13 08:31:17</t>
  </si>
  <si>
    <t>5f350fc29d51040007295524</t>
  </si>
  <si>
    <t>2020/08/13 18:02:42</t>
  </si>
  <si>
    <t>5f35dd889d510400072955b2</t>
  </si>
  <si>
    <t>2020/08/14 08:40:40</t>
  </si>
  <si>
    <t>5f36636b9d510400072955d5</t>
  </si>
  <si>
    <t>2020/08/14 18:11:55</t>
  </si>
  <si>
    <t>5f36716b9d51040007295618</t>
  </si>
  <si>
    <t>2020/08/14 19:11:40</t>
  </si>
  <si>
    <t>5f36807d0bf9140007d60127</t>
  </si>
  <si>
    <t>2020/08/14 20:15:57</t>
  </si>
  <si>
    <t>_id</t>
  </si>
  <si>
    <t>userId</t>
  </si>
  <si>
    <t>userName</t>
  </si>
  <si>
    <t>type</t>
  </si>
  <si>
    <t>date</t>
  </si>
  <si>
    <t>3.0.1</t>
    <phoneticPr fontId="18" type="noConversion"/>
  </si>
  <si>
    <r>
      <rPr>
        <sz val="12"/>
        <color theme="1"/>
        <rFont val="微軟正黑體"/>
        <family val="2"/>
        <charset val="136"/>
      </rPr>
      <t>修正前一位的最後一天與後一位的第一天相同的話，計算錯誤的</t>
    </r>
    <r>
      <rPr>
        <sz val="12"/>
        <color theme="1"/>
        <rFont val="Calibri"/>
        <family val="2"/>
      </rPr>
      <t xml:space="preserve"> Bug</t>
    </r>
    <r>
      <rPr>
        <sz val="12"/>
        <color theme="1"/>
        <rFont val="微軟正黑體"/>
        <family val="2"/>
        <charset val="136"/>
      </rPr>
      <t>。</t>
    </r>
    <phoneticPr fontId="18" type="noConversion"/>
  </si>
  <si>
    <r>
      <rPr>
        <sz val="12"/>
        <color theme="1"/>
        <rFont val="微軟正黑體"/>
        <family val="2"/>
        <charset val="136"/>
      </rPr>
      <t>遷移伺服器</t>
    </r>
    <phoneticPr fontId="18" type="noConversion"/>
  </si>
  <si>
    <r>
      <rPr>
        <sz val="12"/>
        <color theme="1"/>
        <rFont val="微軟正黑體"/>
        <family val="2"/>
        <charset val="136"/>
      </rPr>
      <t>改變格式，向後不兼容。</t>
    </r>
    <phoneticPr fontId="18" type="noConversion"/>
  </si>
  <si>
    <t>61a570e0239dd84fc418ef03</t>
  </si>
  <si>
    <t>E0040</t>
  </si>
  <si>
    <t>TIM</t>
  </si>
  <si>
    <t>2021/11/30 08:31:28</t>
  </si>
  <si>
    <t>61a6049c239dd8684318efc6</t>
  </si>
  <si>
    <t>61a6129e239dd8047418effe</t>
  </si>
  <si>
    <t>2021/11/30 20:01:34</t>
  </si>
  <si>
    <t>61a571e8239dd8817b18ef06</t>
  </si>
  <si>
    <t>E0041</t>
  </si>
  <si>
    <t>BENSON</t>
  </si>
  <si>
    <t>2021/11/30 08:35:56</t>
  </si>
  <si>
    <t>61a605bc239dd88e3118efd8</t>
  </si>
  <si>
    <t>2021/11/30 19:06:36</t>
  </si>
  <si>
    <t>3.1.0</t>
    <phoneticPr fontId="18" type="noConversion"/>
  </si>
  <si>
    <r>
      <rPr>
        <sz val="12"/>
        <color theme="1"/>
        <rFont val="微軟正黑體"/>
        <family val="2"/>
        <charset val="136"/>
      </rPr>
      <t>上班或遠端上班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打卡時間超過</t>
    </r>
    <r>
      <rPr>
        <sz val="12"/>
        <color theme="1"/>
        <rFont val="Calibri"/>
        <family val="2"/>
      </rPr>
      <t xml:space="preserve"> 8:40 </t>
    </r>
    <r>
      <rPr>
        <sz val="12"/>
        <color theme="1"/>
        <rFont val="微軟正黑體"/>
        <family val="2"/>
        <charset val="136"/>
      </rPr>
      <t>者顯示紅字，以便快速確認該遲到或晚到的時間</t>
    </r>
    <phoneticPr fontId="18" type="noConversion"/>
  </si>
  <si>
    <r>
      <rPr>
        <sz val="12"/>
        <color theme="1"/>
        <rFont val="微軟正黑體"/>
        <family val="2"/>
        <charset val="136"/>
      </rPr>
      <t>下班</t>
    </r>
    <phoneticPr fontId="18" type="noConversion"/>
  </si>
  <si>
    <t>3.1.1</t>
    <phoneticPr fontId="18" type="noConversion"/>
  </si>
  <si>
    <r>
      <rPr>
        <sz val="12"/>
        <color theme="1"/>
        <rFont val="微軟正黑體"/>
        <family val="2"/>
        <charset val="136"/>
      </rPr>
      <t>修正出現無法統計或錯誤後，無法繼續操作的問題。</t>
    </r>
    <phoneticPr fontId="18" type="noConversion"/>
  </si>
  <si>
    <r>
      <rPr>
        <sz val="12"/>
        <color theme="1"/>
        <rFont val="微軟正黑體"/>
        <family val="2"/>
        <charset val="136"/>
      </rPr>
      <t>凍結工時的標題列，讓使用者比較不容易誤會。</t>
    </r>
    <phoneticPr fontId="18" type="noConversion"/>
  </si>
  <si>
    <r>
      <rPr>
        <sz val="12"/>
        <color theme="1"/>
        <rFont val="微軟正黑體"/>
        <family val="2"/>
        <charset val="136"/>
      </rPr>
      <t>優化安全管理的程式碼。</t>
    </r>
    <phoneticPr fontId="18" type="noConversion"/>
  </si>
  <si>
    <t>P.S.</t>
    <phoneticPr fontId="18" type="noConversion"/>
  </si>
  <si>
    <r>
      <rPr>
        <sz val="12"/>
        <color theme="1"/>
        <rFont val="微軟正黑體"/>
        <family val="2"/>
        <charset val="136"/>
      </rPr>
      <t>使用說明</t>
    </r>
  </si>
  <si>
    <r>
      <rPr>
        <sz val="12"/>
        <color theme="1"/>
        <rFont val="微軟正黑體"/>
        <family val="2"/>
        <charset val="136"/>
      </rPr>
      <t>計算工時</t>
    </r>
    <phoneticPr fontId="18" type="noConversion"/>
  </si>
  <si>
    <r>
      <rPr>
        <sz val="12"/>
        <rFont val="微軟正黑體"/>
        <family val="2"/>
        <charset val="136"/>
      </rPr>
      <t>修正錯誤，並重新計算工時</t>
    </r>
    <phoneticPr fontId="18" type="noConversion"/>
  </si>
  <si>
    <r>
      <rPr>
        <sz val="12"/>
        <color theme="1"/>
        <rFont val="微軟正黑體"/>
        <family val="2"/>
        <charset val="136"/>
      </rPr>
      <t>時數小於</t>
    </r>
    <r>
      <rPr>
        <sz val="12"/>
        <color theme="1"/>
        <rFont val="Calibri"/>
        <family val="2"/>
      </rPr>
      <t xml:space="preserve"> 4 </t>
    </r>
    <r>
      <rPr>
        <sz val="12"/>
        <color theme="1"/>
        <rFont val="微軟正黑體"/>
        <family val="2"/>
        <charset val="136"/>
      </rPr>
      <t>小時，標示為</t>
    </r>
    <r>
      <rPr>
        <sz val="12"/>
        <color rgb="FFFF0000"/>
        <rFont val="微軟正黑體"/>
        <family val="2"/>
        <charset val="136"/>
      </rPr>
      <t>紅字</t>
    </r>
    <r>
      <rPr>
        <sz val="12"/>
        <color theme="1"/>
        <rFont val="微軟正黑體"/>
        <family val="2"/>
        <charset val="136"/>
      </rPr>
      <t>，請檢查有沒有多扣</t>
    </r>
    <r>
      <rPr>
        <sz val="12"/>
        <color theme="1"/>
        <rFont val="Calibri"/>
        <family val="2"/>
      </rPr>
      <t xml:space="preserve"> 1.5 </t>
    </r>
    <r>
      <rPr>
        <sz val="12"/>
        <color theme="1"/>
        <rFont val="微軟正黑體"/>
        <family val="2"/>
        <charset val="136"/>
      </rPr>
      <t>小時。</t>
    </r>
    <phoneticPr fontId="18" type="noConversion"/>
  </si>
  <si>
    <r>
      <rPr>
        <sz val="12"/>
        <color theme="1"/>
        <rFont val="微軟正黑體"/>
        <family val="2"/>
        <charset val="136"/>
      </rPr>
      <t>上班時間大於</t>
    </r>
    <r>
      <rPr>
        <sz val="12"/>
        <color theme="1"/>
        <rFont val="Calibri"/>
        <family val="2"/>
      </rPr>
      <t xml:space="preserve"> 8:40</t>
    </r>
    <r>
      <rPr>
        <sz val="12"/>
        <color theme="1"/>
        <rFont val="微軟正黑體"/>
        <family val="2"/>
        <charset val="136"/>
      </rPr>
      <t>，標示為</t>
    </r>
    <r>
      <rPr>
        <sz val="12"/>
        <color rgb="FFFF0000"/>
        <rFont val="微軟正黑體"/>
        <family val="2"/>
        <charset val="136"/>
      </rPr>
      <t>紅字</t>
    </r>
    <r>
      <rPr>
        <sz val="12"/>
        <color theme="1"/>
        <rFont val="微軟正黑體"/>
        <family val="2"/>
        <charset val="136"/>
      </rPr>
      <t>。</t>
    </r>
    <phoneticPr fontId="18" type="noConversion"/>
  </si>
  <si>
    <r>
      <rPr>
        <sz val="12"/>
        <color theme="1"/>
        <rFont val="微軟正黑體"/>
        <family val="2"/>
        <charset val="136"/>
      </rPr>
      <t>將</t>
    </r>
    <r>
      <rPr>
        <sz val="12"/>
        <color theme="1"/>
        <rFont val="Calibri"/>
        <family val="2"/>
      </rPr>
      <t xml:space="preserve"> ESPM </t>
    </r>
    <r>
      <rPr>
        <sz val="12"/>
        <color theme="1"/>
        <rFont val="微軟正黑體"/>
        <family val="2"/>
        <charset val="136"/>
      </rPr>
      <t>第三欄到第五欄資料複製貼上</t>
    </r>
    <phoneticPr fontId="18" type="noConversion"/>
  </si>
  <si>
    <r>
      <rPr>
        <sz val="12"/>
        <color theme="1"/>
        <rFont val="微軟正黑體"/>
        <family val="2"/>
        <charset val="136"/>
      </rPr>
      <t>加班時數</t>
    </r>
    <r>
      <rPr>
        <sz val="12"/>
        <color theme="1"/>
        <rFont val="Calibri"/>
        <family val="2"/>
      </rPr>
      <t xml:space="preserve"> *1.34 *1.67</t>
    </r>
    <r>
      <rPr>
        <sz val="12"/>
        <color theme="1"/>
        <rFont val="微軟正黑體"/>
        <family val="2"/>
        <charset val="136"/>
      </rPr>
      <t>，僅紀錄在當天的第一次加班處。</t>
    </r>
    <phoneticPr fontId="18" type="noConversion"/>
  </si>
  <si>
    <r>
      <rPr>
        <sz val="12"/>
        <color theme="1"/>
        <rFont val="微軟正黑體"/>
        <family val="2"/>
        <charset val="136"/>
      </rPr>
      <t>修正最後一列名字沒有複製到</t>
    </r>
    <phoneticPr fontId="18" type="noConversion"/>
  </si>
  <si>
    <r>
      <rPr>
        <sz val="12"/>
        <color theme="1"/>
        <rFont val="微軟正黑體"/>
        <family val="2"/>
        <charset val="136"/>
      </rPr>
      <t>優化說明文件</t>
    </r>
    <phoneticPr fontId="18" type="noConversion"/>
  </si>
  <si>
    <r>
      <rPr>
        <sz val="12"/>
        <color theme="1"/>
        <rFont val="微軟正黑體"/>
        <family val="2"/>
        <charset val="136"/>
      </rPr>
      <t>多項細微優化</t>
    </r>
    <phoneticPr fontId="18" type="noConversion"/>
  </si>
  <si>
    <t>3.1.2</t>
    <phoneticPr fontId="18" type="noConversion"/>
  </si>
  <si>
    <r>
      <rPr>
        <sz val="12"/>
        <color theme="1"/>
        <rFont val="微軟正黑體"/>
        <family val="2"/>
        <charset val="136"/>
      </rPr>
      <t>調整</t>
    </r>
    <r>
      <rPr>
        <sz val="12"/>
        <color theme="1"/>
        <rFont val="Calibri"/>
        <family val="2"/>
      </rPr>
      <t xml:space="preserve"> Date </t>
    </r>
    <r>
      <rPr>
        <sz val="12"/>
        <color theme="1"/>
        <rFont val="微軟正黑體"/>
        <family val="2"/>
        <charset val="136"/>
      </rPr>
      <t>格式</t>
    </r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</si>
</sst>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04]aaa;@"/>
    <numFmt numFmtId="177" formatCode="0.0"/>
    <numFmt numFmtId="178" formatCode="0.000"/>
    <numFmt numFmtId="180" formatCode="0.000_);[Red]\(0.000\)"/>
    <numFmt numFmtId="181" formatCode="h:mm;@"/>
    <numFmt numFmtId="183" formatCode="0.000_ "/>
    <numFmt numFmtId="185" formatCode="yyyy/mm/dd\ hh:mm;@"/>
  </numFmts>
  <fonts count="30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111AD3"/>
      <name val="Calibri"/>
      <family val="2"/>
    </font>
    <font>
      <sz val="12"/>
      <color rgb="FFFF0000"/>
      <name val="Calibri"/>
      <family val="2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1"/>
      <name val="Times New Roman"/>
      <family val="2"/>
      <charset val="136"/>
    </font>
    <font>
      <sz val="12"/>
      <color theme="7" tint="-0.249977111117893"/>
      <name val="Calibri"/>
      <family val="2"/>
    </font>
    <font>
      <sz val="12"/>
      <color theme="1"/>
      <name val="新細明體"/>
      <family val="2"/>
      <scheme val="minor"/>
    </font>
    <font>
      <sz val="12"/>
      <color rgb="FFFF0000"/>
      <name val="微軟正黑體"/>
      <family val="2"/>
      <charset val="136"/>
    </font>
    <font>
      <sz val="12"/>
      <name val="Calibri"/>
      <family val="2"/>
    </font>
    <font>
      <sz val="12"/>
      <name val="微軟正黑體"/>
      <family val="2"/>
      <charset val="136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2" fillId="4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24" fillId="0" borderId="0">
      <alignment vertical="center"/>
    </xf>
    <xf numFmtId="0" fontId="26" fillId="0" borderId="0"/>
  </cellStyleXfs>
  <cellXfs count="58">
    <xf numFmtId="0" fontId="0" fillId="0" borderId="0" xfId="0">
      <alignment vertical="center"/>
    </xf>
    <xf numFmtId="176" fontId="19" fillId="0" borderId="10" xfId="0" applyNumberFormat="1" applyFont="1" applyBorder="1" applyAlignment="1">
      <alignment horizontal="center" vertical="center"/>
    </xf>
    <xf numFmtId="0" fontId="21" fillId="33" borderId="10" xfId="0" applyFont="1" applyFill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19" fillId="34" borderId="0" xfId="49" applyFont="1" applyFill="1" applyAlignment="1">
      <alignment horizontal="left" vertical="center"/>
    </xf>
    <xf numFmtId="0" fontId="19" fillId="34" borderId="0" xfId="49" applyFont="1" applyFill="1" applyAlignment="1">
      <alignment horizontal="center" vertical="center"/>
    </xf>
    <xf numFmtId="0" fontId="19" fillId="34" borderId="11" xfId="49" applyFont="1" applyFill="1" applyBorder="1" applyAlignment="1">
      <alignment horizontal="center" vertical="center"/>
    </xf>
    <xf numFmtId="0" fontId="19" fillId="34" borderId="11" xfId="49" applyFont="1" applyFill="1" applyBorder="1" applyAlignment="1">
      <alignment horizontal="left" vertical="center"/>
    </xf>
    <xf numFmtId="14" fontId="19" fillId="34" borderId="0" xfId="49" applyNumberFormat="1" applyFont="1" applyFill="1" applyAlignment="1">
      <alignment horizontal="center" vertical="center"/>
    </xf>
    <xf numFmtId="0" fontId="19" fillId="34" borderId="12" xfId="49" applyFont="1" applyFill="1" applyBorder="1" applyAlignment="1">
      <alignment horizontal="center" vertical="center"/>
    </xf>
    <xf numFmtId="0" fontId="19" fillId="34" borderId="12" xfId="49" applyFont="1" applyFill="1" applyBorder="1" applyAlignment="1">
      <alignment horizontal="left" vertical="center"/>
    </xf>
    <xf numFmtId="0" fontId="19" fillId="34" borderId="12" xfId="50" applyFont="1" applyFill="1" applyBorder="1" applyAlignment="1">
      <alignment horizontal="center" vertical="center"/>
    </xf>
    <xf numFmtId="0" fontId="19" fillId="34" borderId="12" xfId="50" applyFont="1" applyFill="1" applyBorder="1" applyAlignment="1">
      <alignment horizontal="left" vertical="center"/>
    </xf>
    <xf numFmtId="0" fontId="19" fillId="34" borderId="0" xfId="50" applyFont="1" applyFill="1" applyAlignment="1">
      <alignment horizontal="center" vertical="center"/>
    </xf>
    <xf numFmtId="0" fontId="19" fillId="34" borderId="0" xfId="50" applyFont="1" applyFill="1" applyAlignment="1">
      <alignment horizontal="left" vertical="center"/>
    </xf>
    <xf numFmtId="0" fontId="19" fillId="0" borderId="0" xfId="0" applyFont="1">
      <alignment vertical="center"/>
    </xf>
    <xf numFmtId="0" fontId="21" fillId="0" borderId="0" xfId="0" applyFont="1">
      <alignment vertical="center"/>
    </xf>
    <xf numFmtId="0" fontId="20" fillId="0" borderId="0" xfId="0" applyFont="1">
      <alignment vertical="center"/>
    </xf>
    <xf numFmtId="0" fontId="19" fillId="0" borderId="0" xfId="0" applyFont="1" applyAlignment="1">
      <alignment horizontal="center" vertical="center"/>
    </xf>
    <xf numFmtId="22" fontId="19" fillId="0" borderId="0" xfId="0" applyNumberFormat="1" applyFont="1" applyAlignment="1">
      <alignment horizontal="center" vertical="center"/>
    </xf>
    <xf numFmtId="0" fontId="21" fillId="33" borderId="0" xfId="0" applyFont="1" applyFill="1">
      <alignment vertical="center"/>
    </xf>
    <xf numFmtId="0" fontId="25" fillId="0" borderId="0" xfId="0" applyFont="1">
      <alignment vertical="center"/>
    </xf>
    <xf numFmtId="178" fontId="19" fillId="0" borderId="10" xfId="0" applyNumberFormat="1" applyFont="1" applyBorder="1" applyAlignment="1">
      <alignment horizontal="center" vertical="center"/>
    </xf>
    <xf numFmtId="0" fontId="19" fillId="0" borderId="10" xfId="0" applyNumberFormat="1" applyFont="1" applyBorder="1" applyAlignment="1">
      <alignment horizontal="center" vertical="center"/>
    </xf>
    <xf numFmtId="180" fontId="19" fillId="0" borderId="10" xfId="0" applyNumberFormat="1" applyFont="1" applyBorder="1" applyAlignment="1">
      <alignment horizontal="center" vertical="center"/>
    </xf>
    <xf numFmtId="181" fontId="19" fillId="0" borderId="10" xfId="0" applyNumberFormat="1" applyFont="1" applyBorder="1" applyAlignment="1">
      <alignment horizontal="center" vertical="center"/>
    </xf>
    <xf numFmtId="177" fontId="21" fillId="34" borderId="0" xfId="49" applyNumberFormat="1" applyFont="1" applyFill="1" applyAlignment="1">
      <alignment horizontal="center" vertical="center"/>
    </xf>
    <xf numFmtId="0" fontId="19" fillId="0" borderId="0" xfId="0" applyFont="1" applyAlignment="1"/>
    <xf numFmtId="183" fontId="19" fillId="0" borderId="10" xfId="0" applyNumberFormat="1" applyFont="1" applyBorder="1" applyAlignment="1">
      <alignment horizontal="center" vertical="center"/>
    </xf>
    <xf numFmtId="0" fontId="19" fillId="35" borderId="16" xfId="0" applyFont="1" applyFill="1" applyBorder="1" applyAlignment="1">
      <alignment horizontal="center" vertical="center"/>
    </xf>
    <xf numFmtId="0" fontId="19" fillId="35" borderId="0" xfId="0" applyFont="1" applyFill="1" applyBorder="1">
      <alignment vertical="center"/>
    </xf>
    <xf numFmtId="0" fontId="19" fillId="35" borderId="17" xfId="0" applyFont="1" applyFill="1" applyBorder="1">
      <alignment vertical="center"/>
    </xf>
    <xf numFmtId="0" fontId="28" fillId="35" borderId="16" xfId="0" applyFont="1" applyFill="1" applyBorder="1" applyAlignment="1">
      <alignment horizontal="center" vertical="center"/>
    </xf>
    <xf numFmtId="0" fontId="28" fillId="35" borderId="0" xfId="0" applyFont="1" applyFill="1" applyBorder="1">
      <alignment vertical="center"/>
    </xf>
    <xf numFmtId="0" fontId="21" fillId="35" borderId="0" xfId="0" applyFont="1" applyFill="1" applyBorder="1">
      <alignment vertical="center"/>
    </xf>
    <xf numFmtId="0" fontId="21" fillId="35" borderId="17" xfId="0" applyFont="1" applyFill="1" applyBorder="1">
      <alignment vertical="center"/>
    </xf>
    <xf numFmtId="0" fontId="19" fillId="35" borderId="16" xfId="0" applyFont="1" applyFill="1" applyBorder="1">
      <alignment vertical="center"/>
    </xf>
    <xf numFmtId="0" fontId="19" fillId="35" borderId="18" xfId="0" applyFont="1" applyFill="1" applyBorder="1">
      <alignment vertical="center"/>
    </xf>
    <xf numFmtId="0" fontId="19" fillId="35" borderId="19" xfId="0" applyFont="1" applyFill="1" applyBorder="1">
      <alignment vertical="center"/>
    </xf>
    <xf numFmtId="0" fontId="19" fillId="35" borderId="20" xfId="0" applyFont="1" applyFill="1" applyBorder="1">
      <alignment vertical="center"/>
    </xf>
    <xf numFmtId="0" fontId="19" fillId="0" borderId="0" xfId="0" applyFont="1" applyFill="1">
      <alignment vertical="center"/>
    </xf>
    <xf numFmtId="0" fontId="21" fillId="0" borderId="0" xfId="0" applyFont="1" applyFill="1">
      <alignment vertical="center"/>
    </xf>
    <xf numFmtId="0" fontId="19" fillId="36" borderId="13" xfId="0" applyFont="1" applyFill="1" applyBorder="1" applyAlignment="1">
      <alignment horizontal="center" vertical="center"/>
    </xf>
    <xf numFmtId="0" fontId="19" fillId="36" borderId="14" xfId="0" applyFont="1" applyFill="1" applyBorder="1" applyAlignment="1">
      <alignment horizontal="center" vertical="center"/>
    </xf>
    <xf numFmtId="0" fontId="19" fillId="36" borderId="15" xfId="0" applyFont="1" applyFill="1" applyBorder="1" applyAlignment="1">
      <alignment horizontal="center" vertical="center"/>
    </xf>
    <xf numFmtId="185" fontId="19" fillId="0" borderId="10" xfId="0" applyNumberFormat="1" applyFont="1" applyBorder="1" applyAlignment="1">
      <alignment horizontal="center" vertical="center"/>
    </xf>
    <xf numFmtId="185" fontId="19" fillId="0" borderId="10" xfId="0" applyNumberFormat="1" applyFont="1" applyFill="1" applyBorder="1" applyAlignment="1">
      <alignment horizontal="center" vertical="center"/>
    </xf>
    <xf numFmtId="185" fontId="21" fillId="33" borderId="10" xfId="0" applyNumberFormat="1" applyFont="1" applyFill="1" applyBorder="1" applyAlignment="1">
      <alignment horizontal="center" vertical="center"/>
    </xf>
    <xf numFmtId="185" fontId="25" fillId="0" borderId="10" xfId="0" applyNumberFormat="1" applyFont="1" applyBorder="1" applyAlignment="1">
      <alignment horizontal="center" vertical="center"/>
    </xf>
    <xf numFmtId="185" fontId="19" fillId="0" borderId="0" xfId="0" applyNumberFormat="1" applyFont="1" applyAlignment="1"/>
    <xf numFmtId="185" fontId="19" fillId="0" borderId="0" xfId="0" applyNumberFormat="1" applyFont="1" applyAlignment="1">
      <alignment horizontal="left"/>
    </xf>
    <xf numFmtId="185" fontId="19" fillId="0" borderId="0" xfId="0" applyNumberFormat="1" applyFont="1">
      <alignment vertical="center"/>
    </xf>
    <xf numFmtId="185" fontId="21" fillId="33" borderId="0" xfId="0" applyNumberFormat="1" applyFont="1" applyFill="1">
      <alignment vertical="center"/>
    </xf>
    <xf numFmtId="185" fontId="25" fillId="0" borderId="0" xfId="0" applyNumberFormat="1" applyFont="1">
      <alignment vertical="center"/>
    </xf>
    <xf numFmtId="0" fontId="19" fillId="34" borderId="0" xfId="49" applyFont="1" applyFill="1" applyBorder="1" applyAlignment="1">
      <alignment horizontal="left" vertical="center"/>
    </xf>
    <xf numFmtId="0" fontId="19" fillId="34" borderId="0" xfId="49" applyFont="1" applyFill="1" applyBorder="1" applyAlignment="1">
      <alignment horizontal="center" vertical="center"/>
    </xf>
    <xf numFmtId="14" fontId="19" fillId="34" borderId="0" xfId="49" applyNumberFormat="1" applyFont="1" applyFill="1" applyBorder="1" applyAlignment="1">
      <alignment horizontal="center" vertical="center"/>
    </xf>
  </cellXfs>
  <cellStyles count="5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1 2" xfId="43" xr:uid="{00000000-0005-0000-0000-00000D000000}"/>
    <cellStyle name="60% - 輔色2" xfId="25" builtinId="36" customBuiltin="1"/>
    <cellStyle name="60% - 輔色2 2" xfId="44" xr:uid="{00000000-0005-0000-0000-00000F000000}"/>
    <cellStyle name="60% - 輔色3" xfId="29" builtinId="40" customBuiltin="1"/>
    <cellStyle name="60% - 輔色3 2" xfId="45" xr:uid="{00000000-0005-0000-0000-000011000000}"/>
    <cellStyle name="60% - 輔色4" xfId="33" builtinId="44" customBuiltin="1"/>
    <cellStyle name="60% - 輔色4 2" xfId="46" xr:uid="{00000000-0005-0000-0000-000013000000}"/>
    <cellStyle name="60% - 輔色5" xfId="37" builtinId="48" customBuiltin="1"/>
    <cellStyle name="60% - 輔色5 2" xfId="47" xr:uid="{00000000-0005-0000-0000-000015000000}"/>
    <cellStyle name="60% - 輔色6" xfId="41" builtinId="52" customBuiltin="1"/>
    <cellStyle name="60% - 輔色6 2" xfId="48" xr:uid="{00000000-0005-0000-0000-000017000000}"/>
    <cellStyle name="一般" xfId="0" builtinId="0"/>
    <cellStyle name="一般 2" xfId="49" xr:uid="{00000000-0005-0000-0000-000019000000}"/>
    <cellStyle name="一般 2 2" xfId="50" xr:uid="{00000000-0005-0000-0000-00001A000000}"/>
    <cellStyle name="一般 3" xfId="51" xr:uid="{F12981D7-4660-43D1-A19E-FD45A2C6423F}"/>
    <cellStyle name="中等" xfId="8" builtinId="28" customBuiltin="1"/>
    <cellStyle name="中等 2" xfId="42" xr:uid="{00000000-0005-0000-0000-00001C000000}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3">
    <dxf>
      <font>
        <color rgb="FFC0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111AD3"/>
      <color rgb="FF23956F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47</xdr:row>
      <xdr:rowOff>0</xdr:rowOff>
    </xdr:from>
    <xdr:to>
      <xdr:col>16</xdr:col>
      <xdr:colOff>592455</xdr:colOff>
      <xdr:row>55</xdr:row>
      <xdr:rowOff>114300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7EEC7767-8396-4B80-A0A4-8046DEBD03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3420" y="9326880"/>
          <a:ext cx="5941695" cy="1699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11</xdr:row>
      <xdr:rowOff>0</xdr:rowOff>
    </xdr:from>
    <xdr:to>
      <xdr:col>9</xdr:col>
      <xdr:colOff>657225</xdr:colOff>
      <xdr:row>16</xdr:row>
      <xdr:rowOff>0</xdr:rowOff>
    </xdr:to>
    <xdr:sp macro="[0]!Main.MAIN" textlink="">
      <xdr:nvSpPr>
        <xdr:cNvPr id="4" name="矩形 3">
          <a:extLst>
            <a:ext uri="{FF2B5EF4-FFF2-40B4-BE49-F238E27FC236}">
              <a16:creationId xmlns:a16="http://schemas.microsoft.com/office/drawing/2014/main" id="{7235AF11-F311-4114-A7A1-AD76FA584DBC}"/>
            </a:ext>
          </a:extLst>
        </xdr:cNvPr>
        <xdr:cNvSpPr/>
      </xdr:nvSpPr>
      <xdr:spPr>
        <a:xfrm>
          <a:off x="4981575" y="2200275"/>
          <a:ext cx="2028825" cy="100012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i="0">
              <a:latin typeface="Yuanti TC" panose="02010600040101010101" pitchFamily="2" charset="-120"/>
              <a:ea typeface="Yuanti TC" panose="02010600040101010101" pitchFamily="2" charset="-120"/>
            </a:rPr>
            <a:t>計算工時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C7FAB-BFD4-49CA-9090-D632AC53C279}">
  <sheetPr codeName="工作表35">
    <tabColor theme="9" tint="0.39997558519241921"/>
  </sheetPr>
  <dimension ref="B2:E57"/>
  <sheetViews>
    <sheetView tabSelected="1" workbookViewId="0"/>
  </sheetViews>
  <sheetFormatPr defaultColWidth="8.6640625" defaultRowHeight="15.6" x14ac:dyDescent="0.3"/>
  <cols>
    <col min="1" max="1" width="8.6640625" style="5"/>
    <col min="2" max="2" width="13.6640625" style="6" customWidth="1"/>
    <col min="3" max="4" width="8.6640625" style="6"/>
    <col min="5" max="16384" width="8.6640625" style="5"/>
  </cols>
  <sheetData>
    <row r="2" spans="2:5" x14ac:dyDescent="0.3">
      <c r="B2" s="5" t="s">
        <v>5</v>
      </c>
      <c r="C2" s="27" t="str" cm="1">
        <f t="array" ref="C2">getVersion()</f>
        <v>3.1.2</v>
      </c>
    </row>
    <row r="3" spans="2:5" x14ac:dyDescent="0.3">
      <c r="C3" s="6" t="s">
        <v>7</v>
      </c>
    </row>
    <row r="4" spans="2:5" s="8" customFormat="1" ht="16.2" thickBot="1" x14ac:dyDescent="0.35">
      <c r="B4" s="7"/>
      <c r="C4" s="7"/>
      <c r="D4" s="7"/>
    </row>
    <row r="5" spans="2:5" s="55" customFormat="1" ht="16.2" thickTop="1" x14ac:dyDescent="0.3">
      <c r="B5" s="56"/>
      <c r="C5" s="56"/>
      <c r="D5" s="56"/>
    </row>
    <row r="6" spans="2:5" s="55" customFormat="1" x14ac:dyDescent="0.3">
      <c r="B6" s="57">
        <v>44772</v>
      </c>
      <c r="C6" s="56" t="s">
        <v>136</v>
      </c>
      <c r="D6" s="56">
        <v>1</v>
      </c>
      <c r="E6" s="55" t="s">
        <v>137</v>
      </c>
    </row>
    <row r="7" spans="2:5" s="11" customFormat="1" x14ac:dyDescent="0.3">
      <c r="B7" s="10"/>
      <c r="C7" s="10"/>
      <c r="D7" s="10"/>
    </row>
    <row r="8" spans="2:5" x14ac:dyDescent="0.3">
      <c r="B8" s="9">
        <v>44768</v>
      </c>
      <c r="C8" s="6" t="s">
        <v>121</v>
      </c>
      <c r="D8" s="6">
        <v>1</v>
      </c>
      <c r="E8" s="5" t="s">
        <v>122</v>
      </c>
    </row>
    <row r="9" spans="2:5" x14ac:dyDescent="0.3">
      <c r="D9" s="6">
        <v>2</v>
      </c>
      <c r="E9" s="5" t="s">
        <v>123</v>
      </c>
    </row>
    <row r="10" spans="2:5" x14ac:dyDescent="0.3">
      <c r="D10" s="6">
        <v>3</v>
      </c>
      <c r="E10" s="5" t="s">
        <v>124</v>
      </c>
    </row>
    <row r="11" spans="2:5" x14ac:dyDescent="0.3">
      <c r="D11" s="6">
        <v>4</v>
      </c>
      <c r="E11" s="5" t="s">
        <v>133</v>
      </c>
    </row>
    <row r="12" spans="2:5" x14ac:dyDescent="0.3">
      <c r="D12" s="6">
        <v>5</v>
      </c>
      <c r="E12" s="5" t="s">
        <v>134</v>
      </c>
    </row>
    <row r="13" spans="2:5" x14ac:dyDescent="0.3">
      <c r="D13" s="6">
        <v>6</v>
      </c>
      <c r="E13" s="5" t="s">
        <v>135</v>
      </c>
    </row>
    <row r="14" spans="2:5" s="11" customFormat="1" x14ac:dyDescent="0.3">
      <c r="B14" s="10"/>
      <c r="C14" s="10"/>
      <c r="D14" s="10"/>
    </row>
    <row r="15" spans="2:5" x14ac:dyDescent="0.3">
      <c r="B15" s="9">
        <v>44728</v>
      </c>
      <c r="C15" s="6" t="s">
        <v>118</v>
      </c>
      <c r="D15" s="6">
        <v>1</v>
      </c>
      <c r="E15" s="5" t="s">
        <v>119</v>
      </c>
    </row>
    <row r="16" spans="2:5" s="11" customFormat="1" x14ac:dyDescent="0.3">
      <c r="B16" s="10"/>
      <c r="C16" s="10"/>
      <c r="D16" s="10"/>
    </row>
    <row r="17" spans="2:5" x14ac:dyDescent="0.3">
      <c r="B17" s="9">
        <v>44537</v>
      </c>
      <c r="C17" s="6" t="s">
        <v>101</v>
      </c>
      <c r="D17" s="6">
        <v>1</v>
      </c>
      <c r="E17" s="5" t="s">
        <v>102</v>
      </c>
    </row>
    <row r="18" spans="2:5" x14ac:dyDescent="0.3">
      <c r="D18" s="6">
        <v>2</v>
      </c>
      <c r="E18" s="5" t="s">
        <v>103</v>
      </c>
    </row>
    <row r="19" spans="2:5" s="11" customFormat="1" x14ac:dyDescent="0.3">
      <c r="B19" s="10"/>
      <c r="C19" s="10"/>
      <c r="D19" s="10"/>
    </row>
    <row r="20" spans="2:5" x14ac:dyDescent="0.3">
      <c r="B20" s="9">
        <v>44101</v>
      </c>
      <c r="C20" s="6" t="s">
        <v>37</v>
      </c>
      <c r="D20" s="6">
        <v>1</v>
      </c>
      <c r="E20" s="5" t="s">
        <v>104</v>
      </c>
    </row>
    <row r="22" spans="2:5" s="11" customFormat="1" x14ac:dyDescent="0.3">
      <c r="B22" s="10"/>
      <c r="C22" s="10"/>
      <c r="D22" s="10"/>
    </row>
    <row r="23" spans="2:5" x14ac:dyDescent="0.3">
      <c r="B23" s="9">
        <v>44057</v>
      </c>
      <c r="C23" s="6" t="s">
        <v>33</v>
      </c>
      <c r="D23" s="6">
        <v>1</v>
      </c>
      <c r="E23" s="5" t="s">
        <v>34</v>
      </c>
    </row>
    <row r="24" spans="2:5" x14ac:dyDescent="0.3">
      <c r="D24" s="6">
        <v>2</v>
      </c>
      <c r="E24" s="5" t="s">
        <v>35</v>
      </c>
    </row>
    <row r="26" spans="2:5" s="11" customFormat="1" x14ac:dyDescent="0.3">
      <c r="B26" s="10"/>
      <c r="C26" s="10"/>
      <c r="D26" s="10"/>
    </row>
    <row r="27" spans="2:5" x14ac:dyDescent="0.3">
      <c r="B27" s="9">
        <v>43794</v>
      </c>
      <c r="C27" s="6" t="s">
        <v>32</v>
      </c>
      <c r="D27" s="6">
        <v>1</v>
      </c>
      <c r="E27" s="5" t="s">
        <v>36</v>
      </c>
    </row>
    <row r="29" spans="2:5" s="11" customFormat="1" x14ac:dyDescent="0.3">
      <c r="B29" s="10"/>
      <c r="C29" s="10"/>
      <c r="D29" s="10"/>
    </row>
    <row r="30" spans="2:5" x14ac:dyDescent="0.3">
      <c r="B30" s="9">
        <v>43437</v>
      </c>
      <c r="C30" s="6" t="s">
        <v>30</v>
      </c>
      <c r="D30" s="6">
        <v>1</v>
      </c>
      <c r="E30" s="5" t="s">
        <v>31</v>
      </c>
    </row>
    <row r="32" spans="2:5" s="11" customFormat="1" x14ac:dyDescent="0.3">
      <c r="B32" s="10"/>
      <c r="C32" s="10"/>
      <c r="D32" s="10"/>
    </row>
    <row r="33" spans="2:5" x14ac:dyDescent="0.3">
      <c r="B33" s="9">
        <v>43437</v>
      </c>
      <c r="C33" s="6" t="s">
        <v>26</v>
      </c>
      <c r="D33" s="6">
        <v>1</v>
      </c>
      <c r="E33" s="5" t="s">
        <v>27</v>
      </c>
    </row>
    <row r="34" spans="2:5" x14ac:dyDescent="0.3">
      <c r="D34" s="6">
        <v>2</v>
      </c>
      <c r="E34" s="5" t="s">
        <v>28</v>
      </c>
    </row>
    <row r="35" spans="2:5" s="11" customFormat="1" x14ac:dyDescent="0.3">
      <c r="B35" s="10"/>
      <c r="C35" s="10"/>
      <c r="D35" s="10"/>
    </row>
    <row r="36" spans="2:5" x14ac:dyDescent="0.3">
      <c r="B36" s="9">
        <v>43423</v>
      </c>
      <c r="C36" s="6" t="s">
        <v>6</v>
      </c>
      <c r="D36" s="6">
        <v>1</v>
      </c>
      <c r="E36" s="5" t="s">
        <v>8</v>
      </c>
    </row>
    <row r="37" spans="2:5" s="11" customFormat="1" x14ac:dyDescent="0.3">
      <c r="B37" s="10"/>
      <c r="C37" s="10"/>
      <c r="D37" s="10"/>
    </row>
    <row r="38" spans="2:5" x14ac:dyDescent="0.3">
      <c r="B38" s="9">
        <v>43410</v>
      </c>
      <c r="C38" s="6" t="s">
        <v>9</v>
      </c>
      <c r="D38" s="6">
        <v>1</v>
      </c>
      <c r="E38" s="5" t="s">
        <v>29</v>
      </c>
    </row>
    <row r="40" spans="2:5" s="11" customFormat="1" x14ac:dyDescent="0.3">
      <c r="B40" s="10"/>
      <c r="C40" s="10"/>
      <c r="D40" s="10"/>
    </row>
    <row r="41" spans="2:5" x14ac:dyDescent="0.3">
      <c r="B41" s="9">
        <v>43314</v>
      </c>
      <c r="C41" s="6" t="s">
        <v>10</v>
      </c>
      <c r="D41" s="6">
        <v>1</v>
      </c>
      <c r="E41" s="5" t="s">
        <v>11</v>
      </c>
    </row>
    <row r="42" spans="2:5" s="11" customFormat="1" x14ac:dyDescent="0.3">
      <c r="B42" s="10"/>
      <c r="C42" s="10"/>
      <c r="D42" s="10"/>
    </row>
    <row r="43" spans="2:5" x14ac:dyDescent="0.3">
      <c r="B43" s="9">
        <v>43314</v>
      </c>
      <c r="C43" s="6" t="s">
        <v>12</v>
      </c>
      <c r="D43" s="6">
        <v>1</v>
      </c>
      <c r="E43" s="5" t="s">
        <v>13</v>
      </c>
    </row>
    <row r="44" spans="2:5" s="11" customFormat="1" x14ac:dyDescent="0.3">
      <c r="B44" s="10"/>
      <c r="C44" s="10"/>
      <c r="D44" s="10"/>
    </row>
    <row r="45" spans="2:5" x14ac:dyDescent="0.3">
      <c r="B45" s="9">
        <v>43283</v>
      </c>
      <c r="C45" s="6" t="s">
        <v>14</v>
      </c>
      <c r="D45" s="6">
        <v>1</v>
      </c>
      <c r="E45" s="5" t="s">
        <v>15</v>
      </c>
    </row>
    <row r="46" spans="2:5" x14ac:dyDescent="0.3">
      <c r="B46" s="9"/>
    </row>
    <row r="47" spans="2:5" s="13" customFormat="1" x14ac:dyDescent="0.3">
      <c r="B47" s="12"/>
      <c r="C47" s="12"/>
      <c r="D47" s="12"/>
    </row>
    <row r="48" spans="2:5" x14ac:dyDescent="0.3">
      <c r="C48" s="6">
        <v>1</v>
      </c>
      <c r="D48" s="14">
        <v>1</v>
      </c>
      <c r="E48" s="15" t="s">
        <v>16</v>
      </c>
    </row>
    <row r="49" spans="4:5" x14ac:dyDescent="0.3">
      <c r="D49" s="14">
        <v>2</v>
      </c>
      <c r="E49" s="15" t="s">
        <v>17</v>
      </c>
    </row>
    <row r="50" spans="4:5" x14ac:dyDescent="0.3">
      <c r="D50" s="14">
        <v>3</v>
      </c>
      <c r="E50" s="15" t="s">
        <v>18</v>
      </c>
    </row>
    <row r="51" spans="4:5" x14ac:dyDescent="0.3">
      <c r="D51" s="14">
        <v>4</v>
      </c>
      <c r="E51" s="15" t="s">
        <v>19</v>
      </c>
    </row>
    <row r="52" spans="4:5" x14ac:dyDescent="0.3">
      <c r="D52" s="14">
        <v>5</v>
      </c>
      <c r="E52" s="15" t="s">
        <v>20</v>
      </c>
    </row>
    <row r="53" spans="4:5" x14ac:dyDescent="0.3">
      <c r="D53" s="14">
        <v>6</v>
      </c>
      <c r="E53" s="15" t="s">
        <v>21</v>
      </c>
    </row>
    <row r="54" spans="4:5" x14ac:dyDescent="0.3">
      <c r="D54" s="14">
        <v>7</v>
      </c>
      <c r="E54" s="15" t="s">
        <v>22</v>
      </c>
    </row>
    <row r="55" spans="4:5" x14ac:dyDescent="0.3">
      <c r="D55" s="14">
        <v>8</v>
      </c>
      <c r="E55" s="15" t="s">
        <v>23</v>
      </c>
    </row>
    <row r="56" spans="4:5" x14ac:dyDescent="0.3">
      <c r="D56" s="14">
        <v>9</v>
      </c>
      <c r="E56" s="15" t="s">
        <v>24</v>
      </c>
    </row>
    <row r="57" spans="4:5" x14ac:dyDescent="0.3">
      <c r="D57" s="14">
        <v>10</v>
      </c>
      <c r="E57" s="15" t="s">
        <v>25</v>
      </c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Q813"/>
  <sheetViews>
    <sheetView workbookViewId="0">
      <pane ySplit="1" topLeftCell="A2" activePane="bottomLeft" state="frozen"/>
      <selection pane="bottomLeft"/>
    </sheetView>
  </sheetViews>
  <sheetFormatPr defaultColWidth="9" defaultRowHeight="15.6" x14ac:dyDescent="0.3"/>
  <cols>
    <col min="1" max="1" width="26.77734375" style="16" bestFit="1" customWidth="1"/>
    <col min="2" max="2" width="6.44140625" style="16" bestFit="1" customWidth="1"/>
    <col min="3" max="3" width="9.77734375" style="16" bestFit="1" customWidth="1"/>
    <col min="4" max="4" width="9.44140625" style="16" bestFit="1" customWidth="1"/>
    <col min="5" max="5" width="21.44140625" style="52" bestFit="1" customWidth="1"/>
    <col min="6" max="7" width="9" style="16"/>
    <col min="8" max="8" width="9.109375" style="16" bestFit="1" customWidth="1"/>
    <col min="9" max="16384" width="9" style="16"/>
  </cols>
  <sheetData>
    <row r="1" spans="1:17" ht="16.2" thickBot="1" x14ac:dyDescent="0.35">
      <c r="A1" s="28" t="s">
        <v>96</v>
      </c>
      <c r="B1" s="28" t="s">
        <v>97</v>
      </c>
      <c r="C1" s="28" t="s">
        <v>98</v>
      </c>
      <c r="D1" s="28" t="s">
        <v>99</v>
      </c>
      <c r="E1" s="50" t="s">
        <v>100</v>
      </c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</row>
    <row r="2" spans="1:17" ht="16.2" thickBot="1" x14ac:dyDescent="0.35">
      <c r="A2" s="28" t="s">
        <v>38</v>
      </c>
      <c r="B2" s="28" t="s">
        <v>39</v>
      </c>
      <c r="C2" s="28" t="s">
        <v>40</v>
      </c>
      <c r="D2" s="28" t="s">
        <v>1</v>
      </c>
      <c r="E2" s="51" t="s">
        <v>41</v>
      </c>
      <c r="G2" s="41"/>
      <c r="H2" s="43" t="s">
        <v>126</v>
      </c>
      <c r="I2" s="44"/>
      <c r="J2" s="44"/>
      <c r="K2" s="44"/>
      <c r="L2" s="44"/>
      <c r="M2" s="44"/>
      <c r="N2" s="44"/>
      <c r="O2" s="44"/>
      <c r="P2" s="45"/>
      <c r="Q2" s="41"/>
    </row>
    <row r="3" spans="1:17" ht="16.2" thickTop="1" x14ac:dyDescent="0.3">
      <c r="A3" s="28" t="s">
        <v>42</v>
      </c>
      <c r="B3" s="28" t="s">
        <v>39</v>
      </c>
      <c r="C3" s="28" t="s">
        <v>40</v>
      </c>
      <c r="D3" s="28" t="s">
        <v>120</v>
      </c>
      <c r="E3" s="51" t="s">
        <v>43</v>
      </c>
      <c r="G3" s="41"/>
      <c r="H3" s="30">
        <v>1</v>
      </c>
      <c r="I3" s="31" t="s">
        <v>131</v>
      </c>
      <c r="J3" s="31"/>
      <c r="K3" s="31"/>
      <c r="L3" s="31"/>
      <c r="M3" s="31"/>
      <c r="N3" s="31"/>
      <c r="O3" s="31"/>
      <c r="P3" s="32"/>
      <c r="Q3" s="41"/>
    </row>
    <row r="4" spans="1:17" x14ac:dyDescent="0.3">
      <c r="A4" s="28" t="s">
        <v>44</v>
      </c>
      <c r="B4" s="28" t="s">
        <v>39</v>
      </c>
      <c r="C4" s="28" t="s">
        <v>40</v>
      </c>
      <c r="D4" s="28" t="s">
        <v>1</v>
      </c>
      <c r="E4" s="51" t="s">
        <v>45</v>
      </c>
      <c r="G4" s="41"/>
      <c r="H4" s="30">
        <v>2</v>
      </c>
      <c r="I4" s="31" t="s">
        <v>127</v>
      </c>
      <c r="J4" s="31"/>
      <c r="K4" s="31"/>
      <c r="L4" s="31"/>
      <c r="M4" s="31"/>
      <c r="N4" s="31"/>
      <c r="O4" s="31"/>
      <c r="P4" s="32"/>
      <c r="Q4" s="41"/>
    </row>
    <row r="5" spans="1:17" s="17" customFormat="1" x14ac:dyDescent="0.3">
      <c r="A5" s="28" t="s">
        <v>46</v>
      </c>
      <c r="B5" s="28" t="s">
        <v>39</v>
      </c>
      <c r="C5" s="28" t="s">
        <v>40</v>
      </c>
      <c r="D5" s="28" t="s">
        <v>2</v>
      </c>
      <c r="E5" s="51" t="s">
        <v>47</v>
      </c>
      <c r="G5" s="42"/>
      <c r="H5" s="33">
        <v>3</v>
      </c>
      <c r="I5" s="34" t="s">
        <v>128</v>
      </c>
      <c r="J5" s="35"/>
      <c r="K5" s="35"/>
      <c r="L5" s="35"/>
      <c r="M5" s="35"/>
      <c r="N5" s="35"/>
      <c r="O5" s="35"/>
      <c r="P5" s="36"/>
      <c r="Q5" s="42"/>
    </row>
    <row r="6" spans="1:17" x14ac:dyDescent="0.3">
      <c r="A6" s="28" t="s">
        <v>48</v>
      </c>
      <c r="B6" s="28" t="s">
        <v>39</v>
      </c>
      <c r="C6" s="28" t="s">
        <v>40</v>
      </c>
      <c r="D6" s="28" t="s">
        <v>1</v>
      </c>
      <c r="E6" s="51" t="s">
        <v>49</v>
      </c>
      <c r="G6" s="41"/>
      <c r="H6" s="37"/>
      <c r="I6" s="31"/>
      <c r="J6" s="31"/>
      <c r="K6" s="31"/>
      <c r="L6" s="31"/>
      <c r="M6" s="31"/>
      <c r="N6" s="31"/>
      <c r="O6" s="31"/>
      <c r="P6" s="32"/>
      <c r="Q6" s="41"/>
    </row>
    <row r="7" spans="1:17" x14ac:dyDescent="0.3">
      <c r="A7" s="28" t="s">
        <v>50</v>
      </c>
      <c r="B7" s="28" t="s">
        <v>39</v>
      </c>
      <c r="C7" s="28" t="s">
        <v>40</v>
      </c>
      <c r="D7" s="28" t="s">
        <v>2</v>
      </c>
      <c r="E7" s="51" t="s">
        <v>51</v>
      </c>
      <c r="G7" s="41"/>
      <c r="H7" s="30" t="s">
        <v>125</v>
      </c>
      <c r="I7" s="31" t="s">
        <v>129</v>
      </c>
      <c r="J7" s="31"/>
      <c r="K7" s="31"/>
      <c r="L7" s="31"/>
      <c r="M7" s="31"/>
      <c r="N7" s="31"/>
      <c r="O7" s="31"/>
      <c r="P7" s="32"/>
      <c r="Q7" s="41"/>
    </row>
    <row r="8" spans="1:17" x14ac:dyDescent="0.3">
      <c r="A8" s="28" t="s">
        <v>52</v>
      </c>
      <c r="B8" s="28" t="s">
        <v>39</v>
      </c>
      <c r="C8" s="28" t="s">
        <v>40</v>
      </c>
      <c r="D8" s="28" t="s">
        <v>3</v>
      </c>
      <c r="E8" s="51" t="s">
        <v>53</v>
      </c>
      <c r="G8" s="41"/>
      <c r="H8" s="37"/>
      <c r="I8" s="31" t="s">
        <v>130</v>
      </c>
      <c r="J8" s="31"/>
      <c r="K8" s="31"/>
      <c r="L8" s="31"/>
      <c r="M8" s="31"/>
      <c r="N8" s="31"/>
      <c r="O8" s="31"/>
      <c r="P8" s="32"/>
      <c r="Q8" s="41"/>
    </row>
    <row r="9" spans="1:17" ht="16.2" thickBot="1" x14ac:dyDescent="0.35">
      <c r="A9" s="28" t="s">
        <v>54</v>
      </c>
      <c r="B9" s="28" t="s">
        <v>39</v>
      </c>
      <c r="C9" s="28" t="s">
        <v>40</v>
      </c>
      <c r="D9" s="28" t="s">
        <v>4</v>
      </c>
      <c r="E9" s="51" t="s">
        <v>55</v>
      </c>
      <c r="G9" s="41"/>
      <c r="H9" s="38"/>
      <c r="I9" s="39" t="s">
        <v>132</v>
      </c>
      <c r="J9" s="39"/>
      <c r="K9" s="39"/>
      <c r="L9" s="39"/>
      <c r="M9" s="39"/>
      <c r="N9" s="39"/>
      <c r="O9" s="39"/>
      <c r="P9" s="40"/>
      <c r="Q9" s="41"/>
    </row>
    <row r="10" spans="1:17" x14ac:dyDescent="0.3">
      <c r="A10" s="28" t="s">
        <v>56</v>
      </c>
      <c r="B10" s="28" t="s">
        <v>39</v>
      </c>
      <c r="C10" s="28" t="s">
        <v>40</v>
      </c>
      <c r="D10" s="28" t="s">
        <v>1</v>
      </c>
      <c r="E10" s="51" t="s">
        <v>57</v>
      </c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</row>
    <row r="11" spans="1:17" x14ac:dyDescent="0.3">
      <c r="A11" s="28" t="s">
        <v>58</v>
      </c>
      <c r="B11" s="28" t="s">
        <v>39</v>
      </c>
      <c r="C11" s="28" t="s">
        <v>40</v>
      </c>
      <c r="D11" s="28" t="s">
        <v>2</v>
      </c>
      <c r="E11" s="51" t="s">
        <v>59</v>
      </c>
    </row>
    <row r="12" spans="1:17" x14ac:dyDescent="0.3">
      <c r="A12" s="28" t="s">
        <v>60</v>
      </c>
      <c r="B12" s="28" t="s">
        <v>39</v>
      </c>
      <c r="C12" s="28" t="s">
        <v>40</v>
      </c>
      <c r="D12" s="28" t="s">
        <v>1</v>
      </c>
      <c r="E12" s="51" t="s">
        <v>61</v>
      </c>
    </row>
    <row r="13" spans="1:17" x14ac:dyDescent="0.3">
      <c r="A13" s="28" t="s">
        <v>62</v>
      </c>
      <c r="B13" s="28" t="s">
        <v>39</v>
      </c>
      <c r="C13" s="28" t="s">
        <v>40</v>
      </c>
      <c r="D13" s="28" t="s">
        <v>2</v>
      </c>
      <c r="E13" s="51" t="s">
        <v>63</v>
      </c>
    </row>
    <row r="14" spans="1:17" x14ac:dyDescent="0.3">
      <c r="A14" s="28" t="s">
        <v>64</v>
      </c>
      <c r="B14" s="28" t="s">
        <v>39</v>
      </c>
      <c r="C14" s="28" t="s">
        <v>40</v>
      </c>
      <c r="D14" s="28" t="s">
        <v>3</v>
      </c>
      <c r="E14" s="51" t="s">
        <v>65</v>
      </c>
    </row>
    <row r="15" spans="1:17" x14ac:dyDescent="0.3">
      <c r="A15" s="28" t="s">
        <v>66</v>
      </c>
      <c r="B15" s="28" t="s">
        <v>39</v>
      </c>
      <c r="C15" s="28" t="s">
        <v>40</v>
      </c>
      <c r="D15" s="28" t="s">
        <v>4</v>
      </c>
      <c r="E15" s="51" t="s">
        <v>67</v>
      </c>
    </row>
    <row r="16" spans="1:17" x14ac:dyDescent="0.3">
      <c r="A16" s="28" t="s">
        <v>68</v>
      </c>
      <c r="B16" s="28" t="s">
        <v>39</v>
      </c>
      <c r="C16" s="28" t="s">
        <v>40</v>
      </c>
      <c r="D16" s="28" t="s">
        <v>1</v>
      </c>
      <c r="E16" s="51" t="s">
        <v>69</v>
      </c>
    </row>
    <row r="17" spans="1:5" x14ac:dyDescent="0.3">
      <c r="A17" s="28" t="s">
        <v>70</v>
      </c>
      <c r="B17" s="28" t="s">
        <v>39</v>
      </c>
      <c r="C17" s="28" t="s">
        <v>40</v>
      </c>
      <c r="D17" s="28" t="s">
        <v>2</v>
      </c>
      <c r="E17" s="51" t="s">
        <v>71</v>
      </c>
    </row>
    <row r="18" spans="1:5" x14ac:dyDescent="0.3">
      <c r="A18" s="28" t="s">
        <v>72</v>
      </c>
      <c r="B18" s="28" t="s">
        <v>39</v>
      </c>
      <c r="C18" s="28" t="s">
        <v>40</v>
      </c>
      <c r="D18" s="28" t="s">
        <v>3</v>
      </c>
      <c r="E18" s="51" t="s">
        <v>73</v>
      </c>
    </row>
    <row r="19" spans="1:5" x14ac:dyDescent="0.3">
      <c r="A19" s="28" t="s">
        <v>74</v>
      </c>
      <c r="B19" s="28" t="s">
        <v>39</v>
      </c>
      <c r="C19" s="28" t="s">
        <v>40</v>
      </c>
      <c r="D19" s="28" t="s">
        <v>4</v>
      </c>
      <c r="E19" s="51" t="s">
        <v>75</v>
      </c>
    </row>
    <row r="20" spans="1:5" x14ac:dyDescent="0.3">
      <c r="A20" s="28" t="s">
        <v>76</v>
      </c>
      <c r="B20" s="28" t="s">
        <v>39</v>
      </c>
      <c r="C20" s="28" t="s">
        <v>40</v>
      </c>
      <c r="D20" s="28" t="s">
        <v>1</v>
      </c>
      <c r="E20" s="51" t="s">
        <v>77</v>
      </c>
    </row>
    <row r="21" spans="1:5" x14ac:dyDescent="0.3">
      <c r="A21" s="28" t="s">
        <v>78</v>
      </c>
      <c r="B21" s="28" t="s">
        <v>39</v>
      </c>
      <c r="C21" s="28" t="s">
        <v>40</v>
      </c>
      <c r="D21" s="28" t="s">
        <v>2</v>
      </c>
      <c r="E21" s="51" t="s">
        <v>79</v>
      </c>
    </row>
    <row r="22" spans="1:5" x14ac:dyDescent="0.3">
      <c r="A22" s="28" t="s">
        <v>80</v>
      </c>
      <c r="B22" s="28" t="s">
        <v>39</v>
      </c>
      <c r="C22" s="28" t="s">
        <v>40</v>
      </c>
      <c r="D22" s="28" t="s">
        <v>3</v>
      </c>
      <c r="E22" s="51" t="s">
        <v>81</v>
      </c>
    </row>
    <row r="23" spans="1:5" x14ac:dyDescent="0.3">
      <c r="A23" s="28" t="s">
        <v>82</v>
      </c>
      <c r="B23" s="28" t="s">
        <v>39</v>
      </c>
      <c r="C23" s="28" t="s">
        <v>40</v>
      </c>
      <c r="D23" s="28" t="s">
        <v>4</v>
      </c>
      <c r="E23" s="51" t="s">
        <v>83</v>
      </c>
    </row>
    <row r="24" spans="1:5" x14ac:dyDescent="0.3">
      <c r="A24" s="28" t="s">
        <v>84</v>
      </c>
      <c r="B24" s="28" t="s">
        <v>39</v>
      </c>
      <c r="C24" s="28" t="s">
        <v>40</v>
      </c>
      <c r="D24" s="28" t="s">
        <v>1</v>
      </c>
      <c r="E24" s="51" t="s">
        <v>85</v>
      </c>
    </row>
    <row r="25" spans="1:5" x14ac:dyDescent="0.3">
      <c r="A25" s="28" t="s">
        <v>86</v>
      </c>
      <c r="B25" s="28" t="s">
        <v>39</v>
      </c>
      <c r="C25" s="28" t="s">
        <v>40</v>
      </c>
      <c r="D25" s="28" t="s">
        <v>2</v>
      </c>
      <c r="E25" s="51" t="s">
        <v>87</v>
      </c>
    </row>
    <row r="26" spans="1:5" x14ac:dyDescent="0.3">
      <c r="A26" s="28" t="s">
        <v>88</v>
      </c>
      <c r="B26" s="28" t="s">
        <v>39</v>
      </c>
      <c r="C26" s="28" t="s">
        <v>40</v>
      </c>
      <c r="D26" s="28" t="s">
        <v>1</v>
      </c>
      <c r="E26" s="51" t="s">
        <v>89</v>
      </c>
    </row>
    <row r="27" spans="1:5" x14ac:dyDescent="0.3">
      <c r="A27" s="28" t="s">
        <v>90</v>
      </c>
      <c r="B27" s="28" t="s">
        <v>39</v>
      </c>
      <c r="C27" s="28" t="s">
        <v>40</v>
      </c>
      <c r="D27" s="28" t="s">
        <v>2</v>
      </c>
      <c r="E27" s="51" t="s">
        <v>91</v>
      </c>
    </row>
    <row r="28" spans="1:5" x14ac:dyDescent="0.3">
      <c r="A28" s="28" t="s">
        <v>92</v>
      </c>
      <c r="B28" s="28" t="s">
        <v>39</v>
      </c>
      <c r="C28" s="28" t="s">
        <v>40</v>
      </c>
      <c r="D28" s="28" t="s">
        <v>3</v>
      </c>
      <c r="E28" s="51" t="s">
        <v>93</v>
      </c>
    </row>
    <row r="29" spans="1:5" x14ac:dyDescent="0.3">
      <c r="A29" s="28" t="s">
        <v>94</v>
      </c>
      <c r="B29" s="28" t="s">
        <v>39</v>
      </c>
      <c r="C29" s="28" t="s">
        <v>40</v>
      </c>
      <c r="D29" s="28" t="s">
        <v>4</v>
      </c>
      <c r="E29" s="51" t="s">
        <v>95</v>
      </c>
    </row>
    <row r="30" spans="1:5" x14ac:dyDescent="0.3">
      <c r="A30" s="16" t="s">
        <v>105</v>
      </c>
      <c r="B30" s="16" t="s">
        <v>106</v>
      </c>
      <c r="C30" s="16" t="s">
        <v>107</v>
      </c>
      <c r="D30" s="16" t="s">
        <v>1</v>
      </c>
      <c r="E30" s="51" t="s">
        <v>108</v>
      </c>
    </row>
    <row r="31" spans="1:5" x14ac:dyDescent="0.3">
      <c r="D31" s="16" t="s">
        <v>2</v>
      </c>
      <c r="E31" s="51">
        <v>44530.770833333336</v>
      </c>
    </row>
    <row r="32" spans="1:5" x14ac:dyDescent="0.3">
      <c r="A32" s="16" t="s">
        <v>109</v>
      </c>
      <c r="B32" s="16" t="s">
        <v>106</v>
      </c>
      <c r="C32" s="16" t="s">
        <v>107</v>
      </c>
      <c r="D32" s="16" t="s">
        <v>3</v>
      </c>
      <c r="E32" s="51">
        <v>44530.770833333336</v>
      </c>
    </row>
    <row r="33" spans="1:5" x14ac:dyDescent="0.3">
      <c r="A33" s="16" t="s">
        <v>110</v>
      </c>
      <c r="B33" s="16" t="s">
        <v>106</v>
      </c>
      <c r="C33" s="16" t="s">
        <v>107</v>
      </c>
      <c r="D33" s="16" t="s">
        <v>4</v>
      </c>
      <c r="E33" s="51" t="s">
        <v>111</v>
      </c>
    </row>
    <row r="34" spans="1:5" x14ac:dyDescent="0.3">
      <c r="A34" s="16" t="s">
        <v>112</v>
      </c>
      <c r="B34" s="16" t="s">
        <v>113</v>
      </c>
      <c r="C34" s="16" t="s">
        <v>114</v>
      </c>
      <c r="D34" s="16" t="s">
        <v>1</v>
      </c>
      <c r="E34" s="51" t="s">
        <v>115</v>
      </c>
    </row>
    <row r="35" spans="1:5" x14ac:dyDescent="0.3">
      <c r="A35" s="16" t="s">
        <v>116</v>
      </c>
      <c r="B35" s="16" t="s">
        <v>113</v>
      </c>
      <c r="C35" s="16" t="s">
        <v>114</v>
      </c>
      <c r="D35" s="16" t="s">
        <v>2</v>
      </c>
      <c r="E35" s="51">
        <v>44530.770833333336</v>
      </c>
    </row>
    <row r="36" spans="1:5" x14ac:dyDescent="0.3">
      <c r="C36" s="16" t="s">
        <v>114</v>
      </c>
      <c r="D36" s="16" t="s">
        <v>3</v>
      </c>
      <c r="E36" s="51">
        <v>44530.770833333336</v>
      </c>
    </row>
    <row r="37" spans="1:5" x14ac:dyDescent="0.3">
      <c r="C37" s="16" t="s">
        <v>114</v>
      </c>
      <c r="D37" s="16" t="s">
        <v>4</v>
      </c>
      <c r="E37" s="51" t="s">
        <v>117</v>
      </c>
    </row>
    <row r="38" spans="1:5" x14ac:dyDescent="0.3">
      <c r="C38" s="16" t="s">
        <v>114</v>
      </c>
      <c r="D38" s="16" t="s">
        <v>1</v>
      </c>
      <c r="E38" s="51" t="s">
        <v>93</v>
      </c>
    </row>
    <row r="39" spans="1:5" x14ac:dyDescent="0.3">
      <c r="C39" s="16" t="s">
        <v>114</v>
      </c>
      <c r="D39" s="16" t="s">
        <v>2</v>
      </c>
      <c r="E39" s="51" t="s">
        <v>95</v>
      </c>
    </row>
    <row r="40" spans="1:5" x14ac:dyDescent="0.3">
      <c r="C40" s="28" t="s">
        <v>40</v>
      </c>
      <c r="D40" s="28" t="s">
        <v>3</v>
      </c>
      <c r="E40" s="51" t="s">
        <v>53</v>
      </c>
    </row>
    <row r="41" spans="1:5" x14ac:dyDescent="0.3">
      <c r="C41" s="28"/>
      <c r="D41" s="28" t="s">
        <v>4</v>
      </c>
      <c r="E41" s="51" t="s">
        <v>55</v>
      </c>
    </row>
    <row r="42" spans="1:5" x14ac:dyDescent="0.3">
      <c r="C42" s="28"/>
      <c r="D42" s="28" t="s">
        <v>3</v>
      </c>
      <c r="E42" s="51">
        <v>44048.82640046296</v>
      </c>
    </row>
    <row r="43" spans="1:5" x14ac:dyDescent="0.3">
      <c r="C43" s="28"/>
      <c r="D43" s="28" t="s">
        <v>4</v>
      </c>
      <c r="E43" s="51">
        <v>44048.908333333333</v>
      </c>
    </row>
    <row r="44" spans="1:5" x14ac:dyDescent="0.3">
      <c r="D44" s="28" t="s">
        <v>1</v>
      </c>
      <c r="E44" s="51" t="s">
        <v>41</v>
      </c>
    </row>
    <row r="45" spans="1:5" x14ac:dyDescent="0.3">
      <c r="D45" s="28" t="s">
        <v>120</v>
      </c>
      <c r="E45" s="51">
        <v>44046.547523148147</v>
      </c>
    </row>
    <row r="135" spans="1:5" s="17" customFormat="1" x14ac:dyDescent="0.3">
      <c r="A135" s="16"/>
      <c r="B135" s="16"/>
      <c r="C135" s="16"/>
      <c r="D135" s="16"/>
      <c r="E135" s="52"/>
    </row>
    <row r="136" spans="1:5" s="17" customFormat="1" x14ac:dyDescent="0.3">
      <c r="A136" s="16"/>
      <c r="B136" s="16"/>
      <c r="C136" s="16"/>
      <c r="D136" s="16"/>
      <c r="E136" s="52"/>
    </row>
    <row r="184" spans="1:5" s="18" customFormat="1" x14ac:dyDescent="0.3">
      <c r="A184" s="16"/>
      <c r="B184" s="16"/>
      <c r="C184" s="16"/>
      <c r="D184" s="16"/>
      <c r="E184" s="52"/>
    </row>
    <row r="222" spans="9:13" x14ac:dyDescent="0.3">
      <c r="I222" s="19"/>
      <c r="J222" s="19"/>
      <c r="K222" s="19"/>
      <c r="L222" s="19"/>
      <c r="M222" s="20"/>
    </row>
    <row r="223" spans="9:13" x14ac:dyDescent="0.3">
      <c r="I223" s="19"/>
      <c r="J223" s="19"/>
      <c r="K223" s="19"/>
      <c r="L223" s="19"/>
      <c r="M223" s="20"/>
    </row>
    <row r="224" spans="9:13" x14ac:dyDescent="0.3">
      <c r="I224" s="19"/>
      <c r="J224" s="19"/>
      <c r="K224" s="19"/>
      <c r="L224" s="19"/>
      <c r="M224" s="20"/>
    </row>
    <row r="225" spans="9:13" x14ac:dyDescent="0.3">
      <c r="I225" s="19"/>
      <c r="J225" s="19"/>
      <c r="K225" s="19"/>
      <c r="L225" s="19"/>
      <c r="M225" s="20"/>
    </row>
    <row r="510" spans="1:5" x14ac:dyDescent="0.3">
      <c r="A510" s="21"/>
      <c r="B510" s="21"/>
      <c r="C510" s="21"/>
      <c r="D510" s="21"/>
      <c r="E510" s="53"/>
    </row>
    <row r="574" spans="1:5" x14ac:dyDescent="0.3">
      <c r="A574" s="21"/>
      <c r="B574" s="21"/>
      <c r="C574" s="21"/>
      <c r="D574" s="21"/>
      <c r="E574" s="53"/>
    </row>
    <row r="575" spans="1:5" x14ac:dyDescent="0.3">
      <c r="A575" s="22"/>
      <c r="B575" s="22"/>
      <c r="C575" s="22"/>
      <c r="D575" s="22"/>
      <c r="E575" s="54"/>
    </row>
    <row r="615" spans="1:5" x14ac:dyDescent="0.3">
      <c r="A615" s="22"/>
      <c r="B615" s="22"/>
      <c r="C615" s="22"/>
      <c r="D615" s="22"/>
      <c r="E615" s="54"/>
    </row>
    <row r="813" spans="1:5" s="18" customFormat="1" x14ac:dyDescent="0.3">
      <c r="A813" s="16"/>
      <c r="B813" s="16"/>
      <c r="C813" s="16"/>
      <c r="D813" s="16"/>
      <c r="E813" s="52"/>
    </row>
  </sheetData>
  <mergeCells count="1">
    <mergeCell ref="H2:P2"/>
  </mergeCells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80BD-45BE-4AC6-9A8D-38CF6E1C8BE5}">
  <sheetPr codeName="工作表36"/>
  <dimension ref="A1:P687"/>
  <sheetViews>
    <sheetView workbookViewId="0">
      <pane ySplit="1" topLeftCell="A2" activePane="bottomLeft" state="frozen"/>
      <selection pane="bottomLeft" sqref="A1:E1048576"/>
    </sheetView>
  </sheetViews>
  <sheetFormatPr defaultColWidth="9" defaultRowHeight="15.6" x14ac:dyDescent="0.3"/>
  <cols>
    <col min="1" max="1" width="26.77734375" style="3" bestFit="1" customWidth="1"/>
    <col min="2" max="2" width="6.44140625" style="3" bestFit="1" customWidth="1"/>
    <col min="3" max="3" width="9.77734375" style="3" bestFit="1" customWidth="1"/>
    <col min="4" max="4" width="9.44140625" style="3" bestFit="1" customWidth="1"/>
    <col min="5" max="5" width="21.5546875" style="46" bestFit="1" customWidth="1"/>
    <col min="6" max="6" width="9" style="26" customWidth="1"/>
    <col min="7" max="7" width="10.5546875" style="25" bestFit="1" customWidth="1"/>
    <col min="8" max="8" width="10.5546875" style="24" bestFit="1" customWidth="1"/>
    <col min="9" max="9" width="21.44140625" style="46" bestFit="1" customWidth="1"/>
    <col min="10" max="10" width="12.77734375" style="1" bestFit="1" customWidth="1"/>
    <col min="11" max="11" width="10.5546875" style="23" bestFit="1" customWidth="1"/>
    <col min="12" max="12" width="9.44140625" style="3" bestFit="1" customWidth="1"/>
    <col min="13" max="13" width="10.5546875" style="23" bestFit="1" customWidth="1"/>
    <col min="14" max="14" width="9.44140625" style="23" bestFit="1" customWidth="1"/>
    <col min="15" max="15" width="10.44140625" style="3" bestFit="1" customWidth="1"/>
    <col min="16" max="16" width="10.109375" style="29" bestFit="1" customWidth="1"/>
    <col min="17" max="16384" width="9" style="19"/>
  </cols>
  <sheetData>
    <row r="1" spans="1:16" x14ac:dyDescent="0.3">
      <c r="A1" s="3" t="s">
        <v>96</v>
      </c>
      <c r="B1" s="3" t="s">
        <v>97</v>
      </c>
      <c r="C1" s="3" t="s">
        <v>98</v>
      </c>
      <c r="D1" s="3" t="s">
        <v>99</v>
      </c>
      <c r="E1" s="46" t="s">
        <v>100</v>
      </c>
    </row>
    <row r="2" spans="1:16" x14ac:dyDescent="0.3">
      <c r="A2" s="3" t="s">
        <v>38</v>
      </c>
      <c r="B2" s="3" t="s">
        <v>39</v>
      </c>
      <c r="C2" s="3" t="s">
        <v>40</v>
      </c>
      <c r="D2" s="3" t="s">
        <v>1</v>
      </c>
      <c r="E2" s="46">
        <v>44046.355312500003</v>
      </c>
      <c r="F2" s="26">
        <v>0.35486111111111113</v>
      </c>
      <c r="G2" s="25">
        <v>9.6170000000000009</v>
      </c>
      <c r="H2" s="24">
        <v>1</v>
      </c>
      <c r="I2" s="46">
        <v>44046.355312500003</v>
      </c>
      <c r="J2" s="1">
        <v>44046.355312500003</v>
      </c>
      <c r="K2" s="23">
        <v>8</v>
      </c>
      <c r="L2" s="3" t="s">
        <v>0</v>
      </c>
    </row>
    <row r="3" spans="1:16" x14ac:dyDescent="0.3">
      <c r="A3" s="3" t="s">
        <v>42</v>
      </c>
      <c r="B3" s="3" t="s">
        <v>39</v>
      </c>
      <c r="C3" s="3" t="s">
        <v>40</v>
      </c>
      <c r="D3" s="3" t="s">
        <v>120</v>
      </c>
      <c r="E3" s="46">
        <v>44046.755856481483</v>
      </c>
      <c r="F3" s="26">
        <v>0.75555555555555554</v>
      </c>
      <c r="G3" s="25" t="s">
        <v>0</v>
      </c>
      <c r="H3" s="24">
        <v>2</v>
      </c>
      <c r="I3" s="46">
        <v>44046.755856481483</v>
      </c>
      <c r="J3" s="1">
        <v>44046.755856481483</v>
      </c>
      <c r="K3" s="23" t="s">
        <v>0</v>
      </c>
      <c r="L3" s="3" t="s">
        <v>0</v>
      </c>
    </row>
    <row r="4" spans="1:16" x14ac:dyDescent="0.3">
      <c r="A4" s="3" t="s">
        <v>44</v>
      </c>
      <c r="B4" s="3" t="s">
        <v>39</v>
      </c>
      <c r="C4" s="3" t="s">
        <v>40</v>
      </c>
      <c r="D4" s="3" t="s">
        <v>1</v>
      </c>
      <c r="E4" s="46">
        <v>44047.36178240741</v>
      </c>
      <c r="F4" s="26">
        <v>0.3611111111111111</v>
      </c>
      <c r="G4" s="25">
        <v>9.6170000000000009</v>
      </c>
      <c r="H4" s="24">
        <v>3</v>
      </c>
      <c r="I4" s="46">
        <v>44047.36178240741</v>
      </c>
      <c r="J4" s="1">
        <v>44047.36178240741</v>
      </c>
      <c r="K4" s="23">
        <v>8</v>
      </c>
      <c r="L4" s="3" t="s">
        <v>0</v>
      </c>
    </row>
    <row r="5" spans="1:16" x14ac:dyDescent="0.3">
      <c r="A5" s="3" t="s">
        <v>46</v>
      </c>
      <c r="B5" s="3" t="s">
        <v>39</v>
      </c>
      <c r="C5" s="3" t="s">
        <v>40</v>
      </c>
      <c r="D5" s="3" t="s">
        <v>2</v>
      </c>
      <c r="E5" s="46">
        <v>44047.762280092589</v>
      </c>
      <c r="F5" s="26">
        <v>0.76180555555555562</v>
      </c>
      <c r="G5" s="25" t="s">
        <v>0</v>
      </c>
      <c r="H5" s="24">
        <v>4</v>
      </c>
      <c r="I5" s="46">
        <v>44047.762280092589</v>
      </c>
      <c r="J5" s="1">
        <v>44047.762280092589</v>
      </c>
      <c r="K5" s="23" t="s">
        <v>0</v>
      </c>
      <c r="L5" s="3" t="s">
        <v>0</v>
      </c>
    </row>
    <row r="6" spans="1:16" x14ac:dyDescent="0.3">
      <c r="A6" s="3" t="s">
        <v>48</v>
      </c>
      <c r="B6" s="3" t="s">
        <v>39</v>
      </c>
      <c r="C6" s="3" t="s">
        <v>40</v>
      </c>
      <c r="D6" s="3" t="s">
        <v>1</v>
      </c>
      <c r="E6" s="46">
        <v>44048.354108796295</v>
      </c>
      <c r="F6" s="26">
        <v>0.35347222222222219</v>
      </c>
      <c r="G6" s="25">
        <v>9.5329999999999995</v>
      </c>
      <c r="H6" s="24">
        <v>5</v>
      </c>
      <c r="I6" s="46">
        <v>44048.354108796295</v>
      </c>
      <c r="J6" s="1">
        <v>44048.354108796295</v>
      </c>
      <c r="K6" s="23">
        <v>8</v>
      </c>
      <c r="L6" s="3" t="s">
        <v>0</v>
      </c>
    </row>
    <row r="7" spans="1:16" x14ac:dyDescent="0.3">
      <c r="A7" s="3" t="s">
        <v>50</v>
      </c>
      <c r="B7" s="3" t="s">
        <v>39</v>
      </c>
      <c r="C7" s="3" t="s">
        <v>40</v>
      </c>
      <c r="D7" s="3" t="s">
        <v>2</v>
      </c>
      <c r="E7" s="46">
        <v>44048.751250000001</v>
      </c>
      <c r="F7" s="26">
        <v>0.75069444444444444</v>
      </c>
      <c r="G7" s="25" t="s">
        <v>0</v>
      </c>
      <c r="H7" s="24">
        <v>6</v>
      </c>
      <c r="I7" s="46">
        <v>44048.751250000001</v>
      </c>
      <c r="J7" s="1">
        <v>44048.751250000001</v>
      </c>
      <c r="K7" s="23" t="s">
        <v>0</v>
      </c>
      <c r="L7" s="3" t="s">
        <v>0</v>
      </c>
    </row>
    <row r="8" spans="1:16" x14ac:dyDescent="0.3">
      <c r="A8" s="3" t="s">
        <v>52</v>
      </c>
      <c r="B8" s="3" t="s">
        <v>39</v>
      </c>
      <c r="C8" s="3" t="s">
        <v>40</v>
      </c>
      <c r="D8" s="3" t="s">
        <v>3</v>
      </c>
      <c r="E8" s="46">
        <v>44048.779872685183</v>
      </c>
      <c r="F8" s="26">
        <v>0.77986111111111101</v>
      </c>
      <c r="G8" s="25" t="s">
        <v>0</v>
      </c>
      <c r="H8" s="24">
        <v>7</v>
      </c>
      <c r="I8" s="46">
        <v>44048.779872685183</v>
      </c>
      <c r="J8" s="1">
        <v>44048.779872685183</v>
      </c>
      <c r="K8" s="23" t="s">
        <v>0</v>
      </c>
      <c r="L8" s="3" t="s">
        <v>0</v>
      </c>
      <c r="M8" s="23">
        <v>1.083</v>
      </c>
      <c r="O8" s="3">
        <v>1.083</v>
      </c>
      <c r="P8" s="29">
        <v>0</v>
      </c>
    </row>
    <row r="9" spans="1:16" x14ac:dyDescent="0.3">
      <c r="A9" s="3" t="s">
        <v>54</v>
      </c>
      <c r="B9" s="3" t="s">
        <v>39</v>
      </c>
      <c r="C9" s="3" t="s">
        <v>40</v>
      </c>
      <c r="D9" s="3" t="s">
        <v>4</v>
      </c>
      <c r="E9" s="46">
        <v>44048.824999999997</v>
      </c>
      <c r="F9" s="26">
        <v>0.82500000000000007</v>
      </c>
      <c r="G9" s="25" t="s">
        <v>0</v>
      </c>
      <c r="H9" s="24">
        <v>8</v>
      </c>
      <c r="I9" s="46">
        <v>44048.824999999997</v>
      </c>
      <c r="J9" s="1">
        <v>44048.824999999997</v>
      </c>
      <c r="K9" s="23" t="s">
        <v>0</v>
      </c>
      <c r="L9" s="3" t="s">
        <v>0</v>
      </c>
    </row>
    <row r="10" spans="1:16" x14ac:dyDescent="0.3">
      <c r="A10" s="3" t="s">
        <v>56</v>
      </c>
      <c r="B10" s="3" t="s">
        <v>39</v>
      </c>
      <c r="C10" s="3" t="s">
        <v>40</v>
      </c>
      <c r="D10" s="3" t="s">
        <v>1</v>
      </c>
      <c r="E10" s="46">
        <v>44049.361215277779</v>
      </c>
      <c r="F10" s="26">
        <v>0.3611111111111111</v>
      </c>
      <c r="G10" s="25">
        <v>9.5169999999999995</v>
      </c>
      <c r="H10" s="24">
        <v>9</v>
      </c>
      <c r="I10" s="46">
        <v>44049.361215277779</v>
      </c>
      <c r="J10" s="1">
        <v>44049.361215277779</v>
      </c>
      <c r="K10" s="23">
        <v>8</v>
      </c>
      <c r="L10" s="3" t="s">
        <v>0</v>
      </c>
    </row>
    <row r="11" spans="1:16" x14ac:dyDescent="0.3">
      <c r="A11" s="3" t="s">
        <v>58</v>
      </c>
      <c r="B11" s="3" t="s">
        <v>39</v>
      </c>
      <c r="C11" s="3" t="s">
        <v>40</v>
      </c>
      <c r="D11" s="3" t="s">
        <v>2</v>
      </c>
      <c r="E11" s="46">
        <v>44049.758194444446</v>
      </c>
      <c r="F11" s="26">
        <v>0.75763888888888886</v>
      </c>
      <c r="G11" s="25" t="s">
        <v>0</v>
      </c>
      <c r="H11" s="24">
        <v>10</v>
      </c>
      <c r="I11" s="46">
        <v>44049.758194444446</v>
      </c>
      <c r="J11" s="1">
        <v>44049.758194444446</v>
      </c>
      <c r="K11" s="23" t="s">
        <v>0</v>
      </c>
      <c r="L11" s="3" t="s">
        <v>0</v>
      </c>
    </row>
    <row r="12" spans="1:16" x14ac:dyDescent="0.3">
      <c r="A12" s="3" t="s">
        <v>60</v>
      </c>
      <c r="B12" s="3" t="s">
        <v>39</v>
      </c>
      <c r="C12" s="3" t="s">
        <v>40</v>
      </c>
      <c r="D12" s="3" t="s">
        <v>1</v>
      </c>
      <c r="E12" s="46">
        <v>44050.360254629632</v>
      </c>
      <c r="F12" s="26">
        <v>0.35972222222222222</v>
      </c>
      <c r="G12" s="25">
        <v>9.6999999999999993</v>
      </c>
      <c r="H12" s="24">
        <v>11</v>
      </c>
      <c r="I12" s="46">
        <v>44050.360254629632</v>
      </c>
      <c r="J12" s="1">
        <v>44050.360254629632</v>
      </c>
      <c r="K12" s="23">
        <v>8</v>
      </c>
      <c r="L12" s="3" t="s">
        <v>0</v>
      </c>
    </row>
    <row r="13" spans="1:16" x14ac:dyDescent="0.3">
      <c r="A13" s="3" t="s">
        <v>62</v>
      </c>
      <c r="B13" s="3" t="s">
        <v>39</v>
      </c>
      <c r="C13" s="3" t="s">
        <v>40</v>
      </c>
      <c r="D13" s="3" t="s">
        <v>2</v>
      </c>
      <c r="E13" s="46">
        <v>44050.763935185183</v>
      </c>
      <c r="F13" s="26">
        <v>0.76388888888888884</v>
      </c>
      <c r="G13" s="25" t="s">
        <v>0</v>
      </c>
      <c r="H13" s="24">
        <v>12</v>
      </c>
      <c r="I13" s="46">
        <v>44050.763935185183</v>
      </c>
      <c r="J13" s="1">
        <v>44050.763935185183</v>
      </c>
      <c r="K13" s="23" t="s">
        <v>0</v>
      </c>
      <c r="L13" s="3" t="s">
        <v>0</v>
      </c>
    </row>
    <row r="14" spans="1:16" x14ac:dyDescent="0.3">
      <c r="A14" s="3" t="s">
        <v>64</v>
      </c>
      <c r="B14" s="3" t="s">
        <v>39</v>
      </c>
      <c r="C14" s="3" t="s">
        <v>40</v>
      </c>
      <c r="D14" s="3" t="s">
        <v>3</v>
      </c>
      <c r="E14" s="46">
        <v>44050.770833333336</v>
      </c>
      <c r="F14" s="26">
        <v>0.77083333333333337</v>
      </c>
      <c r="G14" s="25" t="s">
        <v>0</v>
      </c>
      <c r="H14" s="24">
        <v>13</v>
      </c>
      <c r="I14" s="46">
        <v>44050.770833333336</v>
      </c>
      <c r="J14" s="1">
        <v>44050.770833333336</v>
      </c>
      <c r="K14" s="23" t="s">
        <v>0</v>
      </c>
      <c r="L14" s="3" t="s">
        <v>0</v>
      </c>
      <c r="M14" s="23">
        <v>0.51700000000000002</v>
      </c>
      <c r="O14" s="3">
        <v>0.51700000000000002</v>
      </c>
      <c r="P14" s="29">
        <v>0</v>
      </c>
    </row>
    <row r="15" spans="1:16" x14ac:dyDescent="0.3">
      <c r="A15" s="3" t="s">
        <v>66</v>
      </c>
      <c r="B15" s="3" t="s">
        <v>39</v>
      </c>
      <c r="C15" s="3" t="s">
        <v>40</v>
      </c>
      <c r="D15" s="3" t="s">
        <v>4</v>
      </c>
      <c r="E15" s="46">
        <v>44050.79241898148</v>
      </c>
      <c r="F15" s="26">
        <v>0.79236111111111107</v>
      </c>
      <c r="G15" s="25" t="s">
        <v>0</v>
      </c>
      <c r="H15" s="24">
        <v>14</v>
      </c>
      <c r="I15" s="46">
        <v>44050.79241898148</v>
      </c>
      <c r="J15" s="1">
        <v>44050.79241898148</v>
      </c>
      <c r="K15" s="23" t="s">
        <v>0</v>
      </c>
      <c r="L15" s="3" t="s">
        <v>0</v>
      </c>
    </row>
    <row r="16" spans="1:16" x14ac:dyDescent="0.3">
      <c r="A16" s="3" t="s">
        <v>68</v>
      </c>
      <c r="B16" s="3" t="s">
        <v>39</v>
      </c>
      <c r="C16" s="3" t="s">
        <v>40</v>
      </c>
      <c r="D16" s="3" t="s">
        <v>1</v>
      </c>
      <c r="E16" s="46">
        <v>44053.360474537039</v>
      </c>
      <c r="F16" s="26">
        <v>0.36041666666666666</v>
      </c>
      <c r="G16" s="25">
        <v>9.8330000000000002</v>
      </c>
      <c r="H16" s="24">
        <v>15</v>
      </c>
      <c r="I16" s="46">
        <v>44053.360474537039</v>
      </c>
      <c r="J16" s="1">
        <v>44053.360474537039</v>
      </c>
      <c r="K16" s="23">
        <v>8</v>
      </c>
      <c r="L16" s="3" t="s">
        <v>0</v>
      </c>
    </row>
    <row r="17" spans="1:16" x14ac:dyDescent="0.3">
      <c r="A17" s="3" t="s">
        <v>70</v>
      </c>
      <c r="B17" s="3" t="s">
        <v>39</v>
      </c>
      <c r="C17" s="3" t="s">
        <v>40</v>
      </c>
      <c r="D17" s="3" t="s">
        <v>2</v>
      </c>
      <c r="E17" s="46">
        <v>44053.770601851851</v>
      </c>
      <c r="F17" s="26">
        <v>0.77013888888888893</v>
      </c>
      <c r="G17" s="25" t="s">
        <v>0</v>
      </c>
      <c r="H17" s="24">
        <v>16</v>
      </c>
      <c r="I17" s="46">
        <v>44053.770601851851</v>
      </c>
      <c r="J17" s="1">
        <v>44053.770601851851</v>
      </c>
      <c r="K17" s="23" t="s">
        <v>0</v>
      </c>
      <c r="L17" s="3" t="s">
        <v>0</v>
      </c>
    </row>
    <row r="18" spans="1:16" x14ac:dyDescent="0.3">
      <c r="A18" s="3" t="s">
        <v>72</v>
      </c>
      <c r="B18" s="3" t="s">
        <v>39</v>
      </c>
      <c r="C18" s="3" t="s">
        <v>40</v>
      </c>
      <c r="D18" s="3" t="s">
        <v>3</v>
      </c>
      <c r="E18" s="46">
        <v>44053.770682870374</v>
      </c>
      <c r="F18" s="26">
        <v>0.77013888888888893</v>
      </c>
      <c r="G18" s="25" t="s">
        <v>0</v>
      </c>
      <c r="H18" s="24">
        <v>17</v>
      </c>
      <c r="I18" s="46">
        <v>44053.770682870374</v>
      </c>
      <c r="J18" s="1">
        <v>44053.770682870374</v>
      </c>
      <c r="K18" s="23" t="s">
        <v>0</v>
      </c>
      <c r="L18" s="3" t="s">
        <v>0</v>
      </c>
      <c r="M18" s="23">
        <v>0.48299999999999998</v>
      </c>
      <c r="O18" s="3">
        <v>0.48299999999999998</v>
      </c>
      <c r="P18" s="29">
        <v>0</v>
      </c>
    </row>
    <row r="19" spans="1:16" x14ac:dyDescent="0.3">
      <c r="A19" s="3" t="s">
        <v>74</v>
      </c>
      <c r="B19" s="3" t="s">
        <v>39</v>
      </c>
      <c r="C19" s="3" t="s">
        <v>40</v>
      </c>
      <c r="D19" s="3" t="s">
        <v>4</v>
      </c>
      <c r="E19" s="46">
        <v>44053.791203703702</v>
      </c>
      <c r="F19" s="26">
        <v>0.7909722222222223</v>
      </c>
      <c r="G19" s="25" t="s">
        <v>0</v>
      </c>
      <c r="H19" s="24">
        <v>18</v>
      </c>
      <c r="I19" s="46">
        <v>44053.791203703702</v>
      </c>
      <c r="J19" s="1">
        <v>44053.791203703702</v>
      </c>
      <c r="K19" s="23" t="s">
        <v>0</v>
      </c>
      <c r="L19" s="3" t="s">
        <v>0</v>
      </c>
    </row>
    <row r="20" spans="1:16" x14ac:dyDescent="0.3">
      <c r="A20" s="3" t="s">
        <v>76</v>
      </c>
      <c r="B20" s="3" t="s">
        <v>39</v>
      </c>
      <c r="C20" s="3" t="s">
        <v>40</v>
      </c>
      <c r="D20" s="3" t="s">
        <v>1</v>
      </c>
      <c r="E20" s="46">
        <v>44055.353761574072</v>
      </c>
      <c r="F20" s="26">
        <v>0.35347222222222219</v>
      </c>
      <c r="G20" s="25">
        <v>9.6329999999999991</v>
      </c>
      <c r="H20" s="24">
        <v>19</v>
      </c>
      <c r="I20" s="46">
        <v>44055.353761574072</v>
      </c>
      <c r="J20" s="1">
        <v>44055.353761574072</v>
      </c>
      <c r="K20" s="23">
        <v>8</v>
      </c>
      <c r="L20" s="3" t="s">
        <v>0</v>
      </c>
    </row>
    <row r="21" spans="1:16" x14ac:dyDescent="0.3">
      <c r="A21" s="3" t="s">
        <v>78</v>
      </c>
      <c r="B21" s="3" t="s">
        <v>39</v>
      </c>
      <c r="C21" s="3" t="s">
        <v>40</v>
      </c>
      <c r="D21" s="3" t="s">
        <v>2</v>
      </c>
      <c r="E21" s="46">
        <v>44055.755381944444</v>
      </c>
      <c r="F21" s="26">
        <v>0.75486111111111109</v>
      </c>
      <c r="G21" s="25" t="s">
        <v>0</v>
      </c>
      <c r="H21" s="24">
        <v>20</v>
      </c>
      <c r="I21" s="46">
        <v>44055.755381944444</v>
      </c>
      <c r="J21" s="1">
        <v>44055.755381944444</v>
      </c>
      <c r="K21" s="23" t="s">
        <v>0</v>
      </c>
      <c r="L21" s="3" t="s">
        <v>0</v>
      </c>
    </row>
    <row r="22" spans="1:16" x14ac:dyDescent="0.3">
      <c r="A22" s="3" t="s">
        <v>80</v>
      </c>
      <c r="B22" s="3" t="s">
        <v>39</v>
      </c>
      <c r="C22" s="3" t="s">
        <v>40</v>
      </c>
      <c r="D22" s="3" t="s">
        <v>3</v>
      </c>
      <c r="E22" s="46">
        <v>44055.775219907409</v>
      </c>
      <c r="F22" s="26">
        <v>0.77500000000000002</v>
      </c>
      <c r="G22" s="25" t="s">
        <v>0</v>
      </c>
      <c r="H22" s="24">
        <v>21</v>
      </c>
      <c r="I22" s="46">
        <v>44055.775219907409</v>
      </c>
      <c r="J22" s="1">
        <v>44055.775219907409</v>
      </c>
      <c r="K22" s="23" t="s">
        <v>0</v>
      </c>
      <c r="L22" s="3" t="s">
        <v>0</v>
      </c>
      <c r="M22" s="23">
        <v>0.41699999999999998</v>
      </c>
      <c r="O22" s="3">
        <v>0.41699999999999998</v>
      </c>
      <c r="P22" s="29">
        <v>0</v>
      </c>
    </row>
    <row r="23" spans="1:16" x14ac:dyDescent="0.3">
      <c r="A23" s="3" t="s">
        <v>82</v>
      </c>
      <c r="B23" s="3" t="s">
        <v>39</v>
      </c>
      <c r="C23" s="3" t="s">
        <v>40</v>
      </c>
      <c r="D23" s="3" t="s">
        <v>4</v>
      </c>
      <c r="E23" s="46">
        <v>44055.792569444442</v>
      </c>
      <c r="F23" s="26">
        <v>0.79236111111111107</v>
      </c>
      <c r="G23" s="25" t="s">
        <v>0</v>
      </c>
      <c r="H23" s="24">
        <v>22</v>
      </c>
      <c r="I23" s="46">
        <v>44055.792569444442</v>
      </c>
      <c r="J23" s="1">
        <v>44055.792569444442</v>
      </c>
      <c r="K23" s="23" t="s">
        <v>0</v>
      </c>
      <c r="L23" s="3" t="s">
        <v>0</v>
      </c>
    </row>
    <row r="24" spans="1:16" x14ac:dyDescent="0.3">
      <c r="A24" s="3" t="s">
        <v>84</v>
      </c>
      <c r="B24" s="3" t="s">
        <v>39</v>
      </c>
      <c r="C24" s="3" t="s">
        <v>40</v>
      </c>
      <c r="D24" s="3" t="s">
        <v>1</v>
      </c>
      <c r="E24" s="46">
        <v>44056.355057870373</v>
      </c>
      <c r="F24" s="26">
        <v>0.35486111111111113</v>
      </c>
      <c r="G24" s="25">
        <v>9.5169999999999995</v>
      </c>
      <c r="H24" s="24">
        <v>23</v>
      </c>
      <c r="I24" s="46">
        <v>44056.355057870373</v>
      </c>
      <c r="J24" s="1">
        <v>44056.355057870373</v>
      </c>
      <c r="K24" s="23">
        <v>8</v>
      </c>
      <c r="L24" s="3" t="s">
        <v>0</v>
      </c>
    </row>
    <row r="25" spans="1:16" x14ac:dyDescent="0.3">
      <c r="A25" s="3" t="s">
        <v>86</v>
      </c>
      <c r="B25" s="3" t="s">
        <v>39</v>
      </c>
      <c r="C25" s="3" t="s">
        <v>40</v>
      </c>
      <c r="D25" s="3" t="s">
        <v>2</v>
      </c>
      <c r="E25" s="46">
        <v>44056.751875000002</v>
      </c>
      <c r="F25" s="26">
        <v>0.75138888888888899</v>
      </c>
      <c r="G25" s="25" t="s">
        <v>0</v>
      </c>
      <c r="H25" s="24">
        <v>24</v>
      </c>
      <c r="I25" s="46">
        <v>44056.751875000002</v>
      </c>
      <c r="J25" s="1">
        <v>44056.751875000002</v>
      </c>
      <c r="K25" s="23" t="s">
        <v>0</v>
      </c>
      <c r="L25" s="3" t="s">
        <v>0</v>
      </c>
    </row>
    <row r="26" spans="1:16" x14ac:dyDescent="0.3">
      <c r="A26" s="3" t="s">
        <v>88</v>
      </c>
      <c r="B26" s="3" t="s">
        <v>39</v>
      </c>
      <c r="C26" s="3" t="s">
        <v>40</v>
      </c>
      <c r="D26" s="3" t="s">
        <v>1</v>
      </c>
      <c r="E26" s="46">
        <v>44057.361574074072</v>
      </c>
      <c r="F26" s="26">
        <v>0.3611111111111111</v>
      </c>
      <c r="G26" s="25">
        <v>9.5169999999999995</v>
      </c>
      <c r="H26" s="24">
        <v>25</v>
      </c>
      <c r="I26" s="46">
        <v>44057.361574074072</v>
      </c>
      <c r="J26" s="1">
        <v>44057.361574074072</v>
      </c>
      <c r="K26" s="23">
        <v>8</v>
      </c>
      <c r="L26" s="3" t="s">
        <v>0</v>
      </c>
    </row>
    <row r="27" spans="1:16" x14ac:dyDescent="0.3">
      <c r="A27" s="3" t="s">
        <v>90</v>
      </c>
      <c r="B27" s="3" t="s">
        <v>39</v>
      </c>
      <c r="C27" s="3" t="s">
        <v>40</v>
      </c>
      <c r="D27" s="3" t="s">
        <v>2</v>
      </c>
      <c r="E27" s="46">
        <v>44057.758275462962</v>
      </c>
      <c r="F27" s="26">
        <v>0.75763888888888886</v>
      </c>
      <c r="G27" s="25" t="s">
        <v>0</v>
      </c>
      <c r="H27" s="24">
        <v>26</v>
      </c>
      <c r="I27" s="46">
        <v>44057.758275462962</v>
      </c>
      <c r="J27" s="1">
        <v>44057.758275462962</v>
      </c>
      <c r="K27" s="23" t="s">
        <v>0</v>
      </c>
      <c r="L27" s="3" t="s">
        <v>0</v>
      </c>
    </row>
    <row r="28" spans="1:16" x14ac:dyDescent="0.3">
      <c r="A28" s="3" t="s">
        <v>92</v>
      </c>
      <c r="B28" s="3" t="s">
        <v>39</v>
      </c>
      <c r="C28" s="3" t="s">
        <v>40</v>
      </c>
      <c r="D28" s="3" t="s">
        <v>3</v>
      </c>
      <c r="E28" s="46">
        <v>44057.799768518518</v>
      </c>
      <c r="F28" s="26">
        <v>0.7993055555555556</v>
      </c>
      <c r="G28" s="25" t="s">
        <v>0</v>
      </c>
      <c r="H28" s="24">
        <v>27</v>
      </c>
      <c r="I28" s="46">
        <v>44057.799768518518</v>
      </c>
      <c r="J28" s="1">
        <v>44057.799768518518</v>
      </c>
      <c r="K28" s="23" t="s">
        <v>0</v>
      </c>
      <c r="L28" s="3" t="s">
        <v>0</v>
      </c>
      <c r="M28" s="23">
        <v>1.0669999999999999</v>
      </c>
      <c r="O28" s="3">
        <v>1.0669999999999999</v>
      </c>
      <c r="P28" s="29">
        <v>0</v>
      </c>
    </row>
    <row r="29" spans="1:16" x14ac:dyDescent="0.3">
      <c r="A29" s="3" t="s">
        <v>94</v>
      </c>
      <c r="B29" s="3" t="s">
        <v>39</v>
      </c>
      <c r="C29" s="3" t="s">
        <v>40</v>
      </c>
      <c r="D29" s="3" t="s">
        <v>4</v>
      </c>
      <c r="E29" s="46">
        <v>44057.844409722224</v>
      </c>
      <c r="F29" s="26">
        <v>0.84375</v>
      </c>
      <c r="G29" s="25" t="s">
        <v>0</v>
      </c>
      <c r="H29" s="24">
        <v>28</v>
      </c>
      <c r="I29" s="46">
        <v>44057.844409722224</v>
      </c>
      <c r="J29" s="1">
        <v>44057.844409722224</v>
      </c>
      <c r="K29" s="23" t="s">
        <v>0</v>
      </c>
      <c r="L29" s="3" t="s">
        <v>0</v>
      </c>
    </row>
    <row r="30" spans="1:16" x14ac:dyDescent="0.3">
      <c r="A30" s="3" t="s">
        <v>105</v>
      </c>
      <c r="B30" s="3" t="s">
        <v>106</v>
      </c>
      <c r="C30" s="3" t="s">
        <v>107</v>
      </c>
      <c r="D30" s="3" t="s">
        <v>1</v>
      </c>
      <c r="E30" s="46">
        <v>44530.355185185188</v>
      </c>
      <c r="F30" s="26">
        <v>0.35486111111111113</v>
      </c>
      <c r="G30" s="25">
        <v>9.9830000000000005</v>
      </c>
      <c r="H30" s="24">
        <v>29</v>
      </c>
      <c r="I30" s="46">
        <v>44530.355185185188</v>
      </c>
      <c r="J30" s="1">
        <v>44530.355185185188</v>
      </c>
      <c r="K30" s="23">
        <v>8</v>
      </c>
      <c r="L30" s="3" t="s">
        <v>0</v>
      </c>
    </row>
    <row r="31" spans="1:16" x14ac:dyDescent="0.3">
      <c r="C31" s="3" t="s">
        <v>107</v>
      </c>
      <c r="D31" s="3" t="s">
        <v>2</v>
      </c>
      <c r="E31" s="46">
        <v>44530.770833333336</v>
      </c>
      <c r="F31" s="26">
        <v>0.77083333333333337</v>
      </c>
      <c r="G31" s="25" t="s">
        <v>0</v>
      </c>
      <c r="H31" s="24">
        <v>30</v>
      </c>
      <c r="I31" s="46">
        <v>44530.770833333336</v>
      </c>
      <c r="J31" s="1">
        <v>44530.770833333336</v>
      </c>
      <c r="K31" s="23" t="s">
        <v>0</v>
      </c>
      <c r="L31" s="3" t="s">
        <v>0</v>
      </c>
    </row>
    <row r="32" spans="1:16" x14ac:dyDescent="0.3">
      <c r="A32" s="3" t="s">
        <v>109</v>
      </c>
      <c r="B32" s="3" t="s">
        <v>106</v>
      </c>
      <c r="C32" s="3" t="s">
        <v>107</v>
      </c>
      <c r="D32" s="3" t="s">
        <v>3</v>
      </c>
      <c r="E32" s="46">
        <v>44530.770833333336</v>
      </c>
      <c r="F32" s="26">
        <v>0.77083333333333337</v>
      </c>
      <c r="G32" s="25" t="s">
        <v>0</v>
      </c>
      <c r="H32" s="24">
        <v>31</v>
      </c>
      <c r="I32" s="46">
        <v>44530.770833333336</v>
      </c>
      <c r="J32" s="1">
        <v>44530.770833333336</v>
      </c>
      <c r="K32" s="23" t="s">
        <v>0</v>
      </c>
      <c r="L32" s="3" t="s">
        <v>0</v>
      </c>
      <c r="M32" s="23">
        <v>1.5169999999999999</v>
      </c>
      <c r="O32" s="3">
        <v>1.5169999999999999</v>
      </c>
      <c r="P32" s="29">
        <v>0</v>
      </c>
    </row>
    <row r="33" spans="1:16" x14ac:dyDescent="0.3">
      <c r="A33" s="3" t="s">
        <v>110</v>
      </c>
      <c r="B33" s="3" t="s">
        <v>106</v>
      </c>
      <c r="C33" s="3" t="s">
        <v>107</v>
      </c>
      <c r="D33" s="3" t="s">
        <v>4</v>
      </c>
      <c r="E33" s="46">
        <v>44530.834421296298</v>
      </c>
      <c r="F33" s="26">
        <v>0.8340277777777777</v>
      </c>
      <c r="G33" s="25" t="s">
        <v>0</v>
      </c>
      <c r="H33" s="24">
        <v>32</v>
      </c>
      <c r="I33" s="46">
        <v>44530.834421296298</v>
      </c>
      <c r="J33" s="1">
        <v>44530.834421296298</v>
      </c>
      <c r="K33" s="23" t="s">
        <v>0</v>
      </c>
      <c r="L33" s="3" t="s">
        <v>0</v>
      </c>
    </row>
    <row r="34" spans="1:16" x14ac:dyDescent="0.3">
      <c r="A34" s="3" t="s">
        <v>112</v>
      </c>
      <c r="B34" s="3" t="s">
        <v>113</v>
      </c>
      <c r="C34" s="3" t="s">
        <v>114</v>
      </c>
      <c r="D34" s="3" t="s">
        <v>1</v>
      </c>
      <c r="E34" s="46">
        <v>44530.358287037037</v>
      </c>
      <c r="F34" s="26">
        <v>0.3576388888888889</v>
      </c>
      <c r="G34" s="25">
        <v>9.9169999999999998</v>
      </c>
      <c r="H34" s="24">
        <v>33</v>
      </c>
      <c r="I34" s="46">
        <v>44530.358287037037</v>
      </c>
      <c r="J34" s="1">
        <v>44530.358287037037</v>
      </c>
      <c r="K34" s="23">
        <v>8</v>
      </c>
      <c r="L34" s="3" t="s">
        <v>0</v>
      </c>
    </row>
    <row r="35" spans="1:16" x14ac:dyDescent="0.3">
      <c r="A35" s="3" t="s">
        <v>116</v>
      </c>
      <c r="B35" s="3" t="s">
        <v>113</v>
      </c>
      <c r="C35" s="3" t="s">
        <v>114</v>
      </c>
      <c r="D35" s="3" t="s">
        <v>2</v>
      </c>
      <c r="E35" s="46">
        <v>44530.770833333336</v>
      </c>
      <c r="F35" s="26">
        <v>0.77083333333333337</v>
      </c>
      <c r="G35" s="25" t="s">
        <v>0</v>
      </c>
      <c r="H35" s="24">
        <v>34</v>
      </c>
      <c r="I35" s="46">
        <v>44530.770833333336</v>
      </c>
      <c r="J35" s="1">
        <v>44530.770833333336</v>
      </c>
      <c r="K35" s="23" t="s">
        <v>0</v>
      </c>
      <c r="L35" s="3" t="s">
        <v>0</v>
      </c>
    </row>
    <row r="36" spans="1:16" x14ac:dyDescent="0.3">
      <c r="C36" s="3" t="s">
        <v>114</v>
      </c>
      <c r="D36" s="3" t="s">
        <v>3</v>
      </c>
      <c r="E36" s="46">
        <v>44530.770833333336</v>
      </c>
      <c r="F36" s="26">
        <v>0.77083333333333337</v>
      </c>
      <c r="G36" s="25" t="s">
        <v>0</v>
      </c>
      <c r="H36" s="24">
        <v>35</v>
      </c>
      <c r="I36" s="46">
        <v>44530.770833333336</v>
      </c>
      <c r="J36" s="1">
        <v>44530.770833333336</v>
      </c>
      <c r="K36" s="23" t="s">
        <v>0</v>
      </c>
      <c r="L36" s="3" t="s">
        <v>0</v>
      </c>
      <c r="M36" s="23">
        <v>0.6</v>
      </c>
      <c r="O36" s="3">
        <v>0.6</v>
      </c>
      <c r="P36" s="29">
        <v>0</v>
      </c>
    </row>
    <row r="37" spans="1:16" x14ac:dyDescent="0.3">
      <c r="C37" s="3" t="s">
        <v>114</v>
      </c>
      <c r="D37" s="3" t="s">
        <v>4</v>
      </c>
      <c r="E37" s="46">
        <v>44530.796249999999</v>
      </c>
      <c r="F37" s="26">
        <v>0.79583333333333339</v>
      </c>
      <c r="G37" s="25" t="s">
        <v>0</v>
      </c>
      <c r="H37" s="24">
        <v>36</v>
      </c>
      <c r="I37" s="46">
        <v>44530.796249999999</v>
      </c>
      <c r="J37" s="1">
        <v>44530.796249999999</v>
      </c>
      <c r="K37" s="23" t="s">
        <v>0</v>
      </c>
      <c r="L37" s="3" t="s">
        <v>0</v>
      </c>
    </row>
    <row r="38" spans="1:16" x14ac:dyDescent="0.3">
      <c r="C38" s="3" t="s">
        <v>114</v>
      </c>
      <c r="D38" s="3" t="s">
        <v>1</v>
      </c>
      <c r="E38" s="46">
        <v>44057.799768518518</v>
      </c>
      <c r="F38" s="26">
        <v>0.7993055555555556</v>
      </c>
      <c r="G38" s="25">
        <v>1.0669999999999999</v>
      </c>
      <c r="H38" s="24">
        <v>37</v>
      </c>
      <c r="I38" s="46">
        <v>44057.799768518518</v>
      </c>
      <c r="J38" s="1">
        <v>44057.799768518518</v>
      </c>
      <c r="K38" s="23">
        <v>-0.43300000000000005</v>
      </c>
      <c r="L38" s="3">
        <v>8.4329999999999998</v>
      </c>
    </row>
    <row r="39" spans="1:16" x14ac:dyDescent="0.3">
      <c r="C39" s="3" t="s">
        <v>114</v>
      </c>
      <c r="D39" s="3" t="s">
        <v>2</v>
      </c>
      <c r="E39" s="46">
        <v>44057.844409722224</v>
      </c>
      <c r="F39" s="26">
        <v>0.84375</v>
      </c>
      <c r="G39" s="25" t="s">
        <v>0</v>
      </c>
      <c r="H39" s="24">
        <v>38</v>
      </c>
      <c r="I39" s="46">
        <v>44057.844409722224</v>
      </c>
      <c r="J39" s="1">
        <v>44057.844409722224</v>
      </c>
      <c r="K39" s="23" t="s">
        <v>0</v>
      </c>
      <c r="L39" s="3" t="s">
        <v>0</v>
      </c>
    </row>
    <row r="40" spans="1:16" x14ac:dyDescent="0.3">
      <c r="C40" s="3" t="s">
        <v>40</v>
      </c>
      <c r="D40" s="3" t="s">
        <v>3</v>
      </c>
      <c r="E40" s="46">
        <v>44048.779872685183</v>
      </c>
      <c r="F40" s="26">
        <v>0.77986111111111101</v>
      </c>
      <c r="G40" s="25" t="s">
        <v>0</v>
      </c>
      <c r="H40" s="24">
        <v>39</v>
      </c>
      <c r="I40" s="46">
        <v>44048.779872685183</v>
      </c>
      <c r="J40" s="1">
        <v>44048.779872685183</v>
      </c>
      <c r="K40" s="23" t="s">
        <v>0</v>
      </c>
      <c r="L40" s="3" t="s">
        <v>0</v>
      </c>
      <c r="M40" s="23">
        <v>1.083</v>
      </c>
      <c r="O40" s="3">
        <v>2</v>
      </c>
      <c r="P40" s="29">
        <v>1.0499999999999998</v>
      </c>
    </row>
    <row r="41" spans="1:16" x14ac:dyDescent="0.3">
      <c r="C41" s="3" t="s">
        <v>40</v>
      </c>
      <c r="D41" s="3" t="s">
        <v>4</v>
      </c>
      <c r="E41" s="46">
        <v>44048.824999999997</v>
      </c>
      <c r="F41" s="26">
        <v>0.82500000000000007</v>
      </c>
      <c r="G41" s="25" t="s">
        <v>0</v>
      </c>
      <c r="H41" s="24">
        <v>40</v>
      </c>
      <c r="I41" s="46">
        <v>44048.824999999997</v>
      </c>
      <c r="J41" s="1">
        <v>44048.824999999997</v>
      </c>
      <c r="K41" s="23" t="s">
        <v>0</v>
      </c>
      <c r="L41" s="3" t="s">
        <v>0</v>
      </c>
    </row>
    <row r="42" spans="1:16" x14ac:dyDescent="0.3">
      <c r="C42" s="3" t="s">
        <v>40</v>
      </c>
      <c r="D42" s="3" t="s">
        <v>3</v>
      </c>
      <c r="E42" s="46">
        <v>44048.82640046296</v>
      </c>
      <c r="F42" s="26">
        <v>0.82638888888888884</v>
      </c>
      <c r="G42" s="25" t="s">
        <v>0</v>
      </c>
      <c r="H42" s="24">
        <v>41</v>
      </c>
      <c r="I42" s="46">
        <v>44048.82640046296</v>
      </c>
      <c r="J42" s="1">
        <v>44048.82640046296</v>
      </c>
      <c r="K42" s="23" t="s">
        <v>0</v>
      </c>
      <c r="L42" s="3" t="s">
        <v>0</v>
      </c>
      <c r="M42" s="23">
        <v>1.9670000000000001</v>
      </c>
    </row>
    <row r="43" spans="1:16" x14ac:dyDescent="0.3">
      <c r="C43" s="3" t="s">
        <v>40</v>
      </c>
      <c r="D43" s="3" t="s">
        <v>4</v>
      </c>
      <c r="E43" s="46">
        <v>44048.908333333333</v>
      </c>
      <c r="F43" s="26">
        <v>0.90833333333333333</v>
      </c>
      <c r="G43" s="25" t="s">
        <v>0</v>
      </c>
      <c r="H43" s="24">
        <v>42</v>
      </c>
      <c r="I43" s="46">
        <v>44048.908333333333</v>
      </c>
      <c r="J43" s="1">
        <v>44048.908333333333</v>
      </c>
      <c r="K43" s="23" t="s">
        <v>0</v>
      </c>
      <c r="L43" s="3" t="s">
        <v>0</v>
      </c>
    </row>
    <row r="44" spans="1:16" x14ac:dyDescent="0.3">
      <c r="C44" s="3" t="s">
        <v>40</v>
      </c>
      <c r="D44" s="3" t="s">
        <v>1</v>
      </c>
      <c r="E44" s="46">
        <v>44046.355312500003</v>
      </c>
      <c r="F44" s="26">
        <v>0.35486111111111113</v>
      </c>
      <c r="G44" s="25">
        <v>4.617</v>
      </c>
      <c r="H44" s="24">
        <v>43</v>
      </c>
      <c r="I44" s="46">
        <v>44046.355312500003</v>
      </c>
      <c r="J44" s="1">
        <v>44046.355312500003</v>
      </c>
      <c r="K44" s="23">
        <v>3.117</v>
      </c>
      <c r="L44" s="3">
        <v>4.883</v>
      </c>
    </row>
    <row r="45" spans="1:16" x14ac:dyDescent="0.3">
      <c r="C45" s="3" t="s">
        <v>40</v>
      </c>
      <c r="D45" s="3" t="s">
        <v>120</v>
      </c>
      <c r="E45" s="46">
        <v>44046.547523148147</v>
      </c>
      <c r="F45" s="26">
        <v>0.54722222222222217</v>
      </c>
      <c r="H45" s="24">
        <v>44</v>
      </c>
      <c r="I45" s="46">
        <v>44046.547523148147</v>
      </c>
      <c r="J45" s="1">
        <v>44046.547523148147</v>
      </c>
    </row>
    <row r="510" spans="1:5" x14ac:dyDescent="0.3">
      <c r="A510" s="2"/>
      <c r="B510" s="2"/>
      <c r="C510" s="2"/>
      <c r="D510" s="2"/>
      <c r="E510" s="48"/>
    </row>
    <row r="574" spans="1:5" x14ac:dyDescent="0.3">
      <c r="A574" s="2"/>
      <c r="B574" s="2"/>
      <c r="C574" s="2"/>
      <c r="D574" s="2"/>
      <c r="E574" s="48"/>
    </row>
    <row r="575" spans="1:5" x14ac:dyDescent="0.3">
      <c r="A575" s="4"/>
      <c r="B575" s="4"/>
      <c r="C575" s="4"/>
      <c r="D575" s="4"/>
      <c r="E575" s="49"/>
    </row>
    <row r="615" spans="1:5" x14ac:dyDescent="0.3">
      <c r="A615" s="4"/>
      <c r="B615" s="4"/>
      <c r="C615" s="4"/>
      <c r="D615" s="4"/>
      <c r="E615" s="49"/>
    </row>
    <row r="687" spans="9:9" x14ac:dyDescent="0.3">
      <c r="I687" s="47"/>
    </row>
  </sheetData>
  <phoneticPr fontId="18" type="noConversion"/>
  <conditionalFormatting sqref="K1:K1048576">
    <cfRule type="cellIs" dxfId="2" priority="1" operator="between">
      <formula>0.0001</formula>
      <formula>4</formula>
    </cfRule>
    <cfRule type="cellIs" dxfId="1" priority="3" operator="lessThan">
      <formula>0</formula>
    </cfRule>
  </conditionalFormatting>
  <conditionalFormatting sqref="F1:F1048576">
    <cfRule type="expression" dxfId="0" priority="2">
      <formula>AND(OR(D1="上班",D1="遠端上班"),F1&gt;TIME(8,40,0))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Release Notes</vt:lpstr>
      <vt:lpstr>工時</vt:lpstr>
      <vt:lpstr>工時計算結果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</dc:creator>
  <cp:lastModifiedBy>乃宥然</cp:lastModifiedBy>
  <cp:lastPrinted>2018-08-05T11:14:42Z</cp:lastPrinted>
  <dcterms:created xsi:type="dcterms:W3CDTF">2016-08-28T16:20:00Z</dcterms:created>
  <dcterms:modified xsi:type="dcterms:W3CDTF">2022-07-29T23:56:34Z</dcterms:modified>
</cp:coreProperties>
</file>