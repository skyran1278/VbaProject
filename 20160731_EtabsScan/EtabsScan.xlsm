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_EtabsScan\"/>
    </mc:Choice>
  </mc:AlternateContent>
  <bookViews>
    <workbookView xWindow="0" yWindow="465" windowWidth="28800" windowHeight="15945" activeTab="4"/>
  </bookViews>
  <sheets>
    <sheet name="Assembled Point Masses" sheetId="10" r:id="rId1"/>
    <sheet name="Material List By Story" sheetId="3" r:id="rId2"/>
    <sheet name="Story Shears" sheetId="1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Masses'!$A$1:$K$14</definedName>
    <definedName name="_xlnm._FilterDatabase" localSheetId="6" hidden="1">DL!$A$1:$I$1641</definedName>
    <definedName name="_xlnm._FilterDatabase" localSheetId="7" hidden="1">LL!$A$1:$I$1641</definedName>
    <definedName name="_xlnm._FilterDatabase" localSheetId="1" hidden="1">'Material List By Story'!$A$1:$H$14</definedName>
    <definedName name="_xlnm._FilterDatabase" localSheetId="2" hidden="1">'Story Shears'!#REF!</definedName>
    <definedName name="_xlnm._FilterDatabase" localSheetId="9" hidden="1">動態地震力修正!$A$1:$I$1641</definedName>
    <definedName name="_xlnm._FilterDatabase" localSheetId="8" hidden="1">靜態地震力!$A$1:$I$1641</definedName>
    <definedName name="SiteNow">[1]地震行政區資料!$A$4</definedName>
  </definedNames>
  <calcPr calcId="162913"/>
</workbook>
</file>

<file path=xl/calcChain.xml><?xml version="1.0" encoding="utf-8"?>
<calcChain xmlns="http://schemas.openxmlformats.org/spreadsheetml/2006/main"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4" i="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/>
  <c r="G15" i="12"/>
  <c r="F15" i="12"/>
  <c r="S16" i="2"/>
  <c r="S17" i="2"/>
  <c r="S18" i="2"/>
  <c r="U18" i="2" s="1"/>
  <c r="S19" i="2"/>
  <c r="U19" i="2" s="1"/>
  <c r="S20" i="2"/>
  <c r="S21" i="2"/>
  <c r="U21" i="2" s="1"/>
  <c r="S22" i="2"/>
  <c r="S23" i="2"/>
  <c r="S24" i="2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L21" i="2"/>
  <c r="L22" i="2"/>
  <c r="L23" i="2"/>
  <c r="L24" i="2"/>
  <c r="L25" i="2"/>
  <c r="N25" i="2" s="1"/>
  <c r="L26" i="2"/>
  <c r="N26" i="2" s="1"/>
  <c r="L27" i="2"/>
  <c r="L28" i="2"/>
  <c r="N28" i="2" s="1"/>
  <c r="E16" i="2"/>
  <c r="E17" i="2"/>
  <c r="E18" i="2"/>
  <c r="E19" i="2"/>
  <c r="E20" i="2"/>
  <c r="E21" i="2"/>
  <c r="E22" i="2"/>
  <c r="E23" i="2"/>
  <c r="E24" i="2"/>
  <c r="U26" i="2"/>
  <c r="U23" i="2"/>
  <c r="U22" i="2"/>
  <c r="U20" i="2"/>
  <c r="U17" i="2"/>
  <c r="U16" i="2"/>
  <c r="N21" i="2"/>
  <c r="N22" i="2"/>
  <c r="N23" i="2"/>
  <c r="N24" i="2"/>
  <c r="N27" i="2"/>
  <c r="N20" i="2"/>
  <c r="AI10" i="2"/>
  <c r="AI11" i="2"/>
  <c r="S100" i="2"/>
  <c r="U100" i="2" s="1"/>
  <c r="L100" i="2"/>
  <c r="N100" i="2"/>
  <c r="E100" i="2"/>
  <c r="S99" i="2"/>
  <c r="U99" i="2"/>
  <c r="L99" i="2"/>
  <c r="N99" i="2" s="1"/>
  <c r="E99" i="2"/>
  <c r="S98" i="2"/>
  <c r="U98" i="2" s="1"/>
  <c r="L98" i="2"/>
  <c r="N98" i="2" s="1"/>
  <c r="E98" i="2"/>
  <c r="S97" i="2"/>
  <c r="U97" i="2" s="1"/>
  <c r="L97" i="2"/>
  <c r="N97" i="2"/>
  <c r="E97" i="2"/>
  <c r="S96" i="2"/>
  <c r="U96" i="2"/>
  <c r="L96" i="2"/>
  <c r="N96" i="2"/>
  <c r="E96" i="2"/>
  <c r="S95" i="2"/>
  <c r="U95" i="2" s="1"/>
  <c r="L95" i="2"/>
  <c r="N95" i="2" s="1"/>
  <c r="E95" i="2"/>
  <c r="S94" i="2"/>
  <c r="U94" i="2"/>
  <c r="L94" i="2"/>
  <c r="N94" i="2"/>
  <c r="E94" i="2"/>
  <c r="S93" i="2"/>
  <c r="U93" i="2" s="1"/>
  <c r="L93" i="2"/>
  <c r="N93" i="2"/>
  <c r="E93" i="2"/>
  <c r="S92" i="2"/>
  <c r="U92" i="2" s="1"/>
  <c r="L92" i="2"/>
  <c r="N92" i="2"/>
  <c r="E92" i="2"/>
  <c r="S91" i="2"/>
  <c r="U91" i="2" s="1"/>
  <c r="L91" i="2"/>
  <c r="N91" i="2"/>
  <c r="E91" i="2"/>
  <c r="S90" i="2"/>
  <c r="U90" i="2" s="1"/>
  <c r="L90" i="2"/>
  <c r="N90" i="2"/>
  <c r="E90" i="2"/>
  <c r="S89" i="2"/>
  <c r="U89" i="2" s="1"/>
  <c r="L89" i="2"/>
  <c r="N89" i="2"/>
  <c r="E89" i="2"/>
  <c r="S88" i="2"/>
  <c r="U88" i="2"/>
  <c r="L88" i="2"/>
  <c r="N88" i="2" s="1"/>
  <c r="E88" i="2"/>
  <c r="S87" i="2"/>
  <c r="U87" i="2" s="1"/>
  <c r="L87" i="2"/>
  <c r="N87" i="2" s="1"/>
  <c r="E87" i="2"/>
  <c r="S86" i="2"/>
  <c r="U86" i="2"/>
  <c r="L86" i="2"/>
  <c r="N86" i="2"/>
  <c r="E86" i="2"/>
  <c r="S85" i="2"/>
  <c r="U85" i="2"/>
  <c r="L85" i="2"/>
  <c r="N85" i="2" s="1"/>
  <c r="E85" i="2"/>
  <c r="S84" i="2"/>
  <c r="U84" i="2"/>
  <c r="L84" i="2"/>
  <c r="N84" i="2"/>
  <c r="E84" i="2"/>
  <c r="S83" i="2"/>
  <c r="U83" i="2"/>
  <c r="L83" i="2"/>
  <c r="N83" i="2" s="1"/>
  <c r="E83" i="2"/>
  <c r="S82" i="2"/>
  <c r="U82" i="2" s="1"/>
  <c r="L82" i="2"/>
  <c r="N82" i="2" s="1"/>
  <c r="E82" i="2"/>
  <c r="S81" i="2"/>
  <c r="U81" i="2" s="1"/>
  <c r="L81" i="2"/>
  <c r="N81" i="2"/>
  <c r="E81" i="2"/>
  <c r="S80" i="2"/>
  <c r="U80" i="2" s="1"/>
  <c r="L80" i="2"/>
  <c r="N80" i="2"/>
  <c r="E80" i="2"/>
  <c r="S79" i="2"/>
  <c r="U79" i="2" s="1"/>
  <c r="L79" i="2"/>
  <c r="N79" i="2" s="1"/>
  <c r="E79" i="2"/>
  <c r="S78" i="2"/>
  <c r="U78" i="2"/>
  <c r="L78" i="2"/>
  <c r="N78" i="2"/>
  <c r="E78" i="2"/>
  <c r="S77" i="2"/>
  <c r="U77" i="2"/>
  <c r="L77" i="2"/>
  <c r="N77" i="2"/>
  <c r="E77" i="2"/>
  <c r="S76" i="2"/>
  <c r="U76" i="2" s="1"/>
  <c r="L76" i="2"/>
  <c r="N76" i="2"/>
  <c r="E76" i="2"/>
  <c r="S75" i="2"/>
  <c r="U75" i="2" s="1"/>
  <c r="L75" i="2"/>
  <c r="N75" i="2"/>
  <c r="E75" i="2"/>
  <c r="S74" i="2"/>
  <c r="U74" i="2"/>
  <c r="L74" i="2"/>
  <c r="N74" i="2"/>
  <c r="E74" i="2"/>
  <c r="S73" i="2"/>
  <c r="U73" i="2" s="1"/>
  <c r="L73" i="2"/>
  <c r="N73" i="2"/>
  <c r="E73" i="2"/>
  <c r="S72" i="2"/>
  <c r="U72" i="2" s="1"/>
  <c r="L72" i="2"/>
  <c r="N72" i="2" s="1"/>
  <c r="E72" i="2"/>
  <c r="S71" i="2"/>
  <c r="U71" i="2"/>
  <c r="L71" i="2"/>
  <c r="N71" i="2" s="1"/>
  <c r="E71" i="2"/>
  <c r="S70" i="2"/>
  <c r="U70" i="2" s="1"/>
  <c r="L70" i="2"/>
  <c r="N70" i="2"/>
  <c r="E70" i="2"/>
  <c r="S69" i="2"/>
  <c r="U69" i="2"/>
  <c r="L69" i="2"/>
  <c r="N69" i="2" s="1"/>
  <c r="E69" i="2"/>
  <c r="S68" i="2"/>
  <c r="U68" i="2"/>
  <c r="L68" i="2"/>
  <c r="N68" i="2"/>
  <c r="E68" i="2"/>
  <c r="S67" i="2"/>
  <c r="U67" i="2" s="1"/>
  <c r="L67" i="2"/>
  <c r="N67" i="2" s="1"/>
  <c r="E67" i="2"/>
  <c r="S66" i="2"/>
  <c r="U66" i="2"/>
  <c r="L66" i="2"/>
  <c r="N66" i="2" s="1"/>
  <c r="E66" i="2"/>
  <c r="S65" i="2"/>
  <c r="U65" i="2"/>
  <c r="L65" i="2"/>
  <c r="N65" i="2"/>
  <c r="E65" i="2"/>
  <c r="S64" i="2"/>
  <c r="U64" i="2" s="1"/>
  <c r="L64" i="2"/>
  <c r="N64" i="2"/>
  <c r="E64" i="2"/>
  <c r="S63" i="2"/>
  <c r="U63" i="2"/>
  <c r="L63" i="2"/>
  <c r="N63" i="2"/>
  <c r="E63" i="2"/>
  <c r="S62" i="2"/>
  <c r="U62" i="2"/>
  <c r="L62" i="2"/>
  <c r="N62" i="2"/>
  <c r="E62" i="2"/>
  <c r="S61" i="2"/>
  <c r="U61" i="2" s="1"/>
  <c r="L61" i="2"/>
  <c r="N61" i="2"/>
  <c r="E61" i="2"/>
  <c r="S60" i="2"/>
  <c r="U60" i="2" s="1"/>
  <c r="L60" i="2"/>
  <c r="N60" i="2"/>
  <c r="E60" i="2"/>
  <c r="S59" i="2"/>
  <c r="U59" i="2" s="1"/>
  <c r="L59" i="2"/>
  <c r="N59" i="2"/>
  <c r="E59" i="2"/>
  <c r="S58" i="2"/>
  <c r="U58" i="2" s="1"/>
  <c r="L58" i="2"/>
  <c r="N58" i="2"/>
  <c r="E58" i="2"/>
  <c r="S57" i="2"/>
  <c r="U57" i="2" s="1"/>
  <c r="L57" i="2"/>
  <c r="N57" i="2"/>
  <c r="E57" i="2"/>
  <c r="S56" i="2"/>
  <c r="U56" i="2"/>
  <c r="L56" i="2"/>
  <c r="N56" i="2" s="1"/>
  <c r="E56" i="2"/>
  <c r="S55" i="2"/>
  <c r="U55" i="2" s="1"/>
  <c r="L55" i="2"/>
  <c r="N55" i="2" s="1"/>
  <c r="E55" i="2"/>
  <c r="S54" i="2"/>
  <c r="U54" i="2"/>
  <c r="L54" i="2"/>
  <c r="N54" i="2"/>
  <c r="E54" i="2"/>
  <c r="S53" i="2"/>
  <c r="U53" i="2"/>
  <c r="L53" i="2"/>
  <c r="N53" i="2" s="1"/>
  <c r="E53" i="2"/>
  <c r="S52" i="2"/>
  <c r="U52" i="2"/>
  <c r="L52" i="2"/>
  <c r="N52" i="2"/>
  <c r="E52" i="2"/>
  <c r="S51" i="2"/>
  <c r="U51" i="2"/>
  <c r="L51" i="2"/>
  <c r="N51" i="2" s="1"/>
  <c r="E51" i="2"/>
  <c r="S50" i="2"/>
  <c r="U50" i="2" s="1"/>
  <c r="L50" i="2"/>
  <c r="N50" i="2" s="1"/>
  <c r="E50" i="2"/>
  <c r="S49" i="2"/>
  <c r="U49" i="2"/>
  <c r="L49" i="2"/>
  <c r="N49" i="2"/>
  <c r="E49" i="2"/>
  <c r="S48" i="2"/>
  <c r="U48" i="2" s="1"/>
  <c r="L48" i="2"/>
  <c r="N48" i="2"/>
  <c r="E48" i="2"/>
  <c r="S47" i="2"/>
  <c r="U47" i="2" s="1"/>
  <c r="L47" i="2"/>
  <c r="N47" i="2"/>
  <c r="E47" i="2"/>
  <c r="S46" i="2"/>
  <c r="U46" i="2"/>
  <c r="L46" i="2"/>
  <c r="N46" i="2"/>
  <c r="E46" i="2"/>
  <c r="S45" i="2"/>
  <c r="U45" i="2" s="1"/>
  <c r="L45" i="2"/>
  <c r="N45" i="2"/>
  <c r="E45" i="2"/>
  <c r="S44" i="2"/>
  <c r="U44" i="2" s="1"/>
  <c r="L44" i="2"/>
  <c r="N44" i="2"/>
  <c r="E44" i="2"/>
  <c r="S43" i="2"/>
  <c r="U43" i="2" s="1"/>
  <c r="L43" i="2"/>
  <c r="N43" i="2"/>
  <c r="E43" i="2"/>
  <c r="S42" i="2"/>
  <c r="U42" i="2" s="1"/>
  <c r="L42" i="2"/>
  <c r="N42" i="2"/>
  <c r="E42" i="2"/>
  <c r="S41" i="2"/>
  <c r="U41" i="2" s="1"/>
  <c r="L41" i="2"/>
  <c r="N41" i="2"/>
  <c r="E41" i="2"/>
  <c r="S40" i="2"/>
  <c r="U40" i="2"/>
  <c r="L40" i="2"/>
  <c r="N40" i="2" s="1"/>
  <c r="E40" i="2"/>
  <c r="S39" i="2"/>
  <c r="U39" i="2" s="1"/>
  <c r="L39" i="2"/>
  <c r="N39" i="2" s="1"/>
  <c r="E39" i="2"/>
  <c r="S38" i="2"/>
  <c r="U38" i="2"/>
  <c r="L38" i="2"/>
  <c r="N38" i="2"/>
  <c r="E38" i="2"/>
  <c r="S37" i="2"/>
  <c r="U37" i="2"/>
  <c r="L37" i="2"/>
  <c r="N37" i="2" s="1"/>
  <c r="E37" i="2"/>
  <c r="S36" i="2"/>
  <c r="U36" i="2"/>
  <c r="L36" i="2"/>
  <c r="N36" i="2"/>
  <c r="E36" i="2"/>
  <c r="S35" i="2"/>
  <c r="U35" i="2"/>
  <c r="L35" i="2"/>
  <c r="N35" i="2" s="1"/>
  <c r="E35" i="2"/>
  <c r="S34" i="2"/>
  <c r="U34" i="2" s="1"/>
  <c r="L34" i="2"/>
  <c r="N34" i="2" s="1"/>
  <c r="E34" i="2"/>
  <c r="S33" i="2"/>
  <c r="U33" i="2" s="1"/>
  <c r="L33" i="2"/>
  <c r="N33" i="2"/>
  <c r="E33" i="2"/>
  <c r="S32" i="2"/>
  <c r="U32" i="2" s="1"/>
  <c r="L32" i="2"/>
  <c r="N32" i="2"/>
  <c r="E32" i="2"/>
  <c r="S31" i="2"/>
  <c r="U31" i="2" s="1"/>
  <c r="L31" i="2"/>
  <c r="N31" i="2"/>
  <c r="E31" i="2"/>
  <c r="S30" i="2"/>
  <c r="U30" i="2" s="1"/>
  <c r="L30" i="2"/>
  <c r="N30" i="2"/>
  <c r="E30" i="2"/>
  <c r="S29" i="2"/>
  <c r="U29" i="2" s="1"/>
  <c r="L29" i="2"/>
  <c r="N29" i="2"/>
  <c r="E29" i="2"/>
  <c r="S28" i="2"/>
  <c r="U28" i="2"/>
  <c r="E28" i="2"/>
  <c r="E27" i="2"/>
  <c r="E26" i="2"/>
  <c r="E25" i="2"/>
  <c r="U24" i="2"/>
  <c r="X11" i="2"/>
  <c r="X10" i="2"/>
  <c r="S15" i="2"/>
  <c r="U15" i="2" s="1"/>
  <c r="L15" i="2"/>
  <c r="N15" i="2" s="1"/>
  <c r="E15" i="2"/>
  <c r="S14" i="2"/>
  <c r="U14" i="2"/>
  <c r="L14" i="2"/>
  <c r="N14" i="2" s="1"/>
  <c r="E14" i="2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<sst xmlns="http://schemas.openxmlformats.org/spreadsheetml/2006/main" count="19887" uniqueCount="301">
  <si>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</si>
  <si>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</si>
  <si>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</si>
  <si>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</si>
  <si>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</si>
  <si>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</si>
  <si>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</si>
  <si>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</si>
  <si>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</si>
  <si>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</si>
  <si>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</si>
  <si>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</si>
  <si>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</si>
  <si>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</si>
  <si>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</si>
  <si>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</si>
  <si>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</si>
  <si>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</si>
  <si>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</si>
  <si>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</si>
  <si>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</si>
  <si>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</si>
  <si>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</si>
  <si>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</si>
  <si>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</si>
  <si>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</si>
  <si>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</si>
  <si>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</si>
  <si>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</si>
  <si>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</si>
  <si>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</si>
  <si>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</si>
  <si>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</si>
  <si>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</si>
  <si>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</si>
  <si>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</si>
  <si>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</si>
  <si>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</si>
  <si>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</si>
  <si>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</si>
  <si>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</si>
  <si>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</si>
  <si>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</si>
  <si>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</si>
  <si>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</si>
  <si>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</si>
  <si>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</si>
  <si>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</si>
  <si>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</si>
  <si>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</si>
  <si>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</si>
  <si>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</si>
  <si>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</si>
  <si>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</si>
  <si>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</si>
  <si>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</si>
  <si>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</si>
  <si>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</si>
  <si>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</si>
  <si>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</si>
  <si>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</si>
  <si>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</si>
  <si>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</si>
  <si>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</si>
  <si>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</si>
  <si>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</si>
  <si>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</si>
  <si>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</si>
  <si>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</si>
  <si>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</si>
  <si>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</si>
  <si>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</si>
  <si>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</si>
  <si>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</si>
  <si>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</si>
  <si>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</si>
  <si>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</si>
  <si>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</si>
  <si>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</si>
  <si>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</si>
  <si>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</si>
  <si>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</si>
  <si>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</si>
  <si>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</si>
  <si>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</si>
  <si>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</si>
  <si>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</si>
  <si>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</si>
  <si>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</si>
  <si>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</si>
  <si>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</si>
  <si>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</si>
  <si>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</si>
  <si>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</si>
  <si>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</si>
  <si>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</si>
  <si>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</si>
  <si>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</si>
  <si>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</si>
  <si>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</si>
  <si>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</si>
  <si>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</si>
  <si>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</si>
  <si>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</si>
  <si>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</si>
  <si>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</si>
  <si>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</si>
  <si>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</si>
  <si>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</si>
  <si>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</si>
  <si>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</si>
  <si>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</si>
  <si>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</si>
  <si>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</si>
  <si>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</si>
  <si>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</si>
  <si>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</si>
  <si>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</si>
  <si>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</si>
  <si>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</si>
  <si>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</si>
  <si>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</si>
  <si>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</si>
  <si>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</si>
  <si>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</si>
  <si>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</si>
  <si>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</si>
  <si>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</si>
  <si>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</si>
  <si>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</si>
  <si>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</si>
  <si>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</si>
  <si>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</si>
  <si>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</si>
  <si>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</si>
  <si>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</si>
  <si>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</si>
  <si>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</si>
  <si>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</si>
  <si>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</si>
  <si>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</si>
  <si>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</si>
  <si>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</si>
  <si>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</si>
  <si>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</si>
  <si>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</si>
  <si>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</si>
  <si>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</si>
  <si>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</si>
  <si>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</si>
  <si>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</si>
  <si>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</si>
  <si>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</si>
  <si>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</si>
  <si>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</si>
  <si>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</si>
  <si>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</si>
  <si>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</si>
  <si>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</si>
  <si>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</si>
  <si>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</si>
  <si>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</si>
  <si>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</si>
  <si>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</si>
  <si>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</si>
  <si>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</si>
  <si>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</si>
  <si>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</si>
  <si>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</si>
  <si>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</si>
  <si>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</si>
  <si>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</si>
  <si>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</si>
  <si>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</si>
  <si>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</si>
  <si>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</si>
  <si>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</si>
  <si>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</si>
  <si>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</si>
  <si>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</si>
  <si>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</si>
  <si>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</si>
  <si>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WX</t>
  </si>
  <si>
    <t>WY</t>
  </si>
  <si>
    <t>WLX</t>
  </si>
  <si>
    <t>WLY</t>
  </si>
  <si>
    <t>WTX</t>
  </si>
  <si>
    <t>WTY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</si>
  <si>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</si>
  <si>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</si>
  <si>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</si>
  <si>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</si>
  <si>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FH</t>
  </si>
  <si>
    <t>FL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</si>
  <si>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</si>
  <si>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</si>
  <si>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</si>
  <si>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</si>
  <si>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</si>
  <si>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</si>
  <si>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</si>
  <si>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</si>
  <si>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</si>
  <si>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</si>
  <si>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</si>
  <si>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</si>
  <si>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</si>
  <si>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</si>
  <si>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</si>
  <si>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</si>
  <si>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</si>
  <si>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</si>
  <si>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</si>
  <si>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</si>
  <si>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</si>
  <si>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</si>
  <si>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</si>
  <si>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</si>
  <si>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</si>
  <si>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</si>
  <si>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</si>
  <si>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</si>
  <si>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</si>
  <si>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</si>
  <si>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</si>
  <si>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</si>
  <si>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</si>
  <si>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</si>
  <si>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</si>
  <si>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</si>
  <si>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</si>
  <si>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</si>
  <si>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</si>
  <si>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</si>
  <si>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</si>
  <si>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</si>
  <si>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</si>
  <si>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</si>
  <si>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</si>
  <si>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</si>
  <si>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</si>
  <si>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</si>
  <si>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</si>
  <si>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</si>
  <si>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</si>
  <si>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</si>
  <si>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</si>
  <si>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</si>
  <si>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</si>
  <si>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</si>
  <si>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</si>
  <si>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</si>
  <si>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</si>
  <si>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</si>
  <si>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</si>
  <si>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</si>
  <si>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</si>
  <si>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</si>
  <si>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</si>
  <si>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</si>
  <si>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</si>
  <si>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</si>
  <si>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</si>
  <si>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</si>
  <si>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</si>
  <si>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</si>
  <si>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</si>
  <si>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</si>
  <si>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</si>
  <si>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</si>
  <si>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</si>
  <si>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</si>
  <si>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</si>
  <si>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</si>
  <si>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</si>
  <si>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</si>
  <si>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</si>
  <si>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</si>
  <si>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</si>
  <si>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</si>
  <si>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</si>
  <si>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</si>
  <si>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</si>
  <si>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</si>
  <si>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</si>
  <si>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</si>
  <si>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</si>
  <si>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</si>
  <si>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</si>
  <si>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</si>
  <si>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</si>
  <si>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</si>
  <si>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</si>
  <si>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</si>
  <si>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</si>
  <si>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6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</si>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</sst>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  <xf numFmtId="0" fontId="19" fillId="6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9" fillId="5" borderId="0" xfId="4" applyFont="1" applyFill="1" applyAlignment="1">
      <alignment horizontal="left" vertical="center"/>
    </xf>
    <xf numFmtId="0" fontId="12" fillId="5" borderId="0" xfId="5" applyFont="1" applyFill="1" applyAlignment="1">
      <alignment horizontal="left" vertical="center"/>
    </xf>
    <xf numFmtId="0" fontId="9" fillId="5" borderId="2" xfId="4" applyFont="1" applyFill="1" applyBorder="1" applyAlignment="1">
      <alignment horizontal="left" vertical="center"/>
    </xf>
    <xf numFmtId="0" fontId="9" fillId="5" borderId="0" xfId="6" applyFont="1" applyFill="1" applyAlignment="1">
      <alignment horizontal="center" vertical="center"/>
    </xf>
    <xf numFmtId="14" fontId="9" fillId="5" borderId="0" xfId="6" applyNumberFormat="1" applyFont="1" applyFill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177" fontId="10" fillId="5" borderId="0" xfId="4" applyNumberFormat="1" applyFont="1" applyFill="1" applyAlignment="1">
      <alignment horizontal="center" vertical="center"/>
    </xf>
    <xf numFmtId="0" fontId="9" fillId="5" borderId="2" xfId="4" applyFont="1" applyFill="1" applyBorder="1" applyAlignment="1">
      <alignment horizontal="center" vertical="center"/>
    </xf>
    <xf numFmtId="14" fontId="9" fillId="5" borderId="0" xfId="4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3" borderId="0" xfId="2" applyFont="1" applyAlignment="1">
      <alignment horizontal="center" vertical="center"/>
    </xf>
    <xf numFmtId="0" fontId="18" fillId="4" borderId="1" xfId="3" applyFont="1">
      <alignment vertical="center"/>
    </xf>
    <xf numFmtId="0" fontId="9" fillId="5" borderId="0" xfId="6" applyFont="1" applyFill="1" applyAlignment="1">
      <alignment horizontal="left" vertical="center"/>
    </xf>
    <xf numFmtId="176" fontId="17" fillId="2" borderId="0" xfId="1" applyNumberFormat="1" applyFont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5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7" xfId="0" applyFont="1" applyBorder="1">
      <alignment vertical="center"/>
    </xf>
    <xf numFmtId="0" fontId="15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5" fillId="0" borderId="8" xfId="0" applyFont="1" applyBorder="1">
      <alignment vertical="center"/>
    </xf>
    <xf numFmtId="0" fontId="15" fillId="0" borderId="9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9" fillId="0" borderId="8" xfId="0" applyFont="1" applyBorder="1">
      <alignment vertical="center"/>
    </xf>
    <xf numFmtId="2" fontId="9" fillId="0" borderId="0" xfId="0" applyNumberFormat="1" applyFont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6" fillId="3" borderId="0" xfId="2" applyFont="1" applyAlignment="1">
      <alignment horizontal="center"/>
    </xf>
    <xf numFmtId="0" fontId="9" fillId="0" borderId="0" xfId="0" applyFont="1" applyAlignment="1">
      <alignment horizontal="center" vertical="center"/>
    </xf>
  </cellXfs>
  <cellStyles count="8">
    <cellStyle name="一般" xfId="0" builtinId="0"/>
    <cellStyle name="一般 2" xfId="4"/>
    <cellStyle name="一般 2 2" xfId="6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2:AO100"/>
  <sheetViews>
    <sheetView workbookViewId="0"/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11" t="s">
        <v>190</v>
      </c>
      <c r="D2" s="18" t="s">
        <v>177</v>
      </c>
      <c r="G2" s="20" t="s">
        <v>287</v>
      </c>
      <c r="H2" s="21">
        <v>1</v>
      </c>
      <c r="I2" s="22" t="s">
        <v>288</v>
      </c>
      <c r="J2" s="23"/>
      <c r="K2" s="23"/>
      <c r="L2" s="23"/>
      <c r="M2" s="23"/>
      <c r="N2" s="24"/>
    </row>
    <row r="3" spans="1:41" ht="18" customHeight="1" x14ac:dyDescent="0.25">
      <c r="G3" s="32"/>
      <c r="H3" s="33"/>
      <c r="I3" s="34"/>
      <c r="J3" s="35"/>
      <c r="K3" s="35"/>
      <c r="L3" s="35"/>
      <c r="M3" s="35"/>
      <c r="N3" s="36"/>
    </row>
    <row r="4" spans="1:41" ht="18" customHeight="1" x14ac:dyDescent="0.25">
      <c r="G4" s="30" t="s">
        <v>289</v>
      </c>
      <c r="H4" s="26">
        <v>1</v>
      </c>
      <c r="I4" s="27" t="s">
        <v>191</v>
      </c>
      <c r="J4" s="28"/>
      <c r="K4" s="28"/>
      <c r="L4" s="28"/>
      <c r="M4" s="28"/>
      <c r="N4" s="29"/>
    </row>
    <row r="5" spans="1:41" ht="18" customHeight="1" x14ac:dyDescent="0.25">
      <c r="G5" s="25"/>
      <c r="H5" s="26">
        <v>2</v>
      </c>
      <c r="I5" s="28" t="s">
        <v>290</v>
      </c>
      <c r="J5" s="28"/>
      <c r="K5" s="28"/>
      <c r="L5" s="28"/>
      <c r="M5" s="28"/>
      <c r="N5" s="31"/>
    </row>
    <row r="6" spans="1:41" ht="18" customHeight="1" x14ac:dyDescent="0.25">
      <c r="G6" s="25"/>
      <c r="H6" s="26">
        <v>3</v>
      </c>
      <c r="I6" s="27" t="s">
        <v>291</v>
      </c>
      <c r="J6" s="28"/>
      <c r="K6" s="28"/>
      <c r="L6" s="28"/>
      <c r="M6" s="28"/>
      <c r="N6" s="29"/>
    </row>
    <row r="7" spans="1:41" ht="18" customHeight="1" x14ac:dyDescent="0.25">
      <c r="G7" s="25"/>
      <c r="H7" s="26">
        <v>4</v>
      </c>
      <c r="I7" s="27" t="s">
        <v>292</v>
      </c>
      <c r="J7" s="28"/>
      <c r="K7" s="28"/>
      <c r="L7" s="28"/>
      <c r="M7" s="28"/>
      <c r="N7" s="29"/>
    </row>
    <row r="8" spans="1:41" ht="18" customHeight="1" x14ac:dyDescent="0.25">
      <c r="G8" s="37"/>
      <c r="H8" s="35"/>
      <c r="I8" s="35"/>
      <c r="J8" s="35"/>
      <c r="K8" s="35"/>
      <c r="L8" s="35"/>
      <c r="M8" s="35"/>
      <c r="N8" s="36"/>
    </row>
    <row r="9" spans="1:41" ht="18" customHeight="1" x14ac:dyDescent="0.25">
      <c r="G9" s="30" t="s">
        <v>293</v>
      </c>
      <c r="H9" s="26">
        <v>1</v>
      </c>
      <c r="I9" s="27" t="s">
        <v>294</v>
      </c>
      <c r="J9" s="28"/>
      <c r="K9" s="28"/>
      <c r="L9" s="28"/>
      <c r="M9" s="28"/>
      <c r="N9" s="29"/>
    </row>
    <row r="10" spans="1:41" ht="18" customHeight="1" x14ac:dyDescent="0.25">
      <c r="G10" s="32"/>
      <c r="H10" s="33">
        <v>2</v>
      </c>
      <c r="I10" s="34" t="s">
        <v>295</v>
      </c>
      <c r="J10" s="35"/>
      <c r="K10" s="35"/>
      <c r="L10" s="35"/>
      <c r="M10" s="35"/>
      <c r="N10" s="36"/>
      <c r="W10" s="13" t="s">
        <v>151</v>
      </c>
      <c r="X10" s="17">
        <f>-AA16/Z15</f>
        <v>0.2035760102629891</v>
      </c>
      <c r="AG10" s="49" t="s">
        <v>159</v>
      </c>
      <c r="AH10" s="49"/>
      <c r="AI10" s="17">
        <f>-AK15/SQRT(AK19^2+AL19^2)</f>
        <v>1.1543532621050239</v>
      </c>
    </row>
    <row r="11" spans="1:41" ht="18" customHeight="1" x14ac:dyDescent="0.25">
      <c r="W11" s="13" t="s">
        <v>158</v>
      </c>
      <c r="X11" s="17">
        <f>-AB18/Z15</f>
        <v>0.2035760102629891</v>
      </c>
      <c r="AG11" s="49" t="s">
        <v>160</v>
      </c>
      <c r="AH11" s="49"/>
      <c r="AI11" s="17">
        <f>-AL17/SQRT(AK20^2+AL20^2)</f>
        <v>1.1543532621050239</v>
      </c>
    </row>
    <row r="13" spans="1:41" ht="18" customHeight="1" x14ac:dyDescent="0.25">
      <c r="B13" s="14" t="s">
        <v>153</v>
      </c>
      <c r="C13" s="13" t="s">
        <v>0</v>
      </c>
      <c r="D13" s="13" t="s">
        <v>3</v>
      </c>
      <c r="E13" s="13" t="s">
        <v>156</v>
      </c>
      <c r="F13" s="13" t="s">
        <v>18</v>
      </c>
      <c r="G13" s="13" t="s">
        <v>154</v>
      </c>
      <c r="I13" s="14" t="s">
        <v>153</v>
      </c>
      <c r="J13" s="13" t="s">
        <v>0</v>
      </c>
      <c r="K13" s="13" t="s">
        <v>155</v>
      </c>
      <c r="L13" s="13" t="s">
        <v>156</v>
      </c>
      <c r="M13" s="13" t="s">
        <v>161</v>
      </c>
      <c r="N13" s="13" t="s">
        <v>162</v>
      </c>
      <c r="P13" s="14" t="s">
        <v>157</v>
      </c>
      <c r="Q13" s="13" t="s">
        <v>0</v>
      </c>
      <c r="R13" s="13" t="s">
        <v>3</v>
      </c>
      <c r="S13" s="13" t="s">
        <v>156</v>
      </c>
      <c r="T13" s="13" t="s">
        <v>18</v>
      </c>
      <c r="U13" s="13" t="s">
        <v>154</v>
      </c>
      <c r="W13" s="48" t="s">
        <v>178</v>
      </c>
      <c r="X13" s="48"/>
      <c r="AG13" s="48" t="s">
        <v>296</v>
      </c>
      <c r="AH13" s="48"/>
    </row>
    <row r="14" spans="1:41" ht="18" customHeight="1" x14ac:dyDescent="0.25">
      <c r="C14" s="13" t="s">
        <v>152</v>
      </c>
      <c r="D14" s="11">
        <v>83.15</v>
      </c>
      <c r="E14" s="11">
        <f>D14</f>
        <v>83.15</v>
      </c>
      <c r="F14" s="11">
        <v>64</v>
      </c>
      <c r="G14" s="38">
        <f>IFERROR(E14/F14,"")</f>
        <v>1.2992187500000001</v>
      </c>
      <c r="J14" s="13" t="s">
        <v>152</v>
      </c>
      <c r="K14" s="11">
        <v>7.667319</v>
      </c>
      <c r="L14" s="11">
        <f>IF(K14&gt;0,K14*9.81,"")</f>
        <v>75.216399390000007</v>
      </c>
      <c r="M14" s="11">
        <v>64</v>
      </c>
      <c r="N14" s="38">
        <f t="shared" ref="N14:N20" si="0">IF((L14= "")+(M14=""),"",L14/M14)</f>
        <v>1.1752562404687501</v>
      </c>
      <c r="Q14" s="13" t="s">
        <v>152</v>
      </c>
      <c r="R14" s="11">
        <v>19.2</v>
      </c>
      <c r="S14" s="11">
        <f>R14</f>
        <v>19.2</v>
      </c>
      <c r="T14" s="11">
        <v>64</v>
      </c>
      <c r="U14" s="38">
        <f>IF((S14= "")+(T14=""),"",S14/T14)</f>
        <v>0.3</v>
      </c>
      <c r="W14" s="13" t="s">
        <v>0</v>
      </c>
      <c r="X14" s="13" t="s">
        <v>1</v>
      </c>
      <c r="Y14" s="13" t="s">
        <v>2</v>
      </c>
      <c r="Z14" s="13" t="s">
        <v>3</v>
      </c>
      <c r="AA14" s="13" t="s">
        <v>4</v>
      </c>
      <c r="AB14" s="13" t="s">
        <v>5</v>
      </c>
      <c r="AC14" s="13" t="s">
        <v>6</v>
      </c>
      <c r="AD14" s="13" t="s">
        <v>7</v>
      </c>
      <c r="AE14" s="13" t="s">
        <v>8</v>
      </c>
      <c r="AG14" s="13" t="s">
        <v>0</v>
      </c>
      <c r="AH14" s="13" t="s">
        <v>1</v>
      </c>
      <c r="AI14" s="13" t="s">
        <v>2</v>
      </c>
      <c r="AJ14" s="13" t="s">
        <v>3</v>
      </c>
      <c r="AK14" s="13" t="s">
        <v>4</v>
      </c>
      <c r="AL14" s="13" t="s">
        <v>5</v>
      </c>
      <c r="AM14" s="13" t="s">
        <v>6</v>
      </c>
      <c r="AN14" s="13" t="s">
        <v>7</v>
      </c>
      <c r="AO14" s="13" t="s">
        <v>8</v>
      </c>
    </row>
    <row r="15" spans="1:41" ht="18" customHeight="1" x14ac:dyDescent="0.25">
      <c r="C15" s="13" t="s">
        <v>23</v>
      </c>
      <c r="D15" s="11">
        <v>166.3</v>
      </c>
      <c r="E15" s="11">
        <f>IF(D15-D14&gt;0,D15-D14,"")</f>
        <v>83.15</v>
      </c>
      <c r="F15" s="11">
        <v>64</v>
      </c>
      <c r="G15" s="38">
        <f t="shared" ref="G15:G78" si="1">IFERROR(E15/F15,"")</f>
        <v>1.2992187500000001</v>
      </c>
      <c r="J15" s="13" t="s">
        <v>23</v>
      </c>
      <c r="K15" s="11">
        <v>8.1965129999999995</v>
      </c>
      <c r="L15" s="11">
        <f t="shared" ref="L15:L28" si="2">IF(K15&gt;0,K15*9.81,"")</f>
        <v>80.407792529999995</v>
      </c>
      <c r="M15" s="11">
        <v>64</v>
      </c>
      <c r="N15" s="38">
        <f t="shared" si="0"/>
        <v>1.2563717582812499</v>
      </c>
      <c r="Q15" s="13" t="s">
        <v>23</v>
      </c>
      <c r="R15" s="11">
        <v>38.4</v>
      </c>
      <c r="S15" s="11">
        <f>IF(R15-R14&gt;0,R15-R14,"")</f>
        <v>19.2</v>
      </c>
      <c r="T15" s="11">
        <v>64</v>
      </c>
      <c r="U15" s="38">
        <f t="shared" ref="U15:U78" si="3">IF((S15= "")+(T15=""),"",S15/T15)</f>
        <v>0.3</v>
      </c>
      <c r="W15" s="13" t="s">
        <v>16</v>
      </c>
      <c r="X15" s="11" t="s">
        <v>9</v>
      </c>
      <c r="Y15" s="13" t="s">
        <v>10</v>
      </c>
      <c r="Z15" s="15">
        <v>249.44</v>
      </c>
      <c r="AA15" s="11">
        <v>0</v>
      </c>
      <c r="AB15" s="11">
        <v>0</v>
      </c>
      <c r="AC15" s="11">
        <v>0</v>
      </c>
      <c r="AD15" s="11">
        <v>997.77800000000002</v>
      </c>
      <c r="AE15" s="11">
        <v>-997.77800000000002</v>
      </c>
      <c r="AG15" s="13" t="s">
        <v>16</v>
      </c>
      <c r="AH15" s="11" t="s">
        <v>19</v>
      </c>
      <c r="AI15" s="13" t="s">
        <v>10</v>
      </c>
      <c r="AJ15" s="11">
        <v>0</v>
      </c>
      <c r="AK15" s="15">
        <v>-50.78</v>
      </c>
      <c r="AL15" s="11">
        <v>0</v>
      </c>
      <c r="AM15" s="11">
        <v>216.41900000000001</v>
      </c>
      <c r="AN15" s="11">
        <v>0</v>
      </c>
      <c r="AO15" s="11">
        <v>-353.18799999999999</v>
      </c>
    </row>
    <row r="16" spans="1:41" ht="18" customHeight="1" x14ac:dyDescent="0.25">
      <c r="C16" s="13" t="s">
        <v>16</v>
      </c>
      <c r="D16" s="11">
        <v>249.44</v>
      </c>
      <c r="E16" s="11">
        <f t="shared" ref="E16:E24" si="4">IF(D16-D15&gt;0,D16-D15,"")</f>
        <v>83.139999999999986</v>
      </c>
      <c r="F16" s="11">
        <v>64</v>
      </c>
      <c r="G16" s="38">
        <f t="shared" si="1"/>
        <v>1.2990624999999998</v>
      </c>
      <c r="J16" s="13" t="s">
        <v>16</v>
      </c>
      <c r="K16" s="11">
        <v>8.1965129999999995</v>
      </c>
      <c r="L16" s="11">
        <f t="shared" si="2"/>
        <v>80.407792529999995</v>
      </c>
      <c r="M16" s="11">
        <v>64</v>
      </c>
      <c r="N16" s="38">
        <f t="shared" si="0"/>
        <v>1.2563717582812499</v>
      </c>
      <c r="Q16" s="13" t="s">
        <v>16</v>
      </c>
      <c r="R16" s="11">
        <v>57.6</v>
      </c>
      <c r="S16" s="11">
        <f t="shared" ref="S16:S27" si="5">IF(R16-R15&gt;0,R16-R15,"")</f>
        <v>19.200000000000003</v>
      </c>
      <c r="T16" s="11">
        <v>64</v>
      </c>
      <c r="U16" s="38">
        <f t="shared" si="3"/>
        <v>0.30000000000000004</v>
      </c>
      <c r="W16" s="13" t="s">
        <v>16</v>
      </c>
      <c r="X16" s="11" t="s">
        <v>19</v>
      </c>
      <c r="Y16" s="13" t="s">
        <v>10</v>
      </c>
      <c r="Z16" s="11">
        <v>0</v>
      </c>
      <c r="AA16" s="15">
        <v>-50.78</v>
      </c>
      <c r="AB16" s="11">
        <v>0</v>
      </c>
      <c r="AC16" s="11">
        <v>216.41900000000001</v>
      </c>
      <c r="AD16" s="11">
        <v>0</v>
      </c>
      <c r="AE16" s="11">
        <v>-353.18799999999999</v>
      </c>
      <c r="AG16" s="13" t="s">
        <v>16</v>
      </c>
      <c r="AH16" s="11" t="s">
        <v>20</v>
      </c>
      <c r="AI16" s="13" t="s">
        <v>10</v>
      </c>
      <c r="AJ16" s="11">
        <v>0</v>
      </c>
      <c r="AK16" s="15">
        <v>-50.78</v>
      </c>
      <c r="AL16" s="11">
        <v>0</v>
      </c>
      <c r="AM16" s="11">
        <v>189.79499999999999</v>
      </c>
      <c r="AN16" s="11">
        <v>0</v>
      </c>
      <c r="AO16" s="11">
        <v>-353.18799999999999</v>
      </c>
    </row>
    <row r="17" spans="3:41" ht="18" customHeight="1" x14ac:dyDescent="0.25">
      <c r="C17" s="13" t="s">
        <v>17</v>
      </c>
      <c r="D17" s="11">
        <v>0</v>
      </c>
      <c r="E17" s="11" t="str">
        <f t="shared" si="4"/>
        <v/>
      </c>
      <c r="G17" s="38" t="str">
        <f t="shared" si="1"/>
        <v/>
      </c>
      <c r="J17" s="13" t="s">
        <v>17</v>
      </c>
      <c r="K17" s="11">
        <v>0.52919400000000005</v>
      </c>
      <c r="L17" s="11">
        <f t="shared" si="2"/>
        <v>5.1913931400000006</v>
      </c>
      <c r="N17" s="38" t="str">
        <f t="shared" si="0"/>
        <v/>
      </c>
      <c r="Q17" s="13" t="s">
        <v>17</v>
      </c>
      <c r="R17" s="11">
        <v>0</v>
      </c>
      <c r="S17" s="11" t="str">
        <f t="shared" si="5"/>
        <v/>
      </c>
      <c r="U17" s="38" t="str">
        <f t="shared" si="3"/>
        <v/>
      </c>
      <c r="W17" s="13" t="s">
        <v>16</v>
      </c>
      <c r="X17" s="11" t="s">
        <v>20</v>
      </c>
      <c r="Y17" s="13" t="s">
        <v>10</v>
      </c>
      <c r="Z17" s="11">
        <v>0</v>
      </c>
      <c r="AA17" s="15">
        <v>-50.78</v>
      </c>
      <c r="AB17" s="11">
        <v>0</v>
      </c>
      <c r="AC17" s="11">
        <v>189.79499999999999</v>
      </c>
      <c r="AD17" s="11">
        <v>0</v>
      </c>
      <c r="AE17" s="11">
        <v>-353.18799999999999</v>
      </c>
      <c r="AG17" s="13" t="s">
        <v>16</v>
      </c>
      <c r="AH17" s="11" t="s">
        <v>21</v>
      </c>
      <c r="AI17" s="13" t="s">
        <v>10</v>
      </c>
      <c r="AJ17" s="11">
        <v>0</v>
      </c>
      <c r="AK17" s="11">
        <v>0</v>
      </c>
      <c r="AL17" s="15">
        <v>-50.78</v>
      </c>
      <c r="AM17" s="11">
        <v>-216.41900000000001</v>
      </c>
      <c r="AN17" s="11">
        <v>353.18799999999999</v>
      </c>
      <c r="AO17" s="11">
        <v>0</v>
      </c>
    </row>
    <row r="18" spans="3:41" ht="18" customHeight="1" x14ac:dyDescent="0.25">
      <c r="C18" s="13" t="s">
        <v>180</v>
      </c>
      <c r="E18" s="11" t="str">
        <f t="shared" si="4"/>
        <v/>
      </c>
      <c r="G18" s="38" t="str">
        <f t="shared" si="1"/>
        <v/>
      </c>
      <c r="J18" s="13" t="s">
        <v>180</v>
      </c>
      <c r="K18" s="11">
        <v>0</v>
      </c>
      <c r="L18" s="11" t="str">
        <f t="shared" si="2"/>
        <v/>
      </c>
      <c r="N18" s="38" t="str">
        <f t="shared" si="0"/>
        <v/>
      </c>
      <c r="Q18" s="13" t="s">
        <v>180</v>
      </c>
      <c r="S18" s="11" t="str">
        <f t="shared" si="5"/>
        <v/>
      </c>
      <c r="U18" s="38" t="str">
        <f t="shared" si="3"/>
        <v/>
      </c>
      <c r="W18" s="13" t="s">
        <v>16</v>
      </c>
      <c r="X18" s="11" t="s">
        <v>21</v>
      </c>
      <c r="Y18" s="13" t="s">
        <v>10</v>
      </c>
      <c r="Z18" s="11">
        <v>0</v>
      </c>
      <c r="AA18" s="11">
        <v>0</v>
      </c>
      <c r="AB18" s="15">
        <v>-50.78</v>
      </c>
      <c r="AC18" s="11">
        <v>-216.41900000000001</v>
      </c>
      <c r="AD18" s="11">
        <v>353.18799999999999</v>
      </c>
      <c r="AE18" s="11">
        <v>0</v>
      </c>
      <c r="AG18" s="13" t="s">
        <v>16</v>
      </c>
      <c r="AH18" s="11" t="s">
        <v>22</v>
      </c>
      <c r="AI18" s="13" t="s">
        <v>10</v>
      </c>
      <c r="AJ18" s="11">
        <v>0</v>
      </c>
      <c r="AK18" s="11">
        <v>0</v>
      </c>
      <c r="AL18" s="15">
        <v>-50.78</v>
      </c>
      <c r="AM18" s="11">
        <v>-189.79499999999999</v>
      </c>
      <c r="AN18" s="11">
        <v>353.18799999999999</v>
      </c>
      <c r="AO18" s="11">
        <v>0</v>
      </c>
    </row>
    <row r="19" spans="3:41" ht="18" customHeight="1" x14ac:dyDescent="0.25">
      <c r="C19" s="13" t="s">
        <v>181</v>
      </c>
      <c r="E19" s="11" t="str">
        <f t="shared" si="4"/>
        <v/>
      </c>
      <c r="F19" s="11">
        <v>192</v>
      </c>
      <c r="G19" s="38" t="str">
        <f t="shared" si="1"/>
        <v/>
      </c>
      <c r="J19" s="13" t="s">
        <v>181</v>
      </c>
      <c r="K19" s="11">
        <v>24.589538000000001</v>
      </c>
      <c r="L19" s="11">
        <f t="shared" si="2"/>
        <v>241.22336778000002</v>
      </c>
      <c r="M19" s="11">
        <v>192</v>
      </c>
      <c r="N19" s="38">
        <f t="shared" si="0"/>
        <v>1.2563717071875</v>
      </c>
      <c r="Q19" s="13" t="s">
        <v>181</v>
      </c>
      <c r="S19" s="11" t="str">
        <f t="shared" si="5"/>
        <v/>
      </c>
      <c r="T19" s="11">
        <v>192</v>
      </c>
      <c r="U19" s="38" t="str">
        <f t="shared" si="3"/>
        <v/>
      </c>
      <c r="W19" s="13" t="s">
        <v>16</v>
      </c>
      <c r="X19" s="11" t="s">
        <v>22</v>
      </c>
      <c r="Y19" s="13" t="s">
        <v>10</v>
      </c>
      <c r="Z19" s="11">
        <v>0</v>
      </c>
      <c r="AA19" s="11">
        <v>0</v>
      </c>
      <c r="AB19" s="15">
        <v>-50.78</v>
      </c>
      <c r="AC19" s="11">
        <v>-189.79499999999999</v>
      </c>
      <c r="AD19" s="11">
        <v>353.18799999999999</v>
      </c>
      <c r="AE19" s="11">
        <v>0</v>
      </c>
      <c r="AG19" s="13" t="s">
        <v>16</v>
      </c>
      <c r="AH19" s="11" t="s">
        <v>11</v>
      </c>
      <c r="AI19" s="13" t="s">
        <v>10</v>
      </c>
      <c r="AJ19" s="11">
        <v>0</v>
      </c>
      <c r="AK19" s="15">
        <v>43.99</v>
      </c>
      <c r="AL19" s="15">
        <v>0</v>
      </c>
      <c r="AM19" s="11">
        <v>188.68</v>
      </c>
      <c r="AN19" s="11">
        <v>0</v>
      </c>
      <c r="AO19" s="11">
        <v>302.32</v>
      </c>
    </row>
    <row r="20" spans="3:41" ht="18" customHeight="1" x14ac:dyDescent="0.25">
      <c r="C20" s="13"/>
      <c r="E20" s="11" t="str">
        <f t="shared" si="4"/>
        <v/>
      </c>
      <c r="G20" s="38" t="str">
        <f t="shared" si="1"/>
        <v/>
      </c>
      <c r="J20" s="13"/>
      <c r="L20" s="11" t="str">
        <f t="shared" si="2"/>
        <v/>
      </c>
      <c r="N20" s="38" t="str">
        <f t="shared" si="0"/>
        <v/>
      </c>
      <c r="Q20" s="13"/>
      <c r="S20" s="11" t="str">
        <f t="shared" si="5"/>
        <v/>
      </c>
      <c r="U20" s="38" t="str">
        <f t="shared" si="3"/>
        <v/>
      </c>
      <c r="AG20" s="13" t="s">
        <v>16</v>
      </c>
      <c r="AH20" s="11" t="s">
        <v>12</v>
      </c>
      <c r="AI20" s="13" t="s">
        <v>10</v>
      </c>
      <c r="AJ20" s="11">
        <v>0</v>
      </c>
      <c r="AK20" s="15">
        <v>0</v>
      </c>
      <c r="AL20" s="15">
        <v>43.99</v>
      </c>
      <c r="AM20" s="11">
        <v>188.68</v>
      </c>
      <c r="AN20" s="11">
        <v>302.32</v>
      </c>
      <c r="AO20" s="11">
        <v>0</v>
      </c>
    </row>
    <row r="21" spans="3:41" ht="18" customHeight="1" x14ac:dyDescent="0.25">
      <c r="C21" s="13"/>
      <c r="E21" s="11" t="str">
        <f t="shared" si="4"/>
        <v/>
      </c>
      <c r="G21" s="38" t="str">
        <f t="shared" si="1"/>
        <v/>
      </c>
      <c r="J21" s="13"/>
      <c r="L21" s="11" t="str">
        <f t="shared" si="2"/>
        <v/>
      </c>
      <c r="N21" s="38" t="str">
        <f>IF((L21= "")+(M21=""),"",L21/M21)</f>
        <v/>
      </c>
      <c r="Q21" s="13"/>
      <c r="S21" s="11" t="str">
        <f t="shared" si="5"/>
        <v/>
      </c>
      <c r="U21" s="38" t="str">
        <f t="shared" si="3"/>
        <v/>
      </c>
      <c r="AG21" s="13" t="s">
        <v>16</v>
      </c>
      <c r="AH21" s="11" t="s">
        <v>13</v>
      </c>
      <c r="AI21" s="13" t="s">
        <v>10</v>
      </c>
      <c r="AJ21" s="11">
        <v>29.36</v>
      </c>
      <c r="AK21" s="11">
        <v>0</v>
      </c>
      <c r="AL21" s="11">
        <v>0</v>
      </c>
      <c r="AM21" s="11">
        <v>0</v>
      </c>
      <c r="AN21" s="11">
        <v>117.438</v>
      </c>
      <c r="AO21" s="11">
        <v>-117.438</v>
      </c>
    </row>
    <row r="22" spans="3:41" ht="18" customHeight="1" x14ac:dyDescent="0.25">
      <c r="C22" s="13"/>
      <c r="E22" s="11" t="str">
        <f t="shared" si="4"/>
        <v/>
      </c>
      <c r="G22" s="38" t="str">
        <f t="shared" si="1"/>
        <v/>
      </c>
      <c r="J22" s="13"/>
      <c r="L22" s="11" t="str">
        <f t="shared" si="2"/>
        <v/>
      </c>
      <c r="N22" s="38" t="str">
        <f t="shared" ref="N22:N85" si="6">IF((L22= "")+(M22=""),"",L22/M22)</f>
        <v/>
      </c>
      <c r="Q22" s="13"/>
      <c r="S22" s="11" t="str">
        <f t="shared" si="5"/>
        <v/>
      </c>
      <c r="U22" s="38" t="str">
        <f t="shared" si="3"/>
        <v/>
      </c>
      <c r="AG22" s="13" t="s">
        <v>16</v>
      </c>
      <c r="AH22" s="11" t="s">
        <v>14</v>
      </c>
      <c r="AI22" s="13" t="s">
        <v>10</v>
      </c>
      <c r="AJ22" s="11">
        <v>0</v>
      </c>
      <c r="AK22" s="15">
        <v>54.95</v>
      </c>
      <c r="AL22" s="15">
        <v>0</v>
      </c>
      <c r="AM22" s="11">
        <v>235.68299999999999</v>
      </c>
      <c r="AN22" s="11">
        <v>0</v>
      </c>
      <c r="AO22" s="11">
        <v>377.63299999999998</v>
      </c>
    </row>
    <row r="23" spans="3:41" ht="18" customHeight="1" x14ac:dyDescent="0.25">
      <c r="C23" s="13"/>
      <c r="E23" s="11" t="str">
        <f t="shared" si="4"/>
        <v/>
      </c>
      <c r="G23" s="38" t="str">
        <f t="shared" si="1"/>
        <v/>
      </c>
      <c r="J23" s="13"/>
      <c r="L23" s="11" t="str">
        <f t="shared" si="2"/>
        <v/>
      </c>
      <c r="N23" s="38" t="str">
        <f t="shared" si="6"/>
        <v/>
      </c>
      <c r="Q23" s="13"/>
      <c r="S23" s="11" t="str">
        <f t="shared" si="5"/>
        <v/>
      </c>
      <c r="U23" s="38" t="str">
        <f t="shared" si="3"/>
        <v/>
      </c>
      <c r="AG23" s="13" t="s">
        <v>16</v>
      </c>
      <c r="AH23" s="11" t="s">
        <v>15</v>
      </c>
      <c r="AI23" s="13" t="s">
        <v>10</v>
      </c>
      <c r="AJ23" s="11">
        <v>0</v>
      </c>
      <c r="AK23" s="15">
        <v>0</v>
      </c>
      <c r="AL23" s="15">
        <v>52.85</v>
      </c>
      <c r="AM23" s="11">
        <v>226.64099999999999</v>
      </c>
      <c r="AN23" s="11">
        <v>363.14499999999998</v>
      </c>
      <c r="AO23" s="11">
        <v>0</v>
      </c>
    </row>
    <row r="24" spans="3:41" ht="18" customHeight="1" x14ac:dyDescent="0.25">
      <c r="C24" s="13"/>
      <c r="E24" s="11" t="str">
        <f t="shared" si="4"/>
        <v/>
      </c>
      <c r="G24" s="38" t="str">
        <f t="shared" si="1"/>
        <v/>
      </c>
      <c r="J24" s="13"/>
      <c r="L24" s="11" t="str">
        <f t="shared" si="2"/>
        <v/>
      </c>
      <c r="N24" s="38" t="str">
        <f t="shared" si="6"/>
        <v/>
      </c>
      <c r="Q24" s="13"/>
      <c r="S24" s="11" t="str">
        <f t="shared" si="5"/>
        <v/>
      </c>
      <c r="U24" s="38" t="str">
        <f t="shared" si="3"/>
        <v/>
      </c>
    </row>
    <row r="25" spans="3:41" ht="18" customHeight="1" x14ac:dyDescent="0.25">
      <c r="C25" s="13"/>
      <c r="E25" s="11" t="str">
        <f t="shared" ref="E25:E79" si="7">IF(D25-D24&gt;0,D25-D24,"")</f>
        <v/>
      </c>
      <c r="G25" s="38" t="str">
        <f t="shared" si="1"/>
        <v/>
      </c>
      <c r="J25" s="13"/>
      <c r="L25" s="11" t="str">
        <f t="shared" si="2"/>
        <v/>
      </c>
      <c r="N25" s="38" t="str">
        <f t="shared" si="6"/>
        <v/>
      </c>
      <c r="Q25" s="13"/>
      <c r="S25" s="11" t="str">
        <f t="shared" si="5"/>
        <v/>
      </c>
      <c r="U25" s="38" t="str">
        <f t="shared" si="3"/>
        <v/>
      </c>
    </row>
    <row r="26" spans="3:41" ht="18" customHeight="1" x14ac:dyDescent="0.25">
      <c r="C26" s="13"/>
      <c r="E26" s="11" t="str">
        <f t="shared" si="7"/>
        <v/>
      </c>
      <c r="G26" s="38" t="str">
        <f t="shared" si="1"/>
        <v/>
      </c>
      <c r="J26" s="13"/>
      <c r="L26" s="11" t="str">
        <f t="shared" si="2"/>
        <v/>
      </c>
      <c r="N26" s="38" t="str">
        <f t="shared" si="6"/>
        <v/>
      </c>
      <c r="Q26" s="13"/>
      <c r="S26" s="11" t="str">
        <f t="shared" si="5"/>
        <v/>
      </c>
      <c r="U26" s="38" t="str">
        <f t="shared" si="3"/>
        <v/>
      </c>
    </row>
    <row r="27" spans="3:41" ht="18" customHeight="1" x14ac:dyDescent="0.25">
      <c r="C27" s="13"/>
      <c r="E27" s="11" t="str">
        <f t="shared" si="7"/>
        <v/>
      </c>
      <c r="G27" s="38" t="str">
        <f t="shared" si="1"/>
        <v/>
      </c>
      <c r="J27" s="13"/>
      <c r="L27" s="11" t="str">
        <f t="shared" si="2"/>
        <v/>
      </c>
      <c r="N27" s="38" t="str">
        <f t="shared" si="6"/>
        <v/>
      </c>
      <c r="Q27" s="13"/>
      <c r="S27" s="11" t="str">
        <f t="shared" si="5"/>
        <v/>
      </c>
      <c r="U27" s="38" t="str">
        <f t="shared" si="3"/>
        <v/>
      </c>
    </row>
    <row r="28" spans="3:41" ht="18" customHeight="1" x14ac:dyDescent="0.25">
      <c r="C28" s="13"/>
      <c r="E28" s="11" t="str">
        <f t="shared" si="7"/>
        <v/>
      </c>
      <c r="G28" s="38" t="str">
        <f t="shared" si="1"/>
        <v/>
      </c>
      <c r="J28" s="13"/>
      <c r="L28" s="11" t="str">
        <f t="shared" si="2"/>
        <v/>
      </c>
      <c r="N28" s="38" t="str">
        <f t="shared" si="6"/>
        <v/>
      </c>
      <c r="Q28" s="13"/>
      <c r="S28" s="11" t="str">
        <f t="shared" ref="S28:S79" si="8">IF(R28-R27&gt;0,R28-R27,"")</f>
        <v/>
      </c>
      <c r="U28" s="38" t="str">
        <f t="shared" si="3"/>
        <v/>
      </c>
    </row>
    <row r="29" spans="3:41" ht="18" customHeight="1" x14ac:dyDescent="0.25">
      <c r="C29" s="13"/>
      <c r="E29" s="11" t="str">
        <f t="shared" si="7"/>
        <v/>
      </c>
      <c r="G29" s="38" t="str">
        <f t="shared" si="1"/>
        <v/>
      </c>
      <c r="J29" s="13"/>
      <c r="L29" s="11" t="str">
        <f t="shared" ref="L29:L85" si="9">IF(K29&gt;0,K29*9.81,"")</f>
        <v/>
      </c>
      <c r="N29" s="38" t="str">
        <f t="shared" si="6"/>
        <v/>
      </c>
      <c r="Q29" s="13"/>
      <c r="S29" s="11" t="str">
        <f t="shared" si="8"/>
        <v/>
      </c>
      <c r="U29" s="38" t="str">
        <f t="shared" si="3"/>
        <v/>
      </c>
    </row>
    <row r="30" spans="3:41" ht="18" customHeight="1" x14ac:dyDescent="0.25">
      <c r="C30" s="13"/>
      <c r="E30" s="11" t="str">
        <f t="shared" si="7"/>
        <v/>
      </c>
      <c r="G30" s="38" t="str">
        <f t="shared" si="1"/>
        <v/>
      </c>
      <c r="J30" s="13"/>
      <c r="L30" s="11" t="str">
        <f t="shared" si="9"/>
        <v/>
      </c>
      <c r="N30" s="38" t="str">
        <f t="shared" si="6"/>
        <v/>
      </c>
      <c r="Q30" s="13"/>
      <c r="S30" s="11" t="str">
        <f t="shared" si="8"/>
        <v/>
      </c>
      <c r="U30" s="38" t="str">
        <f t="shared" si="3"/>
        <v/>
      </c>
    </row>
    <row r="31" spans="3:41" ht="18" customHeight="1" x14ac:dyDescent="0.25">
      <c r="C31" s="13"/>
      <c r="E31" s="11" t="str">
        <f t="shared" si="7"/>
        <v/>
      </c>
      <c r="G31" s="38" t="str">
        <f t="shared" si="1"/>
        <v/>
      </c>
      <c r="J31" s="13"/>
      <c r="L31" s="11" t="str">
        <f t="shared" si="9"/>
        <v/>
      </c>
      <c r="N31" s="38" t="str">
        <f t="shared" si="6"/>
        <v/>
      </c>
      <c r="Q31" s="13"/>
      <c r="S31" s="11" t="str">
        <f t="shared" si="8"/>
        <v/>
      </c>
      <c r="U31" s="38" t="str">
        <f t="shared" si="3"/>
        <v/>
      </c>
    </row>
    <row r="32" spans="3:41" ht="18" customHeight="1" x14ac:dyDescent="0.25">
      <c r="C32" s="13"/>
      <c r="E32" s="11" t="str">
        <f t="shared" si="7"/>
        <v/>
      </c>
      <c r="G32" s="38" t="str">
        <f t="shared" si="1"/>
        <v/>
      </c>
      <c r="J32" s="13"/>
      <c r="L32" s="11" t="str">
        <f t="shared" si="9"/>
        <v/>
      </c>
      <c r="N32" s="38" t="str">
        <f t="shared" si="6"/>
        <v/>
      </c>
      <c r="Q32" s="13"/>
      <c r="S32" s="11" t="str">
        <f t="shared" si="8"/>
        <v/>
      </c>
      <c r="U32" s="38" t="str">
        <f t="shared" si="3"/>
        <v/>
      </c>
    </row>
    <row r="33" spans="3:21" ht="18" customHeight="1" x14ac:dyDescent="0.25">
      <c r="C33" s="13"/>
      <c r="E33" s="11" t="str">
        <f t="shared" si="7"/>
        <v/>
      </c>
      <c r="G33" s="38" t="str">
        <f t="shared" si="1"/>
        <v/>
      </c>
      <c r="J33" s="13"/>
      <c r="L33" s="11" t="str">
        <f t="shared" si="9"/>
        <v/>
      </c>
      <c r="N33" s="38" t="str">
        <f t="shared" si="6"/>
        <v/>
      </c>
      <c r="Q33" s="13"/>
      <c r="S33" s="11" t="str">
        <f t="shared" si="8"/>
        <v/>
      </c>
      <c r="U33" s="38" t="str">
        <f t="shared" si="3"/>
        <v/>
      </c>
    </row>
    <row r="34" spans="3:21" ht="18" customHeight="1" x14ac:dyDescent="0.25">
      <c r="C34" s="13"/>
      <c r="E34" s="11" t="str">
        <f t="shared" si="7"/>
        <v/>
      </c>
      <c r="G34" s="38" t="str">
        <f t="shared" si="1"/>
        <v/>
      </c>
      <c r="J34" s="13"/>
      <c r="L34" s="11" t="str">
        <f t="shared" si="9"/>
        <v/>
      </c>
      <c r="N34" s="38" t="str">
        <f t="shared" si="6"/>
        <v/>
      </c>
      <c r="Q34" s="13"/>
      <c r="S34" s="11" t="str">
        <f t="shared" si="8"/>
        <v/>
      </c>
      <c r="U34" s="38" t="str">
        <f t="shared" si="3"/>
        <v/>
      </c>
    </row>
    <row r="35" spans="3:21" ht="18" customHeight="1" x14ac:dyDescent="0.25">
      <c r="C35" s="13"/>
      <c r="E35" s="11" t="str">
        <f t="shared" si="7"/>
        <v/>
      </c>
      <c r="G35" s="38" t="str">
        <f t="shared" si="1"/>
        <v/>
      </c>
      <c r="J35" s="13"/>
      <c r="L35" s="11" t="str">
        <f t="shared" si="9"/>
        <v/>
      </c>
      <c r="N35" s="38" t="str">
        <f t="shared" si="6"/>
        <v/>
      </c>
      <c r="Q35" s="13"/>
      <c r="S35" s="11" t="str">
        <f t="shared" si="8"/>
        <v/>
      </c>
      <c r="U35" s="38" t="str">
        <f t="shared" si="3"/>
        <v/>
      </c>
    </row>
    <row r="36" spans="3:21" ht="18" customHeight="1" x14ac:dyDescent="0.25">
      <c r="C36" s="13"/>
      <c r="E36" s="11" t="str">
        <f t="shared" si="7"/>
        <v/>
      </c>
      <c r="G36" s="38" t="str">
        <f t="shared" si="1"/>
        <v/>
      </c>
      <c r="J36" s="13"/>
      <c r="L36" s="11" t="str">
        <f t="shared" si="9"/>
        <v/>
      </c>
      <c r="N36" s="38" t="str">
        <f t="shared" si="6"/>
        <v/>
      </c>
      <c r="Q36" s="13"/>
      <c r="S36" s="11" t="str">
        <f t="shared" si="8"/>
        <v/>
      </c>
      <c r="U36" s="38" t="str">
        <f t="shared" si="3"/>
        <v/>
      </c>
    </row>
    <row r="37" spans="3:21" ht="18" customHeight="1" x14ac:dyDescent="0.25">
      <c r="C37" s="13"/>
      <c r="E37" s="11" t="str">
        <f t="shared" si="7"/>
        <v/>
      </c>
      <c r="G37" s="38" t="str">
        <f t="shared" si="1"/>
        <v/>
      </c>
      <c r="J37" s="13"/>
      <c r="L37" s="11" t="str">
        <f t="shared" si="9"/>
        <v/>
      </c>
      <c r="N37" s="38" t="str">
        <f t="shared" si="6"/>
        <v/>
      </c>
      <c r="Q37" s="13"/>
      <c r="S37" s="11" t="str">
        <f t="shared" si="8"/>
        <v/>
      </c>
      <c r="U37" s="38" t="str">
        <f t="shared" si="3"/>
        <v/>
      </c>
    </row>
    <row r="38" spans="3:21" ht="18" customHeight="1" x14ac:dyDescent="0.25">
      <c r="C38" s="13"/>
      <c r="E38" s="11" t="str">
        <f t="shared" si="7"/>
        <v/>
      </c>
      <c r="G38" s="38" t="str">
        <f t="shared" si="1"/>
        <v/>
      </c>
      <c r="J38" s="13"/>
      <c r="L38" s="11" t="str">
        <f t="shared" si="9"/>
        <v/>
      </c>
      <c r="N38" s="38" t="str">
        <f t="shared" si="6"/>
        <v/>
      </c>
      <c r="Q38" s="13"/>
      <c r="S38" s="11" t="str">
        <f t="shared" si="8"/>
        <v/>
      </c>
      <c r="U38" s="38" t="str">
        <f t="shared" si="3"/>
        <v/>
      </c>
    </row>
    <row r="39" spans="3:21" ht="18" customHeight="1" x14ac:dyDescent="0.25">
      <c r="C39" s="13"/>
      <c r="E39" s="11" t="str">
        <f t="shared" si="7"/>
        <v/>
      </c>
      <c r="G39" s="38" t="str">
        <f t="shared" si="1"/>
        <v/>
      </c>
      <c r="J39" s="13"/>
      <c r="L39" s="11" t="str">
        <f t="shared" si="9"/>
        <v/>
      </c>
      <c r="N39" s="38" t="str">
        <f t="shared" si="6"/>
        <v/>
      </c>
      <c r="Q39" s="13"/>
      <c r="S39" s="11" t="str">
        <f t="shared" si="8"/>
        <v/>
      </c>
      <c r="U39" s="38" t="str">
        <f t="shared" si="3"/>
        <v/>
      </c>
    </row>
    <row r="40" spans="3:21" ht="18" customHeight="1" x14ac:dyDescent="0.25">
      <c r="C40" s="13"/>
      <c r="E40" s="11" t="str">
        <f t="shared" si="7"/>
        <v/>
      </c>
      <c r="G40" s="38" t="str">
        <f t="shared" si="1"/>
        <v/>
      </c>
      <c r="J40" s="13"/>
      <c r="L40" s="11" t="str">
        <f t="shared" si="9"/>
        <v/>
      </c>
      <c r="N40" s="38" t="str">
        <f t="shared" si="6"/>
        <v/>
      </c>
      <c r="Q40" s="13"/>
      <c r="S40" s="11" t="str">
        <f t="shared" si="8"/>
        <v/>
      </c>
      <c r="U40" s="38" t="str">
        <f t="shared" si="3"/>
        <v/>
      </c>
    </row>
    <row r="41" spans="3:21" ht="18" customHeight="1" x14ac:dyDescent="0.25">
      <c r="C41" s="13"/>
      <c r="E41" s="11" t="str">
        <f t="shared" si="7"/>
        <v/>
      </c>
      <c r="G41" s="38" t="str">
        <f t="shared" si="1"/>
        <v/>
      </c>
      <c r="J41" s="13"/>
      <c r="L41" s="11" t="str">
        <f t="shared" si="9"/>
        <v/>
      </c>
      <c r="N41" s="38" t="str">
        <f t="shared" si="6"/>
        <v/>
      </c>
      <c r="Q41" s="13"/>
      <c r="S41" s="11" t="str">
        <f t="shared" si="8"/>
        <v/>
      </c>
      <c r="U41" s="38" t="str">
        <f t="shared" si="3"/>
        <v/>
      </c>
    </row>
    <row r="42" spans="3:21" ht="18" customHeight="1" x14ac:dyDescent="0.25">
      <c r="C42" s="13"/>
      <c r="E42" s="11" t="str">
        <f t="shared" si="7"/>
        <v/>
      </c>
      <c r="G42" s="38" t="str">
        <f t="shared" si="1"/>
        <v/>
      </c>
      <c r="J42" s="13"/>
      <c r="L42" s="11" t="str">
        <f t="shared" si="9"/>
        <v/>
      </c>
      <c r="N42" s="38" t="str">
        <f t="shared" si="6"/>
        <v/>
      </c>
      <c r="Q42" s="13"/>
      <c r="S42" s="11" t="str">
        <f t="shared" si="8"/>
        <v/>
      </c>
      <c r="U42" s="38" t="str">
        <f t="shared" si="3"/>
        <v/>
      </c>
    </row>
    <row r="43" spans="3:21" ht="18" customHeight="1" x14ac:dyDescent="0.25">
      <c r="C43" s="13"/>
      <c r="E43" s="11" t="str">
        <f t="shared" si="7"/>
        <v/>
      </c>
      <c r="G43" s="38" t="str">
        <f t="shared" si="1"/>
        <v/>
      </c>
      <c r="J43" s="13"/>
      <c r="L43" s="11" t="str">
        <f t="shared" si="9"/>
        <v/>
      </c>
      <c r="N43" s="38" t="str">
        <f t="shared" si="6"/>
        <v/>
      </c>
      <c r="Q43" s="13"/>
      <c r="S43" s="11" t="str">
        <f t="shared" si="8"/>
        <v/>
      </c>
      <c r="U43" s="38" t="str">
        <f t="shared" si="3"/>
        <v/>
      </c>
    </row>
    <row r="44" spans="3:21" ht="18" customHeight="1" x14ac:dyDescent="0.25">
      <c r="C44" s="13"/>
      <c r="E44" s="11" t="str">
        <f t="shared" si="7"/>
        <v/>
      </c>
      <c r="G44" s="38" t="str">
        <f t="shared" si="1"/>
        <v/>
      </c>
      <c r="J44" s="13"/>
      <c r="L44" s="11" t="str">
        <f t="shared" si="9"/>
        <v/>
      </c>
      <c r="N44" s="38" t="str">
        <f t="shared" si="6"/>
        <v/>
      </c>
      <c r="Q44" s="13"/>
      <c r="S44" s="11" t="str">
        <f t="shared" si="8"/>
        <v/>
      </c>
      <c r="U44" s="38" t="str">
        <f t="shared" si="3"/>
        <v/>
      </c>
    </row>
    <row r="45" spans="3:21" ht="18" customHeight="1" x14ac:dyDescent="0.25">
      <c r="C45" s="13"/>
      <c r="E45" s="11" t="str">
        <f t="shared" si="7"/>
        <v/>
      </c>
      <c r="G45" s="38" t="str">
        <f t="shared" si="1"/>
        <v/>
      </c>
      <c r="J45" s="13"/>
      <c r="L45" s="11" t="str">
        <f t="shared" si="9"/>
        <v/>
      </c>
      <c r="N45" s="38" t="str">
        <f t="shared" si="6"/>
        <v/>
      </c>
      <c r="Q45" s="13"/>
      <c r="S45" s="11" t="str">
        <f t="shared" si="8"/>
        <v/>
      </c>
      <c r="U45" s="38" t="str">
        <f t="shared" si="3"/>
        <v/>
      </c>
    </row>
    <row r="46" spans="3:21" ht="18" customHeight="1" x14ac:dyDescent="0.25">
      <c r="C46" s="13"/>
      <c r="E46" s="11" t="str">
        <f t="shared" si="7"/>
        <v/>
      </c>
      <c r="G46" s="38" t="str">
        <f t="shared" si="1"/>
        <v/>
      </c>
      <c r="J46" s="13"/>
      <c r="L46" s="11" t="str">
        <f t="shared" si="9"/>
        <v/>
      </c>
      <c r="N46" s="38" t="str">
        <f t="shared" si="6"/>
        <v/>
      </c>
      <c r="Q46" s="13"/>
      <c r="S46" s="11" t="str">
        <f t="shared" si="8"/>
        <v/>
      </c>
      <c r="U46" s="38" t="str">
        <f t="shared" si="3"/>
        <v/>
      </c>
    </row>
    <row r="47" spans="3:21" ht="18" customHeight="1" x14ac:dyDescent="0.25">
      <c r="C47" s="13"/>
      <c r="E47" s="11" t="str">
        <f t="shared" si="7"/>
        <v/>
      </c>
      <c r="G47" s="38" t="str">
        <f t="shared" si="1"/>
        <v/>
      </c>
      <c r="J47" s="13"/>
      <c r="L47" s="11" t="str">
        <f t="shared" si="9"/>
        <v/>
      </c>
      <c r="N47" s="38" t="str">
        <f t="shared" si="6"/>
        <v/>
      </c>
      <c r="Q47" s="13"/>
      <c r="S47" s="11" t="str">
        <f t="shared" si="8"/>
        <v/>
      </c>
      <c r="U47" s="38" t="str">
        <f t="shared" si="3"/>
        <v/>
      </c>
    </row>
    <row r="48" spans="3:21" ht="18" customHeight="1" x14ac:dyDescent="0.25">
      <c r="C48" s="13"/>
      <c r="E48" s="11" t="str">
        <f t="shared" si="7"/>
        <v/>
      </c>
      <c r="G48" s="38" t="str">
        <f t="shared" si="1"/>
        <v/>
      </c>
      <c r="J48" s="13"/>
      <c r="L48" s="11" t="str">
        <f t="shared" si="9"/>
        <v/>
      </c>
      <c r="N48" s="38" t="str">
        <f t="shared" si="6"/>
        <v/>
      </c>
      <c r="Q48" s="13"/>
      <c r="S48" s="11" t="str">
        <f t="shared" si="8"/>
        <v/>
      </c>
      <c r="U48" s="38" t="str">
        <f t="shared" si="3"/>
        <v/>
      </c>
    </row>
    <row r="49" spans="3:21" ht="18" customHeight="1" x14ac:dyDescent="0.25">
      <c r="C49" s="13"/>
      <c r="E49" s="11" t="str">
        <f t="shared" si="7"/>
        <v/>
      </c>
      <c r="G49" s="38" t="str">
        <f t="shared" si="1"/>
        <v/>
      </c>
      <c r="J49" s="13"/>
      <c r="L49" s="11" t="str">
        <f t="shared" si="9"/>
        <v/>
      </c>
      <c r="N49" s="38" t="str">
        <f t="shared" si="6"/>
        <v/>
      </c>
      <c r="Q49" s="13"/>
      <c r="S49" s="11" t="str">
        <f t="shared" si="8"/>
        <v/>
      </c>
      <c r="U49" s="38" t="str">
        <f t="shared" si="3"/>
        <v/>
      </c>
    </row>
    <row r="50" spans="3:21" ht="18" customHeight="1" x14ac:dyDescent="0.25">
      <c r="C50" s="13"/>
      <c r="E50" s="11" t="str">
        <f t="shared" si="7"/>
        <v/>
      </c>
      <c r="G50" s="38" t="str">
        <f t="shared" si="1"/>
        <v/>
      </c>
      <c r="J50" s="13"/>
      <c r="L50" s="11" t="str">
        <f t="shared" si="9"/>
        <v/>
      </c>
      <c r="N50" s="38" t="str">
        <f t="shared" si="6"/>
        <v/>
      </c>
      <c r="Q50" s="13"/>
      <c r="S50" s="11" t="str">
        <f t="shared" si="8"/>
        <v/>
      </c>
      <c r="U50" s="38" t="str">
        <f t="shared" si="3"/>
        <v/>
      </c>
    </row>
    <row r="51" spans="3:21" ht="18" customHeight="1" x14ac:dyDescent="0.25">
      <c r="C51" s="13"/>
      <c r="E51" s="11" t="str">
        <f t="shared" si="7"/>
        <v/>
      </c>
      <c r="G51" s="38" t="str">
        <f t="shared" si="1"/>
        <v/>
      </c>
      <c r="J51" s="13"/>
      <c r="L51" s="11" t="str">
        <f t="shared" si="9"/>
        <v/>
      </c>
      <c r="N51" s="38" t="str">
        <f t="shared" si="6"/>
        <v/>
      </c>
      <c r="Q51" s="13"/>
      <c r="S51" s="11" t="str">
        <f t="shared" si="8"/>
        <v/>
      </c>
      <c r="U51" s="38" t="str">
        <f t="shared" si="3"/>
        <v/>
      </c>
    </row>
    <row r="52" spans="3:21" ht="18" customHeight="1" x14ac:dyDescent="0.25">
      <c r="C52" s="13"/>
      <c r="E52" s="11" t="str">
        <f t="shared" si="7"/>
        <v/>
      </c>
      <c r="G52" s="38" t="str">
        <f t="shared" si="1"/>
        <v/>
      </c>
      <c r="J52" s="13"/>
      <c r="L52" s="11" t="str">
        <f t="shared" si="9"/>
        <v/>
      </c>
      <c r="N52" s="38" t="str">
        <f t="shared" si="6"/>
        <v/>
      </c>
      <c r="Q52" s="13"/>
      <c r="S52" s="11" t="str">
        <f t="shared" si="8"/>
        <v/>
      </c>
      <c r="U52" s="38" t="str">
        <f t="shared" si="3"/>
        <v/>
      </c>
    </row>
    <row r="53" spans="3:21" ht="18" customHeight="1" x14ac:dyDescent="0.25">
      <c r="C53" s="13"/>
      <c r="E53" s="11" t="str">
        <f t="shared" si="7"/>
        <v/>
      </c>
      <c r="G53" s="38" t="str">
        <f t="shared" si="1"/>
        <v/>
      </c>
      <c r="J53" s="13"/>
      <c r="L53" s="11" t="str">
        <f t="shared" si="9"/>
        <v/>
      </c>
      <c r="N53" s="38" t="str">
        <f t="shared" si="6"/>
        <v/>
      </c>
      <c r="Q53" s="13"/>
      <c r="S53" s="11" t="str">
        <f t="shared" si="8"/>
        <v/>
      </c>
      <c r="U53" s="38" t="str">
        <f t="shared" si="3"/>
        <v/>
      </c>
    </row>
    <row r="54" spans="3:21" ht="18" customHeight="1" x14ac:dyDescent="0.25">
      <c r="C54" s="13"/>
      <c r="E54" s="11" t="str">
        <f t="shared" si="7"/>
        <v/>
      </c>
      <c r="G54" s="38" t="str">
        <f t="shared" si="1"/>
        <v/>
      </c>
      <c r="J54" s="13"/>
      <c r="L54" s="11" t="str">
        <f t="shared" si="9"/>
        <v/>
      </c>
      <c r="N54" s="38" t="str">
        <f t="shared" si="6"/>
        <v/>
      </c>
      <c r="Q54" s="13"/>
      <c r="S54" s="11" t="str">
        <f t="shared" si="8"/>
        <v/>
      </c>
      <c r="U54" s="38" t="str">
        <f t="shared" si="3"/>
        <v/>
      </c>
    </row>
    <row r="55" spans="3:21" ht="18" customHeight="1" x14ac:dyDescent="0.25">
      <c r="C55" s="13"/>
      <c r="E55" s="11" t="str">
        <f t="shared" si="7"/>
        <v/>
      </c>
      <c r="G55" s="38" t="str">
        <f t="shared" si="1"/>
        <v/>
      </c>
      <c r="J55" s="13"/>
      <c r="L55" s="11" t="str">
        <f t="shared" si="9"/>
        <v/>
      </c>
      <c r="N55" s="38" t="str">
        <f t="shared" si="6"/>
        <v/>
      </c>
      <c r="Q55" s="13"/>
      <c r="S55" s="11" t="str">
        <f t="shared" si="8"/>
        <v/>
      </c>
      <c r="U55" s="38" t="str">
        <f t="shared" si="3"/>
        <v/>
      </c>
    </row>
    <row r="56" spans="3:21" ht="18" customHeight="1" x14ac:dyDescent="0.25">
      <c r="C56" s="13"/>
      <c r="E56" s="11" t="str">
        <f t="shared" si="7"/>
        <v/>
      </c>
      <c r="G56" s="38" t="str">
        <f t="shared" si="1"/>
        <v/>
      </c>
      <c r="J56" s="13"/>
      <c r="L56" s="11" t="str">
        <f t="shared" si="9"/>
        <v/>
      </c>
      <c r="N56" s="38" t="str">
        <f t="shared" si="6"/>
        <v/>
      </c>
      <c r="Q56" s="13"/>
      <c r="S56" s="11" t="str">
        <f t="shared" si="8"/>
        <v/>
      </c>
      <c r="U56" s="38" t="str">
        <f t="shared" si="3"/>
        <v/>
      </c>
    </row>
    <row r="57" spans="3:21" ht="18" customHeight="1" x14ac:dyDescent="0.25">
      <c r="C57" s="13"/>
      <c r="E57" s="11" t="str">
        <f t="shared" si="7"/>
        <v/>
      </c>
      <c r="G57" s="38" t="str">
        <f t="shared" si="1"/>
        <v/>
      </c>
      <c r="J57" s="13"/>
      <c r="L57" s="11" t="str">
        <f t="shared" si="9"/>
        <v/>
      </c>
      <c r="N57" s="38" t="str">
        <f t="shared" si="6"/>
        <v/>
      </c>
      <c r="Q57" s="13"/>
      <c r="S57" s="11" t="str">
        <f t="shared" si="8"/>
        <v/>
      </c>
      <c r="U57" s="38" t="str">
        <f t="shared" si="3"/>
        <v/>
      </c>
    </row>
    <row r="58" spans="3:21" ht="18" customHeight="1" x14ac:dyDescent="0.25">
      <c r="C58" s="13"/>
      <c r="E58" s="11" t="str">
        <f t="shared" si="7"/>
        <v/>
      </c>
      <c r="G58" s="38" t="str">
        <f t="shared" si="1"/>
        <v/>
      </c>
      <c r="J58" s="13"/>
      <c r="L58" s="11" t="str">
        <f t="shared" si="9"/>
        <v/>
      </c>
      <c r="N58" s="38" t="str">
        <f t="shared" si="6"/>
        <v/>
      </c>
      <c r="Q58" s="13"/>
      <c r="S58" s="11" t="str">
        <f t="shared" si="8"/>
        <v/>
      </c>
      <c r="U58" s="38" t="str">
        <f t="shared" si="3"/>
        <v/>
      </c>
    </row>
    <row r="59" spans="3:21" ht="18" customHeight="1" x14ac:dyDescent="0.25">
      <c r="C59" s="13"/>
      <c r="E59" s="11" t="str">
        <f t="shared" si="7"/>
        <v/>
      </c>
      <c r="G59" s="38" t="str">
        <f t="shared" si="1"/>
        <v/>
      </c>
      <c r="J59" s="13"/>
      <c r="L59" s="11" t="str">
        <f t="shared" si="9"/>
        <v/>
      </c>
      <c r="N59" s="38" t="str">
        <f t="shared" si="6"/>
        <v/>
      </c>
      <c r="Q59" s="13"/>
      <c r="S59" s="11" t="str">
        <f t="shared" si="8"/>
        <v/>
      </c>
      <c r="U59" s="38" t="str">
        <f t="shared" si="3"/>
        <v/>
      </c>
    </row>
    <row r="60" spans="3:21" ht="18" customHeight="1" x14ac:dyDescent="0.25">
      <c r="C60" s="13"/>
      <c r="E60" s="11" t="str">
        <f t="shared" si="7"/>
        <v/>
      </c>
      <c r="G60" s="38" t="str">
        <f t="shared" si="1"/>
        <v/>
      </c>
      <c r="J60" s="13"/>
      <c r="L60" s="11" t="str">
        <f t="shared" si="9"/>
        <v/>
      </c>
      <c r="N60" s="38" t="str">
        <f t="shared" si="6"/>
        <v/>
      </c>
      <c r="Q60" s="13"/>
      <c r="S60" s="11" t="str">
        <f t="shared" si="8"/>
        <v/>
      </c>
      <c r="U60" s="38" t="str">
        <f t="shared" si="3"/>
        <v/>
      </c>
    </row>
    <row r="61" spans="3:21" ht="18" customHeight="1" x14ac:dyDescent="0.25">
      <c r="C61" s="13"/>
      <c r="E61" s="11" t="str">
        <f t="shared" si="7"/>
        <v/>
      </c>
      <c r="G61" s="38" t="str">
        <f t="shared" si="1"/>
        <v/>
      </c>
      <c r="J61" s="13"/>
      <c r="L61" s="11" t="str">
        <f t="shared" si="9"/>
        <v/>
      </c>
      <c r="N61" s="38" t="str">
        <f t="shared" si="6"/>
        <v/>
      </c>
      <c r="Q61" s="13"/>
      <c r="S61" s="11" t="str">
        <f t="shared" si="8"/>
        <v/>
      </c>
      <c r="U61" s="38" t="str">
        <f t="shared" si="3"/>
        <v/>
      </c>
    </row>
    <row r="62" spans="3:21" ht="18" customHeight="1" x14ac:dyDescent="0.25">
      <c r="C62" s="13"/>
      <c r="E62" s="11" t="str">
        <f t="shared" si="7"/>
        <v/>
      </c>
      <c r="G62" s="38" t="str">
        <f t="shared" si="1"/>
        <v/>
      </c>
      <c r="J62" s="13"/>
      <c r="L62" s="11" t="str">
        <f t="shared" si="9"/>
        <v/>
      </c>
      <c r="N62" s="38" t="str">
        <f t="shared" si="6"/>
        <v/>
      </c>
      <c r="Q62" s="13"/>
      <c r="S62" s="11" t="str">
        <f t="shared" si="8"/>
        <v/>
      </c>
      <c r="U62" s="38" t="str">
        <f t="shared" si="3"/>
        <v/>
      </c>
    </row>
    <row r="63" spans="3:21" ht="18" customHeight="1" x14ac:dyDescent="0.25">
      <c r="C63" s="13"/>
      <c r="E63" s="11" t="str">
        <f t="shared" si="7"/>
        <v/>
      </c>
      <c r="G63" s="38" t="str">
        <f t="shared" si="1"/>
        <v/>
      </c>
      <c r="J63" s="13"/>
      <c r="L63" s="11" t="str">
        <f t="shared" si="9"/>
        <v/>
      </c>
      <c r="N63" s="38" t="str">
        <f t="shared" si="6"/>
        <v/>
      </c>
      <c r="Q63" s="13"/>
      <c r="S63" s="11" t="str">
        <f t="shared" si="8"/>
        <v/>
      </c>
      <c r="U63" s="38" t="str">
        <f t="shared" si="3"/>
        <v/>
      </c>
    </row>
    <row r="64" spans="3:21" ht="18" customHeight="1" x14ac:dyDescent="0.25">
      <c r="C64" s="13"/>
      <c r="E64" s="11" t="str">
        <f t="shared" si="7"/>
        <v/>
      </c>
      <c r="G64" s="38" t="str">
        <f t="shared" si="1"/>
        <v/>
      </c>
      <c r="J64" s="13"/>
      <c r="L64" s="11" t="str">
        <f t="shared" si="9"/>
        <v/>
      </c>
      <c r="N64" s="38" t="str">
        <f t="shared" si="6"/>
        <v/>
      </c>
      <c r="Q64" s="13"/>
      <c r="S64" s="11" t="str">
        <f t="shared" si="8"/>
        <v/>
      </c>
      <c r="U64" s="38" t="str">
        <f t="shared" si="3"/>
        <v/>
      </c>
    </row>
    <row r="65" spans="3:21" ht="18" customHeight="1" x14ac:dyDescent="0.25">
      <c r="C65" s="13"/>
      <c r="E65" s="11" t="str">
        <f t="shared" si="7"/>
        <v/>
      </c>
      <c r="G65" s="38" t="str">
        <f t="shared" si="1"/>
        <v/>
      </c>
      <c r="J65" s="13"/>
      <c r="L65" s="11" t="str">
        <f t="shared" si="9"/>
        <v/>
      </c>
      <c r="N65" s="38" t="str">
        <f t="shared" si="6"/>
        <v/>
      </c>
      <c r="Q65" s="13"/>
      <c r="S65" s="11" t="str">
        <f t="shared" si="8"/>
        <v/>
      </c>
      <c r="U65" s="38" t="str">
        <f t="shared" si="3"/>
        <v/>
      </c>
    </row>
    <row r="66" spans="3:21" ht="18" customHeight="1" x14ac:dyDescent="0.25">
      <c r="C66" s="13"/>
      <c r="E66" s="11" t="str">
        <f t="shared" si="7"/>
        <v/>
      </c>
      <c r="G66" s="38" t="str">
        <f t="shared" si="1"/>
        <v/>
      </c>
      <c r="J66" s="13"/>
      <c r="L66" s="11" t="str">
        <f t="shared" si="9"/>
        <v/>
      </c>
      <c r="N66" s="38" t="str">
        <f t="shared" si="6"/>
        <v/>
      </c>
      <c r="Q66" s="13"/>
      <c r="S66" s="11" t="str">
        <f t="shared" si="8"/>
        <v/>
      </c>
      <c r="U66" s="38" t="str">
        <f t="shared" si="3"/>
        <v/>
      </c>
    </row>
    <row r="67" spans="3:21" ht="18" customHeight="1" x14ac:dyDescent="0.25">
      <c r="C67" s="13"/>
      <c r="E67" s="11" t="str">
        <f t="shared" si="7"/>
        <v/>
      </c>
      <c r="G67" s="38" t="str">
        <f t="shared" si="1"/>
        <v/>
      </c>
      <c r="J67" s="13"/>
      <c r="L67" s="11" t="str">
        <f t="shared" si="9"/>
        <v/>
      </c>
      <c r="N67" s="38" t="str">
        <f t="shared" si="6"/>
        <v/>
      </c>
      <c r="Q67" s="13"/>
      <c r="S67" s="11" t="str">
        <f t="shared" si="8"/>
        <v/>
      </c>
      <c r="U67" s="38" t="str">
        <f t="shared" si="3"/>
        <v/>
      </c>
    </row>
    <row r="68" spans="3:21" ht="18" customHeight="1" x14ac:dyDescent="0.25">
      <c r="C68" s="13"/>
      <c r="E68" s="11" t="str">
        <f t="shared" si="7"/>
        <v/>
      </c>
      <c r="G68" s="38" t="str">
        <f t="shared" si="1"/>
        <v/>
      </c>
      <c r="J68" s="13"/>
      <c r="L68" s="11" t="str">
        <f t="shared" si="9"/>
        <v/>
      </c>
      <c r="N68" s="38" t="str">
        <f t="shared" si="6"/>
        <v/>
      </c>
      <c r="Q68" s="13"/>
      <c r="S68" s="11" t="str">
        <f t="shared" si="8"/>
        <v/>
      </c>
      <c r="U68" s="38" t="str">
        <f t="shared" si="3"/>
        <v/>
      </c>
    </row>
    <row r="69" spans="3:21" ht="18" customHeight="1" x14ac:dyDescent="0.25">
      <c r="C69" s="13"/>
      <c r="E69" s="11" t="str">
        <f t="shared" si="7"/>
        <v/>
      </c>
      <c r="G69" s="38" t="str">
        <f t="shared" si="1"/>
        <v/>
      </c>
      <c r="J69" s="13"/>
      <c r="L69" s="11" t="str">
        <f t="shared" si="9"/>
        <v/>
      </c>
      <c r="N69" s="38" t="str">
        <f t="shared" si="6"/>
        <v/>
      </c>
      <c r="Q69" s="13"/>
      <c r="S69" s="11" t="str">
        <f t="shared" si="8"/>
        <v/>
      </c>
      <c r="U69" s="38" t="str">
        <f t="shared" si="3"/>
        <v/>
      </c>
    </row>
    <row r="70" spans="3:21" ht="18" customHeight="1" x14ac:dyDescent="0.25">
      <c r="C70" s="13"/>
      <c r="E70" s="11" t="str">
        <f t="shared" si="7"/>
        <v/>
      </c>
      <c r="G70" s="38" t="str">
        <f t="shared" si="1"/>
        <v/>
      </c>
      <c r="J70" s="13"/>
      <c r="L70" s="11" t="str">
        <f t="shared" si="9"/>
        <v/>
      </c>
      <c r="N70" s="38" t="str">
        <f t="shared" si="6"/>
        <v/>
      </c>
      <c r="Q70" s="13"/>
      <c r="S70" s="11" t="str">
        <f t="shared" si="8"/>
        <v/>
      </c>
      <c r="U70" s="38" t="str">
        <f t="shared" si="3"/>
        <v/>
      </c>
    </row>
    <row r="71" spans="3:21" ht="18" customHeight="1" x14ac:dyDescent="0.25">
      <c r="C71" s="13"/>
      <c r="E71" s="11" t="str">
        <f t="shared" si="7"/>
        <v/>
      </c>
      <c r="G71" s="38" t="str">
        <f t="shared" si="1"/>
        <v/>
      </c>
      <c r="J71" s="13"/>
      <c r="L71" s="11" t="str">
        <f t="shared" si="9"/>
        <v/>
      </c>
      <c r="N71" s="38" t="str">
        <f t="shared" si="6"/>
        <v/>
      </c>
      <c r="Q71" s="13"/>
      <c r="S71" s="11" t="str">
        <f t="shared" si="8"/>
        <v/>
      </c>
      <c r="U71" s="38" t="str">
        <f t="shared" si="3"/>
        <v/>
      </c>
    </row>
    <row r="72" spans="3:21" ht="18" customHeight="1" x14ac:dyDescent="0.25">
      <c r="C72" s="13"/>
      <c r="E72" s="11" t="str">
        <f t="shared" si="7"/>
        <v/>
      </c>
      <c r="G72" s="38" t="str">
        <f t="shared" si="1"/>
        <v/>
      </c>
      <c r="J72" s="13"/>
      <c r="L72" s="11" t="str">
        <f t="shared" si="9"/>
        <v/>
      </c>
      <c r="N72" s="38" t="str">
        <f t="shared" si="6"/>
        <v/>
      </c>
      <c r="Q72" s="13"/>
      <c r="S72" s="11" t="str">
        <f t="shared" si="8"/>
        <v/>
      </c>
      <c r="U72" s="38" t="str">
        <f t="shared" si="3"/>
        <v/>
      </c>
    </row>
    <row r="73" spans="3:21" ht="18" customHeight="1" x14ac:dyDescent="0.25">
      <c r="C73" s="13"/>
      <c r="E73" s="11" t="str">
        <f t="shared" si="7"/>
        <v/>
      </c>
      <c r="G73" s="38" t="str">
        <f t="shared" si="1"/>
        <v/>
      </c>
      <c r="J73" s="13"/>
      <c r="L73" s="11" t="str">
        <f t="shared" si="9"/>
        <v/>
      </c>
      <c r="N73" s="38" t="str">
        <f t="shared" si="6"/>
        <v/>
      </c>
      <c r="Q73" s="13"/>
      <c r="S73" s="11" t="str">
        <f t="shared" si="8"/>
        <v/>
      </c>
      <c r="U73" s="38" t="str">
        <f t="shared" si="3"/>
        <v/>
      </c>
    </row>
    <row r="74" spans="3:21" ht="18" customHeight="1" x14ac:dyDescent="0.25">
      <c r="C74" s="13"/>
      <c r="E74" s="11" t="str">
        <f t="shared" si="7"/>
        <v/>
      </c>
      <c r="G74" s="38" t="str">
        <f t="shared" si="1"/>
        <v/>
      </c>
      <c r="J74" s="13"/>
      <c r="L74" s="11" t="str">
        <f t="shared" si="9"/>
        <v/>
      </c>
      <c r="N74" s="38" t="str">
        <f t="shared" si="6"/>
        <v/>
      </c>
      <c r="Q74" s="13"/>
      <c r="S74" s="11" t="str">
        <f t="shared" si="8"/>
        <v/>
      </c>
      <c r="U74" s="38" t="str">
        <f t="shared" si="3"/>
        <v/>
      </c>
    </row>
    <row r="75" spans="3:21" ht="18" customHeight="1" x14ac:dyDescent="0.25">
      <c r="C75" s="13"/>
      <c r="E75" s="11" t="str">
        <f t="shared" si="7"/>
        <v/>
      </c>
      <c r="G75" s="38" t="str">
        <f t="shared" si="1"/>
        <v/>
      </c>
      <c r="J75" s="13"/>
      <c r="L75" s="11" t="str">
        <f t="shared" si="9"/>
        <v/>
      </c>
      <c r="N75" s="38" t="str">
        <f t="shared" si="6"/>
        <v/>
      </c>
      <c r="Q75" s="13"/>
      <c r="S75" s="11" t="str">
        <f t="shared" si="8"/>
        <v/>
      </c>
      <c r="U75" s="38" t="str">
        <f t="shared" si="3"/>
        <v/>
      </c>
    </row>
    <row r="76" spans="3:21" ht="18" customHeight="1" x14ac:dyDescent="0.25">
      <c r="C76" s="13"/>
      <c r="E76" s="11" t="str">
        <f t="shared" si="7"/>
        <v/>
      </c>
      <c r="G76" s="38" t="str">
        <f t="shared" si="1"/>
        <v/>
      </c>
      <c r="J76" s="13"/>
      <c r="L76" s="11" t="str">
        <f t="shared" si="9"/>
        <v/>
      </c>
      <c r="N76" s="38" t="str">
        <f t="shared" si="6"/>
        <v/>
      </c>
      <c r="Q76" s="13"/>
      <c r="S76" s="11" t="str">
        <f t="shared" si="8"/>
        <v/>
      </c>
      <c r="U76" s="38" t="str">
        <f t="shared" si="3"/>
        <v/>
      </c>
    </row>
    <row r="77" spans="3:21" ht="18" customHeight="1" x14ac:dyDescent="0.25">
      <c r="C77" s="13"/>
      <c r="E77" s="11" t="str">
        <f t="shared" si="7"/>
        <v/>
      </c>
      <c r="G77" s="38" t="str">
        <f t="shared" si="1"/>
        <v/>
      </c>
      <c r="J77" s="13"/>
      <c r="L77" s="11" t="str">
        <f t="shared" si="9"/>
        <v/>
      </c>
      <c r="N77" s="38" t="str">
        <f t="shared" si="6"/>
        <v/>
      </c>
      <c r="Q77" s="13"/>
      <c r="S77" s="11" t="str">
        <f t="shared" si="8"/>
        <v/>
      </c>
      <c r="U77" s="38" t="str">
        <f t="shared" si="3"/>
        <v/>
      </c>
    </row>
    <row r="78" spans="3:21" ht="18" customHeight="1" x14ac:dyDescent="0.25">
      <c r="C78" s="13"/>
      <c r="E78" s="11" t="str">
        <f t="shared" si="7"/>
        <v/>
      </c>
      <c r="G78" s="38" t="str">
        <f t="shared" si="1"/>
        <v/>
      </c>
      <c r="J78" s="13"/>
      <c r="L78" s="11" t="str">
        <f t="shared" si="9"/>
        <v/>
      </c>
      <c r="N78" s="38" t="str">
        <f t="shared" si="6"/>
        <v/>
      </c>
      <c r="Q78" s="13"/>
      <c r="S78" s="11" t="str">
        <f t="shared" si="8"/>
        <v/>
      </c>
      <c r="U78" s="38" t="str">
        <f t="shared" si="3"/>
        <v/>
      </c>
    </row>
    <row r="79" spans="3:21" ht="18" customHeight="1" x14ac:dyDescent="0.25">
      <c r="C79" s="13"/>
      <c r="E79" s="11" t="str">
        <f t="shared" si="7"/>
        <v/>
      </c>
      <c r="G79" s="38" t="str">
        <f t="shared" ref="G79:G100" si="10">IFERROR(E79/F79,"")</f>
        <v/>
      </c>
      <c r="J79" s="13"/>
      <c r="L79" s="11" t="str">
        <f t="shared" si="9"/>
        <v/>
      </c>
      <c r="N79" s="38" t="str">
        <f t="shared" si="6"/>
        <v/>
      </c>
      <c r="Q79" s="13"/>
      <c r="S79" s="11" t="str">
        <f t="shared" si="8"/>
        <v/>
      </c>
      <c r="U79" s="38" t="str">
        <f t="shared" ref="U79:U100" si="11">IF((S79= "")+(T79=""),"",S79/T79)</f>
        <v/>
      </c>
    </row>
    <row r="80" spans="3:21" ht="18" customHeight="1" x14ac:dyDescent="0.25">
      <c r="C80" s="13"/>
      <c r="E80" s="11" t="str">
        <f t="shared" ref="E80:E100" si="12">IF(D80-D79&gt;0,D80-D79,"")</f>
        <v/>
      </c>
      <c r="G80" s="38" t="str">
        <f t="shared" si="10"/>
        <v/>
      </c>
      <c r="J80" s="13"/>
      <c r="L80" s="11" t="str">
        <f t="shared" si="9"/>
        <v/>
      </c>
      <c r="N80" s="38" t="str">
        <f t="shared" si="6"/>
        <v/>
      </c>
      <c r="Q80" s="13"/>
      <c r="S80" s="11" t="str">
        <f t="shared" ref="S80:S100" si="13">IF(R80-R79&gt;0,R80-R79,"")</f>
        <v/>
      </c>
      <c r="U80" s="38" t="str">
        <f t="shared" si="11"/>
        <v/>
      </c>
    </row>
    <row r="81" spans="3:21" ht="18" customHeight="1" x14ac:dyDescent="0.25">
      <c r="C81" s="13"/>
      <c r="E81" s="11" t="str">
        <f t="shared" si="12"/>
        <v/>
      </c>
      <c r="G81" s="38" t="str">
        <f t="shared" si="10"/>
        <v/>
      </c>
      <c r="J81" s="13"/>
      <c r="L81" s="11" t="str">
        <f t="shared" si="9"/>
        <v/>
      </c>
      <c r="N81" s="38" t="str">
        <f t="shared" si="6"/>
        <v/>
      </c>
      <c r="Q81" s="13"/>
      <c r="S81" s="11" t="str">
        <f t="shared" si="13"/>
        <v/>
      </c>
      <c r="U81" s="38" t="str">
        <f t="shared" si="11"/>
        <v/>
      </c>
    </row>
    <row r="82" spans="3:21" ht="18" customHeight="1" x14ac:dyDescent="0.25">
      <c r="C82" s="13"/>
      <c r="E82" s="11" t="str">
        <f t="shared" si="12"/>
        <v/>
      </c>
      <c r="G82" s="38" t="str">
        <f t="shared" si="10"/>
        <v/>
      </c>
      <c r="J82" s="13"/>
      <c r="L82" s="11" t="str">
        <f t="shared" si="9"/>
        <v/>
      </c>
      <c r="N82" s="38" t="str">
        <f t="shared" si="6"/>
        <v/>
      </c>
      <c r="Q82" s="13"/>
      <c r="S82" s="11" t="str">
        <f t="shared" si="13"/>
        <v/>
      </c>
      <c r="U82" s="38" t="str">
        <f t="shared" si="11"/>
        <v/>
      </c>
    </row>
    <row r="83" spans="3:21" ht="18" customHeight="1" x14ac:dyDescent="0.25">
      <c r="C83" s="13"/>
      <c r="E83" s="11" t="str">
        <f t="shared" si="12"/>
        <v/>
      </c>
      <c r="G83" s="38" t="str">
        <f t="shared" si="10"/>
        <v/>
      </c>
      <c r="J83" s="13"/>
      <c r="L83" s="11" t="str">
        <f t="shared" si="9"/>
        <v/>
      </c>
      <c r="N83" s="38" t="str">
        <f t="shared" si="6"/>
        <v/>
      </c>
      <c r="Q83" s="13"/>
      <c r="S83" s="11" t="str">
        <f t="shared" si="13"/>
        <v/>
      </c>
      <c r="U83" s="38" t="str">
        <f t="shared" si="11"/>
        <v/>
      </c>
    </row>
    <row r="84" spans="3:21" ht="18" customHeight="1" x14ac:dyDescent="0.25">
      <c r="C84" s="13"/>
      <c r="E84" s="11" t="str">
        <f t="shared" si="12"/>
        <v/>
      </c>
      <c r="G84" s="38" t="str">
        <f t="shared" si="10"/>
        <v/>
      </c>
      <c r="J84" s="13"/>
      <c r="L84" s="11" t="str">
        <f t="shared" si="9"/>
        <v/>
      </c>
      <c r="N84" s="38" t="str">
        <f t="shared" si="6"/>
        <v/>
      </c>
      <c r="Q84" s="13"/>
      <c r="S84" s="11" t="str">
        <f t="shared" si="13"/>
        <v/>
      </c>
      <c r="U84" s="38" t="str">
        <f t="shared" si="11"/>
        <v/>
      </c>
    </row>
    <row r="85" spans="3:21" ht="18" customHeight="1" x14ac:dyDescent="0.25">
      <c r="C85" s="13"/>
      <c r="E85" s="11" t="str">
        <f t="shared" si="12"/>
        <v/>
      </c>
      <c r="G85" s="38" t="str">
        <f t="shared" si="10"/>
        <v/>
      </c>
      <c r="J85" s="13"/>
      <c r="L85" s="11" t="str">
        <f t="shared" si="9"/>
        <v/>
      </c>
      <c r="N85" s="38" t="str">
        <f t="shared" si="6"/>
        <v/>
      </c>
      <c r="Q85" s="13"/>
      <c r="S85" s="11" t="str">
        <f t="shared" si="13"/>
        <v/>
      </c>
      <c r="U85" s="38" t="str">
        <f t="shared" si="11"/>
        <v/>
      </c>
    </row>
    <row r="86" spans="3:21" ht="18" customHeight="1" x14ac:dyDescent="0.25">
      <c r="C86" s="13"/>
      <c r="E86" s="11" t="str">
        <f t="shared" si="12"/>
        <v/>
      </c>
      <c r="G86" s="38" t="str">
        <f t="shared" si="10"/>
        <v/>
      </c>
      <c r="J86" s="13"/>
      <c r="L86" s="11" t="str">
        <f t="shared" ref="L86:L100" si="14">IF(K86&gt;0,K86*9.81,"")</f>
        <v/>
      </c>
      <c r="N86" s="38" t="str">
        <f t="shared" ref="N86:N100" si="15">IF((L86= "")+(M86=""),"",L86/M86)</f>
        <v/>
      </c>
      <c r="Q86" s="13"/>
      <c r="S86" s="11" t="str">
        <f t="shared" si="13"/>
        <v/>
      </c>
      <c r="U86" s="38" t="str">
        <f t="shared" si="11"/>
        <v/>
      </c>
    </row>
    <row r="87" spans="3:21" ht="18" customHeight="1" x14ac:dyDescent="0.25">
      <c r="C87" s="13"/>
      <c r="E87" s="11" t="str">
        <f t="shared" si="12"/>
        <v/>
      </c>
      <c r="G87" s="38" t="str">
        <f t="shared" si="10"/>
        <v/>
      </c>
      <c r="J87" s="13"/>
      <c r="L87" s="11" t="str">
        <f t="shared" si="14"/>
        <v/>
      </c>
      <c r="N87" s="38" t="str">
        <f t="shared" si="15"/>
        <v/>
      </c>
      <c r="Q87" s="13"/>
      <c r="S87" s="11" t="str">
        <f t="shared" si="13"/>
        <v/>
      </c>
      <c r="U87" s="38" t="str">
        <f t="shared" si="11"/>
        <v/>
      </c>
    </row>
    <row r="88" spans="3:21" ht="18" customHeight="1" x14ac:dyDescent="0.25">
      <c r="C88" s="13"/>
      <c r="E88" s="11" t="str">
        <f t="shared" si="12"/>
        <v/>
      </c>
      <c r="G88" s="38" t="str">
        <f t="shared" si="10"/>
        <v/>
      </c>
      <c r="J88" s="13"/>
      <c r="L88" s="11" t="str">
        <f t="shared" si="14"/>
        <v/>
      </c>
      <c r="N88" s="38" t="str">
        <f t="shared" si="15"/>
        <v/>
      </c>
      <c r="Q88" s="13"/>
      <c r="S88" s="11" t="str">
        <f t="shared" si="13"/>
        <v/>
      </c>
      <c r="U88" s="38" t="str">
        <f t="shared" si="11"/>
        <v/>
      </c>
    </row>
    <row r="89" spans="3:21" ht="18" customHeight="1" x14ac:dyDescent="0.25">
      <c r="C89" s="13"/>
      <c r="E89" s="11" t="str">
        <f t="shared" si="12"/>
        <v/>
      </c>
      <c r="G89" s="38" t="str">
        <f t="shared" si="10"/>
        <v/>
      </c>
      <c r="J89" s="13"/>
      <c r="L89" s="11" t="str">
        <f t="shared" si="14"/>
        <v/>
      </c>
      <c r="N89" s="38" t="str">
        <f t="shared" si="15"/>
        <v/>
      </c>
      <c r="Q89" s="13"/>
      <c r="S89" s="11" t="str">
        <f t="shared" si="13"/>
        <v/>
      </c>
      <c r="U89" s="38" t="str">
        <f t="shared" si="11"/>
        <v/>
      </c>
    </row>
    <row r="90" spans="3:21" ht="18" customHeight="1" x14ac:dyDescent="0.25">
      <c r="C90" s="13"/>
      <c r="E90" s="11" t="str">
        <f t="shared" si="12"/>
        <v/>
      </c>
      <c r="G90" s="38" t="str">
        <f t="shared" si="10"/>
        <v/>
      </c>
      <c r="J90" s="13"/>
      <c r="L90" s="11" t="str">
        <f t="shared" si="14"/>
        <v/>
      </c>
      <c r="N90" s="38" t="str">
        <f t="shared" si="15"/>
        <v/>
      </c>
      <c r="Q90" s="13"/>
      <c r="S90" s="11" t="str">
        <f t="shared" si="13"/>
        <v/>
      </c>
      <c r="U90" s="38" t="str">
        <f t="shared" si="11"/>
        <v/>
      </c>
    </row>
    <row r="91" spans="3:21" ht="18" customHeight="1" x14ac:dyDescent="0.25">
      <c r="C91" s="13"/>
      <c r="E91" s="11" t="str">
        <f t="shared" si="12"/>
        <v/>
      </c>
      <c r="G91" s="38" t="str">
        <f t="shared" si="10"/>
        <v/>
      </c>
      <c r="J91" s="13"/>
      <c r="L91" s="11" t="str">
        <f t="shared" si="14"/>
        <v/>
      </c>
      <c r="N91" s="38" t="str">
        <f t="shared" si="15"/>
        <v/>
      </c>
      <c r="Q91" s="13"/>
      <c r="S91" s="11" t="str">
        <f t="shared" si="13"/>
        <v/>
      </c>
      <c r="U91" s="38" t="str">
        <f t="shared" si="11"/>
        <v/>
      </c>
    </row>
    <row r="92" spans="3:21" ht="18" customHeight="1" x14ac:dyDescent="0.25">
      <c r="C92" s="13"/>
      <c r="E92" s="11" t="str">
        <f t="shared" si="12"/>
        <v/>
      </c>
      <c r="G92" s="38" t="str">
        <f t="shared" si="10"/>
        <v/>
      </c>
      <c r="J92" s="13"/>
      <c r="L92" s="11" t="str">
        <f t="shared" si="14"/>
        <v/>
      </c>
      <c r="N92" s="38" t="str">
        <f t="shared" si="15"/>
        <v/>
      </c>
      <c r="Q92" s="13"/>
      <c r="S92" s="11" t="str">
        <f t="shared" si="13"/>
        <v/>
      </c>
      <c r="U92" s="38" t="str">
        <f t="shared" si="11"/>
        <v/>
      </c>
    </row>
    <row r="93" spans="3:21" ht="18" customHeight="1" x14ac:dyDescent="0.25">
      <c r="C93" s="13"/>
      <c r="E93" s="11" t="str">
        <f t="shared" si="12"/>
        <v/>
      </c>
      <c r="G93" s="38" t="str">
        <f t="shared" si="10"/>
        <v/>
      </c>
      <c r="J93" s="13"/>
      <c r="L93" s="11" t="str">
        <f t="shared" si="14"/>
        <v/>
      </c>
      <c r="N93" s="38" t="str">
        <f t="shared" si="15"/>
        <v/>
      </c>
      <c r="Q93" s="13"/>
      <c r="S93" s="11" t="str">
        <f t="shared" si="13"/>
        <v/>
      </c>
      <c r="U93" s="38" t="str">
        <f t="shared" si="11"/>
        <v/>
      </c>
    </row>
    <row r="94" spans="3:21" ht="18" customHeight="1" x14ac:dyDescent="0.25">
      <c r="C94" s="13"/>
      <c r="E94" s="11" t="str">
        <f t="shared" si="12"/>
        <v/>
      </c>
      <c r="G94" s="38" t="str">
        <f t="shared" si="10"/>
        <v/>
      </c>
      <c r="J94" s="13"/>
      <c r="L94" s="11" t="str">
        <f t="shared" si="14"/>
        <v/>
      </c>
      <c r="N94" s="38" t="str">
        <f t="shared" si="15"/>
        <v/>
      </c>
      <c r="Q94" s="13"/>
      <c r="S94" s="11" t="str">
        <f t="shared" si="13"/>
        <v/>
      </c>
      <c r="U94" s="38" t="str">
        <f t="shared" si="11"/>
        <v/>
      </c>
    </row>
    <row r="95" spans="3:21" ht="18" customHeight="1" x14ac:dyDescent="0.25">
      <c r="C95" s="13"/>
      <c r="E95" s="11" t="str">
        <f t="shared" si="12"/>
        <v/>
      </c>
      <c r="G95" s="38" t="str">
        <f t="shared" si="10"/>
        <v/>
      </c>
      <c r="J95" s="13"/>
      <c r="L95" s="11" t="str">
        <f t="shared" si="14"/>
        <v/>
      </c>
      <c r="N95" s="38" t="str">
        <f t="shared" si="15"/>
        <v/>
      </c>
      <c r="Q95" s="13"/>
      <c r="S95" s="11" t="str">
        <f t="shared" si="13"/>
        <v/>
      </c>
      <c r="U95" s="38" t="str">
        <f t="shared" si="11"/>
        <v/>
      </c>
    </row>
    <row r="96" spans="3:21" ht="18" customHeight="1" x14ac:dyDescent="0.25">
      <c r="C96" s="13"/>
      <c r="E96" s="11" t="str">
        <f t="shared" si="12"/>
        <v/>
      </c>
      <c r="G96" s="38" t="str">
        <f t="shared" si="10"/>
        <v/>
      </c>
      <c r="J96" s="13"/>
      <c r="L96" s="11" t="str">
        <f t="shared" si="14"/>
        <v/>
      </c>
      <c r="N96" s="38" t="str">
        <f t="shared" si="15"/>
        <v/>
      </c>
      <c r="Q96" s="13"/>
      <c r="S96" s="11" t="str">
        <f t="shared" si="13"/>
        <v/>
      </c>
      <c r="U96" s="38" t="str">
        <f t="shared" si="11"/>
        <v/>
      </c>
    </row>
    <row r="97" spans="3:21" ht="18" customHeight="1" x14ac:dyDescent="0.25">
      <c r="C97" s="13"/>
      <c r="E97" s="11" t="str">
        <f t="shared" si="12"/>
        <v/>
      </c>
      <c r="G97" s="38" t="str">
        <f t="shared" si="10"/>
        <v/>
      </c>
      <c r="J97" s="13"/>
      <c r="L97" s="11" t="str">
        <f t="shared" si="14"/>
        <v/>
      </c>
      <c r="N97" s="38" t="str">
        <f t="shared" si="15"/>
        <v/>
      </c>
      <c r="Q97" s="13"/>
      <c r="S97" s="11" t="str">
        <f t="shared" si="13"/>
        <v/>
      </c>
      <c r="U97" s="38" t="str">
        <f t="shared" si="11"/>
        <v/>
      </c>
    </row>
    <row r="98" spans="3:21" ht="18" customHeight="1" x14ac:dyDescent="0.25">
      <c r="C98" s="13"/>
      <c r="E98" s="11" t="str">
        <f t="shared" si="12"/>
        <v/>
      </c>
      <c r="G98" s="38" t="str">
        <f t="shared" si="10"/>
        <v/>
      </c>
      <c r="J98" s="13"/>
      <c r="L98" s="11" t="str">
        <f t="shared" si="14"/>
        <v/>
      </c>
      <c r="N98" s="38" t="str">
        <f t="shared" si="15"/>
        <v/>
      </c>
      <c r="Q98" s="13"/>
      <c r="S98" s="11" t="str">
        <f t="shared" si="13"/>
        <v/>
      </c>
      <c r="U98" s="38" t="str">
        <f t="shared" si="11"/>
        <v/>
      </c>
    </row>
    <row r="99" spans="3:21" ht="18" customHeight="1" x14ac:dyDescent="0.25">
      <c r="C99" s="13"/>
      <c r="E99" s="11" t="str">
        <f t="shared" si="12"/>
        <v/>
      </c>
      <c r="G99" s="38" t="str">
        <f t="shared" si="10"/>
        <v/>
      </c>
      <c r="J99" s="13"/>
      <c r="L99" s="11" t="str">
        <f t="shared" si="14"/>
        <v/>
      </c>
      <c r="N99" s="38" t="str">
        <f t="shared" si="15"/>
        <v/>
      </c>
      <c r="Q99" s="13"/>
      <c r="S99" s="11" t="str">
        <f t="shared" si="13"/>
        <v/>
      </c>
      <c r="U99" s="38" t="str">
        <f t="shared" si="11"/>
        <v/>
      </c>
    </row>
    <row r="100" spans="3:21" ht="18" customHeight="1" x14ac:dyDescent="0.25">
      <c r="C100" s="13"/>
      <c r="E100" s="11" t="str">
        <f t="shared" si="12"/>
        <v/>
      </c>
      <c r="G100" s="38" t="str">
        <f t="shared" si="10"/>
        <v/>
      </c>
      <c r="J100" s="13"/>
      <c r="L100" s="11" t="str">
        <f t="shared" si="14"/>
        <v/>
      </c>
      <c r="N100" s="38" t="str">
        <f t="shared" si="15"/>
        <v/>
      </c>
      <c r="Q100" s="13"/>
      <c r="S100" s="11" t="str">
        <f t="shared" si="13"/>
        <v/>
      </c>
      <c r="U100" s="38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tabSelected="1" workbookViewId="0">
      <selection activeCell="E18" sqref="E18"/>
    </sheetView>
  </sheetViews>
  <sheetFormatPr defaultColWidth="9" defaultRowHeight="18" customHeight="1" x14ac:dyDescent="0.25"/>
  <cols>
    <col min="1" max="2" width="9" style="19"/>
    <col min="3" max="3" width="10" style="19" bestFit="1" customWidth="1"/>
    <col min="4" max="4" width="9" style="40"/>
    <col min="5" max="5" width="9" style="12"/>
    <col min="6" max="16384" width="9" style="19"/>
  </cols>
  <sheetData>
    <row r="2" spans="1:12" ht="18" customHeight="1" x14ac:dyDescent="0.25">
      <c r="G2" s="20" t="s">
        <v>297</v>
      </c>
      <c r="H2" s="21">
        <v>1</v>
      </c>
      <c r="I2" s="41" t="s">
        <v>298</v>
      </c>
      <c r="J2" s="42"/>
      <c r="K2" s="42"/>
      <c r="L2" s="43"/>
    </row>
    <row r="3" spans="1:12" ht="18" customHeight="1" x14ac:dyDescent="0.25">
      <c r="G3" s="44"/>
      <c r="H3" s="33">
        <v>2</v>
      </c>
      <c r="I3" s="45" t="s">
        <v>299</v>
      </c>
      <c r="J3" s="46"/>
      <c r="K3" s="46"/>
      <c r="L3" s="47"/>
    </row>
    <row r="14" spans="1:12" ht="18" customHeight="1" x14ac:dyDescent="0.25">
      <c r="A14" s="40" t="s">
        <v>0</v>
      </c>
      <c r="B14" s="40" t="s">
        <v>146</v>
      </c>
      <c r="C14" s="40" t="s">
        <v>300</v>
      </c>
      <c r="D14" s="40" t="s">
        <v>147</v>
      </c>
      <c r="E14" s="12" t="s">
        <v>145</v>
      </c>
      <c r="F14" s="19" t="s">
        <v>148</v>
      </c>
      <c r="G14" s="19" t="s">
        <v>149</v>
      </c>
      <c r="H14" s="19" t="s">
        <v>26</v>
      </c>
      <c r="I14" s="12" t="s">
        <v>150</v>
      </c>
      <c r="J14" s="19" t="s">
        <v>149</v>
      </c>
      <c r="K14" s="19" t="s">
        <v>163</v>
      </c>
    </row>
    <row r="15" spans="1:12" ht="18" customHeight="1" x14ac:dyDescent="0.25">
      <c r="A15" s="40" t="s">
        <v>17</v>
      </c>
      <c r="B15" s="40">
        <v>0</v>
      </c>
      <c r="C15" s="40">
        <v>0.6</v>
      </c>
      <c r="D15" s="40">
        <v>1</v>
      </c>
      <c r="E15" s="12" t="str">
        <f>IFERROR(VLOOKUP($A15,'Assembled Point Masses'!A:D,3,FALSE),"")</f>
        <v/>
      </c>
      <c r="F15" s="19">
        <f>IF(OR(B15="",C15="",D15=""),"",0.1*(1-B15/40)*C15*D15)</f>
        <v>0.06</v>
      </c>
      <c r="G15" s="19" t="str">
        <f>IF(E15="","",E15*9.81)</f>
        <v/>
      </c>
      <c r="H15" s="19" t="str">
        <f>IF(OR(F15="",G15=""),"",F15*G15)</f>
        <v/>
      </c>
      <c r="I15" s="12" t="str">
        <f>IFERROR(VLOOKUP($A15,'Assembled Point Masses'!A:D,4,FALSE),"")</f>
        <v/>
      </c>
      <c r="J15" s="19" t="str">
        <f>IF(I15="","",I15*9.81)</f>
        <v/>
      </c>
      <c r="K15" s="19" t="str">
        <f>IF(OR(F15="",I15=""),"",F15*J15)</f>
        <v/>
      </c>
    </row>
    <row r="16" spans="1:12" ht="18" customHeight="1" x14ac:dyDescent="0.25">
      <c r="A16" s="40" t="s">
        <v>164</v>
      </c>
      <c r="B16" s="40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9" t="str">
        <f t="shared" ref="F16:F25" si="0">IF(OR(B16="",C16="",D16=""),"",0.1*(1-B16/40)*C16*D16)</f>
        <v/>
      </c>
      <c r="G16" s="19" t="str">
        <f t="shared" ref="G16:G25" si="1">IF(E16="","",E16*9.81)</f>
        <v/>
      </c>
      <c r="H16" s="19" t="str">
        <f>IF(F16="","",G16*F16)</f>
        <v/>
      </c>
      <c r="I16" s="12" t="str">
        <f>IFERROR(VLOOKUP($A16,'Assembled Point Masses'!A:D,4,FALSE),"")</f>
        <v/>
      </c>
      <c r="J16" s="19" t="str">
        <f t="shared" ref="J16:J25" si="2">IF(I16="","",I16*9.81)</f>
        <v/>
      </c>
      <c r="K16" s="19" t="str">
        <f>IF(OR(F16="",I16=""),"",F16*J16)</f>
        <v/>
      </c>
    </row>
    <row r="17" spans="1:11" ht="18" customHeight="1" x14ac:dyDescent="0.25">
      <c r="A17" s="40" t="s">
        <v>165</v>
      </c>
      <c r="B17" s="40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9" t="str">
        <f t="shared" si="0"/>
        <v/>
      </c>
      <c r="G17" s="19" t="str">
        <f t="shared" si="1"/>
        <v/>
      </c>
      <c r="H17" s="19" t="str">
        <f>IF(F17="","",G17*F17)</f>
        <v/>
      </c>
      <c r="I17" s="12" t="str">
        <f>IFERROR(VLOOKUP($A17,'Assembled Point Masses'!A:D,4,FALSE),"")</f>
        <v/>
      </c>
      <c r="J17" s="19" t="str">
        <f t="shared" si="2"/>
        <v/>
      </c>
      <c r="K17" s="19" t="str">
        <f>IF(OR(F17="",I17=""),"",F17*J17)</f>
        <v/>
      </c>
    </row>
    <row r="18" spans="1:11" ht="18" customHeight="1" x14ac:dyDescent="0.25">
      <c r="A18" s="40" t="s">
        <v>166</v>
      </c>
      <c r="B18" s="40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9" t="str">
        <f t="shared" si="0"/>
        <v/>
      </c>
      <c r="G18" s="19" t="str">
        <f t="shared" si="1"/>
        <v/>
      </c>
      <c r="H18" s="19" t="str">
        <f t="shared" ref="H18:H25" si="3">IF(F18="","",G18*F18)</f>
        <v/>
      </c>
      <c r="I18" s="12" t="str">
        <f>IFERROR(VLOOKUP($A18,'Assembled Point Masses'!A:D,4,FALSE),"")</f>
        <v/>
      </c>
      <c r="J18" s="19" t="str">
        <f t="shared" si="2"/>
        <v/>
      </c>
      <c r="K18" s="19" t="str">
        <f t="shared" ref="K18:K25" si="4">IF(OR(F18="",I18=""),"",F18*J18)</f>
        <v/>
      </c>
    </row>
    <row r="19" spans="1:11" ht="18" customHeight="1" x14ac:dyDescent="0.25">
      <c r="A19" s="40" t="s">
        <v>167</v>
      </c>
      <c r="B19" s="40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9" t="str">
        <f t="shared" si="0"/>
        <v/>
      </c>
      <c r="G19" s="19" t="str">
        <f t="shared" si="1"/>
        <v/>
      </c>
      <c r="H19" s="19" t="str">
        <f t="shared" si="3"/>
        <v/>
      </c>
      <c r="I19" s="12" t="str">
        <f>IFERROR(VLOOKUP($A19,'Assembled Point Masses'!A:D,4,FALSE),"")</f>
        <v/>
      </c>
      <c r="J19" s="19" t="str">
        <f t="shared" si="2"/>
        <v/>
      </c>
      <c r="K19" s="19" t="str">
        <f t="shared" si="4"/>
        <v/>
      </c>
    </row>
    <row r="20" spans="1:11" ht="18" customHeight="1" x14ac:dyDescent="0.25">
      <c r="A20" s="40" t="s">
        <v>168</v>
      </c>
      <c r="B20" s="40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9" t="str">
        <f t="shared" si="0"/>
        <v/>
      </c>
      <c r="G20" s="19" t="str">
        <f t="shared" si="1"/>
        <v/>
      </c>
      <c r="H20" s="19" t="str">
        <f t="shared" si="3"/>
        <v/>
      </c>
      <c r="I20" s="12" t="str">
        <f>IFERROR(VLOOKUP($A20,'Assembled Point Masses'!A:D,4,FALSE),"")</f>
        <v/>
      </c>
      <c r="J20" s="19" t="str">
        <f t="shared" si="2"/>
        <v/>
      </c>
      <c r="K20" s="19" t="str">
        <f t="shared" si="4"/>
        <v/>
      </c>
    </row>
    <row r="21" spans="1:11" ht="18" customHeight="1" x14ac:dyDescent="0.25">
      <c r="A21" s="40" t="s">
        <v>261</v>
      </c>
      <c r="B21" s="40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9" t="str">
        <f t="shared" si="0"/>
        <v/>
      </c>
      <c r="G21" s="19" t="str">
        <f t="shared" si="1"/>
        <v/>
      </c>
      <c r="H21" s="19" t="str">
        <f t="shared" si="3"/>
        <v/>
      </c>
      <c r="I21" s="12" t="str">
        <f>IFERROR(VLOOKUP($A21,'Assembled Point Masses'!A:D,4,FALSE),"")</f>
        <v/>
      </c>
      <c r="J21" s="19" t="str">
        <f t="shared" si="2"/>
        <v/>
      </c>
      <c r="K21" s="19" t="str">
        <f t="shared" si="4"/>
        <v/>
      </c>
    </row>
    <row r="22" spans="1:11" ht="18" customHeight="1" x14ac:dyDescent="0.25">
      <c r="A22" s="40" t="s">
        <v>262</v>
      </c>
      <c r="B22" s="40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9" t="str">
        <f t="shared" si="0"/>
        <v/>
      </c>
      <c r="G22" s="19" t="str">
        <f t="shared" si="1"/>
        <v/>
      </c>
      <c r="H22" s="19" t="str">
        <f t="shared" si="3"/>
        <v/>
      </c>
      <c r="I22" s="12" t="str">
        <f>IFERROR(VLOOKUP($A22,'Assembled Point Masses'!A:D,4,FALSE),"")</f>
        <v/>
      </c>
      <c r="J22" s="19" t="str">
        <f t="shared" si="2"/>
        <v/>
      </c>
      <c r="K22" s="19" t="str">
        <f t="shared" si="4"/>
        <v/>
      </c>
    </row>
    <row r="23" spans="1:11" ht="18" customHeight="1" x14ac:dyDescent="0.25">
      <c r="A23" s="40" t="s">
        <v>263</v>
      </c>
      <c r="B23" s="40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9" t="str">
        <f t="shared" si="0"/>
        <v/>
      </c>
      <c r="G23" s="19" t="str">
        <f t="shared" si="1"/>
        <v/>
      </c>
      <c r="H23" s="19" t="str">
        <f t="shared" si="3"/>
        <v/>
      </c>
      <c r="I23" s="12" t="str">
        <f>IFERROR(VLOOKUP($A23,'Assembled Point Masses'!A:D,4,FALSE),"")</f>
        <v/>
      </c>
      <c r="J23" s="19" t="str">
        <f t="shared" si="2"/>
        <v/>
      </c>
      <c r="K23" s="19" t="str">
        <f t="shared" si="4"/>
        <v/>
      </c>
    </row>
    <row r="24" spans="1:11" ht="18" customHeight="1" x14ac:dyDescent="0.25">
      <c r="A24" s="40" t="s">
        <v>264</v>
      </c>
      <c r="B24" s="40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9" t="str">
        <f t="shared" si="0"/>
        <v/>
      </c>
      <c r="G24" s="19" t="str">
        <f t="shared" si="1"/>
        <v/>
      </c>
      <c r="H24" s="19" t="str">
        <f t="shared" si="3"/>
        <v/>
      </c>
      <c r="I24" s="12" t="str">
        <f>IFERROR(VLOOKUP($A24,'Assembled Point Masses'!A:D,4,FALSE),"")</f>
        <v/>
      </c>
      <c r="J24" s="19" t="str">
        <f t="shared" si="2"/>
        <v/>
      </c>
      <c r="K24" s="19" t="str">
        <f t="shared" si="4"/>
        <v/>
      </c>
    </row>
    <row r="25" spans="1:11" ht="18" customHeight="1" x14ac:dyDescent="0.25">
      <c r="A25" s="40" t="s">
        <v>265</v>
      </c>
      <c r="B25" s="40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9" t="str">
        <f t="shared" si="0"/>
        <v/>
      </c>
      <c r="G25" s="19" t="str">
        <f t="shared" si="1"/>
        <v/>
      </c>
      <c r="H25" s="19" t="str">
        <f t="shared" si="3"/>
        <v/>
      </c>
      <c r="I25" s="12" t="str">
        <f>IFERROR(VLOOKUP($A25,'Assembled Point Masses'!A:D,4,FALSE),"")</f>
        <v/>
      </c>
      <c r="J25" s="19" t="str">
        <f t="shared" si="2"/>
        <v/>
      </c>
      <c r="K25" s="19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169</v>
      </c>
      <c r="C2" s="39" t="s">
        <v>179</v>
      </c>
    </row>
    <row r="3" spans="2:5" x14ac:dyDescent="0.25">
      <c r="B3" s="2" t="s">
        <v>170</v>
      </c>
      <c r="C3" s="8" t="s">
        <v>281</v>
      </c>
    </row>
    <row r="4" spans="2:5" x14ac:dyDescent="0.25">
      <c r="B4" s="2"/>
      <c r="C4" s="7" t="s">
        <v>171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266</v>
      </c>
      <c r="D9" s="7">
        <v>1</v>
      </c>
      <c r="E9" s="7" t="s">
        <v>282</v>
      </c>
    </row>
    <row r="12" spans="2:5" x14ac:dyDescent="0.25">
      <c r="B12" s="10">
        <v>43297</v>
      </c>
      <c r="C12" s="7" t="s">
        <v>189</v>
      </c>
      <c r="D12" s="7">
        <v>1</v>
      </c>
      <c r="E12" s="2" t="s">
        <v>283</v>
      </c>
    </row>
    <row r="14" spans="2:5" x14ac:dyDescent="0.25">
      <c r="B14" s="10">
        <v>43280</v>
      </c>
      <c r="C14" s="7" t="s">
        <v>188</v>
      </c>
      <c r="D14" s="7">
        <v>1</v>
      </c>
      <c r="E14" s="2" t="s">
        <v>284</v>
      </c>
    </row>
    <row r="15" spans="2:5" x14ac:dyDescent="0.25">
      <c r="D15" s="7">
        <v>2</v>
      </c>
      <c r="E15" s="2" t="s">
        <v>285</v>
      </c>
    </row>
    <row r="16" spans="2:5" x14ac:dyDescent="0.25">
      <c r="D16" s="7">
        <v>3</v>
      </c>
      <c r="E16" s="2" t="s">
        <v>286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176</v>
      </c>
      <c r="D19" s="7">
        <v>1</v>
      </c>
      <c r="E19" s="2" t="s">
        <v>267</v>
      </c>
    </row>
    <row r="20" spans="2:5" x14ac:dyDescent="0.25">
      <c r="D20" s="7">
        <v>2</v>
      </c>
      <c r="E20" s="2" t="s">
        <v>268</v>
      </c>
    </row>
    <row r="21" spans="2:5" x14ac:dyDescent="0.25">
      <c r="D21" s="7">
        <v>3</v>
      </c>
      <c r="E21" s="2" t="s">
        <v>269</v>
      </c>
    </row>
    <row r="22" spans="2:5" x14ac:dyDescent="0.25">
      <c r="D22" s="7">
        <v>4</v>
      </c>
      <c r="E22" s="2" t="s">
        <v>270</v>
      </c>
    </row>
    <row r="23" spans="2:5" x14ac:dyDescent="0.25">
      <c r="D23" s="7">
        <v>5</v>
      </c>
      <c r="E23" s="2" t="s">
        <v>271</v>
      </c>
    </row>
    <row r="24" spans="2:5" x14ac:dyDescent="0.25">
      <c r="B24" s="10">
        <v>42611</v>
      </c>
      <c r="C24" s="7" t="s">
        <v>175</v>
      </c>
      <c r="D24" s="7">
        <v>1</v>
      </c>
      <c r="E24" s="2" t="s">
        <v>272</v>
      </c>
    </row>
    <row r="25" spans="2:5" x14ac:dyDescent="0.25">
      <c r="D25" s="7">
        <v>2</v>
      </c>
      <c r="E25" s="2" t="s">
        <v>273</v>
      </c>
    </row>
    <row r="26" spans="2:5" x14ac:dyDescent="0.25">
      <c r="B26" s="10">
        <v>42607</v>
      </c>
      <c r="C26" s="7" t="s">
        <v>174</v>
      </c>
      <c r="D26" s="7">
        <v>1</v>
      </c>
      <c r="E26" s="2" t="s">
        <v>274</v>
      </c>
    </row>
    <row r="27" spans="2:5" x14ac:dyDescent="0.25">
      <c r="B27" s="10">
        <v>42606</v>
      </c>
      <c r="C27" s="7" t="s">
        <v>173</v>
      </c>
      <c r="D27" s="7">
        <v>1</v>
      </c>
      <c r="E27" s="2" t="s">
        <v>275</v>
      </c>
    </row>
    <row r="28" spans="2:5" x14ac:dyDescent="0.25">
      <c r="B28" s="6">
        <v>42592</v>
      </c>
      <c r="C28" s="5" t="s">
        <v>172</v>
      </c>
      <c r="D28" s="5">
        <v>1</v>
      </c>
      <c r="E28" s="16" t="s">
        <v>276</v>
      </c>
    </row>
    <row r="29" spans="2:5" x14ac:dyDescent="0.25">
      <c r="D29" s="7">
        <v>2</v>
      </c>
      <c r="E29" s="2" t="s">
        <v>277</v>
      </c>
    </row>
    <row r="30" spans="2:5" x14ac:dyDescent="0.25">
      <c r="D30" s="7">
        <v>3</v>
      </c>
      <c r="E30" s="2" t="s">
        <v>278</v>
      </c>
    </row>
    <row r="31" spans="2:5" x14ac:dyDescent="0.25">
      <c r="D31" s="7">
        <v>4</v>
      </c>
      <c r="E31" s="2" t="s">
        <v>279</v>
      </c>
    </row>
    <row r="32" spans="2:5" x14ac:dyDescent="0.25">
      <c r="D32" s="7">
        <v>5</v>
      </c>
      <c r="E32" s="2" t="s">
        <v>280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2018-12-15T08:21:14Z</dcterms:modified>
</cp:coreProperties>
</file>