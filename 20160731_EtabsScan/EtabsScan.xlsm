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ocuments\GitHub\VbaProject\20160731_EtabsScan\"/>
    </mc:Choice>
  </mc:AlternateContent>
  <xr:revisionPtr revIDLastSave="0" documentId="13_ncr:1_{EA0F1DF8-97D1-45B2-A93E-850BFF27D5FA}" xr6:coauthVersionLast="45" xr6:coauthVersionMax="45" xr10:uidLastSave="{00000000-0000-0000-0000-000000000000}"/>
  <bookViews>
    <workbookView xWindow="28680" yWindow="-120" windowWidth="29040" windowHeight="15840" activeTab="3" xr2:uid="{00000000-000D-0000-FFFF-FFFF00000000}"/>
  </bookViews>
  <sheets>
    <sheet name="Assembled Point Masses" sheetId="10" r:id="rId1"/>
    <sheet name="Material List By Story" sheetId="18" r:id="rId2"/>
    <sheet name="Story Shears" sheetId="19" r:id="rId3"/>
    <sheet name="Scan" sheetId="2" r:id="rId4"/>
    <sheet name="EQB" sheetId="12" r:id="rId5"/>
    <sheet name="Release Notes" sheetId="14" r:id="rId6"/>
    <sheet name="DL" sheetId="6" r:id="rId7"/>
    <sheet name="LL" sheetId="7" r:id="rId8"/>
    <sheet name="靜態地震力" sheetId="8" r:id="rId9"/>
    <sheet name="動態地震力修正" sheetId="9" r:id="rId10"/>
    <sheet name="Area" sheetId="16" r:id="rId11"/>
    <sheet name="Mass" sheetId="22" r:id="rId12"/>
  </sheets>
  <externalReferences>
    <externalReference r:id="rId13"/>
  </externalReferences>
  <definedNames>
    <definedName name="_xlnm._FilterDatabase" localSheetId="0" hidden="1">'Assembled Point Masses'!#REF!</definedName>
    <definedName name="SiteNow">[1]地震行政區資料!$A$4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6" i="12" l="1"/>
  <c r="H17" i="12"/>
  <c r="H18" i="12"/>
  <c r="H19" i="12"/>
  <c r="H20" i="12"/>
  <c r="H21" i="12"/>
  <c r="H22" i="12"/>
  <c r="H23" i="12"/>
  <c r="H24" i="12"/>
  <c r="H25" i="12"/>
  <c r="H15" i="12"/>
  <c r="S14" i="2" l="1"/>
  <c r="L14" i="2"/>
  <c r="C17" i="12"/>
  <c r="E17" i="12" s="1"/>
  <c r="C18" i="12"/>
  <c r="E18" i="12" s="1"/>
  <c r="C19" i="12"/>
  <c r="E19" i="12" s="1"/>
  <c r="C20" i="12"/>
  <c r="E20" i="12" s="1"/>
  <c r="C21" i="12"/>
  <c r="E21" i="12" s="1"/>
  <c r="C22" i="12"/>
  <c r="E22" i="12" s="1"/>
  <c r="C23" i="12"/>
  <c r="E23" i="12" s="1"/>
  <c r="C24" i="12"/>
  <c r="E24" i="12" s="1"/>
  <c r="C25" i="12"/>
  <c r="E25" i="12" s="1"/>
  <c r="C16" i="12"/>
  <c r="E16" i="12" s="1"/>
  <c r="C15" i="12"/>
  <c r="E15" i="12" s="1"/>
  <c r="D16" i="12"/>
  <c r="D17" i="12"/>
  <c r="D18" i="12"/>
  <c r="D19" i="12"/>
  <c r="D20" i="12"/>
  <c r="D21" i="12"/>
  <c r="D22" i="12"/>
  <c r="D23" i="12"/>
  <c r="D24" i="12"/>
  <c r="D25" i="12"/>
  <c r="D15" i="12"/>
  <c r="AJ11" i="2"/>
  <c r="AJ10" i="2"/>
  <c r="AI11" i="2"/>
  <c r="AI10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X11" i="2"/>
  <c r="X10" i="2"/>
  <c r="I16" i="12" l="1"/>
  <c r="I17" i="12"/>
  <c r="I18" i="12"/>
  <c r="I19" i="12"/>
  <c r="I20" i="12"/>
  <c r="I21" i="12"/>
  <c r="I22" i="12"/>
  <c r="I23" i="12"/>
  <c r="I24" i="12"/>
  <c r="I25" i="12"/>
  <c r="F16" i="12"/>
  <c r="F17" i="12"/>
  <c r="F18" i="12"/>
  <c r="F19" i="12"/>
  <c r="F20" i="12"/>
  <c r="F21" i="12"/>
  <c r="F22" i="12"/>
  <c r="F23" i="12"/>
  <c r="F24" i="12"/>
  <c r="F25" i="12"/>
  <c r="B7" i="14" l="1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U26" i="2" s="1"/>
  <c r="S27" i="2"/>
  <c r="U27" i="2" s="1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G16" i="2"/>
  <c r="G17" i="2"/>
  <c r="G18" i="2"/>
  <c r="G19" i="2"/>
  <c r="G20" i="2"/>
  <c r="G21" i="2"/>
  <c r="G22" i="2"/>
  <c r="G23" i="2"/>
  <c r="G24" i="2"/>
  <c r="S100" i="2"/>
  <c r="U100" i="2" s="1"/>
  <c r="N100" i="2"/>
  <c r="G100" i="2"/>
  <c r="S99" i="2"/>
  <c r="U99" i="2" s="1"/>
  <c r="N99" i="2"/>
  <c r="G99" i="2"/>
  <c r="S98" i="2"/>
  <c r="U98" i="2" s="1"/>
  <c r="N98" i="2"/>
  <c r="G98" i="2"/>
  <c r="S97" i="2"/>
  <c r="U97" i="2" s="1"/>
  <c r="N97" i="2"/>
  <c r="G97" i="2"/>
  <c r="S96" i="2"/>
  <c r="U96" i="2" s="1"/>
  <c r="N96" i="2"/>
  <c r="G96" i="2"/>
  <c r="S95" i="2"/>
  <c r="U95" i="2" s="1"/>
  <c r="N95" i="2"/>
  <c r="G95" i="2"/>
  <c r="S94" i="2"/>
  <c r="U94" i="2" s="1"/>
  <c r="N94" i="2"/>
  <c r="G94" i="2"/>
  <c r="S93" i="2"/>
  <c r="U93" i="2" s="1"/>
  <c r="N93" i="2"/>
  <c r="G93" i="2"/>
  <c r="S92" i="2"/>
  <c r="U92" i="2" s="1"/>
  <c r="N92" i="2"/>
  <c r="G92" i="2"/>
  <c r="S91" i="2"/>
  <c r="U91" i="2" s="1"/>
  <c r="N91" i="2"/>
  <c r="G91" i="2"/>
  <c r="S90" i="2"/>
  <c r="U90" i="2" s="1"/>
  <c r="N90" i="2"/>
  <c r="G90" i="2"/>
  <c r="S89" i="2"/>
  <c r="U89" i="2" s="1"/>
  <c r="N89" i="2"/>
  <c r="G89" i="2"/>
  <c r="S88" i="2"/>
  <c r="U88" i="2" s="1"/>
  <c r="N88" i="2"/>
  <c r="G88" i="2"/>
  <c r="S87" i="2"/>
  <c r="U87" i="2" s="1"/>
  <c r="N87" i="2"/>
  <c r="G87" i="2"/>
  <c r="S86" i="2"/>
  <c r="U86" i="2" s="1"/>
  <c r="N86" i="2"/>
  <c r="G86" i="2"/>
  <c r="S85" i="2"/>
  <c r="U85" i="2" s="1"/>
  <c r="N85" i="2"/>
  <c r="G85" i="2"/>
  <c r="S84" i="2"/>
  <c r="U84" i="2" s="1"/>
  <c r="N84" i="2"/>
  <c r="G84" i="2"/>
  <c r="S83" i="2"/>
  <c r="U83" i="2" s="1"/>
  <c r="N83" i="2"/>
  <c r="G83" i="2"/>
  <c r="S82" i="2"/>
  <c r="U82" i="2" s="1"/>
  <c r="N82" i="2"/>
  <c r="G82" i="2"/>
  <c r="S81" i="2"/>
  <c r="U81" i="2" s="1"/>
  <c r="N81" i="2"/>
  <c r="G81" i="2"/>
  <c r="S80" i="2"/>
  <c r="U80" i="2" s="1"/>
  <c r="N80" i="2"/>
  <c r="G80" i="2"/>
  <c r="S79" i="2"/>
  <c r="U79" i="2" s="1"/>
  <c r="N79" i="2"/>
  <c r="G79" i="2"/>
  <c r="S78" i="2"/>
  <c r="U78" i="2" s="1"/>
  <c r="N78" i="2"/>
  <c r="G78" i="2"/>
  <c r="S77" i="2"/>
  <c r="U77" i="2" s="1"/>
  <c r="N77" i="2"/>
  <c r="G77" i="2"/>
  <c r="S76" i="2"/>
  <c r="U76" i="2" s="1"/>
  <c r="N76" i="2"/>
  <c r="G76" i="2"/>
  <c r="S75" i="2"/>
  <c r="U75" i="2" s="1"/>
  <c r="N75" i="2"/>
  <c r="G75" i="2"/>
  <c r="S74" i="2"/>
  <c r="U74" i="2" s="1"/>
  <c r="N74" i="2"/>
  <c r="G74" i="2"/>
  <c r="S73" i="2"/>
  <c r="U73" i="2" s="1"/>
  <c r="N73" i="2"/>
  <c r="G73" i="2"/>
  <c r="S72" i="2"/>
  <c r="U72" i="2" s="1"/>
  <c r="N72" i="2"/>
  <c r="G72" i="2"/>
  <c r="S71" i="2"/>
  <c r="U71" i="2" s="1"/>
  <c r="N71" i="2"/>
  <c r="G71" i="2"/>
  <c r="S70" i="2"/>
  <c r="U70" i="2" s="1"/>
  <c r="N70" i="2"/>
  <c r="G70" i="2"/>
  <c r="S69" i="2"/>
  <c r="U69" i="2" s="1"/>
  <c r="N69" i="2"/>
  <c r="G69" i="2"/>
  <c r="S68" i="2"/>
  <c r="U68" i="2" s="1"/>
  <c r="N68" i="2"/>
  <c r="G68" i="2"/>
  <c r="S67" i="2"/>
  <c r="U67" i="2" s="1"/>
  <c r="N67" i="2"/>
  <c r="G67" i="2"/>
  <c r="S66" i="2"/>
  <c r="U66" i="2" s="1"/>
  <c r="N66" i="2"/>
  <c r="G66" i="2"/>
  <c r="S65" i="2"/>
  <c r="U65" i="2" s="1"/>
  <c r="N65" i="2"/>
  <c r="G65" i="2"/>
  <c r="S64" i="2"/>
  <c r="U64" i="2" s="1"/>
  <c r="N64" i="2"/>
  <c r="G64" i="2"/>
  <c r="S63" i="2"/>
  <c r="U63" i="2" s="1"/>
  <c r="N63" i="2"/>
  <c r="G63" i="2"/>
  <c r="S62" i="2"/>
  <c r="U62" i="2" s="1"/>
  <c r="N62" i="2"/>
  <c r="G62" i="2"/>
  <c r="S61" i="2"/>
  <c r="U61" i="2" s="1"/>
  <c r="N61" i="2"/>
  <c r="G61" i="2"/>
  <c r="S60" i="2"/>
  <c r="U60" i="2" s="1"/>
  <c r="N60" i="2"/>
  <c r="G60" i="2"/>
  <c r="S59" i="2"/>
  <c r="U59" i="2" s="1"/>
  <c r="N59" i="2"/>
  <c r="G59" i="2"/>
  <c r="S58" i="2"/>
  <c r="U58" i="2" s="1"/>
  <c r="N58" i="2"/>
  <c r="G58" i="2"/>
  <c r="S57" i="2"/>
  <c r="U57" i="2" s="1"/>
  <c r="N57" i="2"/>
  <c r="G57" i="2"/>
  <c r="S56" i="2"/>
  <c r="U56" i="2" s="1"/>
  <c r="N56" i="2"/>
  <c r="G56" i="2"/>
  <c r="S55" i="2"/>
  <c r="U55" i="2" s="1"/>
  <c r="N55" i="2"/>
  <c r="G55" i="2"/>
  <c r="S54" i="2"/>
  <c r="U54" i="2" s="1"/>
  <c r="N54" i="2"/>
  <c r="G54" i="2"/>
  <c r="S53" i="2"/>
  <c r="U53" i="2" s="1"/>
  <c r="N53" i="2"/>
  <c r="G53" i="2"/>
  <c r="S52" i="2"/>
  <c r="U52" i="2" s="1"/>
  <c r="N52" i="2"/>
  <c r="G52" i="2"/>
  <c r="S51" i="2"/>
  <c r="U51" i="2" s="1"/>
  <c r="N51" i="2"/>
  <c r="G51" i="2"/>
  <c r="S50" i="2"/>
  <c r="U50" i="2" s="1"/>
  <c r="N50" i="2"/>
  <c r="G50" i="2"/>
  <c r="S49" i="2"/>
  <c r="U49" i="2" s="1"/>
  <c r="N49" i="2"/>
  <c r="G49" i="2"/>
  <c r="S48" i="2"/>
  <c r="U48" i="2" s="1"/>
  <c r="N48" i="2"/>
  <c r="G48" i="2"/>
  <c r="S47" i="2"/>
  <c r="U47" i="2" s="1"/>
  <c r="N47" i="2"/>
  <c r="G47" i="2"/>
  <c r="S46" i="2"/>
  <c r="U46" i="2" s="1"/>
  <c r="N46" i="2"/>
  <c r="G46" i="2"/>
  <c r="S45" i="2"/>
  <c r="U45" i="2" s="1"/>
  <c r="N45" i="2"/>
  <c r="G45" i="2"/>
  <c r="S44" i="2"/>
  <c r="U44" i="2" s="1"/>
  <c r="N44" i="2"/>
  <c r="G44" i="2"/>
  <c r="S43" i="2"/>
  <c r="U43" i="2" s="1"/>
  <c r="N43" i="2"/>
  <c r="G43" i="2"/>
  <c r="S42" i="2"/>
  <c r="U42" i="2" s="1"/>
  <c r="N42" i="2"/>
  <c r="G42" i="2"/>
  <c r="S41" i="2"/>
  <c r="U41" i="2" s="1"/>
  <c r="N41" i="2"/>
  <c r="G41" i="2"/>
  <c r="S40" i="2"/>
  <c r="U40" i="2" s="1"/>
  <c r="N40" i="2"/>
  <c r="G40" i="2"/>
  <c r="S39" i="2"/>
  <c r="U39" i="2" s="1"/>
  <c r="N39" i="2"/>
  <c r="G39" i="2"/>
  <c r="S38" i="2"/>
  <c r="U38" i="2" s="1"/>
  <c r="N38" i="2"/>
  <c r="G38" i="2"/>
  <c r="S37" i="2"/>
  <c r="U37" i="2" s="1"/>
  <c r="N37" i="2"/>
  <c r="G37" i="2"/>
  <c r="S36" i="2"/>
  <c r="U36" i="2" s="1"/>
  <c r="N36" i="2"/>
  <c r="G36" i="2"/>
  <c r="S35" i="2"/>
  <c r="U35" i="2" s="1"/>
  <c r="N35" i="2"/>
  <c r="G35" i="2"/>
  <c r="S34" i="2"/>
  <c r="U34" i="2" s="1"/>
  <c r="N34" i="2"/>
  <c r="G34" i="2"/>
  <c r="S33" i="2"/>
  <c r="U33" i="2" s="1"/>
  <c r="N33" i="2"/>
  <c r="G33" i="2"/>
  <c r="S32" i="2"/>
  <c r="U32" i="2" s="1"/>
  <c r="N32" i="2"/>
  <c r="G32" i="2"/>
  <c r="S31" i="2"/>
  <c r="U31" i="2" s="1"/>
  <c r="N31" i="2"/>
  <c r="G31" i="2"/>
  <c r="S30" i="2"/>
  <c r="U30" i="2" s="1"/>
  <c r="N30" i="2"/>
  <c r="G30" i="2"/>
  <c r="S29" i="2"/>
  <c r="U29" i="2" s="1"/>
  <c r="N29" i="2"/>
  <c r="G29" i="2"/>
  <c r="S28" i="2"/>
  <c r="U28" i="2" s="1"/>
  <c r="G28" i="2"/>
  <c r="G27" i="2"/>
  <c r="G26" i="2"/>
  <c r="G25" i="2"/>
  <c r="S15" i="2"/>
  <c r="U15" i="2" s="1"/>
  <c r="N15" i="2"/>
  <c r="G15" i="2"/>
  <c r="U14" i="2"/>
  <c r="N14" i="2"/>
  <c r="G14" i="2"/>
  <c r="G16" i="12" l="1"/>
  <c r="G15" i="12"/>
  <c r="G17" i="12"/>
  <c r="J17" i="12"/>
  <c r="I15" i="12"/>
  <c r="J15" i="12" s="1"/>
  <c r="J16" i="12" l="1"/>
  <c r="G19" i="12" l="1"/>
  <c r="J19" i="12"/>
  <c r="G18" i="12"/>
  <c r="J18" i="12"/>
  <c r="G20" i="12" l="1"/>
  <c r="J20" i="12"/>
  <c r="G21" i="12" l="1"/>
  <c r="J21" i="12"/>
  <c r="G22" i="12" l="1"/>
  <c r="J22" i="12"/>
  <c r="G23" i="12" l="1"/>
  <c r="J23" i="12"/>
  <c r="G24" i="12" l="1"/>
  <c r="J24" i="12"/>
  <c r="G25" i="12"/>
  <c r="J25" i="12"/>
</calcChain>
</file>

<file path=xl/sharedStrings.xml><?xml version="1.0" encoding="utf-8"?>
<sst xmlns="http://schemas.openxmlformats.org/spreadsheetml/2006/main" count="164" uniqueCount="113">
  <si>
    <t>Story</t>
  </si>
  <si>
    <t>P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</si>
  <si>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</si>
  <si>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</si>
  <si>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</si>
  <si>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</si>
  <si>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</si>
  <si>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</si>
  <si>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</si>
  <si>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</si>
  <si>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</si>
  <si>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</si>
  <si>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EQXP</t>
  </si>
  <si>
    <t>EQXN</t>
  </si>
  <si>
    <t>EQYP</t>
  </si>
  <si>
    <t>EQYN</t>
  </si>
  <si>
    <t>EQXB</t>
  </si>
  <si>
    <t>UX</t>
  </si>
  <si>
    <t>K</t>
  </si>
  <si>
    <t>W</t>
  </si>
  <si>
    <t>UY</t>
    <phoneticPr fontId="2" type="noConversion"/>
  </si>
  <si>
    <t>EQXP/P=</t>
    <phoneticPr fontId="2" type="noConversion"/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</si>
  <si>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</si>
  <si>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</si>
  <si>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</si>
  <si>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</si>
  <si>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</si>
  <si>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</si>
  <si>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EQXP/0SPECX=</t>
    <phoneticPr fontId="2" type="noConversion"/>
  </si>
  <si>
    <t>EQYP/0SPECY=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</si>
  <si>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</si>
  <si>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</si>
  <si>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</si>
  <si>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</si>
  <si>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</si>
  <si>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</si>
  <si>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</si>
  <si>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</si>
  <si>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</si>
  <si>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</si>
  <si>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</si>
  <si>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</si>
  <si>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</si>
  <si>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</si>
  <si>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</si>
  <si>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</si>
  <si>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</si>
  <si>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</si>
  <si>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</si>
  <si>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v2.0.0</t>
    <phoneticPr fontId="2" type="noConversion"/>
  </si>
  <si>
    <t>v2.0.1</t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</si>
  <si>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</si>
  <si>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</si>
  <si>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</si>
  <si>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</si>
  <si>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</si>
  <si>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</si>
  <si>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</si>
  <si>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</si>
  <si>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</si>
  <si>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</si>
  <si>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</si>
  <si>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</si>
  <si>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</si>
  <si>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</si>
  <si>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</si>
  <si>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</si>
  <si>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</si>
  <si>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</si>
  <si>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</si>
  <si>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</si>
  <si>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</si>
  <si>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</si>
  <si>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</si>
  <si>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</si>
  <si>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</si>
  <si>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</si>
  <si>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</si>
  <si>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</si>
  <si>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</si>
  <si>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color theme="1"/>
        <rFont val="微軟正黑體"/>
        <family val="2"/>
        <charset val="136"/>
      </rPr>
      <t>輸入地震力篩選樓層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</si>
  <si>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</si>
  <si>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</si>
  <si>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rFont val="微軟正黑體"/>
        <family val="2"/>
        <charset val="136"/>
      </rPr>
      <t>注意：</t>
    </r>
    <phoneticPr fontId="2" type="noConversion"/>
  </si>
  <si>
    <r>
      <rPr>
        <sz val="12"/>
        <rFont val="微軟正黑體"/>
        <family val="2"/>
        <charset val="136"/>
      </rPr>
      <t>若某層樓無樓板需要手動修正</t>
    </r>
    <r>
      <rPr>
        <sz val="12"/>
        <rFont val="Calibri"/>
        <family val="2"/>
      </rPr>
      <t xml:space="preserve"> FloorArea </t>
    </r>
    <r>
      <rPr>
        <sz val="12"/>
        <rFont val="微軟正黑體"/>
        <family val="2"/>
        <charset val="136"/>
      </rPr>
      <t>部分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</si>
  <si>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</si>
  <si>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</si>
  <si>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</si>
  <si>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MS</t>
    </r>
    <phoneticPr fontId="2" type="noConversion"/>
  </si>
  <si>
    <t>v2.1.0</t>
    <phoneticPr fontId="2" type="noConversion"/>
  </si>
  <si>
    <t>SDS =&gt; SMS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</si>
  <si>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v2.3.5 =&gt; v3.0.0</t>
    </r>
    <phoneticPr fontId="2" type="noConversion"/>
  </si>
  <si>
    <t>v2.1.1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</si>
  <si>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v3.0.0 =&gt; v3.0.2</t>
    </r>
    <phoneticPr fontId="2" type="noConversion"/>
  </si>
  <si>
    <t>v2.1.2</t>
    <phoneticPr fontId="2" type="noConversion"/>
  </si>
  <si>
    <t>P</t>
    <phoneticPr fontId="2" type="noConversion"/>
  </si>
  <si>
    <t>After</t>
    <phoneticPr fontId="2" type="noConversion"/>
  </si>
  <si>
    <t>Before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</si>
  <si>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LoadCase </t>
    </r>
    <r>
      <rPr>
        <sz val="12"/>
        <color theme="1"/>
        <rFont val="微軟正黑體"/>
        <family val="2"/>
        <charset val="136"/>
      </rPr>
      <t>排序不同</t>
    </r>
    <r>
      <rPr>
        <sz val="12"/>
        <color theme="1"/>
        <rFont val="Calibri"/>
        <family val="2"/>
      </rPr>
      <t xml:space="preserve"> BUG</t>
    </r>
    <phoneticPr fontId="2" type="noConversion"/>
  </si>
  <si>
    <r>
      <t xml:space="preserve">DL Mass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P </t>
    </r>
    <r>
      <rPr>
        <sz val="12"/>
        <color theme="1"/>
        <rFont val="微軟正黑體"/>
        <family val="2"/>
        <charset val="136"/>
      </rPr>
      <t>交換位置</t>
    </r>
    <phoneticPr fontId="2" type="noConversion"/>
  </si>
  <si>
    <r>
      <rPr>
        <sz val="12"/>
        <color rgb="FFFF0000"/>
        <rFont val="微軟正黑體"/>
        <family val="2"/>
        <charset val="136"/>
      </rPr>
      <t>請輸入地震力篩選樓層：</t>
    </r>
    <phoneticPr fontId="2" type="noConversion"/>
  </si>
  <si>
    <t>I</t>
    <phoneticPr fontId="2" type="noConversion"/>
  </si>
  <si>
    <t>Acc H</t>
    <phoneticPr fontId="2" type="noConversion"/>
  </si>
  <si>
    <t>Story H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</si>
  <si>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EQB </t>
    </r>
    <r>
      <rPr>
        <sz val="12"/>
        <color theme="1"/>
        <rFont val="微軟正黑體"/>
        <family val="2"/>
        <charset val="136"/>
      </rPr>
      <t>計算</t>
    </r>
    <phoneticPr fontId="2" type="noConversion"/>
  </si>
  <si>
    <t>2.1.2</t>
    <phoneticPr fontId="2" type="noConversion"/>
  </si>
  <si>
    <t>Load</t>
  </si>
  <si>
    <t>Loc</t>
  </si>
  <si>
    <t>VX</t>
  </si>
  <si>
    <t>VY</t>
  </si>
  <si>
    <t>T</t>
  </si>
  <si>
    <t>MX</t>
  </si>
  <si>
    <t>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</si>
</sst>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4" xfId="0" applyFont="1" applyBorder="1">
      <alignment vertical="center"/>
    </xf>
    <xf numFmtId="0" fontId="8" fillId="0" borderId="4" xfId="0" applyFont="1" applyBorder="1">
      <alignment vertical="center"/>
    </xf>
    <xf numFmtId="0" fontId="8" fillId="0" borderId="5" xfId="0" applyFont="1" applyBorder="1">
      <alignment vertical="center"/>
    </xf>
    <xf numFmtId="0" fontId="14" fillId="0" borderId="6" xfId="0" applyFont="1" applyBorder="1">
      <alignment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>
      <alignment vertical="center"/>
    </xf>
    <xf numFmtId="0" fontId="8" fillId="0" borderId="0" xfId="0" applyFont="1" applyBorder="1">
      <alignment vertical="center"/>
    </xf>
    <xf numFmtId="0" fontId="8" fillId="0" borderId="7" xfId="0" applyFont="1" applyBorder="1">
      <alignment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14" fillId="0" borderId="8" xfId="0" applyFont="1" applyBorder="1">
      <alignment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>
      <alignment vertical="center"/>
    </xf>
    <xf numFmtId="0" fontId="8" fillId="0" borderId="9" xfId="0" applyFont="1" applyBorder="1">
      <alignment vertical="center"/>
    </xf>
    <xf numFmtId="0" fontId="8" fillId="0" borderId="10" xfId="0" applyFont="1" applyBorder="1">
      <alignment vertical="center"/>
    </xf>
    <xf numFmtId="0" fontId="8" fillId="0" borderId="8" xfId="0" applyFont="1" applyBorder="1">
      <alignment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left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16" fillId="2" borderId="0" xfId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center" vertical="center"/>
    </xf>
  </cellXfs>
  <cellStyles count="8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計算方式" xfId="3" builtinId="22"/>
    <cellStyle name="超連結" xfId="5" builtinId="8"/>
    <cellStyle name="輔色1" xfId="7" builtinId="29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4</xdr:row>
      <xdr:rowOff>0</xdr:rowOff>
    </xdr:from>
    <xdr:to>
      <xdr:col>23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>
    <tabColor theme="9" tint="0.39997558519241921"/>
  </sheetPr>
  <dimension ref="A1"/>
  <sheetViews>
    <sheetView workbookViewId="0">
      <selection sqref="A1:XFD1048576"/>
    </sheetView>
  </sheetViews>
  <sheetFormatPr defaultColWidth="9" defaultRowHeight="16.5" x14ac:dyDescent="0.25"/>
  <cols>
    <col min="1" max="16384" width="9" style="1"/>
  </cols>
  <sheetData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A1A90-8EED-4550-ACC9-275EC3FEF92F}">
  <sheetPr>
    <tabColor theme="9" tint="0.39997558519241921"/>
  </sheetPr>
  <dimension ref="A1"/>
  <sheetViews>
    <sheetView workbookViewId="0">
      <selection sqref="A1:XFD1048576"/>
    </sheetView>
  </sheetViews>
  <sheetFormatPr defaultRowHeight="16.5" x14ac:dyDescent="0.2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8F259-6AD8-4BB0-A5D9-A4955644C3A7}">
  <sheetPr>
    <tabColor theme="9" tint="0.39997558519241921"/>
  </sheetPr>
  <dimension ref="A1"/>
  <sheetViews>
    <sheetView workbookViewId="0">
      <selection sqref="A1:XFD1048576"/>
    </sheetView>
  </sheetViews>
  <sheetFormatPr defaultRowHeight="16.5" x14ac:dyDescent="0.25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theme="4"/>
  </sheetPr>
  <dimension ref="A2:AO100"/>
  <sheetViews>
    <sheetView tabSelected="1" workbookViewId="0">
      <selection activeCell="D2" sqref="D2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2" spans="1:41" ht="18" customHeight="1" x14ac:dyDescent="0.25">
      <c r="A2" s="48" t="s">
        <v>100</v>
      </c>
      <c r="D2" s="17" t="s">
        <v>46</v>
      </c>
      <c r="G2" s="18" t="s">
        <v>77</v>
      </c>
      <c r="H2" s="19">
        <v>1</v>
      </c>
      <c r="I2" s="20" t="s">
        <v>78</v>
      </c>
      <c r="J2" s="21"/>
      <c r="K2" s="21"/>
      <c r="L2" s="21"/>
      <c r="M2" s="21"/>
      <c r="N2" s="22"/>
    </row>
    <row r="3" spans="1:41" ht="18" customHeight="1" x14ac:dyDescent="0.25">
      <c r="G3" s="30"/>
      <c r="H3" s="31"/>
      <c r="I3" s="32"/>
      <c r="J3" s="33"/>
      <c r="K3" s="33"/>
      <c r="L3" s="33"/>
      <c r="M3" s="33"/>
      <c r="N3" s="34"/>
    </row>
    <row r="4" spans="1:41" ht="18" customHeight="1" x14ac:dyDescent="0.25">
      <c r="G4" s="28" t="s">
        <v>79</v>
      </c>
      <c r="H4" s="24">
        <v>1</v>
      </c>
      <c r="I4" s="25" t="s">
        <v>51</v>
      </c>
      <c r="J4" s="26"/>
      <c r="K4" s="26"/>
      <c r="L4" s="26"/>
      <c r="M4" s="26"/>
      <c r="N4" s="27"/>
    </row>
    <row r="5" spans="1:41" ht="18" customHeight="1" x14ac:dyDescent="0.25">
      <c r="G5" s="23"/>
      <c r="H5" s="24">
        <v>2</v>
      </c>
      <c r="I5" s="26" t="s">
        <v>80</v>
      </c>
      <c r="J5" s="26"/>
      <c r="K5" s="26"/>
      <c r="L5" s="26"/>
      <c r="M5" s="26"/>
      <c r="N5" s="29"/>
    </row>
    <row r="6" spans="1:41" ht="18" customHeight="1" x14ac:dyDescent="0.25">
      <c r="G6" s="23"/>
      <c r="H6" s="24">
        <v>3</v>
      </c>
      <c r="I6" s="25" t="s">
        <v>81</v>
      </c>
      <c r="J6" s="26"/>
      <c r="K6" s="26"/>
      <c r="L6" s="26"/>
      <c r="M6" s="26"/>
      <c r="N6" s="27"/>
    </row>
    <row r="7" spans="1:41" ht="18" customHeight="1" x14ac:dyDescent="0.25">
      <c r="G7" s="23"/>
      <c r="H7" s="24">
        <v>4</v>
      </c>
      <c r="I7" s="25" t="s">
        <v>82</v>
      </c>
      <c r="J7" s="26"/>
      <c r="K7" s="26"/>
      <c r="L7" s="26"/>
      <c r="M7" s="26"/>
      <c r="N7" s="27"/>
    </row>
    <row r="8" spans="1:41" ht="18" customHeight="1" x14ac:dyDescent="0.25">
      <c r="G8" s="35"/>
      <c r="H8" s="33"/>
      <c r="I8" s="33"/>
      <c r="J8" s="33"/>
      <c r="K8" s="33"/>
      <c r="L8" s="33"/>
      <c r="M8" s="33"/>
      <c r="N8" s="34"/>
    </row>
    <row r="9" spans="1:41" ht="18" customHeight="1" x14ac:dyDescent="0.25">
      <c r="G9" s="28" t="s">
        <v>83</v>
      </c>
      <c r="H9" s="24">
        <v>1</v>
      </c>
      <c r="I9" s="25" t="s">
        <v>84</v>
      </c>
      <c r="J9" s="26"/>
      <c r="K9" s="26"/>
      <c r="L9" s="26"/>
      <c r="M9" s="26"/>
      <c r="N9" s="27"/>
      <c r="AI9" s="46" t="s">
        <v>97</v>
      </c>
      <c r="AJ9" s="46" t="s">
        <v>96</v>
      </c>
    </row>
    <row r="10" spans="1:41" ht="18" customHeight="1" x14ac:dyDescent="0.25">
      <c r="G10" s="30"/>
      <c r="H10" s="31"/>
      <c r="I10" s="32"/>
      <c r="J10" s="33"/>
      <c r="K10" s="33"/>
      <c r="L10" s="33"/>
      <c r="M10" s="33"/>
      <c r="N10" s="34"/>
      <c r="W10" s="46" t="s">
        <v>21</v>
      </c>
      <c r="X10" s="16">
        <f>-AA17/Z15</f>
        <v>0.18172990342343615</v>
      </c>
      <c r="AG10" s="52" t="s">
        <v>28</v>
      </c>
      <c r="AH10" s="52"/>
      <c r="AI10" s="16">
        <f>-AK19/SQRT(AK15^2+AL15^2)</f>
        <v>1.1836272552746356</v>
      </c>
      <c r="AJ10" s="16">
        <f>-SQRT(AK22^2+AL22^2)/AK19</f>
        <v>1.066989954869451</v>
      </c>
    </row>
    <row r="11" spans="1:41" ht="18" customHeight="1" x14ac:dyDescent="0.25">
      <c r="W11" s="46" t="s">
        <v>27</v>
      </c>
      <c r="X11" s="16">
        <f>-AB19/Z15</f>
        <v>0.1895886422979062</v>
      </c>
      <c r="AG11" s="52" t="s">
        <v>29</v>
      </c>
      <c r="AH11" s="52"/>
      <c r="AI11" s="16">
        <f>-AL21/SQRT(AK16^2+AL16^2)</f>
        <v>1.2574968812548575</v>
      </c>
      <c r="AJ11" s="16">
        <f>-SQRT(AK23^2+AL23^2)/AL21</f>
        <v>0.98005795490317149</v>
      </c>
    </row>
    <row r="13" spans="1:41" ht="18" customHeight="1" x14ac:dyDescent="0.25">
      <c r="B13" s="13" t="s">
        <v>22</v>
      </c>
      <c r="C13" s="46" t="s">
        <v>0</v>
      </c>
      <c r="D13" s="46" t="s">
        <v>24</v>
      </c>
      <c r="E13" s="46" t="s">
        <v>25</v>
      </c>
      <c r="F13" s="50" t="s">
        <v>30</v>
      </c>
      <c r="G13" s="46" t="s">
        <v>23</v>
      </c>
      <c r="H13" s="46"/>
      <c r="I13" s="13" t="s">
        <v>22</v>
      </c>
      <c r="J13" s="46" t="s">
        <v>0</v>
      </c>
      <c r="K13" s="46" t="s">
        <v>95</v>
      </c>
      <c r="L13" s="46" t="s">
        <v>25</v>
      </c>
      <c r="M13" s="46" t="s">
        <v>30</v>
      </c>
      <c r="N13" s="46" t="s">
        <v>31</v>
      </c>
      <c r="P13" s="13" t="s">
        <v>26</v>
      </c>
      <c r="Q13" s="46" t="s">
        <v>0</v>
      </c>
      <c r="R13" s="46" t="s">
        <v>1</v>
      </c>
      <c r="S13" s="46" t="s">
        <v>25</v>
      </c>
      <c r="T13" s="46" t="s">
        <v>11</v>
      </c>
      <c r="U13" s="46" t="s">
        <v>23</v>
      </c>
      <c r="W13" s="51" t="s">
        <v>47</v>
      </c>
      <c r="X13" s="51"/>
      <c r="AG13" s="51" t="s">
        <v>85</v>
      </c>
      <c r="AH13" s="51"/>
    </row>
    <row r="14" spans="1:41" ht="18" customHeight="1" x14ac:dyDescent="0.25">
      <c r="C14" s="46"/>
      <c r="E14" s="11" t="str">
        <f>IF(D14&gt;0,D14*9.81,"")</f>
        <v/>
      </c>
      <c r="G14" s="36" t="str">
        <f>IFERROR(E14/F14,"")</f>
        <v/>
      </c>
      <c r="J14" s="46"/>
      <c r="L14" s="11" t="str">
        <f>IF(K14&lt;&gt;"",K14,"")</f>
        <v/>
      </c>
      <c r="N14" s="36" t="str">
        <f t="shared" ref="N14:N20" si="0">IF((L14= "")+(M14=""),"",L14/M14)</f>
        <v/>
      </c>
      <c r="Q14" s="46"/>
      <c r="S14" s="11" t="str">
        <f>IF(R14&lt;&gt;"",R14,"")</f>
        <v/>
      </c>
      <c r="U14" s="36" t="str">
        <f>IF((S14= "")+(T14=""),"",S14/T14)</f>
        <v/>
      </c>
      <c r="W14" s="47" t="s">
        <v>0</v>
      </c>
      <c r="X14" s="47" t="s">
        <v>106</v>
      </c>
      <c r="Y14" s="47" t="s">
        <v>107</v>
      </c>
      <c r="Z14" s="47" t="s">
        <v>1</v>
      </c>
      <c r="AA14" s="47" t="s">
        <v>108</v>
      </c>
      <c r="AB14" s="47" t="s">
        <v>109</v>
      </c>
      <c r="AC14" s="47" t="s">
        <v>110</v>
      </c>
      <c r="AD14" s="47" t="s">
        <v>111</v>
      </c>
      <c r="AE14" s="47" t="s">
        <v>112</v>
      </c>
      <c r="AG14" s="47" t="s">
        <v>0</v>
      </c>
      <c r="AH14" s="47" t="s">
        <v>106</v>
      </c>
      <c r="AI14" s="47" t="s">
        <v>107</v>
      </c>
      <c r="AJ14" s="47" t="s">
        <v>1</v>
      </c>
      <c r="AK14" s="47" t="s">
        <v>108</v>
      </c>
      <c r="AL14" s="47" t="s">
        <v>109</v>
      </c>
      <c r="AM14" s="47" t="s">
        <v>110</v>
      </c>
      <c r="AN14" s="47" t="s">
        <v>111</v>
      </c>
      <c r="AO14" s="47" t="s">
        <v>112</v>
      </c>
    </row>
    <row r="15" spans="1:41" ht="18" customHeight="1" x14ac:dyDescent="0.25">
      <c r="C15" s="46"/>
      <c r="E15" s="11" t="str">
        <f t="shared" ref="E15:E78" si="1">IF(D15&gt;0,D15*9.81,"")</f>
        <v/>
      </c>
      <c r="G15" s="36" t="str">
        <f t="shared" ref="G15:G78" si="2">IFERROR(E15/F15,"")</f>
        <v/>
      </c>
      <c r="J15" s="46"/>
      <c r="L15" s="11" t="str">
        <f>IF(K15-K14&gt;0,K15-K14,"")</f>
        <v/>
      </c>
      <c r="N15" s="36" t="str">
        <f t="shared" si="0"/>
        <v/>
      </c>
      <c r="Q15" s="46"/>
      <c r="S15" s="11" t="str">
        <f>IF(R15-R14&gt;0,R15-R14,"")</f>
        <v/>
      </c>
      <c r="U15" s="36" t="str">
        <f t="shared" ref="U15:U78" si="3">IF((S15= "")+(T15=""),"",S15/T15)</f>
        <v/>
      </c>
      <c r="W15" s="46" t="s">
        <v>9</v>
      </c>
      <c r="X15" s="11" t="s">
        <v>2</v>
      </c>
      <c r="Y15" s="46" t="s">
        <v>3</v>
      </c>
      <c r="Z15" s="14">
        <v>5097.51</v>
      </c>
      <c r="AA15" s="11">
        <v>0</v>
      </c>
      <c r="AB15" s="11">
        <v>0</v>
      </c>
      <c r="AC15" s="11">
        <v>-0.01</v>
      </c>
      <c r="AD15" s="11">
        <v>-43881.667999999998</v>
      </c>
      <c r="AE15" s="11">
        <v>-34125.745999999999</v>
      </c>
      <c r="AG15" s="46" t="s">
        <v>9</v>
      </c>
      <c r="AH15" s="11" t="s">
        <v>4</v>
      </c>
      <c r="AI15" s="46" t="s">
        <v>3</v>
      </c>
      <c r="AJ15" s="11">
        <v>0</v>
      </c>
      <c r="AK15" s="14">
        <v>782.6</v>
      </c>
      <c r="AL15" s="14">
        <v>9.15</v>
      </c>
      <c r="AM15" s="11">
        <v>7558.3220000000001</v>
      </c>
      <c r="AN15" s="11">
        <v>178.2</v>
      </c>
      <c r="AO15" s="11">
        <v>19810.992999999999</v>
      </c>
    </row>
    <row r="16" spans="1:41" ht="18" customHeight="1" x14ac:dyDescent="0.25">
      <c r="C16" s="46"/>
      <c r="E16" s="11" t="str">
        <f t="shared" si="1"/>
        <v/>
      </c>
      <c r="G16" s="36" t="str">
        <f t="shared" si="2"/>
        <v/>
      </c>
      <c r="J16" s="46"/>
      <c r="L16" s="11" t="str">
        <f t="shared" ref="L16:L79" si="4">IF(K16-K15&gt;0,K16-K15,"")</f>
        <v/>
      </c>
      <c r="N16" s="36" t="str">
        <f t="shared" si="0"/>
        <v/>
      </c>
      <c r="Q16" s="46"/>
      <c r="S16" s="11" t="str">
        <f t="shared" ref="S16:S27" si="5">IF(R16-R15&gt;0,R16-R15,"")</f>
        <v/>
      </c>
      <c r="U16" s="36" t="str">
        <f t="shared" si="3"/>
        <v/>
      </c>
      <c r="W16" s="46" t="s">
        <v>9</v>
      </c>
      <c r="X16" s="11" t="s">
        <v>13</v>
      </c>
      <c r="Y16" s="46" t="s">
        <v>3</v>
      </c>
      <c r="Z16" s="11">
        <v>0</v>
      </c>
      <c r="AA16" s="14">
        <v>-926.37</v>
      </c>
      <c r="AB16" s="11">
        <v>0</v>
      </c>
      <c r="AC16" s="11">
        <v>-8796.6489999999994</v>
      </c>
      <c r="AD16" s="11">
        <v>-1.25</v>
      </c>
      <c r="AE16" s="11">
        <v>-23740.767</v>
      </c>
      <c r="AG16" s="46" t="s">
        <v>9</v>
      </c>
      <c r="AH16" s="11" t="s">
        <v>5</v>
      </c>
      <c r="AI16" s="46" t="s">
        <v>3</v>
      </c>
      <c r="AJ16" s="11">
        <v>0</v>
      </c>
      <c r="AK16" s="14">
        <v>9.17</v>
      </c>
      <c r="AL16" s="14">
        <v>768.48</v>
      </c>
      <c r="AM16" s="11">
        <v>5651.2070000000003</v>
      </c>
      <c r="AN16" s="11">
        <v>19235.355</v>
      </c>
      <c r="AO16" s="11">
        <v>174.50399999999999</v>
      </c>
    </row>
    <row r="17" spans="3:41" ht="18" customHeight="1" x14ac:dyDescent="0.25">
      <c r="C17" s="46"/>
      <c r="E17" s="11" t="str">
        <f t="shared" si="1"/>
        <v/>
      </c>
      <c r="G17" s="36" t="str">
        <f t="shared" si="2"/>
        <v/>
      </c>
      <c r="J17" s="46"/>
      <c r="L17" s="11" t="str">
        <f t="shared" si="4"/>
        <v/>
      </c>
      <c r="N17" s="36" t="str">
        <f t="shared" si="0"/>
        <v/>
      </c>
      <c r="Q17" s="46"/>
      <c r="S17" s="11" t="str">
        <f t="shared" si="5"/>
        <v/>
      </c>
      <c r="U17" s="36" t="str">
        <f t="shared" si="3"/>
        <v/>
      </c>
      <c r="W17" s="46" t="s">
        <v>9</v>
      </c>
      <c r="X17" s="11" t="s">
        <v>12</v>
      </c>
      <c r="Y17" s="46" t="s">
        <v>3</v>
      </c>
      <c r="Z17" s="11">
        <v>0</v>
      </c>
      <c r="AA17" s="14">
        <v>-926.37</v>
      </c>
      <c r="AB17" s="11">
        <v>0</v>
      </c>
      <c r="AC17" s="11">
        <v>-7331.8689999999997</v>
      </c>
      <c r="AD17" s="11">
        <v>-0.248</v>
      </c>
      <c r="AE17" s="11">
        <v>-23741.65</v>
      </c>
      <c r="AG17" s="46" t="s">
        <v>9</v>
      </c>
      <c r="AH17" s="11" t="s">
        <v>6</v>
      </c>
      <c r="AI17" s="46" t="s">
        <v>3</v>
      </c>
      <c r="AJ17" s="11">
        <v>611.70000000000005</v>
      </c>
      <c r="AK17" s="11">
        <v>0</v>
      </c>
      <c r="AL17" s="11">
        <v>0</v>
      </c>
      <c r="AM17" s="11">
        <v>-1E-3</v>
      </c>
      <c r="AN17" s="11">
        <v>-5265.8</v>
      </c>
      <c r="AO17" s="11">
        <v>-4095.09</v>
      </c>
    </row>
    <row r="18" spans="3:41" ht="18" customHeight="1" x14ac:dyDescent="0.25">
      <c r="C18" s="46"/>
      <c r="E18" s="11" t="str">
        <f t="shared" si="1"/>
        <v/>
      </c>
      <c r="G18" s="36" t="str">
        <f t="shared" si="2"/>
        <v/>
      </c>
      <c r="J18" s="46"/>
      <c r="L18" s="11" t="str">
        <f t="shared" si="4"/>
        <v/>
      </c>
      <c r="N18" s="36" t="str">
        <f t="shared" si="0"/>
        <v/>
      </c>
      <c r="Q18" s="46"/>
      <c r="S18" s="11" t="str">
        <f t="shared" si="5"/>
        <v/>
      </c>
      <c r="U18" s="36" t="str">
        <f t="shared" si="3"/>
        <v/>
      </c>
      <c r="W18" s="46" t="s">
        <v>9</v>
      </c>
      <c r="X18" s="11" t="s">
        <v>15</v>
      </c>
      <c r="Y18" s="46" t="s">
        <v>3</v>
      </c>
      <c r="Z18" s="11">
        <v>0</v>
      </c>
      <c r="AA18" s="11">
        <v>0</v>
      </c>
      <c r="AB18" s="14">
        <v>-966.43</v>
      </c>
      <c r="AC18" s="11">
        <v>-5706.1059999999998</v>
      </c>
      <c r="AD18" s="11">
        <v>24840.981</v>
      </c>
      <c r="AE18" s="11">
        <v>-0.222</v>
      </c>
      <c r="AG18" s="46" t="s">
        <v>9</v>
      </c>
      <c r="AH18" s="11" t="s">
        <v>13</v>
      </c>
      <c r="AI18" s="46" t="s">
        <v>3</v>
      </c>
      <c r="AJ18" s="11">
        <v>0</v>
      </c>
      <c r="AK18" s="14">
        <v>-926.37</v>
      </c>
      <c r="AL18" s="11">
        <v>0</v>
      </c>
      <c r="AM18" s="11">
        <v>-8796.6489999999994</v>
      </c>
      <c r="AN18" s="11">
        <v>-1.25</v>
      </c>
      <c r="AO18" s="11">
        <v>-23740.767</v>
      </c>
    </row>
    <row r="19" spans="3:41" ht="18" customHeight="1" x14ac:dyDescent="0.25">
      <c r="C19" s="46"/>
      <c r="E19" s="11" t="str">
        <f t="shared" si="1"/>
        <v/>
      </c>
      <c r="G19" s="36" t="str">
        <f t="shared" si="2"/>
        <v/>
      </c>
      <c r="J19" s="46"/>
      <c r="L19" s="11" t="str">
        <f t="shared" si="4"/>
        <v/>
      </c>
      <c r="N19" s="36" t="str">
        <f t="shared" si="0"/>
        <v/>
      </c>
      <c r="Q19" s="46"/>
      <c r="S19" s="11" t="str">
        <f t="shared" si="5"/>
        <v/>
      </c>
      <c r="U19" s="36" t="str">
        <f t="shared" si="3"/>
        <v/>
      </c>
      <c r="W19" s="46" t="s">
        <v>9</v>
      </c>
      <c r="X19" s="11" t="s">
        <v>14</v>
      </c>
      <c r="Y19" s="46" t="s">
        <v>3</v>
      </c>
      <c r="Z19" s="11">
        <v>0</v>
      </c>
      <c r="AA19" s="11">
        <v>0</v>
      </c>
      <c r="AB19" s="14">
        <v>-966.43</v>
      </c>
      <c r="AC19" s="11">
        <v>-7200.1670000000004</v>
      </c>
      <c r="AD19" s="11">
        <v>24839.948</v>
      </c>
      <c r="AE19" s="11">
        <v>0.69</v>
      </c>
      <c r="AG19" s="46" t="s">
        <v>9</v>
      </c>
      <c r="AH19" s="11" t="s">
        <v>12</v>
      </c>
      <c r="AI19" s="46" t="s">
        <v>3</v>
      </c>
      <c r="AJ19" s="11">
        <v>0</v>
      </c>
      <c r="AK19" s="14">
        <v>-926.37</v>
      </c>
      <c r="AL19" s="11">
        <v>0</v>
      </c>
      <c r="AM19" s="11">
        <v>-7331.8689999999997</v>
      </c>
      <c r="AN19" s="11">
        <v>-0.248</v>
      </c>
      <c r="AO19" s="11">
        <v>-23741.65</v>
      </c>
    </row>
    <row r="20" spans="3:41" ht="18" customHeight="1" x14ac:dyDescent="0.25">
      <c r="C20" s="46"/>
      <c r="E20" s="11" t="str">
        <f t="shared" si="1"/>
        <v/>
      </c>
      <c r="G20" s="36" t="str">
        <f t="shared" si="2"/>
        <v/>
      </c>
      <c r="J20" s="46"/>
      <c r="L20" s="11" t="str">
        <f t="shared" si="4"/>
        <v/>
      </c>
      <c r="N20" s="36" t="str">
        <f t="shared" si="0"/>
        <v/>
      </c>
      <c r="Q20" s="46"/>
      <c r="S20" s="11" t="str">
        <f t="shared" si="5"/>
        <v/>
      </c>
      <c r="U20" s="36" t="str">
        <f t="shared" si="3"/>
        <v/>
      </c>
      <c r="AG20" s="46" t="s">
        <v>9</v>
      </c>
      <c r="AH20" s="11" t="s">
        <v>15</v>
      </c>
      <c r="AI20" s="46" t="s">
        <v>3</v>
      </c>
      <c r="AJ20" s="11">
        <v>0</v>
      </c>
      <c r="AK20" s="11">
        <v>0</v>
      </c>
      <c r="AL20" s="14">
        <v>-966.43</v>
      </c>
      <c r="AM20" s="11">
        <v>-5706.1059999999998</v>
      </c>
      <c r="AN20" s="11">
        <v>24840.981</v>
      </c>
      <c r="AO20" s="11">
        <v>-0.222</v>
      </c>
    </row>
    <row r="21" spans="3:41" ht="18" customHeight="1" x14ac:dyDescent="0.25">
      <c r="C21" s="46"/>
      <c r="E21" s="11" t="str">
        <f t="shared" si="1"/>
        <v/>
      </c>
      <c r="G21" s="36" t="str">
        <f t="shared" si="2"/>
        <v/>
      </c>
      <c r="J21" s="46"/>
      <c r="L21" s="11" t="str">
        <f t="shared" si="4"/>
        <v/>
      </c>
      <c r="N21" s="36" t="str">
        <f>IF((L21= "")+(M21=""),"",L21/M21)</f>
        <v/>
      </c>
      <c r="Q21" s="46"/>
      <c r="S21" s="11" t="str">
        <f t="shared" si="5"/>
        <v/>
      </c>
      <c r="U21" s="36" t="str">
        <f t="shared" si="3"/>
        <v/>
      </c>
      <c r="AG21" s="46" t="s">
        <v>9</v>
      </c>
      <c r="AH21" s="11" t="s">
        <v>14</v>
      </c>
      <c r="AI21" s="46" t="s">
        <v>3</v>
      </c>
      <c r="AJ21" s="11">
        <v>0</v>
      </c>
      <c r="AK21" s="11">
        <v>0</v>
      </c>
      <c r="AL21" s="14">
        <v>-966.43</v>
      </c>
      <c r="AM21" s="11">
        <v>-7200.1670000000004</v>
      </c>
      <c r="AN21" s="11">
        <v>24839.948</v>
      </c>
      <c r="AO21" s="11">
        <v>0.69</v>
      </c>
    </row>
    <row r="22" spans="3:41" ht="18" customHeight="1" x14ac:dyDescent="0.25">
      <c r="C22" s="46"/>
      <c r="E22" s="11" t="str">
        <f t="shared" si="1"/>
        <v/>
      </c>
      <c r="G22" s="36" t="str">
        <f t="shared" si="2"/>
        <v/>
      </c>
      <c r="J22" s="46"/>
      <c r="L22" s="11" t="str">
        <f t="shared" si="4"/>
        <v/>
      </c>
      <c r="N22" s="36" t="str">
        <f t="shared" ref="N22:N85" si="6">IF((L22= "")+(M22=""),"",L22/M22)</f>
        <v/>
      </c>
      <c r="Q22" s="46"/>
      <c r="S22" s="11" t="str">
        <f t="shared" si="5"/>
        <v/>
      </c>
      <c r="U22" s="36" t="str">
        <f t="shared" si="3"/>
        <v/>
      </c>
      <c r="AG22" s="46" t="s">
        <v>9</v>
      </c>
      <c r="AH22" s="11" t="s">
        <v>7</v>
      </c>
      <c r="AI22" s="46" t="s">
        <v>3</v>
      </c>
      <c r="AJ22" s="11">
        <v>0</v>
      </c>
      <c r="AK22" s="14">
        <v>988.36</v>
      </c>
      <c r="AL22" s="14">
        <v>11.55</v>
      </c>
      <c r="AM22" s="11">
        <v>9545.5259999999998</v>
      </c>
      <c r="AN22" s="11">
        <v>225.05099999999999</v>
      </c>
      <c r="AO22" s="11">
        <v>25019.62</v>
      </c>
    </row>
    <row r="23" spans="3:41" ht="18" customHeight="1" x14ac:dyDescent="0.25">
      <c r="C23" s="46"/>
      <c r="E23" s="11" t="str">
        <f t="shared" si="1"/>
        <v/>
      </c>
      <c r="G23" s="36" t="str">
        <f t="shared" si="2"/>
        <v/>
      </c>
      <c r="J23" s="46"/>
      <c r="L23" s="11" t="str">
        <f t="shared" si="4"/>
        <v/>
      </c>
      <c r="N23" s="36" t="str">
        <f t="shared" si="6"/>
        <v/>
      </c>
      <c r="Q23" s="46"/>
      <c r="S23" s="11" t="str">
        <f t="shared" si="5"/>
        <v/>
      </c>
      <c r="U23" s="36" t="str">
        <f t="shared" si="3"/>
        <v/>
      </c>
      <c r="AG23" s="46" t="s">
        <v>9</v>
      </c>
      <c r="AH23" s="11" t="s">
        <v>8</v>
      </c>
      <c r="AI23" s="46" t="s">
        <v>3</v>
      </c>
      <c r="AJ23" s="11">
        <v>0</v>
      </c>
      <c r="AK23" s="14">
        <v>11.3</v>
      </c>
      <c r="AL23" s="14">
        <v>947.09</v>
      </c>
      <c r="AM23" s="11">
        <v>6964.6549999999997</v>
      </c>
      <c r="AN23" s="11">
        <v>23706.017</v>
      </c>
      <c r="AO23" s="11">
        <v>215.06200000000001</v>
      </c>
    </row>
    <row r="24" spans="3:41" ht="18" customHeight="1" x14ac:dyDescent="0.25">
      <c r="C24" s="46"/>
      <c r="E24" s="11" t="str">
        <f t="shared" si="1"/>
        <v/>
      </c>
      <c r="G24" s="36" t="str">
        <f t="shared" si="2"/>
        <v/>
      </c>
      <c r="J24" s="46"/>
      <c r="L24" s="11" t="str">
        <f t="shared" si="4"/>
        <v/>
      </c>
      <c r="N24" s="36" t="str">
        <f t="shared" si="6"/>
        <v/>
      </c>
      <c r="Q24" s="46"/>
      <c r="S24" s="11" t="str">
        <f t="shared" si="5"/>
        <v/>
      </c>
      <c r="U24" s="36" t="str">
        <f t="shared" si="3"/>
        <v/>
      </c>
    </row>
    <row r="25" spans="3:41" ht="18" customHeight="1" x14ac:dyDescent="0.25">
      <c r="C25" s="46"/>
      <c r="E25" s="11" t="str">
        <f t="shared" si="1"/>
        <v/>
      </c>
      <c r="G25" s="36" t="str">
        <f t="shared" si="2"/>
        <v/>
      </c>
      <c r="J25" s="46"/>
      <c r="L25" s="11" t="str">
        <f t="shared" si="4"/>
        <v/>
      </c>
      <c r="N25" s="36" t="str">
        <f t="shared" si="6"/>
        <v/>
      </c>
      <c r="Q25" s="46"/>
      <c r="S25" s="11" t="str">
        <f t="shared" si="5"/>
        <v/>
      </c>
      <c r="U25" s="36" t="str">
        <f t="shared" si="3"/>
        <v/>
      </c>
    </row>
    <row r="26" spans="3:41" ht="18" customHeight="1" x14ac:dyDescent="0.25">
      <c r="C26" s="46"/>
      <c r="E26" s="11" t="str">
        <f t="shared" si="1"/>
        <v/>
      </c>
      <c r="G26" s="36" t="str">
        <f t="shared" si="2"/>
        <v/>
      </c>
      <c r="J26" s="46"/>
      <c r="L26" s="11" t="str">
        <f t="shared" si="4"/>
        <v/>
      </c>
      <c r="N26" s="36" t="str">
        <f t="shared" si="6"/>
        <v/>
      </c>
      <c r="Q26" s="46"/>
      <c r="S26" s="11" t="str">
        <f t="shared" si="5"/>
        <v/>
      </c>
      <c r="U26" s="36" t="str">
        <f t="shared" si="3"/>
        <v/>
      </c>
    </row>
    <row r="27" spans="3:41" ht="18" customHeight="1" x14ac:dyDescent="0.25">
      <c r="C27" s="46"/>
      <c r="E27" s="11" t="str">
        <f t="shared" si="1"/>
        <v/>
      </c>
      <c r="G27" s="36" t="str">
        <f t="shared" si="2"/>
        <v/>
      </c>
      <c r="J27" s="46"/>
      <c r="L27" s="11" t="str">
        <f t="shared" si="4"/>
        <v/>
      </c>
      <c r="N27" s="36" t="str">
        <f t="shared" si="6"/>
        <v/>
      </c>
      <c r="Q27" s="46"/>
      <c r="S27" s="11" t="str">
        <f t="shared" si="5"/>
        <v/>
      </c>
      <c r="U27" s="36" t="str">
        <f t="shared" si="3"/>
        <v/>
      </c>
    </row>
    <row r="28" spans="3:41" ht="18" customHeight="1" x14ac:dyDescent="0.25">
      <c r="C28" s="46"/>
      <c r="E28" s="11" t="str">
        <f t="shared" si="1"/>
        <v/>
      </c>
      <c r="G28" s="36" t="str">
        <f t="shared" si="2"/>
        <v/>
      </c>
      <c r="J28" s="46"/>
      <c r="L28" s="11" t="str">
        <f t="shared" si="4"/>
        <v/>
      </c>
      <c r="N28" s="36" t="str">
        <f t="shared" si="6"/>
        <v/>
      </c>
      <c r="Q28" s="46"/>
      <c r="S28" s="11" t="str">
        <f t="shared" ref="S28:S79" si="7">IF(R28-R27&gt;0,R28-R27,"")</f>
        <v/>
      </c>
      <c r="U28" s="36" t="str">
        <f t="shared" si="3"/>
        <v/>
      </c>
    </row>
    <row r="29" spans="3:41" ht="18" customHeight="1" x14ac:dyDescent="0.25">
      <c r="C29" s="46"/>
      <c r="E29" s="11" t="str">
        <f t="shared" si="1"/>
        <v/>
      </c>
      <c r="G29" s="36" t="str">
        <f t="shared" si="2"/>
        <v/>
      </c>
      <c r="J29" s="46"/>
      <c r="L29" s="11" t="str">
        <f t="shared" si="4"/>
        <v/>
      </c>
      <c r="N29" s="36" t="str">
        <f t="shared" si="6"/>
        <v/>
      </c>
      <c r="Q29" s="46"/>
      <c r="S29" s="11" t="str">
        <f t="shared" si="7"/>
        <v/>
      </c>
      <c r="U29" s="36" t="str">
        <f t="shared" si="3"/>
        <v/>
      </c>
    </row>
    <row r="30" spans="3:41" ht="18" customHeight="1" x14ac:dyDescent="0.25">
      <c r="C30" s="46"/>
      <c r="E30" s="11" t="str">
        <f t="shared" si="1"/>
        <v/>
      </c>
      <c r="G30" s="36" t="str">
        <f t="shared" si="2"/>
        <v/>
      </c>
      <c r="J30" s="46"/>
      <c r="L30" s="11" t="str">
        <f t="shared" si="4"/>
        <v/>
      </c>
      <c r="N30" s="36" t="str">
        <f t="shared" si="6"/>
        <v/>
      </c>
      <c r="Q30" s="46"/>
      <c r="S30" s="11" t="str">
        <f t="shared" si="7"/>
        <v/>
      </c>
      <c r="U30" s="36" t="str">
        <f t="shared" si="3"/>
        <v/>
      </c>
    </row>
    <row r="31" spans="3:41" ht="18" customHeight="1" x14ac:dyDescent="0.25">
      <c r="C31" s="46"/>
      <c r="E31" s="11" t="str">
        <f t="shared" si="1"/>
        <v/>
      </c>
      <c r="G31" s="36" t="str">
        <f t="shared" si="2"/>
        <v/>
      </c>
      <c r="J31" s="46"/>
      <c r="L31" s="11" t="str">
        <f t="shared" si="4"/>
        <v/>
      </c>
      <c r="N31" s="36" t="str">
        <f t="shared" si="6"/>
        <v/>
      </c>
      <c r="Q31" s="46"/>
      <c r="S31" s="11" t="str">
        <f t="shared" si="7"/>
        <v/>
      </c>
      <c r="U31" s="36" t="str">
        <f t="shared" si="3"/>
        <v/>
      </c>
    </row>
    <row r="32" spans="3:41" ht="18" customHeight="1" x14ac:dyDescent="0.25">
      <c r="C32" s="46"/>
      <c r="E32" s="11" t="str">
        <f t="shared" si="1"/>
        <v/>
      </c>
      <c r="G32" s="36" t="str">
        <f t="shared" si="2"/>
        <v/>
      </c>
      <c r="J32" s="46"/>
      <c r="L32" s="11" t="str">
        <f t="shared" si="4"/>
        <v/>
      </c>
      <c r="N32" s="36" t="str">
        <f t="shared" si="6"/>
        <v/>
      </c>
      <c r="Q32" s="46"/>
      <c r="S32" s="11" t="str">
        <f t="shared" si="7"/>
        <v/>
      </c>
      <c r="U32" s="36" t="str">
        <f t="shared" si="3"/>
        <v/>
      </c>
    </row>
    <row r="33" spans="3:21" ht="18" customHeight="1" x14ac:dyDescent="0.25">
      <c r="C33" s="46"/>
      <c r="E33" s="11" t="str">
        <f t="shared" si="1"/>
        <v/>
      </c>
      <c r="G33" s="36" t="str">
        <f t="shared" si="2"/>
        <v/>
      </c>
      <c r="J33" s="46"/>
      <c r="L33" s="11" t="str">
        <f t="shared" si="4"/>
        <v/>
      </c>
      <c r="N33" s="36" t="str">
        <f t="shared" si="6"/>
        <v/>
      </c>
      <c r="Q33" s="46"/>
      <c r="S33" s="11" t="str">
        <f t="shared" si="7"/>
        <v/>
      </c>
      <c r="U33" s="36" t="str">
        <f t="shared" si="3"/>
        <v/>
      </c>
    </row>
    <row r="34" spans="3:21" ht="18" customHeight="1" x14ac:dyDescent="0.25">
      <c r="C34" s="46"/>
      <c r="E34" s="11" t="str">
        <f t="shared" si="1"/>
        <v/>
      </c>
      <c r="G34" s="36" t="str">
        <f t="shared" si="2"/>
        <v/>
      </c>
      <c r="J34" s="46"/>
      <c r="L34" s="11" t="str">
        <f t="shared" si="4"/>
        <v/>
      </c>
      <c r="N34" s="36" t="str">
        <f t="shared" si="6"/>
        <v/>
      </c>
      <c r="Q34" s="46"/>
      <c r="S34" s="11" t="str">
        <f t="shared" si="7"/>
        <v/>
      </c>
      <c r="U34" s="36" t="str">
        <f t="shared" si="3"/>
        <v/>
      </c>
    </row>
    <row r="35" spans="3:21" ht="18" customHeight="1" x14ac:dyDescent="0.25">
      <c r="C35" s="46"/>
      <c r="E35" s="11" t="str">
        <f t="shared" si="1"/>
        <v/>
      </c>
      <c r="G35" s="36" t="str">
        <f t="shared" si="2"/>
        <v/>
      </c>
      <c r="J35" s="46"/>
      <c r="L35" s="11" t="str">
        <f t="shared" si="4"/>
        <v/>
      </c>
      <c r="N35" s="36" t="str">
        <f t="shared" si="6"/>
        <v/>
      </c>
      <c r="Q35" s="46"/>
      <c r="S35" s="11" t="str">
        <f t="shared" si="7"/>
        <v/>
      </c>
      <c r="U35" s="36" t="str">
        <f t="shared" si="3"/>
        <v/>
      </c>
    </row>
    <row r="36" spans="3:21" ht="18" customHeight="1" x14ac:dyDescent="0.25">
      <c r="C36" s="46"/>
      <c r="E36" s="11" t="str">
        <f t="shared" si="1"/>
        <v/>
      </c>
      <c r="G36" s="36" t="str">
        <f t="shared" si="2"/>
        <v/>
      </c>
      <c r="J36" s="46"/>
      <c r="L36" s="11" t="str">
        <f t="shared" si="4"/>
        <v/>
      </c>
      <c r="N36" s="36" t="str">
        <f t="shared" si="6"/>
        <v/>
      </c>
      <c r="Q36" s="46"/>
      <c r="S36" s="11" t="str">
        <f t="shared" si="7"/>
        <v/>
      </c>
      <c r="U36" s="36" t="str">
        <f t="shared" si="3"/>
        <v/>
      </c>
    </row>
    <row r="37" spans="3:21" ht="18" customHeight="1" x14ac:dyDescent="0.25">
      <c r="C37" s="46"/>
      <c r="E37" s="11" t="str">
        <f t="shared" si="1"/>
        <v/>
      </c>
      <c r="G37" s="36" t="str">
        <f t="shared" si="2"/>
        <v/>
      </c>
      <c r="J37" s="46"/>
      <c r="L37" s="11" t="str">
        <f t="shared" si="4"/>
        <v/>
      </c>
      <c r="N37" s="36" t="str">
        <f t="shared" si="6"/>
        <v/>
      </c>
      <c r="Q37" s="46"/>
      <c r="S37" s="11" t="str">
        <f t="shared" si="7"/>
        <v/>
      </c>
      <c r="U37" s="36" t="str">
        <f t="shared" si="3"/>
        <v/>
      </c>
    </row>
    <row r="38" spans="3:21" ht="18" customHeight="1" x14ac:dyDescent="0.25">
      <c r="C38" s="46"/>
      <c r="E38" s="11" t="str">
        <f t="shared" si="1"/>
        <v/>
      </c>
      <c r="G38" s="36" t="str">
        <f t="shared" si="2"/>
        <v/>
      </c>
      <c r="J38" s="46"/>
      <c r="L38" s="11" t="str">
        <f t="shared" si="4"/>
        <v/>
      </c>
      <c r="N38" s="36" t="str">
        <f t="shared" si="6"/>
        <v/>
      </c>
      <c r="Q38" s="46"/>
      <c r="S38" s="11" t="str">
        <f t="shared" si="7"/>
        <v/>
      </c>
      <c r="U38" s="36" t="str">
        <f t="shared" si="3"/>
        <v/>
      </c>
    </row>
    <row r="39" spans="3:21" ht="18" customHeight="1" x14ac:dyDescent="0.25">
      <c r="C39" s="46"/>
      <c r="E39" s="11" t="str">
        <f t="shared" si="1"/>
        <v/>
      </c>
      <c r="G39" s="36" t="str">
        <f t="shared" si="2"/>
        <v/>
      </c>
      <c r="J39" s="46"/>
      <c r="L39" s="11" t="str">
        <f t="shared" si="4"/>
        <v/>
      </c>
      <c r="N39" s="36" t="str">
        <f t="shared" si="6"/>
        <v/>
      </c>
      <c r="Q39" s="46"/>
      <c r="S39" s="11" t="str">
        <f t="shared" si="7"/>
        <v/>
      </c>
      <c r="U39" s="36" t="str">
        <f t="shared" si="3"/>
        <v/>
      </c>
    </row>
    <row r="40" spans="3:21" ht="18" customHeight="1" x14ac:dyDescent="0.25">
      <c r="C40" s="46"/>
      <c r="E40" s="11" t="str">
        <f t="shared" si="1"/>
        <v/>
      </c>
      <c r="G40" s="36" t="str">
        <f t="shared" si="2"/>
        <v/>
      </c>
      <c r="J40" s="46"/>
      <c r="L40" s="11" t="str">
        <f t="shared" si="4"/>
        <v/>
      </c>
      <c r="N40" s="36" t="str">
        <f t="shared" si="6"/>
        <v/>
      </c>
      <c r="Q40" s="46"/>
      <c r="S40" s="11" t="str">
        <f t="shared" si="7"/>
        <v/>
      </c>
      <c r="U40" s="36" t="str">
        <f t="shared" si="3"/>
        <v/>
      </c>
    </row>
    <row r="41" spans="3:21" ht="18" customHeight="1" x14ac:dyDescent="0.25">
      <c r="C41" s="46"/>
      <c r="E41" s="11" t="str">
        <f t="shared" si="1"/>
        <v/>
      </c>
      <c r="G41" s="36" t="str">
        <f t="shared" si="2"/>
        <v/>
      </c>
      <c r="J41" s="46"/>
      <c r="L41" s="11" t="str">
        <f t="shared" si="4"/>
        <v/>
      </c>
      <c r="N41" s="36" t="str">
        <f t="shared" si="6"/>
        <v/>
      </c>
      <c r="Q41" s="46"/>
      <c r="S41" s="11" t="str">
        <f t="shared" si="7"/>
        <v/>
      </c>
      <c r="U41" s="36" t="str">
        <f t="shared" si="3"/>
        <v/>
      </c>
    </row>
    <row r="42" spans="3:21" ht="18" customHeight="1" x14ac:dyDescent="0.25">
      <c r="C42" s="46"/>
      <c r="E42" s="11" t="str">
        <f t="shared" si="1"/>
        <v/>
      </c>
      <c r="G42" s="36" t="str">
        <f t="shared" si="2"/>
        <v/>
      </c>
      <c r="J42" s="46"/>
      <c r="L42" s="11" t="str">
        <f t="shared" si="4"/>
        <v/>
      </c>
      <c r="N42" s="36" t="str">
        <f t="shared" si="6"/>
        <v/>
      </c>
      <c r="Q42" s="46"/>
      <c r="S42" s="11" t="str">
        <f t="shared" si="7"/>
        <v/>
      </c>
      <c r="U42" s="36" t="str">
        <f t="shared" si="3"/>
        <v/>
      </c>
    </row>
    <row r="43" spans="3:21" ht="18" customHeight="1" x14ac:dyDescent="0.25">
      <c r="C43" s="46"/>
      <c r="E43" s="11" t="str">
        <f t="shared" si="1"/>
        <v/>
      </c>
      <c r="G43" s="36" t="str">
        <f t="shared" si="2"/>
        <v/>
      </c>
      <c r="J43" s="46"/>
      <c r="L43" s="11" t="str">
        <f t="shared" si="4"/>
        <v/>
      </c>
      <c r="N43" s="36" t="str">
        <f t="shared" si="6"/>
        <v/>
      </c>
      <c r="Q43" s="46"/>
      <c r="S43" s="11" t="str">
        <f t="shared" si="7"/>
        <v/>
      </c>
      <c r="U43" s="36" t="str">
        <f t="shared" si="3"/>
        <v/>
      </c>
    </row>
    <row r="44" spans="3:21" ht="18" customHeight="1" x14ac:dyDescent="0.25">
      <c r="C44" s="46"/>
      <c r="E44" s="11" t="str">
        <f t="shared" si="1"/>
        <v/>
      </c>
      <c r="G44" s="36" t="str">
        <f t="shared" si="2"/>
        <v/>
      </c>
      <c r="J44" s="46"/>
      <c r="L44" s="11" t="str">
        <f t="shared" si="4"/>
        <v/>
      </c>
      <c r="N44" s="36" t="str">
        <f t="shared" si="6"/>
        <v/>
      </c>
      <c r="Q44" s="46"/>
      <c r="S44" s="11" t="str">
        <f t="shared" si="7"/>
        <v/>
      </c>
      <c r="U44" s="36" t="str">
        <f t="shared" si="3"/>
        <v/>
      </c>
    </row>
    <row r="45" spans="3:21" ht="18" customHeight="1" x14ac:dyDescent="0.25">
      <c r="C45" s="46"/>
      <c r="E45" s="11" t="str">
        <f t="shared" si="1"/>
        <v/>
      </c>
      <c r="G45" s="36" t="str">
        <f t="shared" si="2"/>
        <v/>
      </c>
      <c r="J45" s="46"/>
      <c r="L45" s="11" t="str">
        <f t="shared" si="4"/>
        <v/>
      </c>
      <c r="N45" s="36" t="str">
        <f t="shared" si="6"/>
        <v/>
      </c>
      <c r="Q45" s="46"/>
      <c r="S45" s="11" t="str">
        <f t="shared" si="7"/>
        <v/>
      </c>
      <c r="U45" s="36" t="str">
        <f t="shared" si="3"/>
        <v/>
      </c>
    </row>
    <row r="46" spans="3:21" ht="18" customHeight="1" x14ac:dyDescent="0.25">
      <c r="C46" s="46"/>
      <c r="E46" s="11" t="str">
        <f t="shared" si="1"/>
        <v/>
      </c>
      <c r="G46" s="36" t="str">
        <f t="shared" si="2"/>
        <v/>
      </c>
      <c r="J46" s="46"/>
      <c r="L46" s="11" t="str">
        <f t="shared" si="4"/>
        <v/>
      </c>
      <c r="N46" s="36" t="str">
        <f t="shared" si="6"/>
        <v/>
      </c>
      <c r="Q46" s="46"/>
      <c r="S46" s="11" t="str">
        <f t="shared" si="7"/>
        <v/>
      </c>
      <c r="U46" s="36" t="str">
        <f t="shared" si="3"/>
        <v/>
      </c>
    </row>
    <row r="47" spans="3:21" ht="18" customHeight="1" x14ac:dyDescent="0.25">
      <c r="C47" s="46"/>
      <c r="E47" s="11" t="str">
        <f t="shared" si="1"/>
        <v/>
      </c>
      <c r="G47" s="36" t="str">
        <f t="shared" si="2"/>
        <v/>
      </c>
      <c r="J47" s="46"/>
      <c r="L47" s="11" t="str">
        <f t="shared" si="4"/>
        <v/>
      </c>
      <c r="N47" s="36" t="str">
        <f t="shared" si="6"/>
        <v/>
      </c>
      <c r="Q47" s="46"/>
      <c r="S47" s="11" t="str">
        <f t="shared" si="7"/>
        <v/>
      </c>
      <c r="U47" s="36" t="str">
        <f t="shared" si="3"/>
        <v/>
      </c>
    </row>
    <row r="48" spans="3:21" ht="18" customHeight="1" x14ac:dyDescent="0.25">
      <c r="C48" s="46"/>
      <c r="E48" s="11" t="str">
        <f t="shared" si="1"/>
        <v/>
      </c>
      <c r="G48" s="36" t="str">
        <f t="shared" si="2"/>
        <v/>
      </c>
      <c r="J48" s="46"/>
      <c r="L48" s="11" t="str">
        <f t="shared" si="4"/>
        <v/>
      </c>
      <c r="N48" s="36" t="str">
        <f t="shared" si="6"/>
        <v/>
      </c>
      <c r="Q48" s="46"/>
      <c r="S48" s="11" t="str">
        <f t="shared" si="7"/>
        <v/>
      </c>
      <c r="U48" s="36" t="str">
        <f t="shared" si="3"/>
        <v/>
      </c>
    </row>
    <row r="49" spans="3:21" ht="18" customHeight="1" x14ac:dyDescent="0.25">
      <c r="C49" s="46"/>
      <c r="E49" s="11" t="str">
        <f t="shared" si="1"/>
        <v/>
      </c>
      <c r="G49" s="36" t="str">
        <f t="shared" si="2"/>
        <v/>
      </c>
      <c r="J49" s="46"/>
      <c r="L49" s="11" t="str">
        <f t="shared" si="4"/>
        <v/>
      </c>
      <c r="N49" s="36" t="str">
        <f t="shared" si="6"/>
        <v/>
      </c>
      <c r="Q49" s="46"/>
      <c r="S49" s="11" t="str">
        <f t="shared" si="7"/>
        <v/>
      </c>
      <c r="U49" s="36" t="str">
        <f t="shared" si="3"/>
        <v/>
      </c>
    </row>
    <row r="50" spans="3:21" ht="18" customHeight="1" x14ac:dyDescent="0.25">
      <c r="C50" s="46"/>
      <c r="E50" s="11" t="str">
        <f t="shared" si="1"/>
        <v/>
      </c>
      <c r="G50" s="36" t="str">
        <f t="shared" si="2"/>
        <v/>
      </c>
      <c r="J50" s="46"/>
      <c r="L50" s="11" t="str">
        <f t="shared" si="4"/>
        <v/>
      </c>
      <c r="N50" s="36" t="str">
        <f t="shared" si="6"/>
        <v/>
      </c>
      <c r="Q50" s="46"/>
      <c r="S50" s="11" t="str">
        <f t="shared" si="7"/>
        <v/>
      </c>
      <c r="U50" s="36" t="str">
        <f t="shared" si="3"/>
        <v/>
      </c>
    </row>
    <row r="51" spans="3:21" ht="18" customHeight="1" x14ac:dyDescent="0.25">
      <c r="C51" s="46"/>
      <c r="E51" s="11" t="str">
        <f t="shared" si="1"/>
        <v/>
      </c>
      <c r="G51" s="36" t="str">
        <f t="shared" si="2"/>
        <v/>
      </c>
      <c r="J51" s="46"/>
      <c r="L51" s="11" t="str">
        <f t="shared" si="4"/>
        <v/>
      </c>
      <c r="N51" s="36" t="str">
        <f t="shared" si="6"/>
        <v/>
      </c>
      <c r="Q51" s="46"/>
      <c r="S51" s="11" t="str">
        <f t="shared" si="7"/>
        <v/>
      </c>
      <c r="U51" s="36" t="str">
        <f t="shared" si="3"/>
        <v/>
      </c>
    </row>
    <row r="52" spans="3:21" ht="18" customHeight="1" x14ac:dyDescent="0.25">
      <c r="C52" s="46"/>
      <c r="E52" s="11" t="str">
        <f t="shared" si="1"/>
        <v/>
      </c>
      <c r="G52" s="36" t="str">
        <f t="shared" si="2"/>
        <v/>
      </c>
      <c r="J52" s="46"/>
      <c r="L52" s="11" t="str">
        <f t="shared" si="4"/>
        <v/>
      </c>
      <c r="N52" s="36" t="str">
        <f t="shared" si="6"/>
        <v/>
      </c>
      <c r="Q52" s="46"/>
      <c r="S52" s="11" t="str">
        <f t="shared" si="7"/>
        <v/>
      </c>
      <c r="U52" s="36" t="str">
        <f t="shared" si="3"/>
        <v/>
      </c>
    </row>
    <row r="53" spans="3:21" ht="18" customHeight="1" x14ac:dyDescent="0.25">
      <c r="C53" s="46"/>
      <c r="E53" s="11" t="str">
        <f t="shared" si="1"/>
        <v/>
      </c>
      <c r="G53" s="36" t="str">
        <f t="shared" si="2"/>
        <v/>
      </c>
      <c r="J53" s="46"/>
      <c r="L53" s="11" t="str">
        <f t="shared" si="4"/>
        <v/>
      </c>
      <c r="N53" s="36" t="str">
        <f t="shared" si="6"/>
        <v/>
      </c>
      <c r="Q53" s="46"/>
      <c r="S53" s="11" t="str">
        <f t="shared" si="7"/>
        <v/>
      </c>
      <c r="U53" s="36" t="str">
        <f t="shared" si="3"/>
        <v/>
      </c>
    </row>
    <row r="54" spans="3:21" ht="18" customHeight="1" x14ac:dyDescent="0.25">
      <c r="C54" s="46"/>
      <c r="E54" s="11" t="str">
        <f t="shared" si="1"/>
        <v/>
      </c>
      <c r="G54" s="36" t="str">
        <f t="shared" si="2"/>
        <v/>
      </c>
      <c r="J54" s="46"/>
      <c r="L54" s="11" t="str">
        <f t="shared" si="4"/>
        <v/>
      </c>
      <c r="N54" s="36" t="str">
        <f t="shared" si="6"/>
        <v/>
      </c>
      <c r="Q54" s="46"/>
      <c r="S54" s="11" t="str">
        <f t="shared" si="7"/>
        <v/>
      </c>
      <c r="U54" s="36" t="str">
        <f t="shared" si="3"/>
        <v/>
      </c>
    </row>
    <row r="55" spans="3:21" ht="18" customHeight="1" x14ac:dyDescent="0.25">
      <c r="C55" s="46"/>
      <c r="E55" s="11" t="str">
        <f t="shared" si="1"/>
        <v/>
      </c>
      <c r="G55" s="36" t="str">
        <f t="shared" si="2"/>
        <v/>
      </c>
      <c r="J55" s="46"/>
      <c r="L55" s="11" t="str">
        <f t="shared" si="4"/>
        <v/>
      </c>
      <c r="N55" s="36" t="str">
        <f t="shared" si="6"/>
        <v/>
      </c>
      <c r="Q55" s="46"/>
      <c r="S55" s="11" t="str">
        <f t="shared" si="7"/>
        <v/>
      </c>
      <c r="U55" s="36" t="str">
        <f t="shared" si="3"/>
        <v/>
      </c>
    </row>
    <row r="56" spans="3:21" ht="18" customHeight="1" x14ac:dyDescent="0.25">
      <c r="C56" s="46"/>
      <c r="E56" s="11" t="str">
        <f t="shared" si="1"/>
        <v/>
      </c>
      <c r="G56" s="36" t="str">
        <f t="shared" si="2"/>
        <v/>
      </c>
      <c r="J56" s="46"/>
      <c r="L56" s="11" t="str">
        <f t="shared" si="4"/>
        <v/>
      </c>
      <c r="N56" s="36" t="str">
        <f t="shared" si="6"/>
        <v/>
      </c>
      <c r="Q56" s="46"/>
      <c r="S56" s="11" t="str">
        <f t="shared" si="7"/>
        <v/>
      </c>
      <c r="U56" s="36" t="str">
        <f t="shared" si="3"/>
        <v/>
      </c>
    </row>
    <row r="57" spans="3:21" ht="18" customHeight="1" x14ac:dyDescent="0.25">
      <c r="C57" s="46"/>
      <c r="E57" s="11" t="str">
        <f t="shared" si="1"/>
        <v/>
      </c>
      <c r="G57" s="36" t="str">
        <f t="shared" si="2"/>
        <v/>
      </c>
      <c r="J57" s="46"/>
      <c r="L57" s="11" t="str">
        <f t="shared" si="4"/>
        <v/>
      </c>
      <c r="N57" s="36" t="str">
        <f t="shared" si="6"/>
        <v/>
      </c>
      <c r="Q57" s="46"/>
      <c r="S57" s="11" t="str">
        <f t="shared" si="7"/>
        <v/>
      </c>
      <c r="U57" s="36" t="str">
        <f t="shared" si="3"/>
        <v/>
      </c>
    </row>
    <row r="58" spans="3:21" ht="18" customHeight="1" x14ac:dyDescent="0.25">
      <c r="C58" s="46"/>
      <c r="E58" s="11" t="str">
        <f t="shared" si="1"/>
        <v/>
      </c>
      <c r="G58" s="36" t="str">
        <f t="shared" si="2"/>
        <v/>
      </c>
      <c r="J58" s="46"/>
      <c r="L58" s="11" t="str">
        <f t="shared" si="4"/>
        <v/>
      </c>
      <c r="N58" s="36" t="str">
        <f t="shared" si="6"/>
        <v/>
      </c>
      <c r="Q58" s="46"/>
      <c r="S58" s="11" t="str">
        <f t="shared" si="7"/>
        <v/>
      </c>
      <c r="U58" s="36" t="str">
        <f t="shared" si="3"/>
        <v/>
      </c>
    </row>
    <row r="59" spans="3:21" ht="18" customHeight="1" x14ac:dyDescent="0.25">
      <c r="C59" s="46"/>
      <c r="E59" s="11" t="str">
        <f t="shared" si="1"/>
        <v/>
      </c>
      <c r="G59" s="36" t="str">
        <f t="shared" si="2"/>
        <v/>
      </c>
      <c r="J59" s="46"/>
      <c r="L59" s="11" t="str">
        <f t="shared" si="4"/>
        <v/>
      </c>
      <c r="N59" s="36" t="str">
        <f t="shared" si="6"/>
        <v/>
      </c>
      <c r="Q59" s="46"/>
      <c r="S59" s="11" t="str">
        <f t="shared" si="7"/>
        <v/>
      </c>
      <c r="U59" s="36" t="str">
        <f t="shared" si="3"/>
        <v/>
      </c>
    </row>
    <row r="60" spans="3:21" ht="18" customHeight="1" x14ac:dyDescent="0.25">
      <c r="C60" s="46"/>
      <c r="E60" s="11" t="str">
        <f t="shared" si="1"/>
        <v/>
      </c>
      <c r="G60" s="36" t="str">
        <f t="shared" si="2"/>
        <v/>
      </c>
      <c r="J60" s="46"/>
      <c r="L60" s="11" t="str">
        <f t="shared" si="4"/>
        <v/>
      </c>
      <c r="N60" s="36" t="str">
        <f t="shared" si="6"/>
        <v/>
      </c>
      <c r="Q60" s="46"/>
      <c r="S60" s="11" t="str">
        <f t="shared" si="7"/>
        <v/>
      </c>
      <c r="U60" s="36" t="str">
        <f t="shared" si="3"/>
        <v/>
      </c>
    </row>
    <row r="61" spans="3:21" ht="18" customHeight="1" x14ac:dyDescent="0.25">
      <c r="C61" s="46"/>
      <c r="E61" s="11" t="str">
        <f t="shared" si="1"/>
        <v/>
      </c>
      <c r="G61" s="36" t="str">
        <f t="shared" si="2"/>
        <v/>
      </c>
      <c r="J61" s="46"/>
      <c r="L61" s="11" t="str">
        <f t="shared" si="4"/>
        <v/>
      </c>
      <c r="N61" s="36" t="str">
        <f t="shared" si="6"/>
        <v/>
      </c>
      <c r="Q61" s="46"/>
      <c r="S61" s="11" t="str">
        <f t="shared" si="7"/>
        <v/>
      </c>
      <c r="U61" s="36" t="str">
        <f t="shared" si="3"/>
        <v/>
      </c>
    </row>
    <row r="62" spans="3:21" ht="18" customHeight="1" x14ac:dyDescent="0.25">
      <c r="C62" s="46"/>
      <c r="E62" s="11" t="str">
        <f t="shared" si="1"/>
        <v/>
      </c>
      <c r="G62" s="36" t="str">
        <f t="shared" si="2"/>
        <v/>
      </c>
      <c r="J62" s="46"/>
      <c r="L62" s="11" t="str">
        <f t="shared" si="4"/>
        <v/>
      </c>
      <c r="N62" s="36" t="str">
        <f t="shared" si="6"/>
        <v/>
      </c>
      <c r="Q62" s="46"/>
      <c r="S62" s="11" t="str">
        <f t="shared" si="7"/>
        <v/>
      </c>
      <c r="U62" s="36" t="str">
        <f t="shared" si="3"/>
        <v/>
      </c>
    </row>
    <row r="63" spans="3:21" ht="18" customHeight="1" x14ac:dyDescent="0.25">
      <c r="C63" s="46"/>
      <c r="E63" s="11" t="str">
        <f t="shared" si="1"/>
        <v/>
      </c>
      <c r="G63" s="36" t="str">
        <f t="shared" si="2"/>
        <v/>
      </c>
      <c r="J63" s="46"/>
      <c r="L63" s="11" t="str">
        <f t="shared" si="4"/>
        <v/>
      </c>
      <c r="N63" s="36" t="str">
        <f t="shared" si="6"/>
        <v/>
      </c>
      <c r="Q63" s="46"/>
      <c r="S63" s="11" t="str">
        <f t="shared" si="7"/>
        <v/>
      </c>
      <c r="U63" s="36" t="str">
        <f t="shared" si="3"/>
        <v/>
      </c>
    </row>
    <row r="64" spans="3:21" ht="18" customHeight="1" x14ac:dyDescent="0.25">
      <c r="C64" s="46"/>
      <c r="E64" s="11" t="str">
        <f t="shared" si="1"/>
        <v/>
      </c>
      <c r="G64" s="36" t="str">
        <f t="shared" si="2"/>
        <v/>
      </c>
      <c r="J64" s="46"/>
      <c r="L64" s="11" t="str">
        <f t="shared" si="4"/>
        <v/>
      </c>
      <c r="N64" s="36" t="str">
        <f t="shared" si="6"/>
        <v/>
      </c>
      <c r="Q64" s="46"/>
      <c r="S64" s="11" t="str">
        <f t="shared" si="7"/>
        <v/>
      </c>
      <c r="U64" s="36" t="str">
        <f t="shared" si="3"/>
        <v/>
      </c>
    </row>
    <row r="65" spans="3:21" ht="18" customHeight="1" x14ac:dyDescent="0.25">
      <c r="C65" s="46"/>
      <c r="E65" s="11" t="str">
        <f t="shared" si="1"/>
        <v/>
      </c>
      <c r="G65" s="36" t="str">
        <f t="shared" si="2"/>
        <v/>
      </c>
      <c r="J65" s="46"/>
      <c r="L65" s="11" t="str">
        <f t="shared" si="4"/>
        <v/>
      </c>
      <c r="N65" s="36" t="str">
        <f t="shared" si="6"/>
        <v/>
      </c>
      <c r="Q65" s="46"/>
      <c r="S65" s="11" t="str">
        <f t="shared" si="7"/>
        <v/>
      </c>
      <c r="U65" s="36" t="str">
        <f t="shared" si="3"/>
        <v/>
      </c>
    </row>
    <row r="66" spans="3:21" ht="18" customHeight="1" x14ac:dyDescent="0.25">
      <c r="C66" s="46"/>
      <c r="E66" s="11" t="str">
        <f t="shared" si="1"/>
        <v/>
      </c>
      <c r="G66" s="36" t="str">
        <f t="shared" si="2"/>
        <v/>
      </c>
      <c r="J66" s="46"/>
      <c r="L66" s="11" t="str">
        <f t="shared" si="4"/>
        <v/>
      </c>
      <c r="N66" s="36" t="str">
        <f t="shared" si="6"/>
        <v/>
      </c>
      <c r="Q66" s="46"/>
      <c r="S66" s="11" t="str">
        <f t="shared" si="7"/>
        <v/>
      </c>
      <c r="U66" s="36" t="str">
        <f t="shared" si="3"/>
        <v/>
      </c>
    </row>
    <row r="67" spans="3:21" ht="18" customHeight="1" x14ac:dyDescent="0.25">
      <c r="C67" s="46"/>
      <c r="E67" s="11" t="str">
        <f t="shared" si="1"/>
        <v/>
      </c>
      <c r="G67" s="36" t="str">
        <f t="shared" si="2"/>
        <v/>
      </c>
      <c r="J67" s="46"/>
      <c r="L67" s="11" t="str">
        <f t="shared" si="4"/>
        <v/>
      </c>
      <c r="N67" s="36" t="str">
        <f t="shared" si="6"/>
        <v/>
      </c>
      <c r="Q67" s="46"/>
      <c r="S67" s="11" t="str">
        <f t="shared" si="7"/>
        <v/>
      </c>
      <c r="U67" s="36" t="str">
        <f t="shared" si="3"/>
        <v/>
      </c>
    </row>
    <row r="68" spans="3:21" ht="18" customHeight="1" x14ac:dyDescent="0.25">
      <c r="C68" s="46"/>
      <c r="E68" s="11" t="str">
        <f t="shared" si="1"/>
        <v/>
      </c>
      <c r="G68" s="36" t="str">
        <f t="shared" si="2"/>
        <v/>
      </c>
      <c r="J68" s="46"/>
      <c r="L68" s="11" t="str">
        <f t="shared" si="4"/>
        <v/>
      </c>
      <c r="N68" s="36" t="str">
        <f t="shared" si="6"/>
        <v/>
      </c>
      <c r="Q68" s="46"/>
      <c r="S68" s="11" t="str">
        <f t="shared" si="7"/>
        <v/>
      </c>
      <c r="U68" s="36" t="str">
        <f t="shared" si="3"/>
        <v/>
      </c>
    </row>
    <row r="69" spans="3:21" ht="18" customHeight="1" x14ac:dyDescent="0.25">
      <c r="C69" s="46"/>
      <c r="E69" s="11" t="str">
        <f t="shared" si="1"/>
        <v/>
      </c>
      <c r="G69" s="36" t="str">
        <f t="shared" si="2"/>
        <v/>
      </c>
      <c r="J69" s="46"/>
      <c r="L69" s="11" t="str">
        <f t="shared" si="4"/>
        <v/>
      </c>
      <c r="N69" s="36" t="str">
        <f t="shared" si="6"/>
        <v/>
      </c>
      <c r="Q69" s="46"/>
      <c r="S69" s="11" t="str">
        <f t="shared" si="7"/>
        <v/>
      </c>
      <c r="U69" s="36" t="str">
        <f t="shared" si="3"/>
        <v/>
      </c>
    </row>
    <row r="70" spans="3:21" ht="18" customHeight="1" x14ac:dyDescent="0.25">
      <c r="C70" s="46"/>
      <c r="E70" s="11" t="str">
        <f t="shared" si="1"/>
        <v/>
      </c>
      <c r="G70" s="36" t="str">
        <f t="shared" si="2"/>
        <v/>
      </c>
      <c r="J70" s="46"/>
      <c r="L70" s="11" t="str">
        <f t="shared" si="4"/>
        <v/>
      </c>
      <c r="N70" s="36" t="str">
        <f t="shared" si="6"/>
        <v/>
      </c>
      <c r="Q70" s="46"/>
      <c r="S70" s="11" t="str">
        <f t="shared" si="7"/>
        <v/>
      </c>
      <c r="U70" s="36" t="str">
        <f t="shared" si="3"/>
        <v/>
      </c>
    </row>
    <row r="71" spans="3:21" ht="18" customHeight="1" x14ac:dyDescent="0.25">
      <c r="C71" s="46"/>
      <c r="E71" s="11" t="str">
        <f t="shared" si="1"/>
        <v/>
      </c>
      <c r="G71" s="36" t="str">
        <f t="shared" si="2"/>
        <v/>
      </c>
      <c r="J71" s="46"/>
      <c r="L71" s="11" t="str">
        <f t="shared" si="4"/>
        <v/>
      </c>
      <c r="N71" s="36" t="str">
        <f t="shared" si="6"/>
        <v/>
      </c>
      <c r="Q71" s="46"/>
      <c r="S71" s="11" t="str">
        <f t="shared" si="7"/>
        <v/>
      </c>
      <c r="U71" s="36" t="str">
        <f t="shared" si="3"/>
        <v/>
      </c>
    </row>
    <row r="72" spans="3:21" ht="18" customHeight="1" x14ac:dyDescent="0.25">
      <c r="C72" s="46"/>
      <c r="E72" s="11" t="str">
        <f t="shared" si="1"/>
        <v/>
      </c>
      <c r="G72" s="36" t="str">
        <f t="shared" si="2"/>
        <v/>
      </c>
      <c r="J72" s="46"/>
      <c r="L72" s="11" t="str">
        <f t="shared" si="4"/>
        <v/>
      </c>
      <c r="N72" s="36" t="str">
        <f t="shared" si="6"/>
        <v/>
      </c>
      <c r="Q72" s="46"/>
      <c r="S72" s="11" t="str">
        <f t="shared" si="7"/>
        <v/>
      </c>
      <c r="U72" s="36" t="str">
        <f t="shared" si="3"/>
        <v/>
      </c>
    </row>
    <row r="73" spans="3:21" ht="18" customHeight="1" x14ac:dyDescent="0.25">
      <c r="C73" s="46"/>
      <c r="E73" s="11" t="str">
        <f t="shared" si="1"/>
        <v/>
      </c>
      <c r="G73" s="36" t="str">
        <f t="shared" si="2"/>
        <v/>
      </c>
      <c r="J73" s="46"/>
      <c r="L73" s="11" t="str">
        <f t="shared" si="4"/>
        <v/>
      </c>
      <c r="N73" s="36" t="str">
        <f t="shared" si="6"/>
        <v/>
      </c>
      <c r="Q73" s="46"/>
      <c r="S73" s="11" t="str">
        <f t="shared" si="7"/>
        <v/>
      </c>
      <c r="U73" s="36" t="str">
        <f t="shared" si="3"/>
        <v/>
      </c>
    </row>
    <row r="74" spans="3:21" ht="18" customHeight="1" x14ac:dyDescent="0.25">
      <c r="C74" s="46"/>
      <c r="E74" s="11" t="str">
        <f t="shared" si="1"/>
        <v/>
      </c>
      <c r="G74" s="36" t="str">
        <f t="shared" si="2"/>
        <v/>
      </c>
      <c r="J74" s="46"/>
      <c r="L74" s="11" t="str">
        <f t="shared" si="4"/>
        <v/>
      </c>
      <c r="N74" s="36" t="str">
        <f t="shared" si="6"/>
        <v/>
      </c>
      <c r="Q74" s="46"/>
      <c r="S74" s="11" t="str">
        <f t="shared" si="7"/>
        <v/>
      </c>
      <c r="U74" s="36" t="str">
        <f t="shared" si="3"/>
        <v/>
      </c>
    </row>
    <row r="75" spans="3:21" ht="18" customHeight="1" x14ac:dyDescent="0.25">
      <c r="C75" s="46"/>
      <c r="E75" s="11" t="str">
        <f t="shared" si="1"/>
        <v/>
      </c>
      <c r="G75" s="36" t="str">
        <f t="shared" si="2"/>
        <v/>
      </c>
      <c r="J75" s="46"/>
      <c r="L75" s="11" t="str">
        <f t="shared" si="4"/>
        <v/>
      </c>
      <c r="N75" s="36" t="str">
        <f t="shared" si="6"/>
        <v/>
      </c>
      <c r="Q75" s="46"/>
      <c r="S75" s="11" t="str">
        <f t="shared" si="7"/>
        <v/>
      </c>
      <c r="U75" s="36" t="str">
        <f t="shared" si="3"/>
        <v/>
      </c>
    </row>
    <row r="76" spans="3:21" ht="18" customHeight="1" x14ac:dyDescent="0.25">
      <c r="C76" s="46"/>
      <c r="E76" s="11" t="str">
        <f t="shared" si="1"/>
        <v/>
      </c>
      <c r="G76" s="36" t="str">
        <f t="shared" si="2"/>
        <v/>
      </c>
      <c r="J76" s="46"/>
      <c r="L76" s="11" t="str">
        <f t="shared" si="4"/>
        <v/>
      </c>
      <c r="N76" s="36" t="str">
        <f t="shared" si="6"/>
        <v/>
      </c>
      <c r="Q76" s="46"/>
      <c r="S76" s="11" t="str">
        <f t="shared" si="7"/>
        <v/>
      </c>
      <c r="U76" s="36" t="str">
        <f t="shared" si="3"/>
        <v/>
      </c>
    </row>
    <row r="77" spans="3:21" ht="18" customHeight="1" x14ac:dyDescent="0.25">
      <c r="C77" s="46"/>
      <c r="E77" s="11" t="str">
        <f t="shared" si="1"/>
        <v/>
      </c>
      <c r="G77" s="36" t="str">
        <f t="shared" si="2"/>
        <v/>
      </c>
      <c r="J77" s="46"/>
      <c r="L77" s="11" t="str">
        <f t="shared" si="4"/>
        <v/>
      </c>
      <c r="N77" s="36" t="str">
        <f t="shared" si="6"/>
        <v/>
      </c>
      <c r="Q77" s="46"/>
      <c r="S77" s="11" t="str">
        <f t="shared" si="7"/>
        <v/>
      </c>
      <c r="U77" s="36" t="str">
        <f t="shared" si="3"/>
        <v/>
      </c>
    </row>
    <row r="78" spans="3:21" ht="18" customHeight="1" x14ac:dyDescent="0.25">
      <c r="C78" s="46"/>
      <c r="E78" s="11" t="str">
        <f t="shared" si="1"/>
        <v/>
      </c>
      <c r="G78" s="36" t="str">
        <f t="shared" si="2"/>
        <v/>
      </c>
      <c r="J78" s="46"/>
      <c r="L78" s="11" t="str">
        <f t="shared" si="4"/>
        <v/>
      </c>
      <c r="N78" s="36" t="str">
        <f t="shared" si="6"/>
        <v/>
      </c>
      <c r="Q78" s="46"/>
      <c r="S78" s="11" t="str">
        <f t="shared" si="7"/>
        <v/>
      </c>
      <c r="U78" s="36" t="str">
        <f t="shared" si="3"/>
        <v/>
      </c>
    </row>
    <row r="79" spans="3:21" ht="18" customHeight="1" x14ac:dyDescent="0.25">
      <c r="C79" s="46"/>
      <c r="E79" s="11" t="str">
        <f t="shared" ref="E79:E100" si="8">IF(D79&gt;0,D79*9.81,"")</f>
        <v/>
      </c>
      <c r="G79" s="36" t="str">
        <f t="shared" ref="G79:G100" si="9">IFERROR(E79/F79,"")</f>
        <v/>
      </c>
      <c r="J79" s="46"/>
      <c r="L79" s="11" t="str">
        <f t="shared" si="4"/>
        <v/>
      </c>
      <c r="N79" s="36" t="str">
        <f t="shared" si="6"/>
        <v/>
      </c>
      <c r="Q79" s="46"/>
      <c r="S79" s="11" t="str">
        <f t="shared" si="7"/>
        <v/>
      </c>
      <c r="U79" s="36" t="str">
        <f t="shared" ref="U79:U100" si="10">IF((S79= "")+(T79=""),"",S79/T79)</f>
        <v/>
      </c>
    </row>
    <row r="80" spans="3:21" ht="18" customHeight="1" x14ac:dyDescent="0.25">
      <c r="C80" s="46"/>
      <c r="E80" s="11" t="str">
        <f t="shared" si="8"/>
        <v/>
      </c>
      <c r="G80" s="36" t="str">
        <f t="shared" si="9"/>
        <v/>
      </c>
      <c r="J80" s="46"/>
      <c r="L80" s="11" t="str">
        <f t="shared" ref="L80:L100" si="11">IF(K80-K79&gt;0,K80-K79,"")</f>
        <v/>
      </c>
      <c r="N80" s="36" t="str">
        <f t="shared" si="6"/>
        <v/>
      </c>
      <c r="Q80" s="46"/>
      <c r="S80" s="11" t="str">
        <f t="shared" ref="S80:S100" si="12">IF(R80-R79&gt;0,R80-R79,"")</f>
        <v/>
      </c>
      <c r="U80" s="36" t="str">
        <f t="shared" si="10"/>
        <v/>
      </c>
    </row>
    <row r="81" spans="3:21" ht="18" customHeight="1" x14ac:dyDescent="0.25">
      <c r="C81" s="46"/>
      <c r="E81" s="11" t="str">
        <f t="shared" si="8"/>
        <v/>
      </c>
      <c r="G81" s="36" t="str">
        <f t="shared" si="9"/>
        <v/>
      </c>
      <c r="J81" s="46"/>
      <c r="L81" s="11" t="str">
        <f t="shared" si="11"/>
        <v/>
      </c>
      <c r="N81" s="36" t="str">
        <f t="shared" si="6"/>
        <v/>
      </c>
      <c r="Q81" s="46"/>
      <c r="S81" s="11" t="str">
        <f t="shared" si="12"/>
        <v/>
      </c>
      <c r="U81" s="36" t="str">
        <f t="shared" si="10"/>
        <v/>
      </c>
    </row>
    <row r="82" spans="3:21" ht="18" customHeight="1" x14ac:dyDescent="0.25">
      <c r="C82" s="46"/>
      <c r="E82" s="11" t="str">
        <f t="shared" si="8"/>
        <v/>
      </c>
      <c r="G82" s="36" t="str">
        <f t="shared" si="9"/>
        <v/>
      </c>
      <c r="J82" s="46"/>
      <c r="L82" s="11" t="str">
        <f t="shared" si="11"/>
        <v/>
      </c>
      <c r="N82" s="36" t="str">
        <f t="shared" si="6"/>
        <v/>
      </c>
      <c r="Q82" s="46"/>
      <c r="S82" s="11" t="str">
        <f t="shared" si="12"/>
        <v/>
      </c>
      <c r="U82" s="36" t="str">
        <f t="shared" si="10"/>
        <v/>
      </c>
    </row>
    <row r="83" spans="3:21" ht="18" customHeight="1" x14ac:dyDescent="0.25">
      <c r="C83" s="46"/>
      <c r="E83" s="11" t="str">
        <f t="shared" si="8"/>
        <v/>
      </c>
      <c r="G83" s="36" t="str">
        <f t="shared" si="9"/>
        <v/>
      </c>
      <c r="J83" s="46"/>
      <c r="L83" s="11" t="str">
        <f t="shared" si="11"/>
        <v/>
      </c>
      <c r="N83" s="36" t="str">
        <f t="shared" si="6"/>
        <v/>
      </c>
      <c r="Q83" s="46"/>
      <c r="S83" s="11" t="str">
        <f t="shared" si="12"/>
        <v/>
      </c>
      <c r="U83" s="36" t="str">
        <f t="shared" si="10"/>
        <v/>
      </c>
    </row>
    <row r="84" spans="3:21" ht="18" customHeight="1" x14ac:dyDescent="0.25">
      <c r="C84" s="46"/>
      <c r="E84" s="11" t="str">
        <f t="shared" si="8"/>
        <v/>
      </c>
      <c r="G84" s="36" t="str">
        <f t="shared" si="9"/>
        <v/>
      </c>
      <c r="J84" s="46"/>
      <c r="L84" s="11" t="str">
        <f t="shared" si="11"/>
        <v/>
      </c>
      <c r="N84" s="36" t="str">
        <f t="shared" si="6"/>
        <v/>
      </c>
      <c r="Q84" s="46"/>
      <c r="S84" s="11" t="str">
        <f t="shared" si="12"/>
        <v/>
      </c>
      <c r="U84" s="36" t="str">
        <f t="shared" si="10"/>
        <v/>
      </c>
    </row>
    <row r="85" spans="3:21" ht="18" customHeight="1" x14ac:dyDescent="0.25">
      <c r="C85" s="46"/>
      <c r="E85" s="11" t="str">
        <f t="shared" si="8"/>
        <v/>
      </c>
      <c r="G85" s="36" t="str">
        <f t="shared" si="9"/>
        <v/>
      </c>
      <c r="J85" s="46"/>
      <c r="L85" s="11" t="str">
        <f t="shared" si="11"/>
        <v/>
      </c>
      <c r="N85" s="36" t="str">
        <f t="shared" si="6"/>
        <v/>
      </c>
      <c r="Q85" s="46"/>
      <c r="S85" s="11" t="str">
        <f t="shared" si="12"/>
        <v/>
      </c>
      <c r="U85" s="36" t="str">
        <f t="shared" si="10"/>
        <v/>
      </c>
    </row>
    <row r="86" spans="3:21" ht="18" customHeight="1" x14ac:dyDescent="0.25">
      <c r="C86" s="46"/>
      <c r="E86" s="11" t="str">
        <f t="shared" si="8"/>
        <v/>
      </c>
      <c r="G86" s="36" t="str">
        <f t="shared" si="9"/>
        <v/>
      </c>
      <c r="J86" s="46"/>
      <c r="L86" s="11" t="str">
        <f t="shared" si="11"/>
        <v/>
      </c>
      <c r="N86" s="36" t="str">
        <f t="shared" ref="N86:N100" si="13">IF((L86= "")+(M86=""),"",L86/M86)</f>
        <v/>
      </c>
      <c r="Q86" s="46"/>
      <c r="S86" s="11" t="str">
        <f t="shared" si="12"/>
        <v/>
      </c>
      <c r="U86" s="36" t="str">
        <f t="shared" si="10"/>
        <v/>
      </c>
    </row>
    <row r="87" spans="3:21" ht="18" customHeight="1" x14ac:dyDescent="0.25">
      <c r="C87" s="46"/>
      <c r="E87" s="11" t="str">
        <f t="shared" si="8"/>
        <v/>
      </c>
      <c r="G87" s="36" t="str">
        <f t="shared" si="9"/>
        <v/>
      </c>
      <c r="J87" s="46"/>
      <c r="L87" s="11" t="str">
        <f t="shared" si="11"/>
        <v/>
      </c>
      <c r="N87" s="36" t="str">
        <f t="shared" si="13"/>
        <v/>
      </c>
      <c r="Q87" s="46"/>
      <c r="S87" s="11" t="str">
        <f t="shared" si="12"/>
        <v/>
      </c>
      <c r="U87" s="36" t="str">
        <f t="shared" si="10"/>
        <v/>
      </c>
    </row>
    <row r="88" spans="3:21" ht="18" customHeight="1" x14ac:dyDescent="0.25">
      <c r="C88" s="46"/>
      <c r="E88" s="11" t="str">
        <f t="shared" si="8"/>
        <v/>
      </c>
      <c r="G88" s="36" t="str">
        <f t="shared" si="9"/>
        <v/>
      </c>
      <c r="J88" s="46"/>
      <c r="L88" s="11" t="str">
        <f t="shared" si="11"/>
        <v/>
      </c>
      <c r="N88" s="36" t="str">
        <f t="shared" si="13"/>
        <v/>
      </c>
      <c r="Q88" s="46"/>
      <c r="S88" s="11" t="str">
        <f t="shared" si="12"/>
        <v/>
      </c>
      <c r="U88" s="36" t="str">
        <f t="shared" si="10"/>
        <v/>
      </c>
    </row>
    <row r="89" spans="3:21" ht="18" customHeight="1" x14ac:dyDescent="0.25">
      <c r="C89" s="46"/>
      <c r="E89" s="11" t="str">
        <f t="shared" si="8"/>
        <v/>
      </c>
      <c r="G89" s="36" t="str">
        <f t="shared" si="9"/>
        <v/>
      </c>
      <c r="J89" s="46"/>
      <c r="L89" s="11" t="str">
        <f t="shared" si="11"/>
        <v/>
      </c>
      <c r="N89" s="36" t="str">
        <f t="shared" si="13"/>
        <v/>
      </c>
      <c r="Q89" s="46"/>
      <c r="S89" s="11" t="str">
        <f t="shared" si="12"/>
        <v/>
      </c>
      <c r="U89" s="36" t="str">
        <f t="shared" si="10"/>
        <v/>
      </c>
    </row>
    <row r="90" spans="3:21" ht="18" customHeight="1" x14ac:dyDescent="0.25">
      <c r="C90" s="46"/>
      <c r="E90" s="11" t="str">
        <f t="shared" si="8"/>
        <v/>
      </c>
      <c r="G90" s="36" t="str">
        <f t="shared" si="9"/>
        <v/>
      </c>
      <c r="J90" s="46"/>
      <c r="L90" s="11" t="str">
        <f t="shared" si="11"/>
        <v/>
      </c>
      <c r="N90" s="36" t="str">
        <f t="shared" si="13"/>
        <v/>
      </c>
      <c r="Q90" s="46"/>
      <c r="S90" s="11" t="str">
        <f t="shared" si="12"/>
        <v/>
      </c>
      <c r="U90" s="36" t="str">
        <f t="shared" si="10"/>
        <v/>
      </c>
    </row>
    <row r="91" spans="3:21" ht="18" customHeight="1" x14ac:dyDescent="0.25">
      <c r="C91" s="46"/>
      <c r="E91" s="11" t="str">
        <f t="shared" si="8"/>
        <v/>
      </c>
      <c r="G91" s="36" t="str">
        <f t="shared" si="9"/>
        <v/>
      </c>
      <c r="J91" s="46"/>
      <c r="L91" s="11" t="str">
        <f t="shared" si="11"/>
        <v/>
      </c>
      <c r="N91" s="36" t="str">
        <f t="shared" si="13"/>
        <v/>
      </c>
      <c r="Q91" s="46"/>
      <c r="S91" s="11" t="str">
        <f t="shared" si="12"/>
        <v/>
      </c>
      <c r="U91" s="36" t="str">
        <f t="shared" si="10"/>
        <v/>
      </c>
    </row>
    <row r="92" spans="3:21" ht="18" customHeight="1" x14ac:dyDescent="0.25">
      <c r="C92" s="46"/>
      <c r="E92" s="11" t="str">
        <f t="shared" si="8"/>
        <v/>
      </c>
      <c r="G92" s="36" t="str">
        <f t="shared" si="9"/>
        <v/>
      </c>
      <c r="J92" s="46"/>
      <c r="L92" s="11" t="str">
        <f t="shared" si="11"/>
        <v/>
      </c>
      <c r="N92" s="36" t="str">
        <f t="shared" si="13"/>
        <v/>
      </c>
      <c r="Q92" s="46"/>
      <c r="S92" s="11" t="str">
        <f t="shared" si="12"/>
        <v/>
      </c>
      <c r="U92" s="36" t="str">
        <f t="shared" si="10"/>
        <v/>
      </c>
    </row>
    <row r="93" spans="3:21" ht="18" customHeight="1" x14ac:dyDescent="0.25">
      <c r="C93" s="46"/>
      <c r="E93" s="11" t="str">
        <f t="shared" si="8"/>
        <v/>
      </c>
      <c r="G93" s="36" t="str">
        <f t="shared" si="9"/>
        <v/>
      </c>
      <c r="J93" s="46"/>
      <c r="L93" s="11" t="str">
        <f t="shared" si="11"/>
        <v/>
      </c>
      <c r="N93" s="36" t="str">
        <f t="shared" si="13"/>
        <v/>
      </c>
      <c r="Q93" s="46"/>
      <c r="S93" s="11" t="str">
        <f t="shared" si="12"/>
        <v/>
      </c>
      <c r="U93" s="36" t="str">
        <f t="shared" si="10"/>
        <v/>
      </c>
    </row>
    <row r="94" spans="3:21" ht="18" customHeight="1" x14ac:dyDescent="0.25">
      <c r="C94" s="46"/>
      <c r="E94" s="11" t="str">
        <f t="shared" si="8"/>
        <v/>
      </c>
      <c r="G94" s="36" t="str">
        <f t="shared" si="9"/>
        <v/>
      </c>
      <c r="J94" s="46"/>
      <c r="L94" s="11" t="str">
        <f t="shared" si="11"/>
        <v/>
      </c>
      <c r="N94" s="36" t="str">
        <f t="shared" si="13"/>
        <v/>
      </c>
      <c r="Q94" s="46"/>
      <c r="S94" s="11" t="str">
        <f t="shared" si="12"/>
        <v/>
      </c>
      <c r="U94" s="36" t="str">
        <f t="shared" si="10"/>
        <v/>
      </c>
    </row>
    <row r="95" spans="3:21" ht="18" customHeight="1" x14ac:dyDescent="0.25">
      <c r="C95" s="46"/>
      <c r="E95" s="11" t="str">
        <f t="shared" si="8"/>
        <v/>
      </c>
      <c r="G95" s="36" t="str">
        <f t="shared" si="9"/>
        <v/>
      </c>
      <c r="J95" s="46"/>
      <c r="L95" s="11" t="str">
        <f t="shared" si="11"/>
        <v/>
      </c>
      <c r="N95" s="36" t="str">
        <f t="shared" si="13"/>
        <v/>
      </c>
      <c r="Q95" s="46"/>
      <c r="S95" s="11" t="str">
        <f t="shared" si="12"/>
        <v/>
      </c>
      <c r="U95" s="36" t="str">
        <f t="shared" si="10"/>
        <v/>
      </c>
    </row>
    <row r="96" spans="3:21" ht="18" customHeight="1" x14ac:dyDescent="0.25">
      <c r="C96" s="46"/>
      <c r="E96" s="11" t="str">
        <f t="shared" si="8"/>
        <v/>
      </c>
      <c r="G96" s="36" t="str">
        <f t="shared" si="9"/>
        <v/>
      </c>
      <c r="J96" s="46"/>
      <c r="L96" s="11" t="str">
        <f t="shared" si="11"/>
        <v/>
      </c>
      <c r="N96" s="36" t="str">
        <f t="shared" si="13"/>
        <v/>
      </c>
      <c r="Q96" s="46"/>
      <c r="S96" s="11" t="str">
        <f t="shared" si="12"/>
        <v/>
      </c>
      <c r="U96" s="36" t="str">
        <f t="shared" si="10"/>
        <v/>
      </c>
    </row>
    <row r="97" spans="3:21" ht="18" customHeight="1" x14ac:dyDescent="0.25">
      <c r="C97" s="46"/>
      <c r="E97" s="11" t="str">
        <f t="shared" si="8"/>
        <v/>
      </c>
      <c r="G97" s="36" t="str">
        <f t="shared" si="9"/>
        <v/>
      </c>
      <c r="J97" s="46"/>
      <c r="L97" s="11" t="str">
        <f t="shared" si="11"/>
        <v/>
      </c>
      <c r="N97" s="36" t="str">
        <f t="shared" si="13"/>
        <v/>
      </c>
      <c r="Q97" s="46"/>
      <c r="S97" s="11" t="str">
        <f t="shared" si="12"/>
        <v/>
      </c>
      <c r="U97" s="36" t="str">
        <f t="shared" si="10"/>
        <v/>
      </c>
    </row>
    <row r="98" spans="3:21" ht="18" customHeight="1" x14ac:dyDescent="0.25">
      <c r="C98" s="46"/>
      <c r="E98" s="11" t="str">
        <f t="shared" si="8"/>
        <v/>
      </c>
      <c r="G98" s="36" t="str">
        <f t="shared" si="9"/>
        <v/>
      </c>
      <c r="J98" s="46"/>
      <c r="L98" s="11" t="str">
        <f t="shared" si="11"/>
        <v/>
      </c>
      <c r="N98" s="36" t="str">
        <f t="shared" si="13"/>
        <v/>
      </c>
      <c r="Q98" s="46"/>
      <c r="S98" s="11" t="str">
        <f t="shared" si="12"/>
        <v/>
      </c>
      <c r="U98" s="36" t="str">
        <f t="shared" si="10"/>
        <v/>
      </c>
    </row>
    <row r="99" spans="3:21" ht="18" customHeight="1" x14ac:dyDescent="0.25">
      <c r="C99" s="46"/>
      <c r="E99" s="11" t="str">
        <f t="shared" si="8"/>
        <v/>
      </c>
      <c r="G99" s="36" t="str">
        <f t="shared" si="9"/>
        <v/>
      </c>
      <c r="J99" s="46"/>
      <c r="L99" s="11" t="str">
        <f t="shared" si="11"/>
        <v/>
      </c>
      <c r="N99" s="36" t="str">
        <f t="shared" si="13"/>
        <v/>
      </c>
      <c r="Q99" s="46"/>
      <c r="S99" s="11" t="str">
        <f t="shared" si="12"/>
        <v/>
      </c>
      <c r="U99" s="36" t="str">
        <f t="shared" si="10"/>
        <v/>
      </c>
    </row>
    <row r="100" spans="3:21" ht="18" customHeight="1" x14ac:dyDescent="0.25">
      <c r="C100" s="46"/>
      <c r="E100" s="11" t="str">
        <f t="shared" si="8"/>
        <v/>
      </c>
      <c r="G100" s="36" t="str">
        <f t="shared" si="9"/>
        <v/>
      </c>
      <c r="J100" s="46"/>
      <c r="L100" s="11" t="str">
        <f t="shared" si="11"/>
        <v/>
      </c>
      <c r="N100" s="36" t="str">
        <f t="shared" si="13"/>
        <v/>
      </c>
      <c r="Q100" s="46"/>
      <c r="S100" s="11" t="str">
        <f t="shared" si="12"/>
        <v/>
      </c>
      <c r="U100" s="36" t="str">
        <f t="shared" si="10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2" priority="7">
      <formula>LEN(TRIM(G14))&gt;0</formula>
    </cfRule>
  </conditionalFormatting>
  <conditionalFormatting sqref="N14:N100">
    <cfRule type="notContainsBlanks" dxfId="1" priority="2">
      <formula>LEN(TRIM(N14))&gt;0</formula>
    </cfRule>
  </conditionalFormatting>
  <conditionalFormatting sqref="U14:U100">
    <cfRule type="notContainsBlanks" dxfId="0" priority="1">
      <formula>LEN(TRIM(U14))&gt;0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9">
    <tabColor theme="4"/>
  </sheetPr>
  <dimension ref="A2:K334"/>
  <sheetViews>
    <sheetView workbookViewId="0"/>
  </sheetViews>
  <sheetFormatPr defaultColWidth="9" defaultRowHeight="18" customHeight="1" x14ac:dyDescent="0.25"/>
  <cols>
    <col min="1" max="2" width="9" style="38"/>
    <col min="3" max="4" width="9" style="12"/>
    <col min="5" max="16384" width="9" style="46"/>
  </cols>
  <sheetData>
    <row r="2" spans="1:11" ht="18" customHeight="1" x14ac:dyDescent="0.25">
      <c r="F2" s="18" t="s">
        <v>77</v>
      </c>
      <c r="G2" s="19">
        <v>1</v>
      </c>
      <c r="H2" s="39" t="s">
        <v>86</v>
      </c>
      <c r="I2" s="40"/>
      <c r="J2" s="40"/>
      <c r="K2" s="41"/>
    </row>
    <row r="3" spans="1:11" ht="18" customHeight="1" x14ac:dyDescent="0.25">
      <c r="F3" s="42"/>
      <c r="G3" s="31">
        <v>2</v>
      </c>
      <c r="H3" s="43" t="s">
        <v>87</v>
      </c>
      <c r="I3" s="44"/>
      <c r="J3" s="44"/>
      <c r="K3" s="45"/>
    </row>
    <row r="11" spans="1:11" ht="18" customHeight="1" x14ac:dyDescent="0.25">
      <c r="A11" s="38" t="s">
        <v>88</v>
      </c>
      <c r="B11" s="38">
        <v>0.6</v>
      </c>
    </row>
    <row r="12" spans="1:11" ht="18" customHeight="1" x14ac:dyDescent="0.25">
      <c r="A12" s="38" t="s">
        <v>101</v>
      </c>
      <c r="B12" s="38">
        <v>1</v>
      </c>
    </row>
    <row r="14" spans="1:11" ht="18" customHeight="1" x14ac:dyDescent="0.25">
      <c r="A14" s="38" t="s">
        <v>0</v>
      </c>
      <c r="B14" s="38" t="s">
        <v>103</v>
      </c>
      <c r="C14" s="12" t="s">
        <v>102</v>
      </c>
      <c r="D14" s="12" t="s">
        <v>17</v>
      </c>
      <c r="E14" s="12" t="s">
        <v>18</v>
      </c>
      <c r="F14" s="12" t="s">
        <v>19</v>
      </c>
      <c r="G14" s="49" t="s">
        <v>16</v>
      </c>
      <c r="H14" s="12" t="s">
        <v>20</v>
      </c>
      <c r="I14" s="12" t="s">
        <v>19</v>
      </c>
      <c r="J14" s="49" t="s">
        <v>32</v>
      </c>
    </row>
    <row r="15" spans="1:11" ht="18" customHeight="1" x14ac:dyDescent="0.25">
      <c r="A15" s="38" t="s">
        <v>10</v>
      </c>
      <c r="B15" s="38">
        <v>0</v>
      </c>
      <c r="C15" s="12">
        <f>B15</f>
        <v>0</v>
      </c>
      <c r="D15" s="12" t="str">
        <f>IFERROR(VLOOKUP($A15,Mass!A:D,3,FALSE),"")</f>
        <v/>
      </c>
      <c r="E15" s="12">
        <f t="shared" ref="E15:E25" si="0">IF(OR(C15="",$B$11="",$B$12=""),"",0.1*(1-C15/40)*$B$11*$B$12)</f>
        <v>0.06</v>
      </c>
      <c r="F15" s="12" t="str">
        <f>IF(D15="","",D15*9.81)</f>
        <v/>
      </c>
      <c r="G15" s="49" t="str">
        <f>IF(OR(E15="",F15=""),"",E15*F15)</f>
        <v/>
      </c>
      <c r="H15" s="12" t="str">
        <f>IFERROR(VLOOKUP($A15,Mass!A:D,4,FALSE),"")</f>
        <v/>
      </c>
      <c r="I15" s="12" t="str">
        <f>IF(H15="","",H15*9.81)</f>
        <v/>
      </c>
      <c r="J15" s="49" t="str">
        <f>IF(OR(E15="",H15=""),"",E15*I15)</f>
        <v/>
      </c>
    </row>
    <row r="16" spans="1:11" ht="18" customHeight="1" x14ac:dyDescent="0.25">
      <c r="A16" s="38" t="s">
        <v>33</v>
      </c>
      <c r="C16" s="12" t="str">
        <f>IF(B16&lt;&gt;"",C15+B16,"")</f>
        <v/>
      </c>
      <c r="D16" s="12" t="str">
        <f>IFERROR(VLOOKUP($A16,Mass!A:D,3,FALSE),"")</f>
        <v/>
      </c>
      <c r="E16" s="12" t="str">
        <f t="shared" si="0"/>
        <v/>
      </c>
      <c r="F16" s="12" t="str">
        <f t="shared" ref="F16:F25" si="1">IF(D16="","",D16*9.81)</f>
        <v/>
      </c>
      <c r="G16" s="49" t="str">
        <f>IF(E16="","",F16*E16)</f>
        <v/>
      </c>
      <c r="H16" s="12" t="str">
        <f>IFERROR(VLOOKUP($A16,Mass!A:D,4,FALSE),"")</f>
        <v/>
      </c>
      <c r="I16" s="12" t="str">
        <f t="shared" ref="I16:I25" si="2">IF(H16="","",H16*9.81)</f>
        <v/>
      </c>
      <c r="J16" s="49" t="str">
        <f>IF(OR(E16="",H16=""),"",E16*I16)</f>
        <v/>
      </c>
    </row>
    <row r="17" spans="1:10" ht="18" customHeight="1" x14ac:dyDescent="0.25">
      <c r="A17" s="38" t="s">
        <v>34</v>
      </c>
      <c r="C17" s="12" t="str">
        <f t="shared" ref="C17:C25" si="3">IF(B17&lt;&gt;"",C16+B17,"")</f>
        <v/>
      </c>
      <c r="D17" s="12" t="str">
        <f>IFERROR(VLOOKUP($A17,Mass!A:D,3,FALSE),"")</f>
        <v/>
      </c>
      <c r="E17" s="12" t="str">
        <f t="shared" si="0"/>
        <v/>
      </c>
      <c r="F17" s="12" t="str">
        <f t="shared" si="1"/>
        <v/>
      </c>
      <c r="G17" s="49" t="str">
        <f>IF(E17="","",F17*E17)</f>
        <v/>
      </c>
      <c r="H17" s="12" t="str">
        <f>IFERROR(VLOOKUP($A17,Mass!A:D,4,FALSE),"")</f>
        <v/>
      </c>
      <c r="I17" s="12" t="str">
        <f t="shared" si="2"/>
        <v/>
      </c>
      <c r="J17" s="49" t="str">
        <f>IF(OR(E17="",H17=""),"",E17*I17)</f>
        <v/>
      </c>
    </row>
    <row r="18" spans="1:10" ht="18" customHeight="1" x14ac:dyDescent="0.25">
      <c r="A18" s="38" t="s">
        <v>35</v>
      </c>
      <c r="C18" s="12" t="str">
        <f t="shared" si="3"/>
        <v/>
      </c>
      <c r="D18" s="12" t="str">
        <f>IFERROR(VLOOKUP($A18,Mass!A:D,3,FALSE),"")</f>
        <v/>
      </c>
      <c r="E18" s="12" t="str">
        <f t="shared" si="0"/>
        <v/>
      </c>
      <c r="F18" s="12" t="str">
        <f t="shared" si="1"/>
        <v/>
      </c>
      <c r="G18" s="49" t="str">
        <f t="shared" ref="G18:G25" si="4">IF(E18="","",F18*E18)</f>
        <v/>
      </c>
      <c r="H18" s="12" t="str">
        <f>IFERROR(VLOOKUP($A18,Mass!A:D,4,FALSE),"")</f>
        <v/>
      </c>
      <c r="I18" s="12" t="str">
        <f t="shared" si="2"/>
        <v/>
      </c>
      <c r="J18" s="49" t="str">
        <f t="shared" ref="J18:J25" si="5">IF(OR(E18="",H18=""),"",E18*I18)</f>
        <v/>
      </c>
    </row>
    <row r="19" spans="1:10" ht="18" customHeight="1" x14ac:dyDescent="0.25">
      <c r="A19" s="38" t="s">
        <v>36</v>
      </c>
      <c r="C19" s="12" t="str">
        <f t="shared" si="3"/>
        <v/>
      </c>
      <c r="D19" s="12" t="str">
        <f>IFERROR(VLOOKUP($A19,Mass!A:D,3,FALSE),"")</f>
        <v/>
      </c>
      <c r="E19" s="12" t="str">
        <f t="shared" si="0"/>
        <v/>
      </c>
      <c r="F19" s="12" t="str">
        <f t="shared" si="1"/>
        <v/>
      </c>
      <c r="G19" s="49" t="str">
        <f t="shared" si="4"/>
        <v/>
      </c>
      <c r="H19" s="12" t="str">
        <f>IFERROR(VLOOKUP($A19,Mass!A:D,4,FALSE),"")</f>
        <v/>
      </c>
      <c r="I19" s="12" t="str">
        <f t="shared" si="2"/>
        <v/>
      </c>
      <c r="J19" s="49" t="str">
        <f t="shared" si="5"/>
        <v/>
      </c>
    </row>
    <row r="20" spans="1:10" ht="18" customHeight="1" x14ac:dyDescent="0.25">
      <c r="A20" s="38" t="s">
        <v>37</v>
      </c>
      <c r="C20" s="12" t="str">
        <f t="shared" si="3"/>
        <v/>
      </c>
      <c r="D20" s="12" t="str">
        <f>IFERROR(VLOOKUP($A20,Mass!A:D,3,FALSE),"")</f>
        <v/>
      </c>
      <c r="E20" s="12" t="str">
        <f t="shared" si="0"/>
        <v/>
      </c>
      <c r="F20" s="12" t="str">
        <f t="shared" si="1"/>
        <v/>
      </c>
      <c r="G20" s="49" t="str">
        <f t="shared" si="4"/>
        <v/>
      </c>
      <c r="H20" s="12" t="str">
        <f>IFERROR(VLOOKUP($A20,Mass!A:D,4,FALSE),"")</f>
        <v/>
      </c>
      <c r="I20" s="12" t="str">
        <f t="shared" si="2"/>
        <v/>
      </c>
      <c r="J20" s="49" t="str">
        <f t="shared" si="5"/>
        <v/>
      </c>
    </row>
    <row r="21" spans="1:10" ht="18" customHeight="1" x14ac:dyDescent="0.25">
      <c r="A21" s="38" t="s">
        <v>52</v>
      </c>
      <c r="C21" s="12" t="str">
        <f t="shared" si="3"/>
        <v/>
      </c>
      <c r="D21" s="12" t="str">
        <f>IFERROR(VLOOKUP($A21,Mass!A:D,3,FALSE),"")</f>
        <v/>
      </c>
      <c r="E21" s="12" t="str">
        <f t="shared" si="0"/>
        <v/>
      </c>
      <c r="F21" s="12" t="str">
        <f t="shared" si="1"/>
        <v/>
      </c>
      <c r="G21" s="49" t="str">
        <f t="shared" si="4"/>
        <v/>
      </c>
      <c r="H21" s="12" t="str">
        <f>IFERROR(VLOOKUP($A21,Mass!A:D,4,FALSE),"")</f>
        <v/>
      </c>
      <c r="I21" s="12" t="str">
        <f t="shared" si="2"/>
        <v/>
      </c>
      <c r="J21" s="49" t="str">
        <f t="shared" si="5"/>
        <v/>
      </c>
    </row>
    <row r="22" spans="1:10" ht="18" customHeight="1" x14ac:dyDescent="0.25">
      <c r="A22" s="38" t="s">
        <v>53</v>
      </c>
      <c r="C22" s="12" t="str">
        <f t="shared" si="3"/>
        <v/>
      </c>
      <c r="D22" s="12" t="str">
        <f>IFERROR(VLOOKUP($A22,Mass!A:D,3,FALSE),"")</f>
        <v/>
      </c>
      <c r="E22" s="12" t="str">
        <f t="shared" si="0"/>
        <v/>
      </c>
      <c r="F22" s="12" t="str">
        <f t="shared" si="1"/>
        <v/>
      </c>
      <c r="G22" s="49" t="str">
        <f t="shared" si="4"/>
        <v/>
      </c>
      <c r="H22" s="12" t="str">
        <f>IFERROR(VLOOKUP($A22,Mass!A:D,4,FALSE),"")</f>
        <v/>
      </c>
      <c r="I22" s="12" t="str">
        <f t="shared" si="2"/>
        <v/>
      </c>
      <c r="J22" s="49" t="str">
        <f t="shared" si="5"/>
        <v/>
      </c>
    </row>
    <row r="23" spans="1:10" ht="18" customHeight="1" x14ac:dyDescent="0.25">
      <c r="A23" s="38" t="s">
        <v>54</v>
      </c>
      <c r="C23" s="12" t="str">
        <f t="shared" si="3"/>
        <v/>
      </c>
      <c r="D23" s="12" t="str">
        <f>IFERROR(VLOOKUP($A23,Mass!A:D,3,FALSE),"")</f>
        <v/>
      </c>
      <c r="E23" s="12" t="str">
        <f t="shared" si="0"/>
        <v/>
      </c>
      <c r="F23" s="12" t="str">
        <f t="shared" si="1"/>
        <v/>
      </c>
      <c r="G23" s="49" t="str">
        <f t="shared" si="4"/>
        <v/>
      </c>
      <c r="H23" s="12" t="str">
        <f>IFERROR(VLOOKUP($A23,Mass!A:D,4,FALSE),"")</f>
        <v/>
      </c>
      <c r="I23" s="12" t="str">
        <f t="shared" si="2"/>
        <v/>
      </c>
      <c r="J23" s="49" t="str">
        <f t="shared" si="5"/>
        <v/>
      </c>
    </row>
    <row r="24" spans="1:10" ht="18" customHeight="1" x14ac:dyDescent="0.25">
      <c r="A24" s="38" t="s">
        <v>55</v>
      </c>
      <c r="C24" s="12" t="str">
        <f t="shared" si="3"/>
        <v/>
      </c>
      <c r="D24" s="12" t="str">
        <f>IFERROR(VLOOKUP($A24,Mass!A:D,3,FALSE),"")</f>
        <v/>
      </c>
      <c r="E24" s="12" t="str">
        <f t="shared" si="0"/>
        <v/>
      </c>
      <c r="F24" s="12" t="str">
        <f t="shared" si="1"/>
        <v/>
      </c>
      <c r="G24" s="49" t="str">
        <f t="shared" si="4"/>
        <v/>
      </c>
      <c r="H24" s="12" t="str">
        <f>IFERROR(VLOOKUP($A24,Mass!A:D,4,FALSE),"")</f>
        <v/>
      </c>
      <c r="I24" s="12" t="str">
        <f t="shared" si="2"/>
        <v/>
      </c>
      <c r="J24" s="49" t="str">
        <f t="shared" si="5"/>
        <v/>
      </c>
    </row>
    <row r="25" spans="1:10" ht="18" customHeight="1" x14ac:dyDescent="0.25">
      <c r="A25" s="38" t="s">
        <v>56</v>
      </c>
      <c r="C25" s="12" t="str">
        <f t="shared" si="3"/>
        <v/>
      </c>
      <c r="D25" s="12" t="str">
        <f>IFERROR(VLOOKUP($A25,Mass!A:D,3,FALSE),"")</f>
        <v/>
      </c>
      <c r="E25" s="12" t="str">
        <f t="shared" si="0"/>
        <v/>
      </c>
      <c r="F25" s="12" t="str">
        <f t="shared" si="1"/>
        <v/>
      </c>
      <c r="G25" s="49" t="str">
        <f t="shared" si="4"/>
        <v/>
      </c>
      <c r="H25" s="12" t="str">
        <f>IFERROR(VLOOKUP($A25,Mass!A:D,4,FALSE),"")</f>
        <v/>
      </c>
      <c r="I25" s="12" t="str">
        <f t="shared" si="2"/>
        <v/>
      </c>
      <c r="J25" s="49" t="str">
        <f t="shared" si="5"/>
        <v/>
      </c>
    </row>
    <row r="26" spans="1:10" ht="18" customHeight="1" x14ac:dyDescent="0.25">
      <c r="E26" s="12"/>
      <c r="F26" s="12"/>
      <c r="G26" s="12"/>
      <c r="H26" s="12"/>
      <c r="I26" s="12"/>
      <c r="J26" s="12"/>
    </row>
    <row r="27" spans="1:10" ht="18" customHeight="1" x14ac:dyDescent="0.25">
      <c r="E27" s="12"/>
      <c r="F27" s="12"/>
      <c r="G27" s="12"/>
      <c r="H27" s="12"/>
      <c r="I27" s="12"/>
      <c r="J27" s="12"/>
    </row>
    <row r="28" spans="1:10" ht="18" customHeight="1" x14ac:dyDescent="0.25">
      <c r="E28" s="12"/>
      <c r="F28" s="12"/>
      <c r="G28" s="12"/>
      <c r="H28" s="12"/>
      <c r="I28" s="12"/>
      <c r="J28" s="12"/>
    </row>
    <row r="29" spans="1:10" ht="18" customHeight="1" x14ac:dyDescent="0.25">
      <c r="E29" s="12"/>
      <c r="F29" s="12"/>
      <c r="G29" s="12"/>
      <c r="H29" s="12"/>
      <c r="I29" s="12"/>
      <c r="J29" s="12"/>
    </row>
    <row r="30" spans="1:10" ht="18" customHeight="1" x14ac:dyDescent="0.25">
      <c r="E30" s="12"/>
      <c r="F30" s="12"/>
      <c r="G30" s="12"/>
      <c r="H30" s="12"/>
      <c r="I30" s="12"/>
      <c r="J30" s="12"/>
    </row>
    <row r="31" spans="1:10" ht="18" customHeight="1" x14ac:dyDescent="0.25">
      <c r="E31" s="12"/>
      <c r="F31" s="12"/>
      <c r="G31" s="12"/>
      <c r="H31" s="12"/>
      <c r="I31" s="12"/>
      <c r="J31" s="12"/>
    </row>
    <row r="32" spans="1:10" ht="18" customHeight="1" x14ac:dyDescent="0.25">
      <c r="E32" s="12"/>
      <c r="F32" s="12"/>
      <c r="G32" s="12"/>
      <c r="H32" s="12"/>
      <c r="I32" s="12"/>
      <c r="J32" s="12"/>
    </row>
    <row r="33" spans="5:10" ht="18" customHeight="1" x14ac:dyDescent="0.25">
      <c r="E33" s="12"/>
      <c r="F33" s="12"/>
      <c r="G33" s="12"/>
      <c r="H33" s="12"/>
      <c r="I33" s="12"/>
      <c r="J33" s="12"/>
    </row>
    <row r="34" spans="5:10" ht="18" customHeight="1" x14ac:dyDescent="0.25">
      <c r="E34" s="12"/>
      <c r="F34" s="12"/>
      <c r="G34" s="12"/>
      <c r="H34" s="12"/>
      <c r="I34" s="12"/>
      <c r="J34" s="12"/>
    </row>
    <row r="35" spans="5:10" ht="18" customHeight="1" x14ac:dyDescent="0.25">
      <c r="E35" s="12"/>
      <c r="F35" s="12"/>
      <c r="G35" s="12"/>
      <c r="H35" s="12"/>
      <c r="I35" s="12"/>
      <c r="J35" s="12"/>
    </row>
    <row r="36" spans="5:10" ht="18" customHeight="1" x14ac:dyDescent="0.25">
      <c r="E36" s="12"/>
      <c r="F36" s="12"/>
      <c r="G36" s="12"/>
      <c r="H36" s="12"/>
      <c r="I36" s="12"/>
      <c r="J36" s="12"/>
    </row>
    <row r="37" spans="5:10" ht="18" customHeight="1" x14ac:dyDescent="0.25">
      <c r="E37" s="12"/>
      <c r="F37" s="12"/>
      <c r="G37" s="12"/>
      <c r="H37" s="12"/>
      <c r="I37" s="12"/>
      <c r="J37" s="12"/>
    </row>
    <row r="38" spans="5:10" ht="18" customHeight="1" x14ac:dyDescent="0.25">
      <c r="E38" s="12"/>
      <c r="F38" s="12"/>
      <c r="G38" s="12"/>
      <c r="H38" s="12"/>
      <c r="I38" s="12"/>
      <c r="J38" s="12"/>
    </row>
    <row r="39" spans="5:10" ht="18" customHeight="1" x14ac:dyDescent="0.25">
      <c r="E39" s="12"/>
      <c r="F39" s="12"/>
      <c r="G39" s="12"/>
      <c r="H39" s="12"/>
      <c r="I39" s="12"/>
      <c r="J39" s="12"/>
    </row>
    <row r="40" spans="5:10" ht="18" customHeight="1" x14ac:dyDescent="0.25">
      <c r="E40" s="12"/>
      <c r="F40" s="12"/>
      <c r="G40" s="12"/>
      <c r="H40" s="12"/>
      <c r="I40" s="12"/>
      <c r="J40" s="12"/>
    </row>
    <row r="41" spans="5:10" ht="18" customHeight="1" x14ac:dyDescent="0.25">
      <c r="E41" s="12"/>
      <c r="F41" s="12"/>
      <c r="G41" s="12"/>
      <c r="H41" s="12"/>
      <c r="I41" s="12"/>
      <c r="J41" s="12"/>
    </row>
    <row r="42" spans="5:10" ht="18" customHeight="1" x14ac:dyDescent="0.25">
      <c r="E42" s="12"/>
      <c r="F42" s="12"/>
      <c r="G42" s="12"/>
      <c r="H42" s="12"/>
      <c r="I42" s="12"/>
      <c r="J42" s="12"/>
    </row>
    <row r="43" spans="5:10" ht="18" customHeight="1" x14ac:dyDescent="0.25">
      <c r="E43" s="12"/>
      <c r="F43" s="12"/>
      <c r="G43" s="12"/>
      <c r="H43" s="12"/>
      <c r="I43" s="12"/>
      <c r="J43" s="12"/>
    </row>
    <row r="44" spans="5:10" ht="18" customHeight="1" x14ac:dyDescent="0.25">
      <c r="E44" s="12"/>
      <c r="F44" s="12"/>
      <c r="G44" s="12"/>
      <c r="H44" s="12"/>
      <c r="I44" s="12"/>
      <c r="J44" s="12"/>
    </row>
    <row r="45" spans="5:10" ht="18" customHeight="1" x14ac:dyDescent="0.25">
      <c r="E45" s="12"/>
      <c r="F45" s="12"/>
      <c r="G45" s="12"/>
      <c r="H45" s="12"/>
      <c r="I45" s="12"/>
      <c r="J45" s="12"/>
    </row>
    <row r="46" spans="5:10" ht="18" customHeight="1" x14ac:dyDescent="0.25">
      <c r="E46" s="12"/>
      <c r="F46" s="12"/>
      <c r="G46" s="12"/>
      <c r="H46" s="12"/>
      <c r="I46" s="12"/>
      <c r="J46" s="12"/>
    </row>
    <row r="47" spans="5:10" ht="18" customHeight="1" x14ac:dyDescent="0.25">
      <c r="E47" s="12"/>
      <c r="F47" s="12"/>
      <c r="G47" s="12"/>
      <c r="H47" s="12"/>
      <c r="I47" s="12"/>
      <c r="J47" s="12"/>
    </row>
    <row r="48" spans="5:10" ht="18" customHeight="1" x14ac:dyDescent="0.25">
      <c r="E48" s="12"/>
      <c r="F48" s="12"/>
      <c r="G48" s="12"/>
      <c r="H48" s="12"/>
      <c r="I48" s="12"/>
      <c r="J48" s="12"/>
    </row>
    <row r="49" spans="5:10" ht="18" customHeight="1" x14ac:dyDescent="0.25">
      <c r="E49" s="12"/>
      <c r="F49" s="12"/>
      <c r="G49" s="12"/>
      <c r="H49" s="12"/>
      <c r="I49" s="12"/>
      <c r="J49" s="12"/>
    </row>
    <row r="50" spans="5:10" ht="18" customHeight="1" x14ac:dyDescent="0.25">
      <c r="E50" s="12"/>
      <c r="F50" s="12"/>
      <c r="G50" s="12"/>
      <c r="H50" s="12"/>
      <c r="I50" s="12"/>
      <c r="J50" s="12"/>
    </row>
    <row r="51" spans="5:10" ht="18" customHeight="1" x14ac:dyDescent="0.25">
      <c r="E51" s="12"/>
      <c r="F51" s="12"/>
      <c r="G51" s="12"/>
      <c r="H51" s="12"/>
      <c r="I51" s="12"/>
      <c r="J51" s="12"/>
    </row>
    <row r="52" spans="5:10" ht="18" customHeight="1" x14ac:dyDescent="0.25">
      <c r="E52" s="12"/>
      <c r="F52" s="12"/>
      <c r="G52" s="12"/>
      <c r="H52" s="12"/>
      <c r="I52" s="12"/>
      <c r="J52" s="12"/>
    </row>
    <row r="53" spans="5:10" ht="18" customHeight="1" x14ac:dyDescent="0.25">
      <c r="E53" s="12"/>
      <c r="F53" s="12"/>
      <c r="G53" s="12"/>
      <c r="H53" s="12"/>
      <c r="I53" s="12"/>
      <c r="J53" s="12"/>
    </row>
    <row r="54" spans="5:10" ht="18" customHeight="1" x14ac:dyDescent="0.25">
      <c r="E54" s="12"/>
      <c r="F54" s="12"/>
      <c r="G54" s="12"/>
      <c r="H54" s="12"/>
      <c r="I54" s="12"/>
      <c r="J54" s="12"/>
    </row>
    <row r="55" spans="5:10" ht="18" customHeight="1" x14ac:dyDescent="0.25">
      <c r="E55" s="12"/>
      <c r="F55" s="12"/>
      <c r="G55" s="12"/>
      <c r="H55" s="12"/>
      <c r="I55" s="12"/>
      <c r="J55" s="12"/>
    </row>
    <row r="56" spans="5:10" ht="18" customHeight="1" x14ac:dyDescent="0.25">
      <c r="E56" s="12"/>
      <c r="F56" s="12"/>
      <c r="G56" s="12"/>
      <c r="H56" s="12"/>
      <c r="I56" s="12"/>
      <c r="J56" s="12"/>
    </row>
    <row r="57" spans="5:10" ht="18" customHeight="1" x14ac:dyDescent="0.25">
      <c r="E57" s="12"/>
      <c r="F57" s="12"/>
      <c r="G57" s="12"/>
      <c r="H57" s="12"/>
      <c r="I57" s="12"/>
      <c r="J57" s="12"/>
    </row>
    <row r="58" spans="5:10" ht="18" customHeight="1" x14ac:dyDescent="0.25">
      <c r="E58" s="12"/>
      <c r="F58" s="12"/>
      <c r="G58" s="12"/>
      <c r="H58" s="12"/>
      <c r="I58" s="12"/>
      <c r="J58" s="12"/>
    </row>
    <row r="59" spans="5:10" ht="18" customHeight="1" x14ac:dyDescent="0.25">
      <c r="E59" s="12"/>
      <c r="F59" s="12"/>
      <c r="G59" s="12"/>
      <c r="H59" s="12"/>
      <c r="I59" s="12"/>
      <c r="J59" s="12"/>
    </row>
    <row r="60" spans="5:10" ht="18" customHeight="1" x14ac:dyDescent="0.25">
      <c r="E60" s="12"/>
      <c r="F60" s="12"/>
      <c r="G60" s="12"/>
      <c r="H60" s="12"/>
      <c r="I60" s="12"/>
      <c r="J60" s="12"/>
    </row>
    <row r="61" spans="5:10" ht="18" customHeight="1" x14ac:dyDescent="0.25">
      <c r="E61" s="12"/>
      <c r="F61" s="12"/>
      <c r="G61" s="12"/>
      <c r="H61" s="12"/>
      <c r="I61" s="12"/>
      <c r="J61" s="12"/>
    </row>
    <row r="62" spans="5:10" ht="18" customHeight="1" x14ac:dyDescent="0.25">
      <c r="E62" s="12"/>
      <c r="F62" s="12"/>
      <c r="G62" s="12"/>
      <c r="H62" s="12"/>
      <c r="I62" s="12"/>
      <c r="J62" s="12"/>
    </row>
    <row r="63" spans="5:10" ht="18" customHeight="1" x14ac:dyDescent="0.25">
      <c r="E63" s="12"/>
      <c r="F63" s="12"/>
      <c r="G63" s="12"/>
      <c r="H63" s="12"/>
      <c r="I63" s="12"/>
      <c r="J63" s="12"/>
    </row>
    <row r="64" spans="5:10" ht="18" customHeight="1" x14ac:dyDescent="0.25">
      <c r="E64" s="12"/>
      <c r="F64" s="12"/>
      <c r="G64" s="12"/>
      <c r="H64" s="12"/>
      <c r="I64" s="12"/>
      <c r="J64" s="12"/>
    </row>
    <row r="65" spans="5:10" ht="18" customHeight="1" x14ac:dyDescent="0.25">
      <c r="E65" s="12"/>
      <c r="F65" s="12"/>
      <c r="G65" s="12"/>
      <c r="H65" s="12"/>
      <c r="I65" s="12"/>
      <c r="J65" s="12"/>
    </row>
    <row r="66" spans="5:10" ht="18" customHeight="1" x14ac:dyDescent="0.25">
      <c r="E66" s="12"/>
      <c r="F66" s="12"/>
      <c r="G66" s="12"/>
      <c r="H66" s="12"/>
      <c r="I66" s="12"/>
      <c r="J66" s="12"/>
    </row>
    <row r="67" spans="5:10" ht="18" customHeight="1" x14ac:dyDescent="0.25">
      <c r="E67" s="12"/>
      <c r="F67" s="12"/>
      <c r="G67" s="12"/>
      <c r="H67" s="12"/>
      <c r="I67" s="12"/>
      <c r="J67" s="12"/>
    </row>
    <row r="68" spans="5:10" ht="18" customHeight="1" x14ac:dyDescent="0.25">
      <c r="E68" s="12"/>
      <c r="F68" s="12"/>
      <c r="G68" s="12"/>
      <c r="H68" s="12"/>
      <c r="I68" s="12"/>
      <c r="J68" s="12"/>
    </row>
    <row r="69" spans="5:10" ht="18" customHeight="1" x14ac:dyDescent="0.25">
      <c r="E69" s="12"/>
      <c r="F69" s="12"/>
      <c r="G69" s="12"/>
      <c r="H69" s="12"/>
      <c r="I69" s="12"/>
      <c r="J69" s="12"/>
    </row>
    <row r="70" spans="5:10" ht="18" customHeight="1" x14ac:dyDescent="0.25">
      <c r="E70" s="12"/>
      <c r="F70" s="12"/>
      <c r="G70" s="12"/>
      <c r="H70" s="12"/>
      <c r="I70" s="12"/>
      <c r="J70" s="12"/>
    </row>
    <row r="71" spans="5:10" ht="18" customHeight="1" x14ac:dyDescent="0.25">
      <c r="E71" s="12"/>
      <c r="F71" s="12"/>
      <c r="G71" s="12"/>
      <c r="H71" s="12"/>
      <c r="I71" s="12"/>
      <c r="J71" s="12"/>
    </row>
    <row r="72" spans="5:10" ht="18" customHeight="1" x14ac:dyDescent="0.25">
      <c r="E72" s="12"/>
      <c r="F72" s="12"/>
      <c r="G72" s="12"/>
      <c r="H72" s="12"/>
      <c r="I72" s="12"/>
      <c r="J72" s="12"/>
    </row>
    <row r="73" spans="5:10" ht="18" customHeight="1" x14ac:dyDescent="0.25">
      <c r="E73" s="12"/>
      <c r="F73" s="12"/>
      <c r="G73" s="12"/>
      <c r="H73" s="12"/>
      <c r="I73" s="12"/>
      <c r="J73" s="12"/>
    </row>
    <row r="74" spans="5:10" ht="18" customHeight="1" x14ac:dyDescent="0.25">
      <c r="E74" s="12"/>
      <c r="F74" s="12"/>
      <c r="G74" s="12"/>
      <c r="H74" s="12"/>
      <c r="I74" s="12"/>
      <c r="J74" s="12"/>
    </row>
    <row r="75" spans="5:10" ht="18" customHeight="1" x14ac:dyDescent="0.25">
      <c r="E75" s="12"/>
      <c r="F75" s="12"/>
      <c r="G75" s="12"/>
      <c r="H75" s="12"/>
      <c r="I75" s="12"/>
      <c r="J75" s="12"/>
    </row>
    <row r="76" spans="5:10" ht="18" customHeight="1" x14ac:dyDescent="0.25">
      <c r="E76" s="12"/>
      <c r="F76" s="12"/>
      <c r="G76" s="12"/>
      <c r="H76" s="12"/>
      <c r="I76" s="12"/>
      <c r="J76" s="12"/>
    </row>
    <row r="77" spans="5:10" ht="18" customHeight="1" x14ac:dyDescent="0.25">
      <c r="E77" s="12"/>
      <c r="F77" s="12"/>
      <c r="G77" s="12"/>
      <c r="H77" s="12"/>
      <c r="I77" s="12"/>
      <c r="J77" s="12"/>
    </row>
    <row r="78" spans="5:10" ht="18" customHeight="1" x14ac:dyDescent="0.25">
      <c r="E78" s="12"/>
      <c r="F78" s="12"/>
      <c r="G78" s="12"/>
      <c r="H78" s="12"/>
      <c r="I78" s="12"/>
      <c r="J78" s="12"/>
    </row>
    <row r="79" spans="5:10" ht="18" customHeight="1" x14ac:dyDescent="0.25">
      <c r="E79" s="12"/>
      <c r="F79" s="12"/>
      <c r="G79" s="12"/>
      <c r="H79" s="12"/>
      <c r="I79" s="12"/>
      <c r="J79" s="12"/>
    </row>
    <row r="80" spans="5:10" ht="18" customHeight="1" x14ac:dyDescent="0.25">
      <c r="E80" s="12"/>
      <c r="F80" s="12"/>
      <c r="G80" s="12"/>
      <c r="H80" s="12"/>
      <c r="I80" s="12"/>
      <c r="J80" s="12"/>
    </row>
    <row r="81" spans="5:10" ht="18" customHeight="1" x14ac:dyDescent="0.25">
      <c r="E81" s="12"/>
      <c r="F81" s="12"/>
      <c r="G81" s="12"/>
      <c r="H81" s="12"/>
      <c r="I81" s="12"/>
      <c r="J81" s="12"/>
    </row>
    <row r="82" spans="5:10" ht="18" customHeight="1" x14ac:dyDescent="0.25">
      <c r="E82" s="12"/>
      <c r="F82" s="12"/>
      <c r="G82" s="12"/>
      <c r="H82" s="12"/>
      <c r="I82" s="12"/>
      <c r="J82" s="12"/>
    </row>
    <row r="83" spans="5:10" ht="18" customHeight="1" x14ac:dyDescent="0.25">
      <c r="E83" s="12"/>
      <c r="F83" s="12"/>
      <c r="G83" s="12"/>
      <c r="H83" s="12"/>
      <c r="I83" s="12"/>
      <c r="J83" s="12"/>
    </row>
    <row r="84" spans="5:10" ht="18" customHeight="1" x14ac:dyDescent="0.25">
      <c r="E84" s="12"/>
      <c r="F84" s="12"/>
      <c r="G84" s="12"/>
      <c r="H84" s="12"/>
      <c r="I84" s="12"/>
      <c r="J84" s="12"/>
    </row>
    <row r="85" spans="5:10" ht="18" customHeight="1" x14ac:dyDescent="0.25">
      <c r="E85" s="12"/>
      <c r="F85" s="12"/>
      <c r="G85" s="12"/>
      <c r="H85" s="12"/>
      <c r="I85" s="12"/>
      <c r="J85" s="12"/>
    </row>
    <row r="86" spans="5:10" ht="18" customHeight="1" x14ac:dyDescent="0.25">
      <c r="E86" s="12"/>
      <c r="F86" s="12"/>
      <c r="G86" s="12"/>
      <c r="H86" s="12"/>
      <c r="I86" s="12"/>
      <c r="J86" s="12"/>
    </row>
    <row r="87" spans="5:10" ht="18" customHeight="1" x14ac:dyDescent="0.25">
      <c r="E87" s="12"/>
      <c r="F87" s="12"/>
      <c r="G87" s="12"/>
      <c r="H87" s="12"/>
      <c r="I87" s="12"/>
      <c r="J87" s="12"/>
    </row>
    <row r="88" spans="5:10" ht="18" customHeight="1" x14ac:dyDescent="0.25">
      <c r="E88" s="12"/>
      <c r="F88" s="12"/>
      <c r="G88" s="12"/>
      <c r="H88" s="12"/>
      <c r="I88" s="12"/>
      <c r="J88" s="12"/>
    </row>
    <row r="89" spans="5:10" ht="18" customHeight="1" x14ac:dyDescent="0.25">
      <c r="E89" s="12"/>
      <c r="F89" s="12"/>
      <c r="G89" s="12"/>
      <c r="H89" s="12"/>
      <c r="I89" s="12"/>
      <c r="J89" s="12"/>
    </row>
    <row r="90" spans="5:10" ht="18" customHeight="1" x14ac:dyDescent="0.25">
      <c r="E90" s="12"/>
      <c r="F90" s="12"/>
      <c r="G90" s="12"/>
      <c r="H90" s="12"/>
      <c r="I90" s="12"/>
      <c r="J90" s="12"/>
    </row>
    <row r="91" spans="5:10" ht="18" customHeight="1" x14ac:dyDescent="0.25">
      <c r="E91" s="12"/>
      <c r="F91" s="12"/>
      <c r="G91" s="12"/>
      <c r="H91" s="12"/>
      <c r="I91" s="12"/>
      <c r="J91" s="12"/>
    </row>
    <row r="92" spans="5:10" ht="18" customHeight="1" x14ac:dyDescent="0.25">
      <c r="E92" s="12"/>
      <c r="F92" s="12"/>
      <c r="G92" s="12"/>
      <c r="H92" s="12"/>
      <c r="I92" s="12"/>
      <c r="J92" s="12"/>
    </row>
    <row r="93" spans="5:10" ht="18" customHeight="1" x14ac:dyDescent="0.25">
      <c r="E93" s="12"/>
      <c r="F93" s="12"/>
      <c r="G93" s="12"/>
      <c r="H93" s="12"/>
      <c r="I93" s="12"/>
      <c r="J93" s="12"/>
    </row>
    <row r="94" spans="5:10" ht="18" customHeight="1" x14ac:dyDescent="0.25">
      <c r="E94" s="12"/>
      <c r="F94" s="12"/>
      <c r="G94" s="12"/>
      <c r="H94" s="12"/>
      <c r="I94" s="12"/>
      <c r="J94" s="12"/>
    </row>
    <row r="95" spans="5:10" ht="18" customHeight="1" x14ac:dyDescent="0.25">
      <c r="E95" s="12"/>
      <c r="F95" s="12"/>
      <c r="G95" s="12"/>
      <c r="H95" s="12"/>
      <c r="I95" s="12"/>
      <c r="J95" s="12"/>
    </row>
    <row r="96" spans="5:10" ht="18" customHeight="1" x14ac:dyDescent="0.25">
      <c r="E96" s="12"/>
      <c r="F96" s="12"/>
      <c r="G96" s="12"/>
      <c r="H96" s="12"/>
      <c r="I96" s="12"/>
      <c r="J96" s="12"/>
    </row>
    <row r="97" spans="5:10" ht="18" customHeight="1" x14ac:dyDescent="0.25">
      <c r="E97" s="12"/>
      <c r="F97" s="12"/>
      <c r="G97" s="12"/>
      <c r="H97" s="12"/>
      <c r="I97" s="12"/>
      <c r="J97" s="12"/>
    </row>
    <row r="98" spans="5:10" ht="18" customHeight="1" x14ac:dyDescent="0.25">
      <c r="E98" s="12"/>
      <c r="F98" s="12"/>
      <c r="G98" s="12"/>
      <c r="H98" s="12"/>
      <c r="I98" s="12"/>
      <c r="J98" s="12"/>
    </row>
    <row r="99" spans="5:10" ht="18" customHeight="1" x14ac:dyDescent="0.25">
      <c r="E99" s="12"/>
      <c r="F99" s="12"/>
      <c r="G99" s="12"/>
      <c r="H99" s="12"/>
      <c r="I99" s="12"/>
      <c r="J99" s="12"/>
    </row>
    <row r="100" spans="5:10" ht="18" customHeight="1" x14ac:dyDescent="0.25">
      <c r="E100" s="12"/>
      <c r="F100" s="12"/>
      <c r="G100" s="12"/>
      <c r="H100" s="12"/>
      <c r="I100" s="12"/>
      <c r="J100" s="12"/>
    </row>
    <row r="101" spans="5:10" ht="18" customHeight="1" x14ac:dyDescent="0.25">
      <c r="E101" s="12"/>
      <c r="F101" s="12"/>
      <c r="G101" s="12"/>
      <c r="H101" s="12"/>
      <c r="I101" s="12"/>
      <c r="J101" s="12"/>
    </row>
    <row r="102" spans="5:10" ht="18" customHeight="1" x14ac:dyDescent="0.25">
      <c r="E102" s="12"/>
      <c r="F102" s="12"/>
      <c r="G102" s="12"/>
      <c r="H102" s="12"/>
      <c r="I102" s="12"/>
      <c r="J102" s="12"/>
    </row>
    <row r="103" spans="5:10" ht="18" customHeight="1" x14ac:dyDescent="0.25">
      <c r="E103" s="12"/>
      <c r="F103" s="12"/>
      <c r="G103" s="12"/>
      <c r="H103" s="12"/>
      <c r="I103" s="12"/>
      <c r="J103" s="12"/>
    </row>
    <row r="104" spans="5:10" ht="18" customHeight="1" x14ac:dyDescent="0.25">
      <c r="E104" s="12"/>
      <c r="F104" s="12"/>
      <c r="G104" s="12"/>
      <c r="H104" s="12"/>
      <c r="I104" s="12"/>
      <c r="J104" s="12"/>
    </row>
    <row r="105" spans="5:10" ht="18" customHeight="1" x14ac:dyDescent="0.25">
      <c r="E105" s="12"/>
      <c r="F105" s="12"/>
      <c r="G105" s="12"/>
      <c r="H105" s="12"/>
      <c r="I105" s="12"/>
      <c r="J105" s="12"/>
    </row>
    <row r="106" spans="5:10" ht="18" customHeight="1" x14ac:dyDescent="0.25">
      <c r="E106" s="12"/>
      <c r="F106" s="12"/>
      <c r="G106" s="12"/>
      <c r="H106" s="12"/>
      <c r="I106" s="12"/>
      <c r="J106" s="12"/>
    </row>
    <row r="107" spans="5:10" ht="18" customHeight="1" x14ac:dyDescent="0.25">
      <c r="E107" s="12"/>
      <c r="F107" s="12"/>
      <c r="G107" s="12"/>
      <c r="H107" s="12"/>
      <c r="I107" s="12"/>
      <c r="J107" s="12"/>
    </row>
    <row r="108" spans="5:10" ht="18" customHeight="1" x14ac:dyDescent="0.25">
      <c r="E108" s="12"/>
      <c r="F108" s="12"/>
      <c r="G108" s="12"/>
      <c r="H108" s="12"/>
      <c r="I108" s="12"/>
      <c r="J108" s="12"/>
    </row>
    <row r="109" spans="5:10" ht="18" customHeight="1" x14ac:dyDescent="0.25">
      <c r="E109" s="12"/>
      <c r="F109" s="12"/>
      <c r="G109" s="12"/>
      <c r="H109" s="12"/>
      <c r="I109" s="12"/>
      <c r="J109" s="12"/>
    </row>
    <row r="110" spans="5:10" ht="18" customHeight="1" x14ac:dyDescent="0.25">
      <c r="E110" s="12"/>
      <c r="F110" s="12"/>
      <c r="G110" s="12"/>
      <c r="H110" s="12"/>
      <c r="I110" s="12"/>
      <c r="J110" s="12"/>
    </row>
    <row r="111" spans="5:10" ht="18" customHeight="1" x14ac:dyDescent="0.25">
      <c r="E111" s="12"/>
      <c r="F111" s="12"/>
      <c r="G111" s="12"/>
      <c r="H111" s="12"/>
      <c r="I111" s="12"/>
      <c r="J111" s="12"/>
    </row>
    <row r="112" spans="5:10" ht="18" customHeight="1" x14ac:dyDescent="0.25">
      <c r="E112" s="12"/>
      <c r="F112" s="12"/>
      <c r="G112" s="12"/>
      <c r="H112" s="12"/>
      <c r="I112" s="12"/>
      <c r="J112" s="12"/>
    </row>
    <row r="113" spans="5:10" ht="18" customHeight="1" x14ac:dyDescent="0.25">
      <c r="E113" s="12"/>
      <c r="F113" s="12"/>
      <c r="G113" s="12"/>
      <c r="H113" s="12"/>
      <c r="I113" s="12"/>
      <c r="J113" s="12"/>
    </row>
    <row r="114" spans="5:10" ht="18" customHeight="1" x14ac:dyDescent="0.25">
      <c r="E114" s="12"/>
      <c r="F114" s="12"/>
      <c r="G114" s="12"/>
      <c r="H114" s="12"/>
      <c r="I114" s="12"/>
      <c r="J114" s="12"/>
    </row>
    <row r="115" spans="5:10" ht="18" customHeight="1" x14ac:dyDescent="0.25">
      <c r="E115" s="12"/>
      <c r="F115" s="12"/>
      <c r="G115" s="12"/>
      <c r="H115" s="12"/>
      <c r="I115" s="12"/>
      <c r="J115" s="12"/>
    </row>
    <row r="116" spans="5:10" ht="18" customHeight="1" x14ac:dyDescent="0.25">
      <c r="E116" s="12"/>
      <c r="F116" s="12"/>
      <c r="G116" s="12"/>
      <c r="H116" s="12"/>
      <c r="I116" s="12"/>
      <c r="J116" s="12"/>
    </row>
    <row r="117" spans="5:10" ht="18" customHeight="1" x14ac:dyDescent="0.25">
      <c r="E117" s="12"/>
      <c r="F117" s="12"/>
      <c r="G117" s="12"/>
      <c r="H117" s="12"/>
      <c r="I117" s="12"/>
      <c r="J117" s="12"/>
    </row>
    <row r="118" spans="5:10" ht="18" customHeight="1" x14ac:dyDescent="0.25">
      <c r="E118" s="12"/>
      <c r="F118" s="12"/>
      <c r="G118" s="12"/>
      <c r="H118" s="12"/>
      <c r="I118" s="12"/>
      <c r="J118" s="12"/>
    </row>
    <row r="119" spans="5:10" ht="18" customHeight="1" x14ac:dyDescent="0.25">
      <c r="E119" s="12"/>
      <c r="F119" s="12"/>
      <c r="G119" s="12"/>
      <c r="H119" s="12"/>
      <c r="I119" s="12"/>
      <c r="J119" s="12"/>
    </row>
    <row r="120" spans="5:10" ht="18" customHeight="1" x14ac:dyDescent="0.25">
      <c r="E120" s="12"/>
      <c r="F120" s="12"/>
      <c r="G120" s="12"/>
      <c r="H120" s="12"/>
      <c r="I120" s="12"/>
      <c r="J120" s="12"/>
    </row>
    <row r="121" spans="5:10" ht="18" customHeight="1" x14ac:dyDescent="0.25">
      <c r="E121" s="12"/>
      <c r="F121" s="12"/>
      <c r="G121" s="12"/>
      <c r="H121" s="12"/>
      <c r="I121" s="12"/>
      <c r="J121" s="12"/>
    </row>
    <row r="122" spans="5:10" ht="18" customHeight="1" x14ac:dyDescent="0.25">
      <c r="E122" s="12"/>
      <c r="F122" s="12"/>
      <c r="G122" s="12"/>
      <c r="H122" s="12"/>
      <c r="I122" s="12"/>
      <c r="J122" s="12"/>
    </row>
    <row r="123" spans="5:10" ht="18" customHeight="1" x14ac:dyDescent="0.25">
      <c r="E123" s="12"/>
      <c r="F123" s="12"/>
      <c r="G123" s="12"/>
      <c r="H123" s="12"/>
      <c r="I123" s="12"/>
      <c r="J123" s="12"/>
    </row>
    <row r="124" spans="5:10" ht="18" customHeight="1" x14ac:dyDescent="0.25">
      <c r="E124" s="12"/>
      <c r="F124" s="12"/>
      <c r="G124" s="12"/>
      <c r="H124" s="12"/>
      <c r="I124" s="12"/>
      <c r="J124" s="12"/>
    </row>
    <row r="125" spans="5:10" ht="18" customHeight="1" x14ac:dyDescent="0.25">
      <c r="E125" s="12"/>
      <c r="F125" s="12"/>
      <c r="G125" s="12"/>
      <c r="H125" s="12"/>
      <c r="I125" s="12"/>
      <c r="J125" s="12"/>
    </row>
    <row r="126" spans="5:10" ht="18" customHeight="1" x14ac:dyDescent="0.25">
      <c r="E126" s="12"/>
      <c r="F126" s="12"/>
      <c r="G126" s="12"/>
      <c r="H126" s="12"/>
      <c r="I126" s="12"/>
      <c r="J126" s="12"/>
    </row>
    <row r="127" spans="5:10" ht="18" customHeight="1" x14ac:dyDescent="0.25">
      <c r="E127" s="12"/>
      <c r="F127" s="12"/>
      <c r="G127" s="12"/>
      <c r="H127" s="12"/>
      <c r="I127" s="12"/>
      <c r="J127" s="12"/>
    </row>
    <row r="128" spans="5:10" ht="18" customHeight="1" x14ac:dyDescent="0.25">
      <c r="E128" s="12"/>
      <c r="F128" s="12"/>
      <c r="G128" s="12"/>
      <c r="H128" s="12"/>
      <c r="I128" s="12"/>
      <c r="J128" s="12"/>
    </row>
    <row r="129" spans="5:10" ht="18" customHeight="1" x14ac:dyDescent="0.25">
      <c r="E129" s="12"/>
      <c r="F129" s="12"/>
      <c r="G129" s="12"/>
      <c r="H129" s="12"/>
      <c r="I129" s="12"/>
      <c r="J129" s="12"/>
    </row>
    <row r="130" spans="5:10" ht="18" customHeight="1" x14ac:dyDescent="0.25">
      <c r="E130" s="12"/>
      <c r="F130" s="12"/>
      <c r="G130" s="12"/>
      <c r="H130" s="12"/>
      <c r="I130" s="12"/>
      <c r="J130" s="12"/>
    </row>
    <row r="131" spans="5:10" ht="18" customHeight="1" x14ac:dyDescent="0.25">
      <c r="E131" s="12"/>
      <c r="F131" s="12"/>
      <c r="G131" s="12"/>
      <c r="H131" s="12"/>
      <c r="I131" s="12"/>
      <c r="J131" s="12"/>
    </row>
    <row r="132" spans="5:10" ht="18" customHeight="1" x14ac:dyDescent="0.25">
      <c r="E132" s="12"/>
      <c r="F132" s="12"/>
      <c r="G132" s="12"/>
      <c r="H132" s="12"/>
      <c r="I132" s="12"/>
      <c r="J132" s="12"/>
    </row>
    <row r="133" spans="5:10" ht="18" customHeight="1" x14ac:dyDescent="0.25">
      <c r="E133" s="12"/>
      <c r="F133" s="12"/>
      <c r="G133" s="12"/>
      <c r="H133" s="12"/>
      <c r="I133" s="12"/>
      <c r="J133" s="12"/>
    </row>
    <row r="134" spans="5:10" ht="18" customHeight="1" x14ac:dyDescent="0.25">
      <c r="E134" s="12"/>
      <c r="F134" s="12"/>
      <c r="G134" s="12"/>
      <c r="H134" s="12"/>
      <c r="I134" s="12"/>
      <c r="J134" s="12"/>
    </row>
    <row r="135" spans="5:10" ht="18" customHeight="1" x14ac:dyDescent="0.25">
      <c r="E135" s="12"/>
      <c r="F135" s="12"/>
      <c r="G135" s="12"/>
      <c r="H135" s="12"/>
      <c r="I135" s="12"/>
      <c r="J135" s="12"/>
    </row>
    <row r="136" spans="5:10" ht="18" customHeight="1" x14ac:dyDescent="0.25">
      <c r="E136" s="12"/>
      <c r="F136" s="12"/>
      <c r="G136" s="12"/>
      <c r="H136" s="12"/>
      <c r="I136" s="12"/>
      <c r="J136" s="12"/>
    </row>
    <row r="137" spans="5:10" ht="18" customHeight="1" x14ac:dyDescent="0.25">
      <c r="E137" s="12"/>
      <c r="F137" s="12"/>
      <c r="G137" s="12"/>
      <c r="H137" s="12"/>
      <c r="I137" s="12"/>
      <c r="J137" s="12"/>
    </row>
    <row r="138" spans="5:10" ht="18" customHeight="1" x14ac:dyDescent="0.25">
      <c r="E138" s="12"/>
      <c r="F138" s="12"/>
      <c r="G138" s="12"/>
      <c r="H138" s="12"/>
      <c r="I138" s="12"/>
      <c r="J138" s="12"/>
    </row>
    <row r="139" spans="5:10" ht="18" customHeight="1" x14ac:dyDescent="0.25">
      <c r="E139" s="12"/>
      <c r="F139" s="12"/>
      <c r="G139" s="12"/>
      <c r="H139" s="12"/>
      <c r="I139" s="12"/>
      <c r="J139" s="12"/>
    </row>
    <row r="140" spans="5:10" ht="18" customHeight="1" x14ac:dyDescent="0.25">
      <c r="E140" s="12"/>
      <c r="F140" s="12"/>
      <c r="G140" s="12"/>
      <c r="H140" s="12"/>
      <c r="I140" s="12"/>
      <c r="J140" s="12"/>
    </row>
    <row r="141" spans="5:10" ht="18" customHeight="1" x14ac:dyDescent="0.25">
      <c r="E141" s="12"/>
      <c r="F141" s="12"/>
      <c r="G141" s="12"/>
      <c r="H141" s="12"/>
      <c r="I141" s="12"/>
      <c r="J141" s="12"/>
    </row>
    <row r="142" spans="5:10" ht="18" customHeight="1" x14ac:dyDescent="0.25">
      <c r="E142" s="12"/>
      <c r="F142" s="12"/>
      <c r="G142" s="12"/>
      <c r="H142" s="12"/>
      <c r="I142" s="12"/>
      <c r="J142" s="12"/>
    </row>
    <row r="143" spans="5:10" ht="18" customHeight="1" x14ac:dyDescent="0.25">
      <c r="E143" s="12"/>
      <c r="F143" s="12"/>
      <c r="G143" s="12"/>
      <c r="H143" s="12"/>
      <c r="I143" s="12"/>
      <c r="J143" s="12"/>
    </row>
    <row r="144" spans="5:10" ht="18" customHeight="1" x14ac:dyDescent="0.25">
      <c r="E144" s="12"/>
      <c r="F144" s="12"/>
      <c r="G144" s="12"/>
      <c r="H144" s="12"/>
      <c r="I144" s="12"/>
      <c r="J144" s="12"/>
    </row>
    <row r="145" spans="5:10" ht="18" customHeight="1" x14ac:dyDescent="0.25">
      <c r="E145" s="12"/>
      <c r="F145" s="12"/>
      <c r="G145" s="12"/>
      <c r="H145" s="12"/>
      <c r="I145" s="12"/>
      <c r="J145" s="12"/>
    </row>
    <row r="146" spans="5:10" ht="18" customHeight="1" x14ac:dyDescent="0.25">
      <c r="E146" s="12"/>
      <c r="F146" s="12"/>
      <c r="G146" s="12"/>
      <c r="H146" s="12"/>
      <c r="I146" s="12"/>
      <c r="J146" s="12"/>
    </row>
    <row r="147" spans="5:10" ht="18" customHeight="1" x14ac:dyDescent="0.25">
      <c r="E147" s="12"/>
      <c r="F147" s="12"/>
      <c r="G147" s="12"/>
      <c r="H147" s="12"/>
      <c r="I147" s="12"/>
      <c r="J147" s="12"/>
    </row>
    <row r="148" spans="5:10" ht="18" customHeight="1" x14ac:dyDescent="0.25">
      <c r="E148" s="12"/>
      <c r="F148" s="12"/>
      <c r="G148" s="12"/>
      <c r="H148" s="12"/>
      <c r="I148" s="12"/>
      <c r="J148" s="12"/>
    </row>
    <row r="149" spans="5:10" ht="18" customHeight="1" x14ac:dyDescent="0.25">
      <c r="E149" s="12"/>
      <c r="F149" s="12"/>
      <c r="G149" s="12"/>
      <c r="H149" s="12"/>
      <c r="I149" s="12"/>
      <c r="J149" s="12"/>
    </row>
    <row r="150" spans="5:10" ht="18" customHeight="1" x14ac:dyDescent="0.25">
      <c r="E150" s="12"/>
      <c r="F150" s="12"/>
      <c r="G150" s="12"/>
      <c r="H150" s="12"/>
      <c r="I150" s="12"/>
      <c r="J150" s="12"/>
    </row>
    <row r="151" spans="5:10" ht="18" customHeight="1" x14ac:dyDescent="0.25">
      <c r="E151" s="12"/>
      <c r="F151" s="12"/>
      <c r="G151" s="12"/>
      <c r="H151" s="12"/>
      <c r="I151" s="12"/>
      <c r="J151" s="12"/>
    </row>
    <row r="152" spans="5:10" ht="18" customHeight="1" x14ac:dyDescent="0.25">
      <c r="E152" s="12"/>
      <c r="F152" s="12"/>
      <c r="G152" s="12"/>
      <c r="H152" s="12"/>
      <c r="I152" s="12"/>
      <c r="J152" s="12"/>
    </row>
    <row r="153" spans="5:10" ht="18" customHeight="1" x14ac:dyDescent="0.25">
      <c r="E153" s="12"/>
      <c r="F153" s="12"/>
      <c r="G153" s="12"/>
      <c r="H153" s="12"/>
      <c r="I153" s="12"/>
      <c r="J153" s="12"/>
    </row>
    <row r="154" spans="5:10" ht="18" customHeight="1" x14ac:dyDescent="0.25">
      <c r="E154" s="12"/>
      <c r="F154" s="12"/>
      <c r="G154" s="12"/>
      <c r="H154" s="12"/>
      <c r="I154" s="12"/>
      <c r="J154" s="12"/>
    </row>
    <row r="155" spans="5:10" ht="18" customHeight="1" x14ac:dyDescent="0.25">
      <c r="E155" s="12"/>
      <c r="F155" s="12"/>
      <c r="G155" s="12"/>
      <c r="H155" s="12"/>
      <c r="I155" s="12"/>
      <c r="J155" s="12"/>
    </row>
    <row r="156" spans="5:10" ht="18" customHeight="1" x14ac:dyDescent="0.25">
      <c r="E156" s="12"/>
      <c r="F156" s="12"/>
      <c r="G156" s="12"/>
      <c r="H156" s="12"/>
      <c r="I156" s="12"/>
      <c r="J156" s="12"/>
    </row>
    <row r="157" spans="5:10" ht="18" customHeight="1" x14ac:dyDescent="0.25">
      <c r="E157" s="12"/>
      <c r="F157" s="12"/>
      <c r="G157" s="12"/>
      <c r="H157" s="12"/>
      <c r="I157" s="12"/>
      <c r="J157" s="12"/>
    </row>
    <row r="158" spans="5:10" ht="18" customHeight="1" x14ac:dyDescent="0.25">
      <c r="E158" s="12"/>
      <c r="F158" s="12"/>
      <c r="G158" s="12"/>
      <c r="H158" s="12"/>
      <c r="I158" s="12"/>
      <c r="J158" s="12"/>
    </row>
    <row r="159" spans="5:10" ht="18" customHeight="1" x14ac:dyDescent="0.25">
      <c r="E159" s="12"/>
      <c r="F159" s="12"/>
      <c r="G159" s="12"/>
      <c r="H159" s="12"/>
      <c r="I159" s="12"/>
      <c r="J159" s="12"/>
    </row>
    <row r="160" spans="5:10" ht="18" customHeight="1" x14ac:dyDescent="0.25">
      <c r="E160" s="12"/>
      <c r="F160" s="12"/>
      <c r="G160" s="12"/>
      <c r="H160" s="12"/>
      <c r="I160" s="12"/>
      <c r="J160" s="12"/>
    </row>
    <row r="161" spans="5:10" ht="18" customHeight="1" x14ac:dyDescent="0.25">
      <c r="E161" s="12"/>
      <c r="F161" s="12"/>
      <c r="G161" s="12"/>
      <c r="H161" s="12"/>
      <c r="I161" s="12"/>
      <c r="J161" s="12"/>
    </row>
    <row r="162" spans="5:10" ht="18" customHeight="1" x14ac:dyDescent="0.25">
      <c r="E162" s="12"/>
      <c r="F162" s="12"/>
      <c r="G162" s="12"/>
      <c r="H162" s="12"/>
      <c r="I162" s="12"/>
      <c r="J162" s="12"/>
    </row>
    <row r="163" spans="5:10" ht="18" customHeight="1" x14ac:dyDescent="0.25">
      <c r="E163" s="12"/>
      <c r="F163" s="12"/>
      <c r="G163" s="12"/>
      <c r="H163" s="12"/>
      <c r="I163" s="12"/>
      <c r="J163" s="12"/>
    </row>
    <row r="164" spans="5:10" ht="18" customHeight="1" x14ac:dyDescent="0.25">
      <c r="E164" s="12"/>
      <c r="F164" s="12"/>
      <c r="G164" s="12"/>
      <c r="H164" s="12"/>
      <c r="I164" s="12"/>
      <c r="J164" s="12"/>
    </row>
    <row r="165" spans="5:10" ht="18" customHeight="1" x14ac:dyDescent="0.25">
      <c r="E165" s="12"/>
      <c r="F165" s="12"/>
      <c r="G165" s="12"/>
      <c r="H165" s="12"/>
      <c r="I165" s="12"/>
      <c r="J165" s="12"/>
    </row>
    <row r="166" spans="5:10" ht="18" customHeight="1" x14ac:dyDescent="0.25">
      <c r="E166" s="12"/>
      <c r="F166" s="12"/>
      <c r="G166" s="12"/>
      <c r="H166" s="12"/>
      <c r="I166" s="12"/>
      <c r="J166" s="12"/>
    </row>
    <row r="167" spans="5:10" ht="18" customHeight="1" x14ac:dyDescent="0.25">
      <c r="E167" s="12"/>
      <c r="F167" s="12"/>
      <c r="G167" s="12"/>
      <c r="H167" s="12"/>
      <c r="I167" s="12"/>
      <c r="J167" s="12"/>
    </row>
    <row r="168" spans="5:10" ht="18" customHeight="1" x14ac:dyDescent="0.25">
      <c r="E168" s="12"/>
      <c r="F168" s="12"/>
      <c r="G168" s="12"/>
      <c r="H168" s="12"/>
      <c r="I168" s="12"/>
      <c r="J168" s="12"/>
    </row>
    <row r="169" spans="5:10" ht="18" customHeight="1" x14ac:dyDescent="0.25">
      <c r="E169" s="12"/>
      <c r="F169" s="12"/>
      <c r="G169" s="12"/>
      <c r="H169" s="12"/>
      <c r="I169" s="12"/>
      <c r="J169" s="12"/>
    </row>
    <row r="170" spans="5:10" ht="18" customHeight="1" x14ac:dyDescent="0.25">
      <c r="E170" s="12"/>
      <c r="F170" s="12"/>
      <c r="G170" s="12"/>
      <c r="H170" s="12"/>
      <c r="I170" s="12"/>
      <c r="J170" s="12"/>
    </row>
    <row r="171" spans="5:10" ht="18" customHeight="1" x14ac:dyDescent="0.25">
      <c r="E171" s="12"/>
      <c r="F171" s="12"/>
      <c r="G171" s="12"/>
      <c r="H171" s="12"/>
      <c r="I171" s="12"/>
      <c r="J171" s="12"/>
    </row>
    <row r="172" spans="5:10" ht="18" customHeight="1" x14ac:dyDescent="0.25">
      <c r="E172" s="12"/>
      <c r="F172" s="12"/>
      <c r="G172" s="12"/>
      <c r="H172" s="12"/>
      <c r="I172" s="12"/>
      <c r="J172" s="12"/>
    </row>
    <row r="173" spans="5:10" ht="18" customHeight="1" x14ac:dyDescent="0.25">
      <c r="E173" s="12"/>
      <c r="F173" s="12"/>
      <c r="G173" s="12"/>
      <c r="H173" s="12"/>
      <c r="I173" s="12"/>
      <c r="J173" s="12"/>
    </row>
    <row r="174" spans="5:10" ht="18" customHeight="1" x14ac:dyDescent="0.25">
      <c r="E174" s="12"/>
      <c r="F174" s="12"/>
      <c r="G174" s="12"/>
      <c r="H174" s="12"/>
      <c r="I174" s="12"/>
      <c r="J174" s="12"/>
    </row>
    <row r="175" spans="5:10" ht="18" customHeight="1" x14ac:dyDescent="0.25">
      <c r="E175" s="12"/>
      <c r="F175" s="12"/>
      <c r="G175" s="12"/>
      <c r="H175" s="12"/>
      <c r="I175" s="12"/>
      <c r="J175" s="12"/>
    </row>
    <row r="176" spans="5:10" ht="18" customHeight="1" x14ac:dyDescent="0.25">
      <c r="E176" s="12"/>
      <c r="F176" s="12"/>
      <c r="G176" s="12"/>
      <c r="H176" s="12"/>
      <c r="I176" s="12"/>
      <c r="J176" s="12"/>
    </row>
    <row r="177" spans="5:10" ht="18" customHeight="1" x14ac:dyDescent="0.25">
      <c r="E177" s="12"/>
      <c r="F177" s="12"/>
      <c r="G177" s="12"/>
      <c r="H177" s="12"/>
      <c r="I177" s="12"/>
      <c r="J177" s="12"/>
    </row>
    <row r="178" spans="5:10" ht="18" customHeight="1" x14ac:dyDescent="0.25">
      <c r="E178" s="12"/>
      <c r="F178" s="12"/>
      <c r="G178" s="12"/>
      <c r="H178" s="12"/>
      <c r="I178" s="12"/>
      <c r="J178" s="12"/>
    </row>
    <row r="179" spans="5:10" ht="18" customHeight="1" x14ac:dyDescent="0.25">
      <c r="E179" s="12"/>
      <c r="F179" s="12"/>
      <c r="G179" s="12"/>
      <c r="H179" s="12"/>
      <c r="I179" s="12"/>
      <c r="J179" s="12"/>
    </row>
    <row r="180" spans="5:10" ht="18" customHeight="1" x14ac:dyDescent="0.25">
      <c r="E180" s="12"/>
      <c r="F180" s="12"/>
      <c r="G180" s="12"/>
      <c r="H180" s="12"/>
      <c r="I180" s="12"/>
      <c r="J180" s="12"/>
    </row>
    <row r="181" spans="5:10" ht="18" customHeight="1" x14ac:dyDescent="0.25">
      <c r="E181" s="12"/>
      <c r="F181" s="12"/>
      <c r="G181" s="12"/>
      <c r="H181" s="12"/>
      <c r="I181" s="12"/>
      <c r="J181" s="12"/>
    </row>
    <row r="182" spans="5:10" ht="18" customHeight="1" x14ac:dyDescent="0.25">
      <c r="E182" s="12"/>
      <c r="F182" s="12"/>
      <c r="G182" s="12"/>
      <c r="H182" s="12"/>
      <c r="I182" s="12"/>
      <c r="J182" s="12"/>
    </row>
    <row r="183" spans="5:10" ht="18" customHeight="1" x14ac:dyDescent="0.25">
      <c r="E183" s="12"/>
      <c r="F183" s="12"/>
      <c r="G183" s="12"/>
      <c r="H183" s="12"/>
      <c r="I183" s="12"/>
      <c r="J183" s="12"/>
    </row>
    <row r="184" spans="5:10" ht="18" customHeight="1" x14ac:dyDescent="0.25">
      <c r="E184" s="12"/>
      <c r="F184" s="12"/>
      <c r="G184" s="12"/>
      <c r="H184" s="12"/>
      <c r="I184" s="12"/>
      <c r="J184" s="12"/>
    </row>
    <row r="185" spans="5:10" ht="18" customHeight="1" x14ac:dyDescent="0.25">
      <c r="E185" s="12"/>
      <c r="F185" s="12"/>
      <c r="G185" s="12"/>
      <c r="H185" s="12"/>
      <c r="I185" s="12"/>
      <c r="J185" s="12"/>
    </row>
    <row r="186" spans="5:10" ht="18" customHeight="1" x14ac:dyDescent="0.25">
      <c r="E186" s="12"/>
      <c r="F186" s="12"/>
      <c r="G186" s="12"/>
      <c r="H186" s="12"/>
      <c r="I186" s="12"/>
      <c r="J186" s="12"/>
    </row>
    <row r="187" spans="5:10" ht="18" customHeight="1" x14ac:dyDescent="0.25">
      <c r="E187" s="12"/>
      <c r="F187" s="12"/>
      <c r="G187" s="12"/>
      <c r="H187" s="12"/>
      <c r="I187" s="12"/>
      <c r="J187" s="12"/>
    </row>
    <row r="188" spans="5:10" ht="18" customHeight="1" x14ac:dyDescent="0.25">
      <c r="E188" s="12"/>
      <c r="F188" s="12"/>
      <c r="G188" s="12"/>
      <c r="H188" s="12"/>
      <c r="I188" s="12"/>
      <c r="J188" s="12"/>
    </row>
    <row r="189" spans="5:10" ht="18" customHeight="1" x14ac:dyDescent="0.25">
      <c r="E189" s="12"/>
      <c r="F189" s="12"/>
      <c r="G189" s="12"/>
      <c r="H189" s="12"/>
      <c r="I189" s="12"/>
      <c r="J189" s="12"/>
    </row>
    <row r="190" spans="5:10" ht="18" customHeight="1" x14ac:dyDescent="0.25">
      <c r="E190" s="12"/>
      <c r="F190" s="12"/>
      <c r="G190" s="12"/>
      <c r="H190" s="12"/>
      <c r="I190" s="12"/>
      <c r="J190" s="12"/>
    </row>
    <row r="191" spans="5:10" ht="18" customHeight="1" x14ac:dyDescent="0.25">
      <c r="E191" s="12"/>
      <c r="F191" s="12"/>
      <c r="G191" s="12"/>
      <c r="H191" s="12"/>
      <c r="I191" s="12"/>
      <c r="J191" s="12"/>
    </row>
    <row r="192" spans="5:10" ht="18" customHeight="1" x14ac:dyDescent="0.25">
      <c r="E192" s="12"/>
      <c r="F192" s="12"/>
      <c r="G192" s="12"/>
      <c r="H192" s="12"/>
      <c r="I192" s="12"/>
      <c r="J192" s="12"/>
    </row>
    <row r="193" spans="5:10" ht="18" customHeight="1" x14ac:dyDescent="0.25">
      <c r="E193" s="12"/>
      <c r="F193" s="12"/>
      <c r="G193" s="12"/>
      <c r="H193" s="12"/>
      <c r="I193" s="12"/>
      <c r="J193" s="12"/>
    </row>
    <row r="194" spans="5:10" ht="18" customHeight="1" x14ac:dyDescent="0.25">
      <c r="E194" s="12"/>
      <c r="F194" s="12"/>
      <c r="G194" s="12"/>
      <c r="H194" s="12"/>
      <c r="I194" s="12"/>
      <c r="J194" s="12"/>
    </row>
    <row r="195" spans="5:10" ht="18" customHeight="1" x14ac:dyDescent="0.25">
      <c r="E195" s="12"/>
      <c r="F195" s="12"/>
      <c r="G195" s="12"/>
      <c r="H195" s="12"/>
      <c r="I195" s="12"/>
      <c r="J195" s="12"/>
    </row>
    <row r="196" spans="5:10" ht="18" customHeight="1" x14ac:dyDescent="0.25">
      <c r="E196" s="12"/>
      <c r="F196" s="12"/>
      <c r="G196" s="12"/>
      <c r="H196" s="12"/>
      <c r="I196" s="12"/>
      <c r="J196" s="12"/>
    </row>
    <row r="197" spans="5:10" ht="18" customHeight="1" x14ac:dyDescent="0.25">
      <c r="E197" s="12"/>
      <c r="F197" s="12"/>
      <c r="G197" s="12"/>
      <c r="H197" s="12"/>
      <c r="I197" s="12"/>
      <c r="J197" s="12"/>
    </row>
    <row r="198" spans="5:10" ht="18" customHeight="1" x14ac:dyDescent="0.25">
      <c r="E198" s="12"/>
      <c r="F198" s="12"/>
      <c r="G198" s="12"/>
      <c r="H198" s="12"/>
      <c r="I198" s="12"/>
      <c r="J198" s="12"/>
    </row>
    <row r="199" spans="5:10" ht="18" customHeight="1" x14ac:dyDescent="0.25">
      <c r="E199" s="12"/>
      <c r="F199" s="12"/>
      <c r="G199" s="12"/>
      <c r="H199" s="12"/>
      <c r="I199" s="12"/>
      <c r="J199" s="12"/>
    </row>
    <row r="200" spans="5:10" ht="18" customHeight="1" x14ac:dyDescent="0.25">
      <c r="E200" s="12"/>
      <c r="F200" s="12"/>
      <c r="G200" s="12"/>
      <c r="H200" s="12"/>
      <c r="I200" s="12"/>
      <c r="J200" s="12"/>
    </row>
    <row r="201" spans="5:10" ht="18" customHeight="1" x14ac:dyDescent="0.25">
      <c r="E201" s="12"/>
      <c r="F201" s="12"/>
      <c r="G201" s="12"/>
      <c r="H201" s="12"/>
      <c r="I201" s="12"/>
      <c r="J201" s="12"/>
    </row>
    <row r="202" spans="5:10" ht="18" customHeight="1" x14ac:dyDescent="0.25">
      <c r="E202" s="12"/>
      <c r="F202" s="12"/>
      <c r="G202" s="12"/>
      <c r="H202" s="12"/>
      <c r="I202" s="12"/>
      <c r="J202" s="12"/>
    </row>
    <row r="203" spans="5:10" ht="18" customHeight="1" x14ac:dyDescent="0.25">
      <c r="E203" s="12"/>
      <c r="F203" s="12"/>
      <c r="G203" s="12"/>
      <c r="H203" s="12"/>
      <c r="I203" s="12"/>
      <c r="J203" s="12"/>
    </row>
    <row r="204" spans="5:10" ht="18" customHeight="1" x14ac:dyDescent="0.25">
      <c r="E204" s="12"/>
      <c r="F204" s="12"/>
      <c r="G204" s="12"/>
      <c r="H204" s="12"/>
      <c r="I204" s="12"/>
      <c r="J204" s="12"/>
    </row>
    <row r="205" spans="5:10" ht="18" customHeight="1" x14ac:dyDescent="0.25">
      <c r="E205" s="12"/>
      <c r="F205" s="12"/>
      <c r="G205" s="12"/>
      <c r="H205" s="12"/>
      <c r="I205" s="12"/>
      <c r="J205" s="12"/>
    </row>
    <row r="206" spans="5:10" ht="18" customHeight="1" x14ac:dyDescent="0.25">
      <c r="E206" s="12"/>
      <c r="F206" s="12"/>
      <c r="G206" s="12"/>
      <c r="H206" s="12"/>
      <c r="I206" s="12"/>
      <c r="J206" s="12"/>
    </row>
    <row r="207" spans="5:10" ht="18" customHeight="1" x14ac:dyDescent="0.25">
      <c r="E207" s="12"/>
      <c r="F207" s="12"/>
      <c r="G207" s="12"/>
      <c r="H207" s="12"/>
      <c r="I207" s="12"/>
      <c r="J207" s="12"/>
    </row>
    <row r="208" spans="5:10" ht="18" customHeight="1" x14ac:dyDescent="0.25">
      <c r="E208" s="12"/>
      <c r="F208" s="12"/>
      <c r="G208" s="12"/>
      <c r="H208" s="12"/>
      <c r="I208" s="12"/>
      <c r="J208" s="12"/>
    </row>
    <row r="209" spans="5:10" ht="18" customHeight="1" x14ac:dyDescent="0.25">
      <c r="E209" s="12"/>
      <c r="F209" s="12"/>
      <c r="G209" s="12"/>
      <c r="H209" s="12"/>
      <c r="I209" s="12"/>
      <c r="J209" s="12"/>
    </row>
    <row r="210" spans="5:10" ht="18" customHeight="1" x14ac:dyDescent="0.25">
      <c r="E210" s="12"/>
      <c r="F210" s="12"/>
      <c r="G210" s="12"/>
      <c r="H210" s="12"/>
      <c r="I210" s="12"/>
      <c r="J210" s="12"/>
    </row>
    <row r="211" spans="5:10" ht="18" customHeight="1" x14ac:dyDescent="0.25">
      <c r="E211" s="12"/>
      <c r="F211" s="12"/>
      <c r="G211" s="12"/>
      <c r="H211" s="12"/>
      <c r="I211" s="12"/>
      <c r="J211" s="12"/>
    </row>
    <row r="212" spans="5:10" ht="18" customHeight="1" x14ac:dyDescent="0.25">
      <c r="E212" s="12"/>
      <c r="F212" s="12"/>
      <c r="G212" s="12"/>
      <c r="H212" s="12"/>
      <c r="I212" s="12"/>
      <c r="J212" s="12"/>
    </row>
    <row r="213" spans="5:10" ht="18" customHeight="1" x14ac:dyDescent="0.25">
      <c r="E213" s="12"/>
      <c r="F213" s="12"/>
      <c r="G213" s="12"/>
      <c r="H213" s="12"/>
      <c r="I213" s="12"/>
      <c r="J213" s="12"/>
    </row>
    <row r="214" spans="5:10" ht="18" customHeight="1" x14ac:dyDescent="0.25">
      <c r="E214" s="12"/>
      <c r="F214" s="12"/>
      <c r="G214" s="12"/>
      <c r="H214" s="12"/>
      <c r="I214" s="12"/>
      <c r="J214" s="12"/>
    </row>
    <row r="215" spans="5:10" ht="18" customHeight="1" x14ac:dyDescent="0.25">
      <c r="E215" s="12"/>
      <c r="F215" s="12"/>
      <c r="G215" s="12"/>
      <c r="H215" s="12"/>
      <c r="I215" s="12"/>
      <c r="J215" s="12"/>
    </row>
    <row r="216" spans="5:10" ht="18" customHeight="1" x14ac:dyDescent="0.25">
      <c r="E216" s="12"/>
      <c r="F216" s="12"/>
      <c r="G216" s="12"/>
      <c r="H216" s="12"/>
      <c r="I216" s="12"/>
      <c r="J216" s="12"/>
    </row>
    <row r="217" spans="5:10" ht="18" customHeight="1" x14ac:dyDescent="0.25">
      <c r="E217" s="12"/>
      <c r="F217" s="12"/>
      <c r="G217" s="12"/>
      <c r="H217" s="12"/>
      <c r="I217" s="12"/>
      <c r="J217" s="12"/>
    </row>
    <row r="218" spans="5:10" ht="18" customHeight="1" x14ac:dyDescent="0.25">
      <c r="E218" s="12"/>
      <c r="F218" s="12"/>
      <c r="G218" s="12"/>
      <c r="H218" s="12"/>
      <c r="I218" s="12"/>
      <c r="J218" s="12"/>
    </row>
    <row r="219" spans="5:10" ht="18" customHeight="1" x14ac:dyDescent="0.25">
      <c r="E219" s="12"/>
      <c r="F219" s="12"/>
      <c r="G219" s="12"/>
      <c r="H219" s="12"/>
      <c r="I219" s="12"/>
      <c r="J219" s="12"/>
    </row>
    <row r="220" spans="5:10" ht="18" customHeight="1" x14ac:dyDescent="0.25">
      <c r="E220" s="12"/>
      <c r="F220" s="12"/>
      <c r="G220" s="12"/>
      <c r="H220" s="12"/>
      <c r="I220" s="12"/>
      <c r="J220" s="12"/>
    </row>
    <row r="221" spans="5:10" ht="18" customHeight="1" x14ac:dyDescent="0.25">
      <c r="E221" s="12"/>
      <c r="F221" s="12"/>
      <c r="G221" s="12"/>
      <c r="H221" s="12"/>
      <c r="I221" s="12"/>
      <c r="J221" s="12"/>
    </row>
    <row r="222" spans="5:10" ht="18" customHeight="1" x14ac:dyDescent="0.25">
      <c r="E222" s="12"/>
      <c r="F222" s="12"/>
      <c r="G222" s="12"/>
      <c r="H222" s="12"/>
      <c r="I222" s="12"/>
      <c r="J222" s="12"/>
    </row>
    <row r="223" spans="5:10" ht="18" customHeight="1" x14ac:dyDescent="0.25">
      <c r="E223" s="12"/>
      <c r="F223" s="12"/>
      <c r="G223" s="12"/>
      <c r="H223" s="12"/>
      <c r="I223" s="12"/>
      <c r="J223" s="12"/>
    </row>
    <row r="224" spans="5:10" ht="18" customHeight="1" x14ac:dyDescent="0.25">
      <c r="E224" s="12"/>
      <c r="F224" s="12"/>
      <c r="G224" s="12"/>
      <c r="H224" s="12"/>
      <c r="I224" s="12"/>
      <c r="J224" s="12"/>
    </row>
    <row r="225" spans="5:10" ht="18" customHeight="1" x14ac:dyDescent="0.25">
      <c r="E225" s="12"/>
      <c r="F225" s="12"/>
      <c r="G225" s="12"/>
      <c r="H225" s="12"/>
      <c r="I225" s="12"/>
      <c r="J225" s="12"/>
    </row>
    <row r="226" spans="5:10" ht="18" customHeight="1" x14ac:dyDescent="0.25">
      <c r="E226" s="12"/>
      <c r="F226" s="12"/>
      <c r="G226" s="12"/>
      <c r="H226" s="12"/>
      <c r="I226" s="12"/>
      <c r="J226" s="12"/>
    </row>
    <row r="227" spans="5:10" ht="18" customHeight="1" x14ac:dyDescent="0.25">
      <c r="E227" s="12"/>
      <c r="F227" s="12"/>
      <c r="G227" s="12"/>
      <c r="H227" s="12"/>
      <c r="I227" s="12"/>
      <c r="J227" s="12"/>
    </row>
    <row r="228" spans="5:10" ht="18" customHeight="1" x14ac:dyDescent="0.25">
      <c r="E228" s="12"/>
      <c r="F228" s="12"/>
      <c r="G228" s="12"/>
      <c r="H228" s="12"/>
      <c r="I228" s="12"/>
      <c r="J228" s="12"/>
    </row>
    <row r="229" spans="5:10" ht="18" customHeight="1" x14ac:dyDescent="0.25">
      <c r="E229" s="12"/>
      <c r="F229" s="12"/>
      <c r="G229" s="12"/>
      <c r="H229" s="12"/>
      <c r="I229" s="12"/>
      <c r="J229" s="12"/>
    </row>
    <row r="230" spans="5:10" ht="18" customHeight="1" x14ac:dyDescent="0.25">
      <c r="E230" s="12"/>
      <c r="F230" s="12"/>
      <c r="G230" s="12"/>
      <c r="H230" s="12"/>
      <c r="I230" s="12"/>
      <c r="J230" s="12"/>
    </row>
    <row r="231" spans="5:10" ht="18" customHeight="1" x14ac:dyDescent="0.25">
      <c r="E231" s="12"/>
      <c r="F231" s="12"/>
      <c r="G231" s="12"/>
      <c r="H231" s="12"/>
      <c r="I231" s="12"/>
      <c r="J231" s="12"/>
    </row>
    <row r="232" spans="5:10" ht="18" customHeight="1" x14ac:dyDescent="0.25">
      <c r="E232" s="12"/>
      <c r="F232" s="12"/>
      <c r="G232" s="12"/>
      <c r="H232" s="12"/>
      <c r="I232" s="12"/>
      <c r="J232" s="12"/>
    </row>
    <row r="233" spans="5:10" ht="18" customHeight="1" x14ac:dyDescent="0.25">
      <c r="E233" s="12"/>
      <c r="F233" s="12"/>
      <c r="G233" s="12"/>
      <c r="H233" s="12"/>
      <c r="I233" s="12"/>
      <c r="J233" s="12"/>
    </row>
    <row r="234" spans="5:10" ht="18" customHeight="1" x14ac:dyDescent="0.25">
      <c r="E234" s="12"/>
      <c r="F234" s="12"/>
      <c r="G234" s="12"/>
      <c r="H234" s="12"/>
      <c r="I234" s="12"/>
      <c r="J234" s="12"/>
    </row>
    <row r="235" spans="5:10" ht="18" customHeight="1" x14ac:dyDescent="0.25">
      <c r="E235" s="12"/>
      <c r="F235" s="12"/>
      <c r="G235" s="12"/>
      <c r="H235" s="12"/>
      <c r="I235" s="12"/>
      <c r="J235" s="12"/>
    </row>
    <row r="236" spans="5:10" ht="18" customHeight="1" x14ac:dyDescent="0.25">
      <c r="E236" s="12"/>
      <c r="F236" s="12"/>
      <c r="G236" s="12"/>
      <c r="H236" s="12"/>
      <c r="I236" s="12"/>
      <c r="J236" s="12"/>
    </row>
    <row r="237" spans="5:10" ht="18" customHeight="1" x14ac:dyDescent="0.25">
      <c r="E237" s="12"/>
      <c r="F237" s="12"/>
      <c r="G237" s="12"/>
      <c r="H237" s="12"/>
      <c r="I237" s="12"/>
      <c r="J237" s="12"/>
    </row>
    <row r="238" spans="5:10" ht="18" customHeight="1" x14ac:dyDescent="0.25">
      <c r="E238" s="12"/>
      <c r="F238" s="12"/>
      <c r="G238" s="12"/>
      <c r="H238" s="12"/>
      <c r="I238" s="12"/>
      <c r="J238" s="12"/>
    </row>
    <row r="239" spans="5:10" ht="18" customHeight="1" x14ac:dyDescent="0.25">
      <c r="E239" s="12"/>
      <c r="F239" s="12"/>
      <c r="G239" s="12"/>
      <c r="H239" s="12"/>
      <c r="I239" s="12"/>
      <c r="J239" s="12"/>
    </row>
    <row r="240" spans="5:10" ht="18" customHeight="1" x14ac:dyDescent="0.25">
      <c r="E240" s="12"/>
      <c r="F240" s="12"/>
      <c r="G240" s="12"/>
      <c r="H240" s="12"/>
      <c r="I240" s="12"/>
      <c r="J240" s="12"/>
    </row>
    <row r="241" spans="5:10" ht="18" customHeight="1" x14ac:dyDescent="0.25">
      <c r="E241" s="12"/>
      <c r="F241" s="12"/>
      <c r="G241" s="12"/>
      <c r="H241" s="12"/>
      <c r="I241" s="12"/>
      <c r="J241" s="12"/>
    </row>
    <row r="242" spans="5:10" ht="18" customHeight="1" x14ac:dyDescent="0.25">
      <c r="E242" s="12"/>
      <c r="F242" s="12"/>
      <c r="G242" s="12"/>
      <c r="H242" s="12"/>
      <c r="I242" s="12"/>
      <c r="J242" s="12"/>
    </row>
    <row r="243" spans="5:10" ht="18" customHeight="1" x14ac:dyDescent="0.25">
      <c r="E243" s="12"/>
      <c r="F243" s="12"/>
      <c r="G243" s="12"/>
      <c r="H243" s="12"/>
      <c r="I243" s="12"/>
      <c r="J243" s="12"/>
    </row>
    <row r="244" spans="5:10" ht="18" customHeight="1" x14ac:dyDescent="0.25">
      <c r="E244" s="12"/>
      <c r="F244" s="12"/>
      <c r="G244" s="12"/>
      <c r="H244" s="12"/>
      <c r="I244" s="12"/>
      <c r="J244" s="12"/>
    </row>
    <row r="245" spans="5:10" ht="18" customHeight="1" x14ac:dyDescent="0.25">
      <c r="E245" s="12"/>
      <c r="F245" s="12"/>
      <c r="G245" s="12"/>
      <c r="H245" s="12"/>
      <c r="I245" s="12"/>
      <c r="J245" s="12"/>
    </row>
    <row r="246" spans="5:10" ht="18" customHeight="1" x14ac:dyDescent="0.25">
      <c r="E246" s="12"/>
      <c r="F246" s="12"/>
      <c r="G246" s="12"/>
      <c r="H246" s="12"/>
      <c r="I246" s="12"/>
      <c r="J246" s="12"/>
    </row>
    <row r="247" spans="5:10" ht="18" customHeight="1" x14ac:dyDescent="0.25">
      <c r="E247" s="12"/>
      <c r="F247" s="12"/>
      <c r="G247" s="12"/>
      <c r="H247" s="12"/>
      <c r="I247" s="12"/>
      <c r="J247" s="12"/>
    </row>
    <row r="248" spans="5:10" ht="18" customHeight="1" x14ac:dyDescent="0.25">
      <c r="E248" s="12"/>
      <c r="F248" s="12"/>
      <c r="G248" s="12"/>
      <c r="H248" s="12"/>
      <c r="I248" s="12"/>
      <c r="J248" s="12"/>
    </row>
    <row r="249" spans="5:10" ht="18" customHeight="1" x14ac:dyDescent="0.25">
      <c r="E249" s="12"/>
      <c r="F249" s="12"/>
      <c r="G249" s="12"/>
      <c r="H249" s="12"/>
      <c r="I249" s="12"/>
      <c r="J249" s="12"/>
    </row>
    <row r="250" spans="5:10" ht="18" customHeight="1" x14ac:dyDescent="0.25">
      <c r="E250" s="12"/>
      <c r="F250" s="12"/>
      <c r="G250" s="12"/>
      <c r="H250" s="12"/>
      <c r="I250" s="12"/>
      <c r="J250" s="12"/>
    </row>
    <row r="251" spans="5:10" ht="18" customHeight="1" x14ac:dyDescent="0.25">
      <c r="E251" s="12"/>
      <c r="F251" s="12"/>
      <c r="G251" s="12"/>
      <c r="H251" s="12"/>
      <c r="I251" s="12"/>
      <c r="J251" s="12"/>
    </row>
    <row r="252" spans="5:10" ht="18" customHeight="1" x14ac:dyDescent="0.25">
      <c r="E252" s="12"/>
      <c r="F252" s="12"/>
      <c r="G252" s="12"/>
      <c r="H252" s="12"/>
      <c r="I252" s="12"/>
      <c r="J252" s="12"/>
    </row>
    <row r="253" spans="5:10" ht="18" customHeight="1" x14ac:dyDescent="0.25">
      <c r="E253" s="12"/>
      <c r="F253" s="12"/>
      <c r="G253" s="12"/>
      <c r="H253" s="12"/>
      <c r="I253" s="12"/>
      <c r="J253" s="12"/>
    </row>
    <row r="254" spans="5:10" ht="18" customHeight="1" x14ac:dyDescent="0.25">
      <c r="E254" s="12"/>
      <c r="F254" s="12"/>
      <c r="G254" s="12"/>
      <c r="H254" s="12"/>
      <c r="I254" s="12"/>
      <c r="J254" s="12"/>
    </row>
    <row r="255" spans="5:10" ht="18" customHeight="1" x14ac:dyDescent="0.25">
      <c r="E255" s="12"/>
      <c r="F255" s="12"/>
      <c r="G255" s="12"/>
      <c r="H255" s="12"/>
      <c r="I255" s="12"/>
      <c r="J255" s="12"/>
    </row>
    <row r="256" spans="5:10" ht="18" customHeight="1" x14ac:dyDescent="0.25">
      <c r="E256" s="12"/>
      <c r="F256" s="12"/>
      <c r="G256" s="12"/>
      <c r="H256" s="12"/>
      <c r="I256" s="12"/>
      <c r="J256" s="12"/>
    </row>
    <row r="257" spans="5:10" ht="18" customHeight="1" x14ac:dyDescent="0.25">
      <c r="E257" s="12"/>
      <c r="F257" s="12"/>
      <c r="G257" s="12"/>
      <c r="H257" s="12"/>
      <c r="I257" s="12"/>
      <c r="J257" s="12"/>
    </row>
    <row r="258" spans="5:10" ht="18" customHeight="1" x14ac:dyDescent="0.25">
      <c r="E258" s="12"/>
      <c r="F258" s="12"/>
      <c r="G258" s="12"/>
      <c r="H258" s="12"/>
      <c r="I258" s="12"/>
      <c r="J258" s="12"/>
    </row>
    <row r="259" spans="5:10" ht="18" customHeight="1" x14ac:dyDescent="0.25">
      <c r="E259" s="12"/>
      <c r="F259" s="12"/>
      <c r="G259" s="12"/>
      <c r="H259" s="12"/>
      <c r="I259" s="12"/>
      <c r="J259" s="12"/>
    </row>
    <row r="260" spans="5:10" ht="18" customHeight="1" x14ac:dyDescent="0.25">
      <c r="E260" s="12"/>
      <c r="F260" s="12"/>
      <c r="G260" s="12"/>
      <c r="H260" s="12"/>
      <c r="I260" s="12"/>
      <c r="J260" s="12"/>
    </row>
    <row r="261" spans="5:10" ht="18" customHeight="1" x14ac:dyDescent="0.25">
      <c r="E261" s="12"/>
      <c r="F261" s="12"/>
      <c r="G261" s="12"/>
      <c r="H261" s="12"/>
      <c r="I261" s="12"/>
      <c r="J261" s="12"/>
    </row>
    <row r="262" spans="5:10" ht="18" customHeight="1" x14ac:dyDescent="0.25">
      <c r="E262" s="12"/>
      <c r="F262" s="12"/>
      <c r="G262" s="12"/>
      <c r="H262" s="12"/>
      <c r="I262" s="12"/>
      <c r="J262" s="12"/>
    </row>
    <row r="263" spans="5:10" ht="18" customHeight="1" x14ac:dyDescent="0.25">
      <c r="E263" s="12"/>
      <c r="F263" s="12"/>
      <c r="G263" s="12"/>
      <c r="H263" s="12"/>
      <c r="I263" s="12"/>
      <c r="J263" s="12"/>
    </row>
    <row r="264" spans="5:10" ht="18" customHeight="1" x14ac:dyDescent="0.25">
      <c r="E264" s="12"/>
      <c r="F264" s="12"/>
      <c r="G264" s="12"/>
      <c r="H264" s="12"/>
      <c r="I264" s="12"/>
      <c r="J264" s="12"/>
    </row>
    <row r="265" spans="5:10" ht="18" customHeight="1" x14ac:dyDescent="0.25">
      <c r="E265" s="12"/>
      <c r="F265" s="12"/>
      <c r="G265" s="12"/>
      <c r="H265" s="12"/>
      <c r="I265" s="12"/>
      <c r="J265" s="12"/>
    </row>
    <row r="266" spans="5:10" ht="18" customHeight="1" x14ac:dyDescent="0.25">
      <c r="E266" s="12"/>
      <c r="F266" s="12"/>
      <c r="G266" s="12"/>
      <c r="H266" s="12"/>
      <c r="I266" s="12"/>
      <c r="J266" s="12"/>
    </row>
    <row r="267" spans="5:10" ht="18" customHeight="1" x14ac:dyDescent="0.25">
      <c r="E267" s="12"/>
      <c r="F267" s="12"/>
      <c r="G267" s="12"/>
      <c r="H267" s="12"/>
      <c r="I267" s="12"/>
      <c r="J267" s="12"/>
    </row>
    <row r="268" spans="5:10" ht="18" customHeight="1" x14ac:dyDescent="0.25">
      <c r="E268" s="12"/>
      <c r="F268" s="12"/>
      <c r="G268" s="12"/>
      <c r="H268" s="12"/>
      <c r="I268" s="12"/>
      <c r="J268" s="12"/>
    </row>
    <row r="269" spans="5:10" ht="18" customHeight="1" x14ac:dyDescent="0.25">
      <c r="E269" s="12"/>
      <c r="F269" s="12"/>
      <c r="G269" s="12"/>
      <c r="H269" s="12"/>
      <c r="I269" s="12"/>
      <c r="J269" s="12"/>
    </row>
    <row r="270" spans="5:10" ht="18" customHeight="1" x14ac:dyDescent="0.25">
      <c r="E270" s="12"/>
      <c r="F270" s="12"/>
      <c r="G270" s="12"/>
      <c r="H270" s="12"/>
      <c r="I270" s="12"/>
      <c r="J270" s="12"/>
    </row>
    <row r="271" spans="5:10" ht="18" customHeight="1" x14ac:dyDescent="0.25">
      <c r="E271" s="12"/>
      <c r="F271" s="12"/>
      <c r="G271" s="12"/>
      <c r="H271" s="12"/>
      <c r="I271" s="12"/>
      <c r="J271" s="12"/>
    </row>
    <row r="272" spans="5:10" ht="18" customHeight="1" x14ac:dyDescent="0.25">
      <c r="E272" s="12"/>
      <c r="F272" s="12"/>
      <c r="G272" s="12"/>
      <c r="H272" s="12"/>
      <c r="I272" s="12"/>
      <c r="J272" s="12"/>
    </row>
    <row r="273" spans="5:10" ht="18" customHeight="1" x14ac:dyDescent="0.25">
      <c r="E273" s="12"/>
      <c r="F273" s="12"/>
      <c r="G273" s="12"/>
      <c r="H273" s="12"/>
      <c r="I273" s="12"/>
      <c r="J273" s="12"/>
    </row>
    <row r="274" spans="5:10" ht="18" customHeight="1" x14ac:dyDescent="0.25">
      <c r="E274" s="12"/>
      <c r="F274" s="12"/>
      <c r="G274" s="12"/>
      <c r="H274" s="12"/>
      <c r="I274" s="12"/>
      <c r="J274" s="12"/>
    </row>
    <row r="275" spans="5:10" ht="18" customHeight="1" x14ac:dyDescent="0.25">
      <c r="E275" s="12"/>
      <c r="F275" s="12"/>
      <c r="G275" s="12"/>
      <c r="H275" s="12"/>
      <c r="I275" s="12"/>
      <c r="J275" s="12"/>
    </row>
    <row r="276" spans="5:10" ht="18" customHeight="1" x14ac:dyDescent="0.25">
      <c r="E276" s="12"/>
      <c r="F276" s="12"/>
      <c r="G276" s="12"/>
      <c r="H276" s="12"/>
      <c r="I276" s="12"/>
      <c r="J276" s="12"/>
    </row>
    <row r="277" spans="5:10" ht="18" customHeight="1" x14ac:dyDescent="0.25">
      <c r="E277" s="12"/>
      <c r="F277" s="12"/>
      <c r="G277" s="12"/>
      <c r="H277" s="12"/>
      <c r="I277" s="12"/>
      <c r="J277" s="12"/>
    </row>
    <row r="278" spans="5:10" ht="18" customHeight="1" x14ac:dyDescent="0.25">
      <c r="E278" s="12"/>
      <c r="F278" s="12"/>
      <c r="G278" s="12"/>
      <c r="H278" s="12"/>
      <c r="I278" s="12"/>
      <c r="J278" s="12"/>
    </row>
    <row r="279" spans="5:10" ht="18" customHeight="1" x14ac:dyDescent="0.25">
      <c r="E279" s="12"/>
      <c r="F279" s="12"/>
      <c r="G279" s="12"/>
      <c r="H279" s="12"/>
      <c r="I279" s="12"/>
      <c r="J279" s="12"/>
    </row>
    <row r="280" spans="5:10" ht="18" customHeight="1" x14ac:dyDescent="0.25">
      <c r="E280" s="12"/>
      <c r="F280" s="12"/>
      <c r="G280" s="12"/>
      <c r="H280" s="12"/>
      <c r="I280" s="12"/>
      <c r="J280" s="12"/>
    </row>
    <row r="281" spans="5:10" ht="18" customHeight="1" x14ac:dyDescent="0.25">
      <c r="E281" s="12"/>
      <c r="F281" s="12"/>
      <c r="G281" s="12"/>
      <c r="H281" s="12"/>
      <c r="I281" s="12"/>
      <c r="J281" s="12"/>
    </row>
    <row r="282" spans="5:10" ht="18" customHeight="1" x14ac:dyDescent="0.25">
      <c r="E282" s="12"/>
      <c r="F282" s="12"/>
      <c r="G282" s="12"/>
      <c r="H282" s="12"/>
      <c r="I282" s="12"/>
      <c r="J282" s="12"/>
    </row>
    <row r="283" spans="5:10" ht="18" customHeight="1" x14ac:dyDescent="0.25">
      <c r="E283" s="12"/>
      <c r="F283" s="12"/>
      <c r="G283" s="12"/>
      <c r="H283" s="12"/>
      <c r="I283" s="12"/>
      <c r="J283" s="12"/>
    </row>
    <row r="284" spans="5:10" ht="18" customHeight="1" x14ac:dyDescent="0.25">
      <c r="E284" s="12"/>
      <c r="F284" s="12"/>
      <c r="G284" s="12"/>
      <c r="H284" s="12"/>
      <c r="I284" s="12"/>
      <c r="J284" s="12"/>
    </row>
    <row r="285" spans="5:10" ht="18" customHeight="1" x14ac:dyDescent="0.25">
      <c r="E285" s="12"/>
      <c r="F285" s="12"/>
      <c r="G285" s="12"/>
      <c r="H285" s="12"/>
      <c r="I285" s="12"/>
      <c r="J285" s="12"/>
    </row>
    <row r="286" spans="5:10" ht="18" customHeight="1" x14ac:dyDescent="0.25">
      <c r="E286" s="12"/>
      <c r="F286" s="12"/>
      <c r="G286" s="12"/>
      <c r="H286" s="12"/>
      <c r="I286" s="12"/>
      <c r="J286" s="12"/>
    </row>
    <row r="287" spans="5:10" ht="18" customHeight="1" x14ac:dyDescent="0.25">
      <c r="E287" s="12"/>
      <c r="F287" s="12"/>
      <c r="G287" s="12"/>
      <c r="H287" s="12"/>
      <c r="I287" s="12"/>
      <c r="J287" s="12"/>
    </row>
    <row r="288" spans="5:10" ht="18" customHeight="1" x14ac:dyDescent="0.25">
      <c r="E288" s="12"/>
      <c r="F288" s="12"/>
      <c r="G288" s="12"/>
      <c r="H288" s="12"/>
      <c r="I288" s="12"/>
      <c r="J288" s="12"/>
    </row>
    <row r="289" spans="5:10" ht="18" customHeight="1" x14ac:dyDescent="0.25">
      <c r="E289" s="12"/>
      <c r="F289" s="12"/>
      <c r="G289" s="12"/>
      <c r="H289" s="12"/>
      <c r="I289" s="12"/>
      <c r="J289" s="12"/>
    </row>
    <row r="290" spans="5:10" ht="18" customHeight="1" x14ac:dyDescent="0.25">
      <c r="E290" s="12"/>
      <c r="F290" s="12"/>
      <c r="G290" s="12"/>
      <c r="H290" s="12"/>
      <c r="I290" s="12"/>
      <c r="J290" s="12"/>
    </row>
    <row r="291" spans="5:10" ht="18" customHeight="1" x14ac:dyDescent="0.25">
      <c r="E291" s="12"/>
      <c r="F291" s="12"/>
      <c r="G291" s="12"/>
      <c r="H291" s="12"/>
      <c r="I291" s="12"/>
      <c r="J291" s="12"/>
    </row>
    <row r="292" spans="5:10" ht="18" customHeight="1" x14ac:dyDescent="0.25">
      <c r="E292" s="12"/>
      <c r="F292" s="12"/>
      <c r="G292" s="12"/>
      <c r="H292" s="12"/>
      <c r="I292" s="12"/>
      <c r="J292" s="12"/>
    </row>
    <row r="293" spans="5:10" ht="18" customHeight="1" x14ac:dyDescent="0.25">
      <c r="E293" s="12"/>
      <c r="F293" s="12"/>
      <c r="G293" s="12"/>
      <c r="H293" s="12"/>
      <c r="I293" s="12"/>
      <c r="J293" s="12"/>
    </row>
    <row r="294" spans="5:10" ht="18" customHeight="1" x14ac:dyDescent="0.25">
      <c r="E294" s="12"/>
      <c r="F294" s="12"/>
      <c r="G294" s="12"/>
      <c r="H294" s="12"/>
      <c r="I294" s="12"/>
      <c r="J294" s="12"/>
    </row>
    <row r="295" spans="5:10" ht="18" customHeight="1" x14ac:dyDescent="0.25">
      <c r="E295" s="12"/>
      <c r="F295" s="12"/>
      <c r="G295" s="12"/>
      <c r="H295" s="12"/>
      <c r="I295" s="12"/>
      <c r="J295" s="12"/>
    </row>
    <row r="296" spans="5:10" ht="18" customHeight="1" x14ac:dyDescent="0.25">
      <c r="E296" s="12"/>
      <c r="F296" s="12"/>
      <c r="G296" s="12"/>
      <c r="H296" s="12"/>
      <c r="I296" s="12"/>
      <c r="J296" s="12"/>
    </row>
    <row r="297" spans="5:10" ht="18" customHeight="1" x14ac:dyDescent="0.25">
      <c r="E297" s="12"/>
      <c r="F297" s="12"/>
      <c r="G297" s="12"/>
      <c r="H297" s="12"/>
      <c r="I297" s="12"/>
      <c r="J297" s="12"/>
    </row>
    <row r="298" spans="5:10" ht="18" customHeight="1" x14ac:dyDescent="0.25">
      <c r="E298" s="12"/>
      <c r="F298" s="12"/>
      <c r="G298" s="12"/>
      <c r="H298" s="12"/>
      <c r="I298" s="12"/>
      <c r="J298" s="12"/>
    </row>
    <row r="299" spans="5:10" ht="18" customHeight="1" x14ac:dyDescent="0.25">
      <c r="E299" s="12"/>
      <c r="F299" s="12"/>
      <c r="G299" s="12"/>
      <c r="H299" s="12"/>
      <c r="I299" s="12"/>
      <c r="J299" s="12"/>
    </row>
    <row r="300" spans="5:10" ht="18" customHeight="1" x14ac:dyDescent="0.25">
      <c r="E300" s="12"/>
      <c r="F300" s="12"/>
      <c r="G300" s="12"/>
      <c r="H300" s="12"/>
      <c r="I300" s="12"/>
      <c r="J300" s="12"/>
    </row>
    <row r="301" spans="5:10" ht="18" customHeight="1" x14ac:dyDescent="0.25">
      <c r="E301" s="12"/>
      <c r="F301" s="12"/>
      <c r="G301" s="12"/>
      <c r="H301" s="12"/>
      <c r="I301" s="12"/>
      <c r="J301" s="12"/>
    </row>
    <row r="302" spans="5:10" ht="18" customHeight="1" x14ac:dyDescent="0.25">
      <c r="E302" s="12"/>
      <c r="F302" s="12"/>
      <c r="G302" s="12"/>
      <c r="H302" s="12"/>
      <c r="I302" s="12"/>
      <c r="J302" s="12"/>
    </row>
    <row r="303" spans="5:10" ht="18" customHeight="1" x14ac:dyDescent="0.25">
      <c r="E303" s="12"/>
      <c r="F303" s="12"/>
      <c r="G303" s="12"/>
      <c r="H303" s="12"/>
      <c r="I303" s="12"/>
      <c r="J303" s="12"/>
    </row>
    <row r="304" spans="5:10" ht="18" customHeight="1" x14ac:dyDescent="0.25">
      <c r="E304" s="12"/>
      <c r="F304" s="12"/>
      <c r="G304" s="12"/>
      <c r="H304" s="12"/>
      <c r="I304" s="12"/>
      <c r="J304" s="12"/>
    </row>
    <row r="305" spans="5:10" ht="18" customHeight="1" x14ac:dyDescent="0.25">
      <c r="E305" s="12"/>
      <c r="F305" s="12"/>
      <c r="G305" s="12"/>
      <c r="H305" s="12"/>
      <c r="I305" s="12"/>
      <c r="J305" s="12"/>
    </row>
    <row r="306" spans="5:10" ht="18" customHeight="1" x14ac:dyDescent="0.25">
      <c r="E306" s="12"/>
      <c r="F306" s="12"/>
      <c r="G306" s="12"/>
      <c r="H306" s="12"/>
      <c r="I306" s="12"/>
      <c r="J306" s="12"/>
    </row>
    <row r="307" spans="5:10" ht="18" customHeight="1" x14ac:dyDescent="0.25">
      <c r="E307" s="12"/>
      <c r="F307" s="12"/>
      <c r="G307" s="12"/>
      <c r="H307" s="12"/>
      <c r="I307" s="12"/>
      <c r="J307" s="12"/>
    </row>
    <row r="308" spans="5:10" ht="18" customHeight="1" x14ac:dyDescent="0.25">
      <c r="E308" s="12"/>
      <c r="F308" s="12"/>
      <c r="G308" s="12"/>
      <c r="H308" s="12"/>
      <c r="I308" s="12"/>
      <c r="J308" s="12"/>
    </row>
    <row r="309" spans="5:10" ht="18" customHeight="1" x14ac:dyDescent="0.25">
      <c r="E309" s="12"/>
      <c r="F309" s="12"/>
      <c r="G309" s="12"/>
      <c r="H309" s="12"/>
      <c r="I309" s="12"/>
      <c r="J309" s="12"/>
    </row>
    <row r="310" spans="5:10" ht="18" customHeight="1" x14ac:dyDescent="0.25">
      <c r="E310" s="12"/>
      <c r="F310" s="12"/>
      <c r="G310" s="12"/>
      <c r="H310" s="12"/>
      <c r="I310" s="12"/>
      <c r="J310" s="12"/>
    </row>
    <row r="311" spans="5:10" ht="18" customHeight="1" x14ac:dyDescent="0.25">
      <c r="E311" s="12"/>
      <c r="F311" s="12"/>
      <c r="G311" s="12"/>
      <c r="H311" s="12"/>
      <c r="I311" s="12"/>
      <c r="J311" s="12"/>
    </row>
    <row r="312" spans="5:10" ht="18" customHeight="1" x14ac:dyDescent="0.25">
      <c r="E312" s="12"/>
      <c r="F312" s="12"/>
      <c r="G312" s="12"/>
      <c r="H312" s="12"/>
      <c r="I312" s="12"/>
      <c r="J312" s="12"/>
    </row>
    <row r="313" spans="5:10" ht="18" customHeight="1" x14ac:dyDescent="0.25">
      <c r="E313" s="12"/>
      <c r="F313" s="12"/>
      <c r="G313" s="12"/>
      <c r="H313" s="12"/>
      <c r="I313" s="12"/>
      <c r="J313" s="12"/>
    </row>
    <row r="314" spans="5:10" ht="18" customHeight="1" x14ac:dyDescent="0.25">
      <c r="E314" s="12"/>
      <c r="F314" s="12"/>
      <c r="G314" s="12"/>
      <c r="H314" s="12"/>
      <c r="I314" s="12"/>
      <c r="J314" s="12"/>
    </row>
    <row r="315" spans="5:10" ht="18" customHeight="1" x14ac:dyDescent="0.25">
      <c r="E315" s="12"/>
      <c r="F315" s="12"/>
      <c r="G315" s="12"/>
      <c r="H315" s="12"/>
      <c r="I315" s="12"/>
      <c r="J315" s="12"/>
    </row>
    <row r="316" spans="5:10" ht="18" customHeight="1" x14ac:dyDescent="0.25">
      <c r="E316" s="12"/>
      <c r="F316" s="12"/>
      <c r="G316" s="12"/>
      <c r="H316" s="12"/>
      <c r="I316" s="12"/>
      <c r="J316" s="12"/>
    </row>
    <row r="317" spans="5:10" ht="18" customHeight="1" x14ac:dyDescent="0.25">
      <c r="E317" s="12"/>
      <c r="F317" s="12"/>
      <c r="G317" s="12"/>
      <c r="H317" s="12"/>
      <c r="I317" s="12"/>
      <c r="J317" s="12"/>
    </row>
    <row r="318" spans="5:10" ht="18" customHeight="1" x14ac:dyDescent="0.25">
      <c r="E318" s="12"/>
      <c r="F318" s="12"/>
      <c r="G318" s="12"/>
      <c r="H318" s="12"/>
      <c r="I318" s="12"/>
      <c r="J318" s="12"/>
    </row>
    <row r="319" spans="5:10" ht="18" customHeight="1" x14ac:dyDescent="0.25">
      <c r="E319" s="12"/>
      <c r="F319" s="12"/>
      <c r="G319" s="12"/>
      <c r="H319" s="12"/>
      <c r="I319" s="12"/>
      <c r="J319" s="12"/>
    </row>
    <row r="320" spans="5:10" ht="18" customHeight="1" x14ac:dyDescent="0.25">
      <c r="E320" s="12"/>
      <c r="F320" s="12"/>
      <c r="G320" s="12"/>
      <c r="H320" s="12"/>
      <c r="I320" s="12"/>
      <c r="J320" s="12"/>
    </row>
    <row r="321" spans="5:10" ht="18" customHeight="1" x14ac:dyDescent="0.25">
      <c r="E321" s="12"/>
      <c r="F321" s="12"/>
      <c r="G321" s="12"/>
      <c r="H321" s="12"/>
      <c r="I321" s="12"/>
      <c r="J321" s="12"/>
    </row>
    <row r="322" spans="5:10" ht="18" customHeight="1" x14ac:dyDescent="0.25">
      <c r="E322" s="12"/>
      <c r="F322" s="12"/>
      <c r="G322" s="12"/>
      <c r="H322" s="12"/>
      <c r="I322" s="12"/>
      <c r="J322" s="12"/>
    </row>
    <row r="323" spans="5:10" ht="18" customHeight="1" x14ac:dyDescent="0.25">
      <c r="E323" s="12"/>
      <c r="F323" s="12"/>
      <c r="G323" s="12"/>
      <c r="H323" s="12"/>
      <c r="I323" s="12"/>
      <c r="J323" s="12"/>
    </row>
    <row r="324" spans="5:10" ht="18" customHeight="1" x14ac:dyDescent="0.25">
      <c r="E324" s="12"/>
      <c r="F324" s="12"/>
      <c r="G324" s="12"/>
      <c r="H324" s="12"/>
      <c r="I324" s="12"/>
      <c r="J324" s="12"/>
    </row>
    <row r="325" spans="5:10" ht="18" customHeight="1" x14ac:dyDescent="0.25">
      <c r="E325" s="12"/>
      <c r="F325" s="12"/>
      <c r="G325" s="12"/>
      <c r="H325" s="12"/>
      <c r="I325" s="12"/>
      <c r="J325" s="12"/>
    </row>
    <row r="326" spans="5:10" ht="18" customHeight="1" x14ac:dyDescent="0.25">
      <c r="E326" s="12"/>
      <c r="F326" s="12"/>
      <c r="G326" s="12"/>
      <c r="H326" s="12"/>
      <c r="I326" s="12"/>
      <c r="J326" s="12"/>
    </row>
    <row r="327" spans="5:10" ht="18" customHeight="1" x14ac:dyDescent="0.25">
      <c r="E327" s="12"/>
      <c r="F327" s="12"/>
      <c r="G327" s="12"/>
      <c r="H327" s="12"/>
      <c r="I327" s="12"/>
      <c r="J327" s="12"/>
    </row>
    <row r="328" spans="5:10" ht="18" customHeight="1" x14ac:dyDescent="0.25">
      <c r="E328" s="12"/>
      <c r="F328" s="12"/>
      <c r="G328" s="12"/>
      <c r="H328" s="12"/>
      <c r="I328" s="12"/>
      <c r="J328" s="12"/>
    </row>
    <row r="329" spans="5:10" ht="18" customHeight="1" x14ac:dyDescent="0.25">
      <c r="E329" s="12"/>
      <c r="F329" s="12"/>
      <c r="G329" s="12"/>
      <c r="H329" s="12"/>
      <c r="I329" s="12"/>
      <c r="J329" s="12"/>
    </row>
    <row r="330" spans="5:10" ht="18" customHeight="1" x14ac:dyDescent="0.25">
      <c r="E330" s="12"/>
      <c r="F330" s="12"/>
      <c r="G330" s="12"/>
      <c r="H330" s="12"/>
      <c r="I330" s="12"/>
      <c r="J330" s="12"/>
    </row>
    <row r="331" spans="5:10" ht="18" customHeight="1" x14ac:dyDescent="0.25">
      <c r="E331" s="12"/>
      <c r="F331" s="12"/>
      <c r="G331" s="12"/>
      <c r="H331" s="12"/>
      <c r="I331" s="12"/>
      <c r="J331" s="12"/>
    </row>
    <row r="332" spans="5:10" ht="18" customHeight="1" x14ac:dyDescent="0.25">
      <c r="E332" s="12"/>
      <c r="F332" s="12"/>
      <c r="G332" s="12"/>
      <c r="H332" s="12"/>
      <c r="I332" s="12"/>
      <c r="J332" s="12"/>
    </row>
    <row r="333" spans="5:10" ht="18" customHeight="1" x14ac:dyDescent="0.25">
      <c r="E333" s="12"/>
      <c r="F333" s="12"/>
      <c r="G333" s="12"/>
      <c r="H333" s="12"/>
      <c r="I333" s="12"/>
      <c r="J333" s="12"/>
    </row>
    <row r="334" spans="5:10" ht="18" customHeight="1" x14ac:dyDescent="0.25">
      <c r="E334" s="12"/>
      <c r="F334" s="12"/>
      <c r="G334" s="12"/>
      <c r="H334" s="12"/>
      <c r="I334" s="12"/>
      <c r="J334" s="12"/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>
    <tabColor theme="6" tint="0.39997558519241921"/>
  </sheetPr>
  <dimension ref="B2:E4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38</v>
      </c>
      <c r="C2" s="37" t="s">
        <v>48</v>
      </c>
    </row>
    <row r="3" spans="2:5" x14ac:dyDescent="0.25">
      <c r="B3" s="2" t="s">
        <v>39</v>
      </c>
      <c r="C3" s="8" t="s">
        <v>105</v>
      </c>
    </row>
    <row r="4" spans="2:5" x14ac:dyDescent="0.25">
      <c r="B4" s="2"/>
      <c r="C4" s="7" t="s">
        <v>40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2.1.2 release of Etabs Scan. There are a number of significant updates in this version that we hope you will like, some of the key highlights include:</v>
      </c>
    </row>
    <row r="9" spans="2:5" x14ac:dyDescent="0.25">
      <c r="B9" s="10">
        <v>43942</v>
      </c>
      <c r="C9" s="7" t="s">
        <v>94</v>
      </c>
      <c r="D9" s="7">
        <v>1</v>
      </c>
      <c r="E9" s="2" t="s">
        <v>98</v>
      </c>
    </row>
    <row r="10" spans="2:5" x14ac:dyDescent="0.25">
      <c r="B10" s="10"/>
      <c r="D10" s="7">
        <v>2</v>
      </c>
      <c r="E10" s="2" t="s">
        <v>99</v>
      </c>
    </row>
    <row r="11" spans="2:5" x14ac:dyDescent="0.25">
      <c r="D11" s="7">
        <v>3</v>
      </c>
      <c r="E11" s="2" t="s">
        <v>104</v>
      </c>
    </row>
    <row r="13" spans="2:5" x14ac:dyDescent="0.25">
      <c r="B13" s="10">
        <v>43769</v>
      </c>
      <c r="C13" s="7" t="s">
        <v>92</v>
      </c>
      <c r="D13" s="7">
        <v>1</v>
      </c>
      <c r="E13" s="2" t="s">
        <v>93</v>
      </c>
    </row>
    <row r="16" spans="2:5" x14ac:dyDescent="0.25">
      <c r="B16" s="10">
        <v>43755</v>
      </c>
      <c r="C16" s="7" t="s">
        <v>89</v>
      </c>
      <c r="D16" s="7">
        <v>1</v>
      </c>
      <c r="E16" s="2" t="s">
        <v>90</v>
      </c>
    </row>
    <row r="17" spans="2:5" x14ac:dyDescent="0.25">
      <c r="B17" s="10"/>
      <c r="D17" s="7">
        <v>2</v>
      </c>
      <c r="E17" s="2" t="s">
        <v>91</v>
      </c>
    </row>
    <row r="19" spans="2:5" x14ac:dyDescent="0.25">
      <c r="B19" s="10">
        <v>43449</v>
      </c>
      <c r="C19" s="7" t="s">
        <v>57</v>
      </c>
      <c r="D19" s="7">
        <v>1</v>
      </c>
      <c r="E19" s="7" t="s">
        <v>72</v>
      </c>
    </row>
    <row r="22" spans="2:5" x14ac:dyDescent="0.25">
      <c r="B22" s="10">
        <v>43297</v>
      </c>
      <c r="C22" s="7" t="s">
        <v>50</v>
      </c>
      <c r="D22" s="7">
        <v>1</v>
      </c>
      <c r="E22" s="2" t="s">
        <v>73</v>
      </c>
    </row>
    <row r="24" spans="2:5" x14ac:dyDescent="0.25">
      <c r="B24" s="10">
        <v>43280</v>
      </c>
      <c r="C24" s="7" t="s">
        <v>49</v>
      </c>
      <c r="D24" s="7">
        <v>1</v>
      </c>
      <c r="E24" s="2" t="s">
        <v>74</v>
      </c>
    </row>
    <row r="25" spans="2:5" x14ac:dyDescent="0.25">
      <c r="D25" s="7">
        <v>2</v>
      </c>
      <c r="E25" s="2" t="s">
        <v>75</v>
      </c>
    </row>
    <row r="26" spans="2:5" x14ac:dyDescent="0.25">
      <c r="D26" s="7">
        <v>3</v>
      </c>
      <c r="E26" s="2" t="s">
        <v>76</v>
      </c>
    </row>
    <row r="27" spans="2:5" x14ac:dyDescent="0.25">
      <c r="E27" s="2"/>
    </row>
    <row r="28" spans="2:5" x14ac:dyDescent="0.25">
      <c r="E28" s="2"/>
    </row>
    <row r="29" spans="2:5" x14ac:dyDescent="0.25">
      <c r="B29" s="10">
        <v>42672</v>
      </c>
      <c r="C29" s="7" t="s">
        <v>45</v>
      </c>
      <c r="D29" s="7">
        <v>1</v>
      </c>
      <c r="E29" s="2" t="s">
        <v>58</v>
      </c>
    </row>
    <row r="30" spans="2:5" x14ac:dyDescent="0.25">
      <c r="D30" s="7">
        <v>2</v>
      </c>
      <c r="E30" s="2" t="s">
        <v>59</v>
      </c>
    </row>
    <row r="31" spans="2:5" x14ac:dyDescent="0.25">
      <c r="D31" s="7">
        <v>3</v>
      </c>
      <c r="E31" s="2" t="s">
        <v>60</v>
      </c>
    </row>
    <row r="32" spans="2:5" x14ac:dyDescent="0.25">
      <c r="D32" s="7">
        <v>4</v>
      </c>
      <c r="E32" s="2" t="s">
        <v>61</v>
      </c>
    </row>
    <row r="33" spans="2:5" x14ac:dyDescent="0.25">
      <c r="D33" s="7">
        <v>5</v>
      </c>
      <c r="E33" s="2" t="s">
        <v>62</v>
      </c>
    </row>
    <row r="34" spans="2:5" x14ac:dyDescent="0.25">
      <c r="B34" s="10">
        <v>42611</v>
      </c>
      <c r="C34" s="7" t="s">
        <v>44</v>
      </c>
      <c r="D34" s="7">
        <v>1</v>
      </c>
      <c r="E34" s="2" t="s">
        <v>63</v>
      </c>
    </row>
    <row r="35" spans="2:5" x14ac:dyDescent="0.25">
      <c r="D35" s="7">
        <v>2</v>
      </c>
      <c r="E35" s="2" t="s">
        <v>64</v>
      </c>
    </row>
    <row r="36" spans="2:5" x14ac:dyDescent="0.25">
      <c r="B36" s="10">
        <v>42607</v>
      </c>
      <c r="C36" s="7" t="s">
        <v>43</v>
      </c>
      <c r="D36" s="7">
        <v>1</v>
      </c>
      <c r="E36" s="2" t="s">
        <v>65</v>
      </c>
    </row>
    <row r="37" spans="2:5" x14ac:dyDescent="0.25">
      <c r="B37" s="10">
        <v>42606</v>
      </c>
      <c r="C37" s="7" t="s">
        <v>42</v>
      </c>
      <c r="D37" s="7">
        <v>1</v>
      </c>
      <c r="E37" s="2" t="s">
        <v>66</v>
      </c>
    </row>
    <row r="38" spans="2:5" x14ac:dyDescent="0.25">
      <c r="B38" s="6">
        <v>42592</v>
      </c>
      <c r="C38" s="5" t="s">
        <v>41</v>
      </c>
      <c r="D38" s="5">
        <v>1</v>
      </c>
      <c r="E38" s="15" t="s">
        <v>67</v>
      </c>
    </row>
    <row r="39" spans="2:5" x14ac:dyDescent="0.25">
      <c r="D39" s="7">
        <v>2</v>
      </c>
      <c r="E39" s="2" t="s">
        <v>68</v>
      </c>
    </row>
    <row r="40" spans="2:5" x14ac:dyDescent="0.25">
      <c r="D40" s="7">
        <v>3</v>
      </c>
      <c r="E40" s="2" t="s">
        <v>69</v>
      </c>
    </row>
    <row r="41" spans="2:5" x14ac:dyDescent="0.25">
      <c r="D41" s="7">
        <v>4</v>
      </c>
      <c r="E41" s="2" t="s">
        <v>70</v>
      </c>
    </row>
    <row r="42" spans="2:5" x14ac:dyDescent="0.25">
      <c r="D42" s="7">
        <v>5</v>
      </c>
      <c r="E42" s="2" t="s">
        <v>71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5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6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67523-21C0-4F77-942C-7711501B687B}">
  <sheetPr codeName="工作表12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C2893-FFD8-461F-9E41-1A334F6953B2}">
  <dimension ref="A1"/>
  <sheetViews>
    <sheetView workbookViewId="0">
      <selection sqref="A1:XFD1048576"/>
    </sheetView>
  </sheetViews>
  <sheetFormatPr defaultRowHeight="16.5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Assembled Point Masses</vt:lpstr>
      <vt:lpstr>Material List By Story</vt:lpstr>
      <vt:lpstr>Story Shears</vt:lpstr>
      <vt:lpstr>Scan</vt:lpstr>
      <vt:lpstr>EQB</vt:lpstr>
      <vt:lpstr>Release Notes</vt:lpstr>
      <vt:lpstr>DL</vt:lpstr>
      <vt:lpstr>LL</vt:lpstr>
      <vt:lpstr>靜態地震力</vt:lpstr>
      <vt:lpstr>動態地震力修正</vt:lpstr>
      <vt:lpstr>Area</vt:lpstr>
      <vt:lpstr>Mass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PAUL</cp:lastModifiedBy>
  <dcterms:created xsi:type="dcterms:W3CDTF">2016-06-27T02:49:03Z</dcterms:created>
  <dcterms:modified xsi:type="dcterms:W3CDTF">2020-06-01T08:47:53Z</dcterms:modified>
</cp:coreProperties>
</file>