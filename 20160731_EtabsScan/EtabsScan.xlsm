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E2760118-80FF-4B76-9A85-B1312CABB5C1}" xr6:coauthVersionLast="45" xr6:coauthVersionMax="45" xr10:uidLastSave="{00000000-0000-0000-0000-000000000000}"/>
  <bookViews>
    <workbookView xWindow="28680" yWindow="-120" windowWidth="29040" windowHeight="15840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<sst xmlns="http://schemas.openxmlformats.org/spreadsheetml/2006/main" count="167" uniqueCount="116">
  <si>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</si>
  <si>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</si>
  <si>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</si>
  <si>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</si>
  <si>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</si>
  <si>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</si>
  <si>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</si>
  <si>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</si>
  <si>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</si>
  <si>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</si>
  <si>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</si>
  <si>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</si>
  <si>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</si>
  <si>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</si>
  <si>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</si>
  <si>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</si>
  <si>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</si>
  <si>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</si>
  <si>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</si>
  <si>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</si>
  <si>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</si>
  <si>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</si>
  <si>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</si>
  <si>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</si>
  <si>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</si>
  <si>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</si>
  <si>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</si>
  <si>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</si>
  <si>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</si>
  <si>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</si>
  <si>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</si>
  <si>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</si>
  <si>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</si>
  <si>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</si>
  <si>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</si>
  <si>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</si>
  <si>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</si>
  <si>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</si>
  <si>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</si>
  <si>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</si>
  <si>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</si>
  <si>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</si>
  <si>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</si>
  <si>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</si>
  <si>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</si>
  <si>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</si>
  <si>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</si>
  <si>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</si>
  <si>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</si>
  <si>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</si>
  <si>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</si>
  <si>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</si>
  <si>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</si>
  <si>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</si>
  <si>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</si>
  <si>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</si>
  <si>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</si>
  <si>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</si>
  <si>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</si>
  <si>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</si>
  <si>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</si>
  <si>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</si>
  <si>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</si>
  <si>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</si>
  <si>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</si>
  <si>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</si>
  <si>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</si>
  <si>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</si>
  <si>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</si>
  <si>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</si>
  <si>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</si>
  <si>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</si>
  <si>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</si>
  <si>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</si>
  <si>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</si>
  <si>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</si>
  <si>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</si>
  <si>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</si>
  <si>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</si>
  <si>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</si>
  <si>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</si>
  <si>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</si>
  <si>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</si>
  <si>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</si>
  <si>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</si>
  <si>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</si>
  <si>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</si>
  <si>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</si>
  <si>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</si>
  <si>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</si>
  <si>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</si>
  <si>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</si>
  <si>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</si>
  <si>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</si>
  <si>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</si>
  <si>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</si>
  <si>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</si>
  <si>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</si>
  <si>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</si>
  <si>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</si>
  <si>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</si>
  <si>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</si>
  <si>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</si>
  <si>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</si>
  <si>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</si>
  <si>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</si>
  <si>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</si>
  <si>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</si>
  <si>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</si>
  <si>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</si>
  <si>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</si>
  <si>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</si>
  <si>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</si>
  <si>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</si>
  <si>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</si>
  <si>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取樓層之半，單位重小於右側</t>
    </r>
    <r>
      <rPr>
        <sz val="12"/>
        <color theme="1"/>
        <rFont val="微軟正黑體"/>
        <family val="2"/>
        <charset val="136"/>
      </rPr>
      <t>，尚不知原因。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</si>
</sst>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D2" sqref="D2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25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25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25">
      <c r="G5" s="22"/>
      <c r="H5" s="23">
        <v>2</v>
      </c>
      <c r="I5" s="25" t="s">
        <v>79</v>
      </c>
      <c r="J5" s="25"/>
      <c r="K5" s="25"/>
      <c r="L5" s="25"/>
      <c r="M5" s="25"/>
      <c r="N5" s="51"/>
      <c r="O5" s="25"/>
      <c r="P5" s="25"/>
      <c r="Q5" s="26"/>
    </row>
    <row r="6" spans="1:41" ht="18" customHeight="1" x14ac:dyDescent="0.25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25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25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25">
      <c r="G9" s="48" t="s">
        <v>109</v>
      </c>
      <c r="H9" s="49">
        <v>1</v>
      </c>
      <c r="I9" s="50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25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46" t="s">
        <v>21</v>
      </c>
      <c r="X10" s="47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25">
      <c r="W11" s="46" t="s">
        <v>27</v>
      </c>
      <c r="X11" s="47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25">
      <c r="B12" s="56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25">
      <c r="B13" s="13" t="s">
        <v>22</v>
      </c>
      <c r="C13" s="46" t="s">
        <v>0</v>
      </c>
      <c r="D13" s="46" t="s">
        <v>24</v>
      </c>
      <c r="E13" s="46" t="s">
        <v>25</v>
      </c>
      <c r="F13" s="46" t="s">
        <v>30</v>
      </c>
      <c r="G13" s="46" t="s">
        <v>23</v>
      </c>
      <c r="H13" s="46"/>
      <c r="I13" s="13" t="s">
        <v>22</v>
      </c>
      <c r="J13" s="46" t="s">
        <v>0</v>
      </c>
      <c r="K13" s="46" t="s">
        <v>92</v>
      </c>
      <c r="L13" s="46" t="s">
        <v>25</v>
      </c>
      <c r="M13" s="46" t="s">
        <v>30</v>
      </c>
      <c r="N13" s="46" t="s">
        <v>31</v>
      </c>
      <c r="P13" s="13" t="s">
        <v>26</v>
      </c>
      <c r="Q13" s="46" t="s">
        <v>0</v>
      </c>
      <c r="R13" s="46" t="s">
        <v>1</v>
      </c>
      <c r="S13" s="46" t="s">
        <v>25</v>
      </c>
      <c r="T13" s="46" t="s">
        <v>11</v>
      </c>
      <c r="U13" s="46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25">
      <c r="C14" s="46"/>
      <c r="E14" s="11" t="str">
        <f>IF(D14&gt;0,D14*9.80665,"")</f>
        <v/>
      </c>
      <c r="G14" s="33" t="str">
        <f>IFERROR(E14/F14,"")</f>
        <v/>
      </c>
      <c r="J14" s="46"/>
      <c r="L14" s="11" t="str">
        <f>IF(K14&lt;&gt;"",K14,"")</f>
        <v/>
      </c>
      <c r="N14" s="33" t="str">
        <f t="shared" ref="N14:N20" si="0">IF((L14= "")+(M14=""),"",L14/M14)</f>
        <v/>
      </c>
      <c r="Q14" s="46"/>
      <c r="S14" s="11" t="str">
        <f>IF(R14&lt;&gt;"",R14,"")</f>
        <v/>
      </c>
      <c r="U14" s="33" t="str">
        <f>IF((S14= "")+(T14=""),"",S14/T14)</f>
        <v/>
      </c>
      <c r="W14" s="46" t="s">
        <v>0</v>
      </c>
      <c r="X14" s="46" t="s">
        <v>100</v>
      </c>
      <c r="Y14" s="46" t="s">
        <v>101</v>
      </c>
      <c r="Z14" s="46" t="s">
        <v>1</v>
      </c>
      <c r="AA14" s="46" t="s">
        <v>102</v>
      </c>
      <c r="AB14" s="46" t="s">
        <v>103</v>
      </c>
      <c r="AC14" s="46" t="s">
        <v>104</v>
      </c>
      <c r="AD14" s="46" t="s">
        <v>105</v>
      </c>
      <c r="AE14" s="46" t="s">
        <v>106</v>
      </c>
      <c r="AG14" s="46" t="s">
        <v>0</v>
      </c>
      <c r="AH14" s="46" t="s">
        <v>100</v>
      </c>
      <c r="AI14" s="46" t="s">
        <v>101</v>
      </c>
      <c r="AJ14" s="46" t="s">
        <v>1</v>
      </c>
      <c r="AK14" s="46" t="s">
        <v>102</v>
      </c>
      <c r="AL14" s="46" t="s">
        <v>103</v>
      </c>
      <c r="AM14" s="46" t="s">
        <v>104</v>
      </c>
      <c r="AN14" s="46" t="s">
        <v>105</v>
      </c>
      <c r="AO14" s="46" t="s">
        <v>106</v>
      </c>
    </row>
    <row r="15" spans="1:41" ht="18" customHeight="1" x14ac:dyDescent="0.25">
      <c r="C15" s="46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46"/>
      <c r="L15" s="11" t="str">
        <f>IF(K15-K14&gt;0,K15-K14,"")</f>
        <v/>
      </c>
      <c r="N15" s="33" t="str">
        <f t="shared" si="0"/>
        <v/>
      </c>
      <c r="Q15" s="46"/>
      <c r="S15" s="11" t="str">
        <f>IF(R15-R14&gt;0,R15-R14,"")</f>
        <v/>
      </c>
      <c r="U15" s="33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3" t="str">
        <f t="shared" si="2"/>
        <v/>
      </c>
      <c r="J16" s="46"/>
      <c r="L16" s="11" t="str">
        <f t="shared" ref="L16:L79" si="4">IF(K16-K15&gt;0,K16-K15,"")</f>
        <v/>
      </c>
      <c r="N16" s="33" t="str">
        <f t="shared" si="0"/>
        <v/>
      </c>
      <c r="Q16" s="46"/>
      <c r="S16" s="11" t="str">
        <f t="shared" ref="S16:S27" si="5">IF(R16-R15&gt;0,R16-R15,"")</f>
        <v/>
      </c>
      <c r="U16" s="33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3" t="str">
        <f t="shared" si="2"/>
        <v/>
      </c>
      <c r="J17" s="46"/>
      <c r="L17" s="11" t="str">
        <f t="shared" si="4"/>
        <v/>
      </c>
      <c r="N17" s="33" t="str">
        <f t="shared" si="0"/>
        <v/>
      </c>
      <c r="Q17" s="46"/>
      <c r="S17" s="11" t="str">
        <f t="shared" si="5"/>
        <v/>
      </c>
      <c r="U17" s="33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3" t="str">
        <f t="shared" si="2"/>
        <v/>
      </c>
      <c r="J18" s="46"/>
      <c r="L18" s="11" t="str">
        <f t="shared" si="4"/>
        <v/>
      </c>
      <c r="N18" s="33" t="str">
        <f t="shared" si="0"/>
        <v/>
      </c>
      <c r="Q18" s="46"/>
      <c r="S18" s="11" t="str">
        <f t="shared" si="5"/>
        <v/>
      </c>
      <c r="U18" s="33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3" t="str">
        <f t="shared" si="2"/>
        <v/>
      </c>
      <c r="J19" s="46"/>
      <c r="L19" s="11" t="str">
        <f t="shared" si="4"/>
        <v/>
      </c>
      <c r="N19" s="33" t="str">
        <f t="shared" si="0"/>
        <v/>
      </c>
      <c r="Q19" s="46"/>
      <c r="S19" s="11" t="str">
        <f t="shared" si="5"/>
        <v/>
      </c>
      <c r="U19" s="33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3" t="str">
        <f t="shared" si="2"/>
        <v/>
      </c>
      <c r="J20" s="46"/>
      <c r="L20" s="11" t="str">
        <f t="shared" si="4"/>
        <v/>
      </c>
      <c r="N20" s="33" t="str">
        <f t="shared" si="0"/>
        <v/>
      </c>
      <c r="Q20" s="46"/>
      <c r="S20" s="11" t="str">
        <f t="shared" si="5"/>
        <v/>
      </c>
      <c r="U20" s="33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3" t="str">
        <f t="shared" si="2"/>
        <v/>
      </c>
      <c r="J21" s="46"/>
      <c r="L21" s="11" t="str">
        <f t="shared" si="4"/>
        <v/>
      </c>
      <c r="N21" s="33" t="str">
        <f>IF((L21= "")+(M21=""),"",L21/M21)</f>
        <v/>
      </c>
      <c r="Q21" s="46"/>
      <c r="S21" s="11" t="str">
        <f t="shared" si="5"/>
        <v/>
      </c>
      <c r="U21" s="33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3" t="str">
        <f t="shared" si="2"/>
        <v/>
      </c>
      <c r="J22" s="46"/>
      <c r="L22" s="11" t="str">
        <f t="shared" si="4"/>
        <v/>
      </c>
      <c r="N22" s="33" t="str">
        <f t="shared" ref="N22:N85" si="6">IF((L22= "")+(M22=""),"",L22/M22)</f>
        <v/>
      </c>
      <c r="Q22" s="46"/>
      <c r="S22" s="11" t="str">
        <f t="shared" si="5"/>
        <v/>
      </c>
      <c r="U22" s="33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3" t="str">
        <f t="shared" si="2"/>
        <v/>
      </c>
      <c r="J23" s="46"/>
      <c r="L23" s="11" t="str">
        <f t="shared" si="4"/>
        <v/>
      </c>
      <c r="N23" s="33" t="str">
        <f t="shared" si="6"/>
        <v/>
      </c>
      <c r="Q23" s="46"/>
      <c r="S23" s="11" t="str">
        <f t="shared" si="5"/>
        <v/>
      </c>
      <c r="U23" s="33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3" t="str">
        <f t="shared" si="2"/>
        <v/>
      </c>
      <c r="J24" s="46"/>
      <c r="L24" s="11" t="str">
        <f t="shared" si="4"/>
        <v/>
      </c>
      <c r="N24" s="33" t="str">
        <f t="shared" si="6"/>
        <v/>
      </c>
      <c r="Q24" s="46"/>
      <c r="S24" s="11" t="str">
        <f t="shared" si="5"/>
        <v/>
      </c>
      <c r="U24" s="33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3" t="str">
        <f t="shared" si="2"/>
        <v/>
      </c>
      <c r="J25" s="46"/>
      <c r="L25" s="11" t="str">
        <f t="shared" si="4"/>
        <v/>
      </c>
      <c r="N25" s="33" t="str">
        <f t="shared" si="6"/>
        <v/>
      </c>
      <c r="Q25" s="46"/>
      <c r="S25" s="11" t="str">
        <f t="shared" si="5"/>
        <v/>
      </c>
      <c r="U25" s="33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3" t="str">
        <f t="shared" si="2"/>
        <v/>
      </c>
      <c r="J26" s="46"/>
      <c r="L26" s="11" t="str">
        <f t="shared" si="4"/>
        <v/>
      </c>
      <c r="N26" s="33" t="str">
        <f t="shared" si="6"/>
        <v/>
      </c>
      <c r="Q26" s="46"/>
      <c r="S26" s="11" t="str">
        <f t="shared" si="5"/>
        <v/>
      </c>
      <c r="U26" s="33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3" t="str">
        <f t="shared" si="2"/>
        <v/>
      </c>
      <c r="J27" s="46"/>
      <c r="L27" s="11" t="str">
        <f t="shared" si="4"/>
        <v/>
      </c>
      <c r="N27" s="33" t="str">
        <f t="shared" si="6"/>
        <v/>
      </c>
      <c r="Q27" s="46"/>
      <c r="S27" s="11" t="str">
        <f t="shared" si="5"/>
        <v/>
      </c>
      <c r="U27" s="33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3" t="str">
        <f t="shared" si="2"/>
        <v/>
      </c>
      <c r="J28" s="46"/>
      <c r="L28" s="11" t="str">
        <f t="shared" si="4"/>
        <v/>
      </c>
      <c r="N28" s="33" t="str">
        <f t="shared" si="6"/>
        <v/>
      </c>
      <c r="Q28" s="46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3" t="str">
        <f t="shared" si="2"/>
        <v/>
      </c>
      <c r="J29" s="46"/>
      <c r="L29" s="11" t="str">
        <f t="shared" si="4"/>
        <v/>
      </c>
      <c r="N29" s="33" t="str">
        <f t="shared" si="6"/>
        <v/>
      </c>
      <c r="Q29" s="46"/>
      <c r="S29" s="11" t="str">
        <f t="shared" si="7"/>
        <v/>
      </c>
      <c r="U29" s="33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3" t="str">
        <f t="shared" si="2"/>
        <v/>
      </c>
      <c r="J30" s="46"/>
      <c r="L30" s="11" t="str">
        <f t="shared" si="4"/>
        <v/>
      </c>
      <c r="N30" s="33" t="str">
        <f t="shared" si="6"/>
        <v/>
      </c>
      <c r="Q30" s="46"/>
      <c r="S30" s="11" t="str">
        <f t="shared" si="7"/>
        <v/>
      </c>
      <c r="U30" s="33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3" t="str">
        <f t="shared" si="2"/>
        <v/>
      </c>
      <c r="J31" s="46"/>
      <c r="L31" s="11" t="str">
        <f t="shared" si="4"/>
        <v/>
      </c>
      <c r="N31" s="33" t="str">
        <f t="shared" si="6"/>
        <v/>
      </c>
      <c r="Q31" s="46"/>
      <c r="S31" s="11" t="str">
        <f t="shared" si="7"/>
        <v/>
      </c>
      <c r="U31" s="33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3" t="str">
        <f t="shared" si="2"/>
        <v/>
      </c>
      <c r="J32" s="46"/>
      <c r="L32" s="11" t="str">
        <f t="shared" si="4"/>
        <v/>
      </c>
      <c r="N32" s="33" t="str">
        <f t="shared" si="6"/>
        <v/>
      </c>
      <c r="Q32" s="46"/>
      <c r="S32" s="11" t="str">
        <f t="shared" si="7"/>
        <v/>
      </c>
      <c r="U32" s="33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3" t="str">
        <f t="shared" si="2"/>
        <v/>
      </c>
      <c r="J33" s="46"/>
      <c r="L33" s="11" t="str">
        <f t="shared" si="4"/>
        <v/>
      </c>
      <c r="N33" s="33" t="str">
        <f t="shared" si="6"/>
        <v/>
      </c>
      <c r="Q33" s="46"/>
      <c r="S33" s="11" t="str">
        <f t="shared" si="7"/>
        <v/>
      </c>
      <c r="U33" s="33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3" t="str">
        <f t="shared" si="2"/>
        <v/>
      </c>
      <c r="J34" s="46"/>
      <c r="L34" s="11" t="str">
        <f t="shared" si="4"/>
        <v/>
      </c>
      <c r="N34" s="33" t="str">
        <f t="shared" si="6"/>
        <v/>
      </c>
      <c r="Q34" s="46"/>
      <c r="S34" s="11" t="str">
        <f t="shared" si="7"/>
        <v/>
      </c>
      <c r="U34" s="33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3" t="str">
        <f t="shared" si="2"/>
        <v/>
      </c>
      <c r="J35" s="46"/>
      <c r="L35" s="11" t="str">
        <f t="shared" si="4"/>
        <v/>
      </c>
      <c r="N35" s="33" t="str">
        <f t="shared" si="6"/>
        <v/>
      </c>
      <c r="Q35" s="46"/>
      <c r="S35" s="11" t="str">
        <f t="shared" si="7"/>
        <v/>
      </c>
      <c r="U35" s="33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3" t="str">
        <f t="shared" si="2"/>
        <v/>
      </c>
      <c r="J36" s="46"/>
      <c r="L36" s="11" t="str">
        <f t="shared" si="4"/>
        <v/>
      </c>
      <c r="N36" s="33" t="str">
        <f t="shared" si="6"/>
        <v/>
      </c>
      <c r="Q36" s="46"/>
      <c r="S36" s="11" t="str">
        <f t="shared" si="7"/>
        <v/>
      </c>
      <c r="U36" s="33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3" t="str">
        <f t="shared" si="2"/>
        <v/>
      </c>
      <c r="J37" s="46"/>
      <c r="L37" s="11" t="str">
        <f t="shared" si="4"/>
        <v/>
      </c>
      <c r="N37" s="33" t="str">
        <f t="shared" si="6"/>
        <v/>
      </c>
      <c r="Q37" s="46"/>
      <c r="S37" s="11" t="str">
        <f t="shared" si="7"/>
        <v/>
      </c>
      <c r="U37" s="33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3" t="str">
        <f t="shared" si="2"/>
        <v/>
      </c>
      <c r="J38" s="46"/>
      <c r="L38" s="11" t="str">
        <f t="shared" si="4"/>
        <v/>
      </c>
      <c r="N38" s="33" t="str">
        <f t="shared" si="6"/>
        <v/>
      </c>
      <c r="Q38" s="46"/>
      <c r="S38" s="11" t="str">
        <f t="shared" si="7"/>
        <v/>
      </c>
      <c r="U38" s="33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3" t="str">
        <f t="shared" si="2"/>
        <v/>
      </c>
      <c r="J39" s="46"/>
      <c r="L39" s="11" t="str">
        <f t="shared" si="4"/>
        <v/>
      </c>
      <c r="N39" s="33" t="str">
        <f t="shared" si="6"/>
        <v/>
      </c>
      <c r="Q39" s="46"/>
      <c r="S39" s="11" t="str">
        <f t="shared" si="7"/>
        <v/>
      </c>
      <c r="U39" s="33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3" t="str">
        <f t="shared" si="2"/>
        <v/>
      </c>
      <c r="J40" s="46"/>
      <c r="L40" s="11" t="str">
        <f t="shared" si="4"/>
        <v/>
      </c>
      <c r="N40" s="33" t="str">
        <f t="shared" si="6"/>
        <v/>
      </c>
      <c r="Q40" s="46"/>
      <c r="S40" s="11" t="str">
        <f t="shared" si="7"/>
        <v/>
      </c>
      <c r="U40" s="33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3" t="str">
        <f t="shared" si="2"/>
        <v/>
      </c>
      <c r="J41" s="46"/>
      <c r="L41" s="11" t="str">
        <f t="shared" si="4"/>
        <v/>
      </c>
      <c r="N41" s="33" t="str">
        <f t="shared" si="6"/>
        <v/>
      </c>
      <c r="Q41" s="46"/>
      <c r="S41" s="11" t="str">
        <f t="shared" si="7"/>
        <v/>
      </c>
      <c r="U41" s="33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3" t="str">
        <f t="shared" si="2"/>
        <v/>
      </c>
      <c r="J42" s="46"/>
      <c r="L42" s="11" t="str">
        <f t="shared" si="4"/>
        <v/>
      </c>
      <c r="N42" s="33" t="str">
        <f t="shared" si="6"/>
        <v/>
      </c>
      <c r="Q42" s="46"/>
      <c r="S42" s="11" t="str">
        <f t="shared" si="7"/>
        <v/>
      </c>
      <c r="U42" s="33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3" t="str">
        <f t="shared" si="2"/>
        <v/>
      </c>
      <c r="J43" s="46"/>
      <c r="L43" s="11" t="str">
        <f t="shared" si="4"/>
        <v/>
      </c>
      <c r="N43" s="33" t="str">
        <f t="shared" si="6"/>
        <v/>
      </c>
      <c r="Q43" s="46"/>
      <c r="S43" s="11" t="str">
        <f t="shared" si="7"/>
        <v/>
      </c>
      <c r="U43" s="33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3" t="str">
        <f t="shared" si="2"/>
        <v/>
      </c>
      <c r="J44" s="46"/>
      <c r="L44" s="11" t="str">
        <f t="shared" si="4"/>
        <v/>
      </c>
      <c r="N44" s="33" t="str">
        <f t="shared" si="6"/>
        <v/>
      </c>
      <c r="Q44" s="46"/>
      <c r="S44" s="11" t="str">
        <f t="shared" si="7"/>
        <v/>
      </c>
      <c r="U44" s="33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3" t="str">
        <f t="shared" si="2"/>
        <v/>
      </c>
      <c r="J45" s="46"/>
      <c r="L45" s="11" t="str">
        <f t="shared" si="4"/>
        <v/>
      </c>
      <c r="N45" s="33" t="str">
        <f t="shared" si="6"/>
        <v/>
      </c>
      <c r="Q45" s="46"/>
      <c r="S45" s="11" t="str">
        <f t="shared" si="7"/>
        <v/>
      </c>
      <c r="U45" s="33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3" t="str">
        <f t="shared" si="2"/>
        <v/>
      </c>
      <c r="J46" s="46"/>
      <c r="L46" s="11" t="str">
        <f t="shared" si="4"/>
        <v/>
      </c>
      <c r="N46" s="33" t="str">
        <f t="shared" si="6"/>
        <v/>
      </c>
      <c r="Q46" s="46"/>
      <c r="S46" s="11" t="str">
        <f t="shared" si="7"/>
        <v/>
      </c>
      <c r="U46" s="33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3" t="str">
        <f t="shared" si="2"/>
        <v/>
      </c>
      <c r="J47" s="46"/>
      <c r="L47" s="11" t="str">
        <f t="shared" si="4"/>
        <v/>
      </c>
      <c r="N47" s="33" t="str">
        <f t="shared" si="6"/>
        <v/>
      </c>
      <c r="Q47" s="46"/>
      <c r="S47" s="11" t="str">
        <f t="shared" si="7"/>
        <v/>
      </c>
      <c r="U47" s="33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3" t="str">
        <f t="shared" si="2"/>
        <v/>
      </c>
      <c r="J48" s="46"/>
      <c r="L48" s="11" t="str">
        <f t="shared" si="4"/>
        <v/>
      </c>
      <c r="N48" s="33" t="str">
        <f t="shared" si="6"/>
        <v/>
      </c>
      <c r="Q48" s="46"/>
      <c r="S48" s="11" t="str">
        <f t="shared" si="7"/>
        <v/>
      </c>
      <c r="U48" s="33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3" t="str">
        <f t="shared" si="2"/>
        <v/>
      </c>
      <c r="J49" s="46"/>
      <c r="L49" s="11" t="str">
        <f t="shared" si="4"/>
        <v/>
      </c>
      <c r="N49" s="33" t="str">
        <f t="shared" si="6"/>
        <v/>
      </c>
      <c r="Q49" s="46"/>
      <c r="S49" s="11" t="str">
        <f t="shared" si="7"/>
        <v/>
      </c>
      <c r="U49" s="33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3" t="str">
        <f t="shared" si="2"/>
        <v/>
      </c>
      <c r="J50" s="46"/>
      <c r="L50" s="11" t="str">
        <f t="shared" si="4"/>
        <v/>
      </c>
      <c r="N50" s="33" t="str">
        <f t="shared" si="6"/>
        <v/>
      </c>
      <c r="Q50" s="46"/>
      <c r="S50" s="11" t="str">
        <f t="shared" si="7"/>
        <v/>
      </c>
      <c r="U50" s="33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3" t="str">
        <f t="shared" si="2"/>
        <v/>
      </c>
      <c r="J51" s="46"/>
      <c r="L51" s="11" t="str">
        <f t="shared" si="4"/>
        <v/>
      </c>
      <c r="N51" s="33" t="str">
        <f t="shared" si="6"/>
        <v/>
      </c>
      <c r="Q51" s="46"/>
      <c r="S51" s="11" t="str">
        <f t="shared" si="7"/>
        <v/>
      </c>
      <c r="U51" s="33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3" t="str">
        <f t="shared" si="2"/>
        <v/>
      </c>
      <c r="J52" s="46"/>
      <c r="L52" s="11" t="str">
        <f t="shared" si="4"/>
        <v/>
      </c>
      <c r="N52" s="33" t="str">
        <f t="shared" si="6"/>
        <v/>
      </c>
      <c r="Q52" s="46"/>
      <c r="S52" s="11" t="str">
        <f t="shared" si="7"/>
        <v/>
      </c>
      <c r="U52" s="33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3" t="str">
        <f t="shared" si="2"/>
        <v/>
      </c>
      <c r="J53" s="46"/>
      <c r="L53" s="11" t="str">
        <f t="shared" si="4"/>
        <v/>
      </c>
      <c r="N53" s="33" t="str">
        <f t="shared" si="6"/>
        <v/>
      </c>
      <c r="Q53" s="46"/>
      <c r="S53" s="11" t="str">
        <f t="shared" si="7"/>
        <v/>
      </c>
      <c r="U53" s="33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3" t="str">
        <f t="shared" si="2"/>
        <v/>
      </c>
      <c r="J54" s="46"/>
      <c r="L54" s="11" t="str">
        <f t="shared" si="4"/>
        <v/>
      </c>
      <c r="N54" s="33" t="str">
        <f t="shared" si="6"/>
        <v/>
      </c>
      <c r="Q54" s="46"/>
      <c r="S54" s="11" t="str">
        <f t="shared" si="7"/>
        <v/>
      </c>
      <c r="U54" s="33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3" t="str">
        <f t="shared" si="2"/>
        <v/>
      </c>
      <c r="J55" s="46"/>
      <c r="L55" s="11" t="str">
        <f t="shared" si="4"/>
        <v/>
      </c>
      <c r="N55" s="33" t="str">
        <f t="shared" si="6"/>
        <v/>
      </c>
      <c r="Q55" s="46"/>
      <c r="S55" s="11" t="str">
        <f t="shared" si="7"/>
        <v/>
      </c>
      <c r="U55" s="33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3" t="str">
        <f t="shared" si="2"/>
        <v/>
      </c>
      <c r="J56" s="46"/>
      <c r="L56" s="11" t="str">
        <f t="shared" si="4"/>
        <v/>
      </c>
      <c r="N56" s="33" t="str">
        <f t="shared" si="6"/>
        <v/>
      </c>
      <c r="Q56" s="46"/>
      <c r="S56" s="11" t="str">
        <f t="shared" si="7"/>
        <v/>
      </c>
      <c r="U56" s="33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3" t="str">
        <f t="shared" si="2"/>
        <v/>
      </c>
      <c r="J57" s="46"/>
      <c r="L57" s="11" t="str">
        <f t="shared" si="4"/>
        <v/>
      </c>
      <c r="N57" s="33" t="str">
        <f t="shared" si="6"/>
        <v/>
      </c>
      <c r="Q57" s="46"/>
      <c r="S57" s="11" t="str">
        <f t="shared" si="7"/>
        <v/>
      </c>
      <c r="U57" s="33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3" t="str">
        <f t="shared" si="2"/>
        <v/>
      </c>
      <c r="J58" s="46"/>
      <c r="L58" s="11" t="str">
        <f t="shared" si="4"/>
        <v/>
      </c>
      <c r="N58" s="33" t="str">
        <f t="shared" si="6"/>
        <v/>
      </c>
      <c r="Q58" s="46"/>
      <c r="S58" s="11" t="str">
        <f t="shared" si="7"/>
        <v/>
      </c>
      <c r="U58" s="33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3" t="str">
        <f t="shared" si="2"/>
        <v/>
      </c>
      <c r="J59" s="46"/>
      <c r="L59" s="11" t="str">
        <f t="shared" si="4"/>
        <v/>
      </c>
      <c r="N59" s="33" t="str">
        <f t="shared" si="6"/>
        <v/>
      </c>
      <c r="Q59" s="46"/>
      <c r="S59" s="11" t="str">
        <f t="shared" si="7"/>
        <v/>
      </c>
      <c r="U59" s="33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3" t="str">
        <f t="shared" si="2"/>
        <v/>
      </c>
      <c r="J60" s="46"/>
      <c r="L60" s="11" t="str">
        <f t="shared" si="4"/>
        <v/>
      </c>
      <c r="N60" s="33" t="str">
        <f t="shared" si="6"/>
        <v/>
      </c>
      <c r="Q60" s="46"/>
      <c r="S60" s="11" t="str">
        <f t="shared" si="7"/>
        <v/>
      </c>
      <c r="U60" s="33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3" t="str">
        <f t="shared" si="2"/>
        <v/>
      </c>
      <c r="J61" s="46"/>
      <c r="L61" s="11" t="str">
        <f t="shared" si="4"/>
        <v/>
      </c>
      <c r="N61" s="33" t="str">
        <f t="shared" si="6"/>
        <v/>
      </c>
      <c r="Q61" s="46"/>
      <c r="S61" s="11" t="str">
        <f t="shared" si="7"/>
        <v/>
      </c>
      <c r="U61" s="33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3" t="str">
        <f t="shared" si="2"/>
        <v/>
      </c>
      <c r="J62" s="46"/>
      <c r="L62" s="11" t="str">
        <f t="shared" si="4"/>
        <v/>
      </c>
      <c r="N62" s="33" t="str">
        <f t="shared" si="6"/>
        <v/>
      </c>
      <c r="Q62" s="46"/>
      <c r="S62" s="11" t="str">
        <f t="shared" si="7"/>
        <v/>
      </c>
      <c r="U62" s="33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3" t="str">
        <f t="shared" si="2"/>
        <v/>
      </c>
      <c r="J63" s="46"/>
      <c r="L63" s="11" t="str">
        <f t="shared" si="4"/>
        <v/>
      </c>
      <c r="N63" s="33" t="str">
        <f t="shared" si="6"/>
        <v/>
      </c>
      <c r="Q63" s="46"/>
      <c r="S63" s="11" t="str">
        <f t="shared" si="7"/>
        <v/>
      </c>
      <c r="U63" s="33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3" t="str">
        <f t="shared" si="2"/>
        <v/>
      </c>
      <c r="J64" s="46"/>
      <c r="L64" s="11" t="str">
        <f t="shared" si="4"/>
        <v/>
      </c>
      <c r="N64" s="33" t="str">
        <f t="shared" si="6"/>
        <v/>
      </c>
      <c r="Q64" s="46"/>
      <c r="S64" s="11" t="str">
        <f t="shared" si="7"/>
        <v/>
      </c>
      <c r="U64" s="33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3" t="str">
        <f t="shared" si="2"/>
        <v/>
      </c>
      <c r="J65" s="46"/>
      <c r="L65" s="11" t="str">
        <f t="shared" si="4"/>
        <v/>
      </c>
      <c r="N65" s="33" t="str">
        <f t="shared" si="6"/>
        <v/>
      </c>
      <c r="Q65" s="46"/>
      <c r="S65" s="11" t="str">
        <f t="shared" si="7"/>
        <v/>
      </c>
      <c r="U65" s="33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3" t="str">
        <f t="shared" si="2"/>
        <v/>
      </c>
      <c r="J66" s="46"/>
      <c r="L66" s="11" t="str">
        <f t="shared" si="4"/>
        <v/>
      </c>
      <c r="N66" s="33" t="str">
        <f t="shared" si="6"/>
        <v/>
      </c>
      <c r="Q66" s="46"/>
      <c r="S66" s="11" t="str">
        <f t="shared" si="7"/>
        <v/>
      </c>
      <c r="U66" s="33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3" t="str">
        <f t="shared" si="2"/>
        <v/>
      </c>
      <c r="J67" s="46"/>
      <c r="L67" s="11" t="str">
        <f t="shared" si="4"/>
        <v/>
      </c>
      <c r="N67" s="33" t="str">
        <f t="shared" si="6"/>
        <v/>
      </c>
      <c r="Q67" s="46"/>
      <c r="S67" s="11" t="str">
        <f t="shared" si="7"/>
        <v/>
      </c>
      <c r="U67" s="33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3" t="str">
        <f t="shared" si="2"/>
        <v/>
      </c>
      <c r="J68" s="46"/>
      <c r="L68" s="11" t="str">
        <f t="shared" si="4"/>
        <v/>
      </c>
      <c r="N68" s="33" t="str">
        <f t="shared" si="6"/>
        <v/>
      </c>
      <c r="Q68" s="46"/>
      <c r="S68" s="11" t="str">
        <f t="shared" si="7"/>
        <v/>
      </c>
      <c r="U68" s="33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3" t="str">
        <f t="shared" si="2"/>
        <v/>
      </c>
      <c r="J69" s="46"/>
      <c r="L69" s="11" t="str">
        <f t="shared" si="4"/>
        <v/>
      </c>
      <c r="N69" s="33" t="str">
        <f t="shared" si="6"/>
        <v/>
      </c>
      <c r="Q69" s="46"/>
      <c r="S69" s="11" t="str">
        <f t="shared" si="7"/>
        <v/>
      </c>
      <c r="U69" s="33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3" t="str">
        <f t="shared" si="2"/>
        <v/>
      </c>
      <c r="J70" s="46"/>
      <c r="L70" s="11" t="str">
        <f t="shared" si="4"/>
        <v/>
      </c>
      <c r="N70" s="33" t="str">
        <f t="shared" si="6"/>
        <v/>
      </c>
      <c r="Q70" s="46"/>
      <c r="S70" s="11" t="str">
        <f t="shared" si="7"/>
        <v/>
      </c>
      <c r="U70" s="33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3" t="str">
        <f t="shared" si="2"/>
        <v/>
      </c>
      <c r="J71" s="46"/>
      <c r="L71" s="11" t="str">
        <f t="shared" si="4"/>
        <v/>
      </c>
      <c r="N71" s="33" t="str">
        <f t="shared" si="6"/>
        <v/>
      </c>
      <c r="Q71" s="46"/>
      <c r="S71" s="11" t="str">
        <f t="shared" si="7"/>
        <v/>
      </c>
      <c r="U71" s="33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3" t="str">
        <f t="shared" si="2"/>
        <v/>
      </c>
      <c r="J72" s="46"/>
      <c r="L72" s="11" t="str">
        <f t="shared" si="4"/>
        <v/>
      </c>
      <c r="N72" s="33" t="str">
        <f t="shared" si="6"/>
        <v/>
      </c>
      <c r="Q72" s="46"/>
      <c r="S72" s="11" t="str">
        <f t="shared" si="7"/>
        <v/>
      </c>
      <c r="U72" s="33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3" t="str">
        <f t="shared" si="2"/>
        <v/>
      </c>
      <c r="J73" s="46"/>
      <c r="L73" s="11" t="str">
        <f t="shared" si="4"/>
        <v/>
      </c>
      <c r="N73" s="33" t="str">
        <f t="shared" si="6"/>
        <v/>
      </c>
      <c r="Q73" s="46"/>
      <c r="S73" s="11" t="str">
        <f t="shared" si="7"/>
        <v/>
      </c>
      <c r="U73" s="33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3" t="str">
        <f t="shared" si="2"/>
        <v/>
      </c>
      <c r="J74" s="46"/>
      <c r="L74" s="11" t="str">
        <f t="shared" si="4"/>
        <v/>
      </c>
      <c r="N74" s="33" t="str">
        <f t="shared" si="6"/>
        <v/>
      </c>
      <c r="Q74" s="46"/>
      <c r="S74" s="11" t="str">
        <f t="shared" si="7"/>
        <v/>
      </c>
      <c r="U74" s="33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3" t="str">
        <f t="shared" si="2"/>
        <v/>
      </c>
      <c r="J75" s="46"/>
      <c r="L75" s="11" t="str">
        <f t="shared" si="4"/>
        <v/>
      </c>
      <c r="N75" s="33" t="str">
        <f t="shared" si="6"/>
        <v/>
      </c>
      <c r="Q75" s="46"/>
      <c r="S75" s="11" t="str">
        <f t="shared" si="7"/>
        <v/>
      </c>
      <c r="U75" s="33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3" t="str">
        <f t="shared" si="2"/>
        <v/>
      </c>
      <c r="J76" s="46"/>
      <c r="L76" s="11" t="str">
        <f t="shared" si="4"/>
        <v/>
      </c>
      <c r="N76" s="33" t="str">
        <f t="shared" si="6"/>
        <v/>
      </c>
      <c r="Q76" s="46"/>
      <c r="S76" s="11" t="str">
        <f t="shared" si="7"/>
        <v/>
      </c>
      <c r="U76" s="33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3" t="str">
        <f t="shared" si="2"/>
        <v/>
      </c>
      <c r="J77" s="46"/>
      <c r="L77" s="11" t="str">
        <f t="shared" si="4"/>
        <v/>
      </c>
      <c r="N77" s="33" t="str">
        <f t="shared" si="6"/>
        <v/>
      </c>
      <c r="Q77" s="46"/>
      <c r="S77" s="11" t="str">
        <f t="shared" si="7"/>
        <v/>
      </c>
      <c r="U77" s="33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3" t="str">
        <f t="shared" si="2"/>
        <v/>
      </c>
      <c r="J78" s="46"/>
      <c r="L78" s="11" t="str">
        <f t="shared" si="4"/>
        <v/>
      </c>
      <c r="N78" s="33" t="str">
        <f t="shared" si="6"/>
        <v/>
      </c>
      <c r="Q78" s="46"/>
      <c r="S78" s="11" t="str">
        <f t="shared" si="7"/>
        <v/>
      </c>
      <c r="U78" s="33" t="str">
        <f t="shared" si="3"/>
        <v/>
      </c>
    </row>
    <row r="79" spans="3:21" ht="18" customHeight="1" x14ac:dyDescent="0.25">
      <c r="C79" s="46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46"/>
      <c r="L79" s="11" t="str">
        <f t="shared" si="4"/>
        <v/>
      </c>
      <c r="N79" s="33" t="str">
        <f t="shared" si="6"/>
        <v/>
      </c>
      <c r="Q79" s="46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3" t="str">
        <f t="shared" si="9"/>
        <v/>
      </c>
      <c r="J80" s="46"/>
      <c r="L80" s="11" t="str">
        <f t="shared" ref="L80:L100" si="11">IF(K80-K79&gt;0,K80-K79,"")</f>
        <v/>
      </c>
      <c r="N80" s="33" t="str">
        <f t="shared" si="6"/>
        <v/>
      </c>
      <c r="Q80" s="46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3" t="str">
        <f t="shared" si="9"/>
        <v/>
      </c>
      <c r="J81" s="46"/>
      <c r="L81" s="11" t="str">
        <f t="shared" si="11"/>
        <v/>
      </c>
      <c r="N81" s="33" t="str">
        <f t="shared" si="6"/>
        <v/>
      </c>
      <c r="Q81" s="46"/>
      <c r="S81" s="11" t="str">
        <f t="shared" si="12"/>
        <v/>
      </c>
      <c r="U81" s="33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3" t="str">
        <f t="shared" si="9"/>
        <v/>
      </c>
      <c r="J82" s="46"/>
      <c r="L82" s="11" t="str">
        <f t="shared" si="11"/>
        <v/>
      </c>
      <c r="N82" s="33" t="str">
        <f t="shared" si="6"/>
        <v/>
      </c>
      <c r="Q82" s="46"/>
      <c r="S82" s="11" t="str">
        <f t="shared" si="12"/>
        <v/>
      </c>
      <c r="U82" s="33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3" t="str">
        <f t="shared" si="9"/>
        <v/>
      </c>
      <c r="J83" s="46"/>
      <c r="L83" s="11" t="str">
        <f t="shared" si="11"/>
        <v/>
      </c>
      <c r="N83" s="33" t="str">
        <f t="shared" si="6"/>
        <v/>
      </c>
      <c r="Q83" s="46"/>
      <c r="S83" s="11" t="str">
        <f t="shared" si="12"/>
        <v/>
      </c>
      <c r="U83" s="33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3" t="str">
        <f t="shared" si="9"/>
        <v/>
      </c>
      <c r="J84" s="46"/>
      <c r="L84" s="11" t="str">
        <f t="shared" si="11"/>
        <v/>
      </c>
      <c r="N84" s="33" t="str">
        <f t="shared" si="6"/>
        <v/>
      </c>
      <c r="Q84" s="46"/>
      <c r="S84" s="11" t="str">
        <f t="shared" si="12"/>
        <v/>
      </c>
      <c r="U84" s="33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3" t="str">
        <f t="shared" si="9"/>
        <v/>
      </c>
      <c r="J85" s="46"/>
      <c r="L85" s="11" t="str">
        <f t="shared" si="11"/>
        <v/>
      </c>
      <c r="N85" s="33" t="str">
        <f t="shared" si="6"/>
        <v/>
      </c>
      <c r="Q85" s="46"/>
      <c r="S85" s="11" t="str">
        <f t="shared" si="12"/>
        <v/>
      </c>
      <c r="U85" s="33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3" t="str">
        <f t="shared" si="9"/>
        <v/>
      </c>
      <c r="J86" s="46"/>
      <c r="L86" s="11" t="str">
        <f t="shared" si="11"/>
        <v/>
      </c>
      <c r="N86" s="33" t="str">
        <f t="shared" ref="N86:N100" si="13">IF((L86= "")+(M86=""),"",L86/M86)</f>
        <v/>
      </c>
      <c r="Q86" s="46"/>
      <c r="S86" s="11" t="str">
        <f t="shared" si="12"/>
        <v/>
      </c>
      <c r="U86" s="33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3" t="str">
        <f t="shared" si="9"/>
        <v/>
      </c>
      <c r="J87" s="46"/>
      <c r="L87" s="11" t="str">
        <f t="shared" si="11"/>
        <v/>
      </c>
      <c r="N87" s="33" t="str">
        <f t="shared" si="13"/>
        <v/>
      </c>
      <c r="Q87" s="46"/>
      <c r="S87" s="11" t="str">
        <f t="shared" si="12"/>
        <v/>
      </c>
      <c r="U87" s="33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3" t="str">
        <f t="shared" si="9"/>
        <v/>
      </c>
      <c r="J88" s="46"/>
      <c r="L88" s="11" t="str">
        <f t="shared" si="11"/>
        <v/>
      </c>
      <c r="N88" s="33" t="str">
        <f t="shared" si="13"/>
        <v/>
      </c>
      <c r="Q88" s="46"/>
      <c r="S88" s="11" t="str">
        <f t="shared" si="12"/>
        <v/>
      </c>
      <c r="U88" s="33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3" t="str">
        <f t="shared" si="9"/>
        <v/>
      </c>
      <c r="J89" s="46"/>
      <c r="L89" s="11" t="str">
        <f t="shared" si="11"/>
        <v/>
      </c>
      <c r="N89" s="33" t="str">
        <f t="shared" si="13"/>
        <v/>
      </c>
      <c r="Q89" s="46"/>
      <c r="S89" s="11" t="str">
        <f t="shared" si="12"/>
        <v/>
      </c>
      <c r="U89" s="33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3" t="str">
        <f t="shared" si="9"/>
        <v/>
      </c>
      <c r="J90" s="46"/>
      <c r="L90" s="11" t="str">
        <f t="shared" si="11"/>
        <v/>
      </c>
      <c r="N90" s="33" t="str">
        <f t="shared" si="13"/>
        <v/>
      </c>
      <c r="Q90" s="46"/>
      <c r="S90" s="11" t="str">
        <f t="shared" si="12"/>
        <v/>
      </c>
      <c r="U90" s="33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3" t="str">
        <f t="shared" si="9"/>
        <v/>
      </c>
      <c r="J91" s="46"/>
      <c r="L91" s="11" t="str">
        <f t="shared" si="11"/>
        <v/>
      </c>
      <c r="N91" s="33" t="str">
        <f t="shared" si="13"/>
        <v/>
      </c>
      <c r="Q91" s="46"/>
      <c r="S91" s="11" t="str">
        <f t="shared" si="12"/>
        <v/>
      </c>
      <c r="U91" s="33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3" t="str">
        <f t="shared" si="9"/>
        <v/>
      </c>
      <c r="J92" s="46"/>
      <c r="L92" s="11" t="str">
        <f t="shared" si="11"/>
        <v/>
      </c>
      <c r="N92" s="33" t="str">
        <f t="shared" si="13"/>
        <v/>
      </c>
      <c r="Q92" s="46"/>
      <c r="S92" s="11" t="str">
        <f t="shared" si="12"/>
        <v/>
      </c>
      <c r="U92" s="33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3" t="str">
        <f t="shared" si="9"/>
        <v/>
      </c>
      <c r="J93" s="46"/>
      <c r="L93" s="11" t="str">
        <f t="shared" si="11"/>
        <v/>
      </c>
      <c r="N93" s="33" t="str">
        <f t="shared" si="13"/>
        <v/>
      </c>
      <c r="Q93" s="46"/>
      <c r="S93" s="11" t="str">
        <f t="shared" si="12"/>
        <v/>
      </c>
      <c r="U93" s="33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3" t="str">
        <f t="shared" si="9"/>
        <v/>
      </c>
      <c r="J94" s="46"/>
      <c r="L94" s="11" t="str">
        <f t="shared" si="11"/>
        <v/>
      </c>
      <c r="N94" s="33" t="str">
        <f t="shared" si="13"/>
        <v/>
      </c>
      <c r="Q94" s="46"/>
      <c r="S94" s="11" t="str">
        <f t="shared" si="12"/>
        <v/>
      </c>
      <c r="U94" s="33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3" t="str">
        <f t="shared" si="9"/>
        <v/>
      </c>
      <c r="J95" s="46"/>
      <c r="L95" s="11" t="str">
        <f t="shared" si="11"/>
        <v/>
      </c>
      <c r="N95" s="33" t="str">
        <f t="shared" si="13"/>
        <v/>
      </c>
      <c r="Q95" s="46"/>
      <c r="S95" s="11" t="str">
        <f t="shared" si="12"/>
        <v/>
      </c>
      <c r="U95" s="33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3" t="str">
        <f t="shared" si="9"/>
        <v/>
      </c>
      <c r="J96" s="46"/>
      <c r="L96" s="11" t="str">
        <f t="shared" si="11"/>
        <v/>
      </c>
      <c r="N96" s="33" t="str">
        <f t="shared" si="13"/>
        <v/>
      </c>
      <c r="Q96" s="46"/>
      <c r="S96" s="11" t="str">
        <f t="shared" si="12"/>
        <v/>
      </c>
      <c r="U96" s="33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3" t="str">
        <f t="shared" si="9"/>
        <v/>
      </c>
      <c r="J97" s="46"/>
      <c r="L97" s="11" t="str">
        <f t="shared" si="11"/>
        <v/>
      </c>
      <c r="N97" s="33" t="str">
        <f t="shared" si="13"/>
        <v/>
      </c>
      <c r="Q97" s="46"/>
      <c r="S97" s="11" t="str">
        <f t="shared" si="12"/>
        <v/>
      </c>
      <c r="U97" s="33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3" t="str">
        <f t="shared" si="9"/>
        <v/>
      </c>
      <c r="J98" s="46"/>
      <c r="L98" s="11" t="str">
        <f t="shared" si="11"/>
        <v/>
      </c>
      <c r="N98" s="33" t="str">
        <f t="shared" si="13"/>
        <v/>
      </c>
      <c r="Q98" s="46"/>
      <c r="S98" s="11" t="str">
        <f t="shared" si="12"/>
        <v/>
      </c>
      <c r="U98" s="33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3" t="str">
        <f t="shared" si="9"/>
        <v/>
      </c>
      <c r="J99" s="46"/>
      <c r="L99" s="11" t="str">
        <f t="shared" si="11"/>
        <v/>
      </c>
      <c r="N99" s="33" t="str">
        <f t="shared" si="13"/>
        <v/>
      </c>
      <c r="Q99" s="46"/>
      <c r="S99" s="11" t="str">
        <f t="shared" si="12"/>
        <v/>
      </c>
      <c r="U99" s="33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3" t="str">
        <f t="shared" si="9"/>
        <v/>
      </c>
      <c r="J100" s="46"/>
      <c r="L100" s="11" t="str">
        <f t="shared" si="11"/>
        <v/>
      </c>
      <c r="N100" s="33" t="str">
        <f t="shared" si="13"/>
        <v/>
      </c>
      <c r="Q100" s="46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5"/>
    <col min="3" max="4" width="9" style="12"/>
    <col min="5" max="16384" width="9" style="43"/>
  </cols>
  <sheetData>
    <row r="2" spans="1:11" ht="18" customHeight="1" x14ac:dyDescent="0.25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25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25">
      <c r="A11" s="35" t="s">
        <v>85</v>
      </c>
      <c r="B11" s="35">
        <v>0.6</v>
      </c>
    </row>
    <row r="12" spans="1:11" ht="18" customHeight="1" x14ac:dyDescent="0.25">
      <c r="A12" s="35" t="s">
        <v>96</v>
      </c>
      <c r="B12" s="35">
        <v>1</v>
      </c>
    </row>
    <row r="14" spans="1:11" ht="18" customHeight="1" x14ac:dyDescent="0.25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25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25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25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25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25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25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25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25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25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25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25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4" t="s">
        <v>48</v>
      </c>
    </row>
    <row r="3" spans="2:5" x14ac:dyDescent="0.25">
      <c r="B3" s="2" t="s">
        <v>39</v>
      </c>
      <c r="C3" s="8" t="s">
        <v>114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25">
      <c r="B9" s="10">
        <v>43994</v>
      </c>
      <c r="C9" s="7" t="s">
        <v>113</v>
      </c>
      <c r="D9" s="7">
        <v>1</v>
      </c>
      <c r="E9" s="52" t="s">
        <v>112</v>
      </c>
    </row>
    <row r="10" spans="2:5" x14ac:dyDescent="0.25">
      <c r="E10" s="2"/>
    </row>
    <row r="11" spans="2:5" x14ac:dyDescent="0.25">
      <c r="E11" s="2"/>
    </row>
    <row r="12" spans="2:5" x14ac:dyDescent="0.25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25">
      <c r="B13" s="10"/>
      <c r="D13" s="7">
        <v>2</v>
      </c>
      <c r="E13" s="2" t="s">
        <v>94</v>
      </c>
    </row>
    <row r="14" spans="2:5" x14ac:dyDescent="0.25">
      <c r="D14" s="7">
        <v>3</v>
      </c>
      <c r="E14" s="2" t="s">
        <v>99</v>
      </c>
    </row>
    <row r="16" spans="2:5" x14ac:dyDescent="0.25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25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25">
      <c r="B20" s="10"/>
      <c r="D20" s="7">
        <v>2</v>
      </c>
      <c r="E20" s="2" t="s">
        <v>88</v>
      </c>
    </row>
    <row r="22" spans="2:5" x14ac:dyDescent="0.25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25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25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25">
      <c r="D28" s="7">
        <v>2</v>
      </c>
      <c r="E28" s="2" t="s">
        <v>74</v>
      </c>
    </row>
    <row r="29" spans="2:5" x14ac:dyDescent="0.25">
      <c r="D29" s="7">
        <v>3</v>
      </c>
      <c r="E29" s="2" t="s">
        <v>75</v>
      </c>
    </row>
    <row r="30" spans="2:5" x14ac:dyDescent="0.25">
      <c r="E30" s="2"/>
    </row>
    <row r="31" spans="2:5" x14ac:dyDescent="0.25">
      <c r="E31" s="2"/>
    </row>
    <row r="32" spans="2:5" x14ac:dyDescent="0.25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25">
      <c r="D33" s="7">
        <v>2</v>
      </c>
      <c r="E33" s="2" t="s">
        <v>58</v>
      </c>
    </row>
    <row r="34" spans="2:5" x14ac:dyDescent="0.25">
      <c r="D34" s="7">
        <v>3</v>
      </c>
      <c r="E34" s="2" t="s">
        <v>59</v>
      </c>
    </row>
    <row r="35" spans="2:5" x14ac:dyDescent="0.25">
      <c r="D35" s="7">
        <v>4</v>
      </c>
      <c r="E35" s="2" t="s">
        <v>60</v>
      </c>
    </row>
    <row r="36" spans="2:5" x14ac:dyDescent="0.25">
      <c r="D36" s="7">
        <v>5</v>
      </c>
      <c r="E36" s="2" t="s">
        <v>61</v>
      </c>
    </row>
    <row r="37" spans="2:5" x14ac:dyDescent="0.25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25">
      <c r="D38" s="7">
        <v>2</v>
      </c>
      <c r="E38" s="2" t="s">
        <v>63</v>
      </c>
    </row>
    <row r="39" spans="2:5" x14ac:dyDescent="0.25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25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25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25">
      <c r="D42" s="7">
        <v>2</v>
      </c>
      <c r="E42" s="2" t="s">
        <v>67</v>
      </c>
    </row>
    <row r="43" spans="2:5" x14ac:dyDescent="0.25">
      <c r="D43" s="7">
        <v>3</v>
      </c>
      <c r="E43" s="2" t="s">
        <v>68</v>
      </c>
    </row>
    <row r="44" spans="2:5" x14ac:dyDescent="0.25">
      <c r="D44" s="7">
        <v>4</v>
      </c>
      <c r="E44" s="2" t="s">
        <v>69</v>
      </c>
    </row>
    <row r="45" spans="2:5" x14ac:dyDescent="0.25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2020-06-12T02:30:30Z</dcterms:modified>
</cp:coreProperties>
</file>