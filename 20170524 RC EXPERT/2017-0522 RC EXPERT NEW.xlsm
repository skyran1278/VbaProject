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kyran\Documents\GitHub\VbaProject\20170524 RC EXPERT\"/>
    </mc:Choice>
  </mc:AlternateContent>
  <bookViews>
    <workbookView xWindow="360" yWindow="135" windowWidth="28035" windowHeight="11670" activeTab="3"/>
  </bookViews>
  <sheets>
    <sheet name="Rule" sheetId="1" r:id="rId1"/>
    <sheet name="General Information" sheetId="6" r:id="rId2"/>
    <sheet name="Rebar Size" sheetId="10" r:id="rId3"/>
    <sheet name="Expert Check" sheetId="4" r:id="rId4"/>
    <sheet name="柱" sheetId="9" r:id="rId5"/>
    <sheet name="大梁配筋" sheetId="7" r:id="rId6"/>
    <sheet name="小梁配筋" sheetId="8" r:id="rId7"/>
  </sheets>
  <functionGroups builtInGroupCount="18"/>
  <externalReferences>
    <externalReference r:id="rId8"/>
  </externalReferences>
  <definedNames>
    <definedName name="_xlnm.Print_Area" localSheetId="5">[1]小梁配筋!$A$5:$K$38</definedName>
    <definedName name="_xlnm.Print_Titles" localSheetId="5">大梁配筋!$1:$2</definedName>
  </definedNames>
  <calcPr calcId="162913" refMode="R1C1"/>
</workbook>
</file>

<file path=xl/calcChain.xml><?xml version="1.0" encoding="utf-8"?>
<calcChain xmlns="http://schemas.openxmlformats.org/spreadsheetml/2006/main">
  <c r="N72" i="1" l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60" i="1"/>
  <c r="N61" i="1"/>
  <c r="N62" i="1"/>
  <c r="N63" i="1"/>
  <c r="N64" i="1"/>
  <c r="N65" i="1"/>
  <c r="N66" i="1"/>
  <c r="N67" i="1"/>
  <c r="N68" i="1"/>
  <c r="N69" i="1"/>
  <c r="N70" i="1"/>
  <c r="N71" i="1"/>
  <c r="N59" i="1"/>
  <c r="G3" i="10" l="1"/>
  <c r="G4" i="10"/>
  <c r="G5" i="10"/>
  <c r="G6" i="10"/>
  <c r="G7" i="10"/>
  <c r="G8" i="10"/>
  <c r="G9" i="10"/>
  <c r="G10" i="10"/>
  <c r="G11" i="10"/>
  <c r="G12" i="10"/>
  <c r="G13" i="10"/>
  <c r="G2" i="10"/>
  <c r="J3" i="10" l="1"/>
  <c r="J4" i="10"/>
  <c r="J5" i="10"/>
  <c r="J6" i="10"/>
  <c r="J7" i="10"/>
  <c r="J8" i="10"/>
  <c r="J9" i="10"/>
  <c r="J10" i="10"/>
  <c r="J11" i="10"/>
  <c r="J12" i="10"/>
  <c r="J13" i="10"/>
  <c r="J2" i="10"/>
  <c r="B1" i="6" l="1"/>
  <c r="B1" i="4"/>
  <c r="P237" i="1" l="1"/>
  <c r="M237" i="1" s="1"/>
  <c r="P230" i="1"/>
  <c r="M230" i="1" s="1"/>
  <c r="Q229" i="1"/>
  <c r="P229" i="1"/>
  <c r="P228" i="1"/>
  <c r="M228" i="1" s="1"/>
  <c r="Q227" i="1"/>
  <c r="P227" i="1"/>
  <c r="P221" i="1"/>
  <c r="M221" i="1" s="1"/>
  <c r="Q220" i="1"/>
  <c r="P220" i="1"/>
  <c r="P219" i="1"/>
  <c r="M219" i="1" s="1"/>
  <c r="Q218" i="1"/>
  <c r="P218" i="1"/>
  <c r="Q216" i="1"/>
  <c r="P216" i="1"/>
  <c r="Q215" i="1"/>
  <c r="P215" i="1"/>
  <c r="Q214" i="1"/>
  <c r="P214" i="1"/>
  <c r="Q212" i="1"/>
  <c r="P212" i="1"/>
  <c r="P211" i="1"/>
  <c r="Q211" i="1"/>
  <c r="P210" i="1"/>
  <c r="M210" i="1" s="1"/>
  <c r="Q210" i="1"/>
  <c r="Q208" i="1"/>
  <c r="P208" i="1"/>
  <c r="P201" i="1"/>
  <c r="M201" i="1" s="1"/>
  <c r="Q201" i="1"/>
  <c r="Q200" i="1"/>
  <c r="P200" i="1"/>
  <c r="P198" i="1"/>
  <c r="M198" i="1" s="1"/>
  <c r="P197" i="1"/>
  <c r="M197" i="1" s="1"/>
  <c r="P196" i="1"/>
  <c r="M196" i="1" s="1"/>
  <c r="P195" i="1"/>
  <c r="M195" i="1" s="1"/>
  <c r="Q191" i="1"/>
  <c r="P191" i="1"/>
  <c r="Q190" i="1"/>
  <c r="P190" i="1"/>
  <c r="P189" i="1"/>
  <c r="M189" i="1" s="1"/>
  <c r="P188" i="1"/>
  <c r="M188" i="1" s="1"/>
  <c r="P187" i="1"/>
  <c r="M187" i="1" s="1"/>
  <c r="P186" i="1"/>
  <c r="M186" i="1" s="1"/>
  <c r="M179" i="1"/>
  <c r="P177" i="1"/>
  <c r="M177" i="1" s="1"/>
  <c r="P176" i="1"/>
  <c r="M176" i="1" s="1"/>
  <c r="P174" i="1"/>
  <c r="M174" i="1" s="1"/>
  <c r="P173" i="1"/>
  <c r="M173" i="1" s="1"/>
  <c r="M169" i="1"/>
  <c r="M168" i="1"/>
  <c r="P167" i="1"/>
  <c r="M167" i="1" s="1"/>
  <c r="P166" i="1"/>
  <c r="M166" i="1" s="1"/>
  <c r="P165" i="1"/>
  <c r="M165" i="1" s="1"/>
  <c r="P164" i="1"/>
  <c r="M164" i="1" s="1"/>
  <c r="Q160" i="1"/>
  <c r="P160" i="1"/>
  <c r="Q159" i="1"/>
  <c r="P159" i="1"/>
  <c r="P156" i="1"/>
  <c r="Q156" i="1"/>
  <c r="Q155" i="1"/>
  <c r="P155" i="1"/>
  <c r="P158" i="1"/>
  <c r="M158" i="1" s="1"/>
  <c r="P157" i="1"/>
  <c r="M157" i="1" s="1"/>
  <c r="P141" i="1"/>
  <c r="M141" i="1" s="1"/>
  <c r="P140" i="1"/>
  <c r="M140" i="1" s="1"/>
  <c r="P138" i="1"/>
  <c r="M138" i="1" s="1"/>
  <c r="P137" i="1"/>
  <c r="M137" i="1" s="1"/>
  <c r="Q129" i="1"/>
  <c r="M129" i="1" s="1"/>
  <c r="P129" i="1"/>
  <c r="P127" i="1"/>
  <c r="M127" i="1" s="1"/>
  <c r="P126" i="1"/>
  <c r="M126" i="1" s="1"/>
  <c r="P125" i="1"/>
  <c r="M125" i="1" s="1"/>
  <c r="M123" i="1"/>
  <c r="M122" i="1"/>
  <c r="M121" i="1"/>
  <c r="P117" i="1"/>
  <c r="M117" i="1" s="1"/>
  <c r="P113" i="1"/>
  <c r="M113" i="1" s="1"/>
  <c r="M156" i="1" l="1"/>
  <c r="M208" i="1"/>
  <c r="M160" i="1"/>
  <c r="M191" i="1"/>
  <c r="M211" i="1"/>
  <c r="M214" i="1"/>
  <c r="M218" i="1"/>
  <c r="M220" i="1"/>
  <c r="M155" i="1"/>
  <c r="M159" i="1"/>
  <c r="M190" i="1"/>
  <c r="M200" i="1"/>
  <c r="M216" i="1"/>
  <c r="M215" i="1"/>
  <c r="M227" i="1"/>
  <c r="M229" i="1"/>
  <c r="M212" i="1"/>
  <c r="P119" i="1"/>
  <c r="M119" i="1" s="1"/>
  <c r="P118" i="1"/>
  <c r="M118" i="1" s="1"/>
  <c r="Q153" i="1" l="1"/>
  <c r="P153" i="1"/>
  <c r="Q152" i="1"/>
  <c r="P152" i="1"/>
  <c r="M152" i="1" s="1"/>
  <c r="P151" i="1"/>
  <c r="M151" i="1" s="1"/>
  <c r="P150" i="1"/>
  <c r="M150" i="1" s="1"/>
  <c r="P115" i="1"/>
  <c r="M115" i="1" s="1"/>
  <c r="P114" i="1"/>
  <c r="M114" i="1" s="1"/>
  <c r="P111" i="1"/>
  <c r="M111" i="1" s="1"/>
  <c r="P110" i="1"/>
  <c r="M110" i="1" s="1"/>
  <c r="P101" i="1"/>
  <c r="M101" i="1" s="1"/>
  <c r="P100" i="1"/>
  <c r="M100" i="1" s="1"/>
  <c r="P95" i="1"/>
  <c r="M95" i="1" s="1"/>
  <c r="P94" i="1"/>
  <c r="M94" i="1" s="1"/>
  <c r="P92" i="1"/>
  <c r="M92" i="1" s="1"/>
  <c r="P91" i="1"/>
  <c r="M91" i="1" s="1"/>
  <c r="R84" i="1"/>
  <c r="P89" i="1"/>
  <c r="M89" i="1" s="1"/>
  <c r="P88" i="1"/>
  <c r="M88" i="1" s="1"/>
  <c r="Q85" i="1"/>
  <c r="P85" i="1"/>
  <c r="Q84" i="1"/>
  <c r="P84" i="1"/>
  <c r="Q83" i="1"/>
  <c r="P83" i="1"/>
  <c r="Q81" i="1"/>
  <c r="P81" i="1"/>
  <c r="Q80" i="1"/>
  <c r="P80" i="1"/>
  <c r="M80" i="1" s="1"/>
  <c r="Q79" i="1"/>
  <c r="P79" i="1"/>
  <c r="Q78" i="1"/>
  <c r="P78" i="1"/>
  <c r="M78" i="1" s="1"/>
  <c r="Q76" i="1"/>
  <c r="P76" i="1"/>
  <c r="M76" i="1" s="1"/>
  <c r="Q75" i="1"/>
  <c r="P75" i="1"/>
  <c r="Q74" i="1"/>
  <c r="P74" i="1"/>
  <c r="M74" i="1" s="1"/>
  <c r="Q73" i="1"/>
  <c r="P73" i="1"/>
  <c r="Q71" i="1"/>
  <c r="P71" i="1"/>
  <c r="R70" i="1"/>
  <c r="Q70" i="1"/>
  <c r="P70" i="1"/>
  <c r="Q69" i="1"/>
  <c r="P69" i="1"/>
  <c r="Q67" i="1"/>
  <c r="M67" i="1" s="1"/>
  <c r="P67" i="1"/>
  <c r="Q66" i="1"/>
  <c r="P66" i="1"/>
  <c r="Q65" i="1"/>
  <c r="P65" i="1"/>
  <c r="Q64" i="1"/>
  <c r="P64" i="1"/>
  <c r="P61" i="1"/>
  <c r="Q61" i="1"/>
  <c r="P62" i="1"/>
  <c r="Q62" i="1"/>
  <c r="P60" i="1"/>
  <c r="Q60" i="1"/>
  <c r="Q59" i="1"/>
  <c r="P59" i="1"/>
  <c r="M59" i="1" l="1"/>
  <c r="M84" i="1"/>
  <c r="M62" i="1"/>
  <c r="M153" i="1"/>
  <c r="M61" i="1"/>
  <c r="M79" i="1"/>
  <c r="M66" i="1"/>
  <c r="M70" i="1"/>
  <c r="M69" i="1"/>
  <c r="M65" i="1"/>
  <c r="M71" i="1"/>
  <c r="M60" i="1"/>
  <c r="M64" i="1"/>
  <c r="M75" i="1"/>
  <c r="M81" i="1"/>
  <c r="M83" i="1"/>
  <c r="M73" i="1"/>
  <c r="M85" i="1"/>
  <c r="P10" i="1"/>
  <c r="P13" i="1"/>
  <c r="M13" i="1" s="1"/>
  <c r="P15" i="1"/>
  <c r="P16" i="1"/>
  <c r="P17" i="1"/>
  <c r="M17" i="1" s="1"/>
  <c r="P19" i="1"/>
  <c r="M19" i="1" s="1"/>
  <c r="P20" i="1"/>
  <c r="P21" i="1"/>
  <c r="P23" i="1"/>
  <c r="M23" i="1" s="1"/>
  <c r="P24" i="1"/>
  <c r="M24" i="1" s="1"/>
  <c r="M25" i="1"/>
  <c r="M22" i="1"/>
  <c r="M21" i="1"/>
  <c r="M20" i="1"/>
  <c r="M16" i="1"/>
  <c r="M15" i="1"/>
  <c r="M10" i="1"/>
  <c r="F4" i="1" l="1"/>
  <c r="E4" i="1"/>
  <c r="D4" i="1"/>
  <c r="C3" i="1" l="1"/>
</calcChain>
</file>

<file path=xl/sharedStrings.xml><?xml version="1.0" encoding="utf-8"?>
<sst xmlns="http://schemas.openxmlformats.org/spreadsheetml/2006/main" count="2545" uniqueCount="667">
  <si>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</si>
  <si>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</si>
  <si>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</si>
  <si>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</si>
  <si>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</si>
  <si>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</si>
  <si>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</si>
  <si>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</si>
  <si>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</si>
  <si>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</si>
  <si>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</si>
  <si>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</si>
  <si>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</si>
  <si>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</si>
  <si>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</si>
  <si>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</si>
  <si>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</si>
  <si>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</si>
  <si>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</si>
  <si>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</si>
  <si>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</si>
  <si>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</si>
  <si>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</si>
  <si>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</si>
  <si>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</si>
  <si>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</si>
  <si>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</si>
  <si>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</si>
  <si>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</si>
  <si>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</si>
  <si>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</si>
  <si>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</si>
  <si>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</si>
  <si>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</si>
  <si>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</si>
  <si>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</si>
  <si>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</si>
  <si>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</si>
  <si>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</si>
  <si>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</si>
  <si>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</si>
  <si>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</si>
  <si>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</si>
  <si>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</si>
  <si>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</si>
  <si>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</si>
  <si>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</si>
  <si>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</si>
  <si>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</si>
  <si>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</si>
  <si>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</si>
  <si>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</si>
  <si>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</si>
  <si>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</si>
  <si>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</si>
  <si>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</si>
  <si>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</si>
  <si>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</si>
  <si>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</si>
  <si>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</si>
  <si>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</si>
  <si>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</si>
  <si>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</si>
  <si>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</si>
  <si>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</si>
  <si>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</si>
  <si>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</si>
  <si>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</si>
  <si>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</si>
  <si>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</si>
  <si>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</si>
  <si>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</si>
  <si>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</si>
  <si>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</si>
  <si>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</si>
  <si>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</si>
  <si>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</si>
  <si>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</si>
  <si>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</si>
  <si>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</si>
  <si>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</si>
  <si>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</si>
  <si>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</si>
  <si>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</si>
  <si>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</si>
  <si>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</si>
  <si>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</si>
  <si>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</si>
  <si>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</si>
  <si>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</si>
  <si>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</si>
  <si>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</si>
  <si>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</si>
  <si>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</si>
  <si>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</si>
  <si>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</si>
  <si>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</si>
  <si>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</si>
  <si>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</si>
  <si>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</si>
  <si>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</si>
  <si>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</si>
  <si>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</si>
  <si>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</si>
  <si>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</si>
  <si>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</si>
  <si>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</si>
  <si>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</si>
  <si>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</si>
  <si>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</si>
  <si>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</si>
  <si>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</si>
  <si>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</si>
  <si>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</si>
  <si>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</si>
  <si>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</si>
  <si>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</si>
  <si>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</si>
  <si>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</si>
  <si>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</si>
  <si>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</si>
  <si>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</si>
  <si>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</si>
  <si>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</si>
  <si>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</si>
  <si>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</si>
  <si>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</si>
  <si>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</si>
  <si>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</si>
  <si>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</si>
  <si>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</si>
  <si>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</si>
  <si>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</si>
  <si>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</si>
  <si>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</si>
  <si>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</si>
  <si>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</si>
  <si>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</si>
  <si>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</si>
  <si>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</si>
  <si>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</si>
  <si>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</si>
  <si>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</si>
  <si>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</si>
  <si>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</si>
  <si>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</si>
  <si>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</si>
  <si>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</si>
  <si>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</si>
  <si>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</si>
  <si>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</si>
  <si>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</si>
  <si>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</si>
  <si>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</si>
  <si>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</si>
  <si>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</si>
  <si>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</si>
  <si>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</si>
  <si>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</si>
  <si>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</si>
  <si>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</si>
  <si>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</si>
  <si>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</si>
  <si>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</si>
  <si>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</si>
  <si>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</si>
  <si>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</si>
  <si>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</si>
  <si>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</si>
  <si>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</si>
  <si>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</si>
  <si>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</si>
  <si>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</si>
  <si>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</si>
  <si>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</si>
  <si>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</si>
  <si>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</si>
  <si>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</si>
  <si>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</si>
  <si>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</si>
  <si>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</si>
  <si>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</si>
  <si>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</si>
  <si>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</si>
  <si>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</si>
  <si>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</si>
  <si>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</si>
  <si>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</si>
  <si>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</si>
  <si>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</si>
  <si>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</si>
  <si>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</si>
  <si>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</si>
  <si>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</si>
  <si>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</si>
  <si>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</si>
  <si>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</si>
  <si>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</si>
  <si>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</si>
  <si>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</si>
  <si>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</si>
  <si>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</si>
  <si>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</si>
  <si>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</si>
  <si>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</si>
  <si>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</si>
  <si>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</si>
  <si>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</si>
  <si>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</si>
  <si>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</si>
  <si>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</si>
  <si>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</si>
  <si>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</si>
  <si>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</si>
  <si>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</si>
  <si>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</si>
  <si>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</si>
  <si>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</si>
  <si>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</si>
  <si>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</si>
  <si>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</si>
  <si>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</si>
  <si>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</si>
  <si>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</si>
  <si>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</si>
  <si>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</si>
  <si>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</si>
  <si>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</si>
  <si>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</si>
  <si>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</si>
  <si>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</si>
  <si>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</si>
  <si>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</si>
  <si>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</si>
  <si>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</si>
  <si>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</si>
  <si>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</si>
  <si>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</si>
  <si>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</si>
  <si>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</si>
  <si>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</si>
  <si>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</si>
  <si>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</si>
  <si>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</si>
  <si>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</si>
  <si>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</si>
  <si>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</si>
  <si>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</si>
  <si>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</si>
  <si>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</si>
  <si>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</si>
  <si>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</si>
  <si>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</si>
  <si>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</si>
  <si>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</si>
  <si>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</si>
  <si>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</si>
  <si>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</si>
  <si>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</si>
  <si>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</si>
  <si>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</si>
  <si>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</si>
  <si>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</si>
  <si>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</si>
  <si>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</si>
  <si>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</si>
  <si>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</si>
  <si>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</si>
  <si>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</si>
  <si>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</si>
  <si>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</si>
  <si>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</si>
  <si>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</si>
  <si>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</si>
  <si>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</si>
  <si>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</si>
  <si>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</si>
  <si>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</si>
  <si>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</si>
  <si>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</si>
  <si>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</si>
  <si>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</si>
  <si>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</si>
  <si>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</si>
  <si>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</si>
  <si>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</si>
  <si>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</si>
  <si>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</si>
  <si>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</si>
  <si>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</si>
  <si>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</si>
  <si>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</si>
  <si>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</si>
  <si>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</si>
  <si>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</si>
  <si>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</si>
  <si>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</si>
  <si>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</si>
  <si>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</si>
  <si>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</si>
  <si>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</si>
  <si>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</si>
  <si>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</si>
  <si>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</si>
  <si>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</si>
  <si>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</si>
  <si>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</si>
  <si>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</si>
  <si>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</si>
  <si>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</si>
  <si>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</si>
  <si>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</si>
  <si>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</si>
  <si>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</si>
  <si>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</si>
  <si>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</si>
  <si>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</si>
  <si>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</si>
  <si>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</si>
  <si>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</si>
  <si>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</si>
  <si>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</si>
  <si>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</si>
  <si>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</si>
  <si>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</si>
  <si>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</si>
  <si>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</si>
  <si>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</si>
  <si>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</si>
  <si>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</si>
  <si>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</si>
  <si>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</si>
  <si>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</si>
  <si>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</si>
  <si>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</si>
  <si>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</si>
  <si>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</si>
  <si>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</si>
  <si>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</si>
  <si>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</si>
  <si>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</si>
  <si>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</si>
  <si>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</si>
  <si>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</si>
  <si>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</si>
  <si>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</si>
  <si>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</si>
  <si>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</si>
  <si>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</si>
  <si>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</si>
  <si>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</si>
  <si>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</si>
  <si>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</si>
  <si>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</si>
  <si>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</si>
  <si>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</si>
  <si>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</si>
  <si>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</si>
  <si>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</si>
  <si>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</si>
  <si>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</si>
  <si>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</si>
  <si>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</si>
  <si>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</si>
  <si>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</si>
  <si>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</si>
  <si>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</si>
  <si>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</si>
  <si>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</si>
  <si>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</si>
  <si>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</si>
  <si>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</si>
  <si>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</si>
  <si>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</si>
  <si>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</si>
  <si>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</si>
  <si>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</si>
  <si>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</si>
  <si>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</si>
  <si>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</si>
  <si>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</si>
  <si>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</si>
  <si>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</si>
  <si>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</si>
  <si>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</si>
  <si>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</si>
  <si>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</si>
  <si>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</si>
  <si>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</si>
  <si>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</si>
  <si>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</si>
  <si>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</si>
  <si>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</si>
  <si>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</si>
  <si>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</si>
  <si>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</si>
  <si>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</si>
  <si>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</si>
  <si>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</si>
  <si>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</si>
  <si>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</si>
  <si>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</si>
  <si>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</si>
  <si>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</si>
  <si>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</si>
  <si>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</si>
  <si>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</si>
  <si>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</si>
  <si>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</si>
  <si>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</si>
  <si>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</si>
  <si>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</si>
  <si>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</si>
  <si>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</si>
  <si>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</si>
  <si>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</si>
  <si>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</si>
  <si>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</si>
  <si>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</si>
  <si>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</si>
  <si>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</si>
  <si>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</si>
  <si>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</si>
  <si>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</si>
  <si>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</si>
  <si>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</si>
  <si>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fc'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</si>
  <si>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</si>
  <si>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</si>
  <si>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</si>
  <si>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</si>
  <si>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</si>
  <si>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</si>
  <si>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</si>
  <si>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</si>
  <si>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</si>
  <si>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</si>
  <si>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</si>
  <si>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</si>
  <si>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</si>
  <si>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</si>
  <si>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</si>
  <si>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</si>
  <si>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</si>
  <si>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</si>
  <si>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</si>
  <si>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</si>
  <si>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</si>
  <si>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</si>
  <si>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</si>
  <si>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</si>
  <si>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</si>
  <si>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</si>
  <si>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</si>
  <si>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</si>
  <si>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</si>
  <si>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</si>
  <si>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</si>
  <si>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</si>
  <si>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</si>
  <si>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</si>
  <si>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</si>
  <si>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</si>
  <si>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</si>
  <si>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</si>
  <si>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</si>
  <si>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</si>
  <si>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</si>
  <si>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</si>
  <si>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</si>
  <si>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</si>
  <si>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</si>
  <si>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</si>
  <si>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</si>
  <si>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</si>
  <si>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</si>
  <si>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</si>
  <si>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</si>
  <si>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</si>
  <si>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</si>
  <si>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</si>
  <si>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</si>
  <si>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</si>
  <si>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</si>
  <si>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</si>
  <si>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</si>
  <si>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</si>
  <si>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</si>
  <si>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</si>
  <si>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</si>
  <si>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</si>
  <si>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</si>
  <si>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</si>
  <si>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</si>
  <si>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</si>
  <si>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</si>
  <si>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</si>
  <si>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</si>
  <si>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</si>
  <si>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</si>
  <si>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</si>
  <si>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</si>
  <si>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</si>
  <si>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</si>
  <si>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</si>
  <si>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</si>
  <si>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</si>
  <si>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</si>
  <si>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</si>
  <si>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</si>
  <si>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</si>
  <si>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</si>
  <si>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</si>
  <si>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</si>
  <si>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</si>
  <si>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</si>
  <si>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</si>
  <si>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</si>
  <si>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</si>
  <si>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</si>
  <si>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</si>
  <si>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</si>
  <si>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</si>
  <si>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</si>
  <si>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</si>
  <si>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</si>
  <si>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</si>
  <si>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</si>
  <si>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</si>
  <si>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</si>
  <si>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</si>
  <si>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</si>
  <si>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</si>
  <si>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</si>
  <si>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</si>
  <si>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</si>
  <si>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</si>
  <si>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</si>
  <si>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</si>
  <si>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</si>
  <si>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</si>
  <si>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</si>
  <si>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</si>
  <si>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</si>
  <si>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</si>
  <si>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</si>
  <si>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</si>
  <si>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</si>
  <si>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</si>
  <si>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</si>
  <si>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</si>
  <si>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</si>
  <si>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</si>
  <si>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</si>
  <si>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RF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</si>
  <si>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</si>
  <si>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</si>
  <si>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</si>
  <si>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</si>
  <si>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</si>
  <si>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</si>
  <si>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</si>
  <si>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</si>
  <si>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</si>
  <si>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</si>
  <si>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</si>
  <si>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</si>
  <si>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</si>
  <si>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</si>
  <si>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</si>
  <si>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</si>
  <si>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</si>
  <si>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</si>
  <si>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</si>
  <si>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</si>
  <si>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</si>
  <si>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</si>
  <si>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</si>
  <si>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</si>
  <si>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</si>
  <si>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</si>
  <si>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</si>
  <si>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</si>
  <si>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</si>
  <si>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</si>
  <si>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</si>
  <si>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</si>
  <si>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</si>
  <si>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</si>
  <si>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</si>
  <si>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</si>
  <si>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</si>
  <si>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</si>
  <si>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</si>
  <si>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</si>
  <si>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鋼筋尺寸</t>
  </si>
  <si>
    <t>"Soft"鋼筋尺寸</t>
  </si>
  <si>
    <t>重量（lb/ft）</t>
  </si>
  <si>
    <t>重量（kg/m）</t>
  </si>
  <si>
    <t>直徑（in）</t>
  </si>
  <si>
    <t>直徑（mm）</t>
  </si>
  <si>
    <t>截面積（in²）</t>
  </si>
  <si>
    <t>截面積（mm²）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</si>
  <si>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</si>
  <si>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</si>
  <si>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</si>
  <si>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</si>
  <si>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</si>
  <si>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</si>
  <si>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</si>
  <si>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</si>
  <si>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</si>
  <si>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</si>
  <si>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</si>
  <si>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</si>
  <si>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</si>
  <si>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</si>
  <si>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</si>
  <si>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</si>
  <si>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</si>
  <si>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</si>
  <si>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</si>
  <si>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</si>
  <si>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</si>
  <si>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</si>
  <si>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</si>
  <si>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</si>
  <si>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</si>
  <si>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</si>
  <si>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</si>
  <si>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</si>
  <si>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</si>
  <si>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</si>
  <si>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截面積（cm²）</t>
    <phoneticPr fontId="1" type="noConversion"/>
  </si>
  <si>
    <t>直徑（cm）</t>
    <phoneticPr fontId="1" type="noConversion"/>
  </si>
  <si>
    <t>Warning Message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</si>
  <si>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</si>
  <si>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</si>
  <si>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</si>
  <si>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</si>
  <si>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</si>
  <si>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</si>
  <si>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</si>
  <si>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</si>
  <si>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</si>
  <si>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</si>
  <si>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</si>
  <si>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</si>
  <si>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</si>
  <si>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</si>
  <si>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</si>
  <si>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2-#6</t>
    <phoneticPr fontId="1" type="noConversion"/>
  </si>
  <si>
    <t>Fyt</t>
    <phoneticPr fontId="1" type="noConversion"/>
  </si>
  <si>
    <t>請確認是否為深梁</t>
  </si>
  <si>
    <t>地梁</t>
  </si>
  <si>
    <t>大梁</t>
  </si>
  <si>
    <t>小梁</t>
  </si>
  <si>
    <t>高樓柱</t>
  </si>
  <si>
    <t>非高樓柱</t>
  </si>
  <si>
    <t>樓版</t>
  </si>
  <si>
    <t>筏基版</t>
  </si>
  <si>
    <t>基腳版</t>
  </si>
  <si>
    <t>地下室外牆</t>
  </si>
  <si>
    <t>剪力牆</t>
  </si>
  <si>
    <t>連續壁</t>
  </si>
  <si>
    <t>地中壁</t>
  </si>
  <si>
    <t>基樁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</si>
</sst>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13" borderId="36" xfId="0" applyFont="1" applyFill="1" applyBorder="1" applyAlignment="1">
      <alignment horizontal="center" vertical="center"/>
    </xf>
    <xf numFmtId="0" fontId="2" fillId="13" borderId="37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4">
    <cellStyle name="一般" xfId="0" builtinId="0"/>
    <cellStyle name="中等" xfId="2" builtinId="28"/>
    <cellStyle name="備註" xfId="1" builtinId="10"/>
    <cellStyle name="超連結" xfId="3" builtinId="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5</xdr:row>
      <xdr:rowOff>0</xdr:rowOff>
    </xdr:from>
    <xdr:to>
      <xdr:col>3</xdr:col>
      <xdr:colOff>219075</xdr:colOff>
      <xdr:row>10</xdr:row>
      <xdr:rowOff>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1F017C4B-1695-4756-B1C0-085342B8AE79}"/>
            </a:ext>
          </a:extLst>
        </xdr:cNvPr>
        <xdr:cNvSpPr/>
      </xdr:nvSpPr>
      <xdr:spPr>
        <a:xfrm>
          <a:off x="657225" y="100012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5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opLeftCell="A226" zoomScaleNormal="100" workbookViewId="0">
      <selection activeCell="B235" sqref="B235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636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653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" si="2">I59</f>
        <v>左端</v>
      </c>
      <c r="Q59" s="1" t="str">
        <f>J59</f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 t="shared" ref="M60:M62" si="3">CONCATENATE(O60,P60,Q60,R60,S60)</f>
        <v>請確認是否符合 左端上層筋上限 規定</v>
      </c>
      <c r="N60" s="1" t="str">
        <f t="shared" ref="N60:N106" si="4">C60</f>
        <v>0206</v>
      </c>
      <c r="O60" s="1" t="s">
        <v>383</v>
      </c>
      <c r="P60" s="1" t="str">
        <f t="shared" ref="P60:P61" si="5">I60</f>
        <v>左端</v>
      </c>
      <c r="Q60" s="1" t="str">
        <f>J60</f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 t="shared" si="3"/>
        <v>請確認是否符合 右端上層筋下限 規定</v>
      </c>
      <c r="N61" s="1" t="str">
        <f t="shared" si="4"/>
        <v>0207</v>
      </c>
      <c r="O61" s="1" t="s">
        <v>383</v>
      </c>
      <c r="P61" s="1" t="str">
        <f t="shared" si="5"/>
        <v>右端</v>
      </c>
      <c r="Q61" s="1" t="str">
        <f>J61</f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 t="shared" si="3"/>
        <v>請確認是否符合 右端上層筋上限 規定</v>
      </c>
      <c r="N62" s="1" t="str">
        <f t="shared" si="4"/>
        <v>0208</v>
      </c>
      <c r="O62" s="1" t="s">
        <v>383</v>
      </c>
      <c r="P62" s="1" t="str">
        <f t="shared" ref="P62" si="6">I62</f>
        <v>右端</v>
      </c>
      <c r="Q62" s="1" t="str">
        <f>J62</f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4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 t="shared" ref="M64:M67" si="7">CONCATENATE(O64,P64,Q64,R64,S64)</f>
        <v>請確認是否符合 左端下層筋下限 規定</v>
      </c>
      <c r="N64" s="1" t="str">
        <f t="shared" si="4"/>
        <v>0210</v>
      </c>
      <c r="O64" s="1" t="s">
        <v>383</v>
      </c>
      <c r="P64" s="1" t="str">
        <f t="shared" ref="P64:P67" si="8">I64</f>
        <v>左端</v>
      </c>
      <c r="Q64" s="1" t="str">
        <f t="shared" ref="Q64:Q67" si="9">J64</f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 t="shared" si="7"/>
        <v>請確認是否符合 左端下層筋上限 規定</v>
      </c>
      <c r="N65" s="1" t="str">
        <f t="shared" si="4"/>
        <v>0211</v>
      </c>
      <c r="O65" s="1" t="s">
        <v>383</v>
      </c>
      <c r="P65" s="1" t="str">
        <f t="shared" si="8"/>
        <v>左端</v>
      </c>
      <c r="Q65" s="1" t="str">
        <f t="shared" si="9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 t="shared" si="7"/>
        <v>請確認是否符合 右端下層筋下限 規定</v>
      </c>
      <c r="N66" s="1" t="str">
        <f t="shared" si="4"/>
        <v>0212</v>
      </c>
      <c r="O66" s="1" t="s">
        <v>383</v>
      </c>
      <c r="P66" s="1" t="str">
        <f t="shared" si="8"/>
        <v>右端</v>
      </c>
      <c r="Q66" s="1" t="str">
        <f t="shared" si="9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 t="shared" si="7"/>
        <v>請確認是否符合 右端下層筋上限 規定</v>
      </c>
      <c r="N67" s="1" t="str">
        <f t="shared" si="4"/>
        <v>0213</v>
      </c>
      <c r="O67" s="1" t="s">
        <v>383</v>
      </c>
      <c r="P67" s="1" t="str">
        <f t="shared" si="8"/>
        <v>右端</v>
      </c>
      <c r="Q67" s="1" t="str">
        <f t="shared" si="9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4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 t="shared" ref="M69:M71" si="10">CONCATENATE(O69,P69,Q69,R69,S69)</f>
        <v>請確認是否符合 中央上層筋下限 規定</v>
      </c>
      <c r="N69" s="1" t="str">
        <f t="shared" si="4"/>
        <v>0215</v>
      </c>
      <c r="O69" s="1" t="s">
        <v>383</v>
      </c>
      <c r="P69" s="1" t="str">
        <f t="shared" ref="P69:P71" si="11">I69</f>
        <v>中央</v>
      </c>
      <c r="Q69" s="1" t="str">
        <f t="shared" ref="Q69:Q71" si="12">J69</f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 t="shared" si="10"/>
        <v>請確認是否符合 中央上層筋相對鋼筋量 規定</v>
      </c>
      <c r="N70" s="1" t="str">
        <f t="shared" si="4"/>
        <v>0216</v>
      </c>
      <c r="O70" s="1" t="s">
        <v>383</v>
      </c>
      <c r="P70" s="1" t="str">
        <f t="shared" si="11"/>
        <v>中央</v>
      </c>
      <c r="Q70" s="1" t="str">
        <f t="shared" si="12"/>
        <v>上層筋</v>
      </c>
      <c r="R70" s="1" t="str">
        <f t="shared" ref="R70" si="13"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 t="shared" si="10"/>
        <v>請確認是否符合 中央下層筋上限 規定</v>
      </c>
      <c r="N71" s="1" t="str">
        <f t="shared" si="4"/>
        <v>0217</v>
      </c>
      <c r="O71" s="1" t="s">
        <v>383</v>
      </c>
      <c r="P71" s="1" t="str">
        <f t="shared" si="11"/>
        <v>中央</v>
      </c>
      <c r="Q71" s="1" t="str">
        <f t="shared" si="12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4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 t="shared" ref="M73:M76" si="14">CONCATENATE(O73,P73,Q73,R73,S73)</f>
        <v>請確認是否符合 左端上層筋下限 規定</v>
      </c>
      <c r="N73" s="1" t="str">
        <f t="shared" si="4"/>
        <v>0219</v>
      </c>
      <c r="O73" s="1" t="s">
        <v>383</v>
      </c>
      <c r="P73" s="1" t="str">
        <f t="shared" ref="P73:P76" si="15">I73</f>
        <v>左端</v>
      </c>
      <c r="Q73" s="1" t="str">
        <f t="shared" ref="Q73:Q76" si="16">J73</f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 t="shared" si="14"/>
        <v>請確認是否符合 左端上層筋上限 規定</v>
      </c>
      <c r="N74" s="1" t="str">
        <f t="shared" si="4"/>
        <v>0220</v>
      </c>
      <c r="O74" s="1" t="s">
        <v>383</v>
      </c>
      <c r="P74" s="1" t="str">
        <f t="shared" si="15"/>
        <v>左端</v>
      </c>
      <c r="Q74" s="1" t="str">
        <f t="shared" si="1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 t="shared" si="14"/>
        <v>請確認是否符合 右端上層筋下限 規定</v>
      </c>
      <c r="N75" s="1" t="str">
        <f t="shared" si="4"/>
        <v>0221</v>
      </c>
      <c r="O75" s="1" t="s">
        <v>383</v>
      </c>
      <c r="P75" s="1" t="str">
        <f t="shared" si="15"/>
        <v>右端</v>
      </c>
      <c r="Q75" s="1" t="str">
        <f t="shared" si="1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 t="shared" si="14"/>
        <v>請確認是否符合 右端上層筋上限 規定</v>
      </c>
      <c r="N76" s="1" t="str">
        <f t="shared" si="4"/>
        <v>0222</v>
      </c>
      <c r="O76" s="1" t="s">
        <v>383</v>
      </c>
      <c r="P76" s="1" t="str">
        <f t="shared" si="15"/>
        <v>右端</v>
      </c>
      <c r="Q76" s="1" t="str">
        <f t="shared" si="1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4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 t="shared" ref="M78:M81" si="17">CONCATENATE(O78,P78,Q78,R78,S78)</f>
        <v>請確認是否符合 左端下層筋下限 規定</v>
      </c>
      <c r="N78" s="1" t="str">
        <f t="shared" si="4"/>
        <v>0224</v>
      </c>
      <c r="O78" s="1" t="s">
        <v>383</v>
      </c>
      <c r="P78" s="1" t="str">
        <f t="shared" ref="P78:P81" si="18">I78</f>
        <v>左端</v>
      </c>
      <c r="Q78" s="1" t="str">
        <f t="shared" ref="Q78:Q81" si="19">J78</f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 t="shared" si="17"/>
        <v>請確認是否符合 左端下層筋上限 規定</v>
      </c>
      <c r="N79" s="1" t="str">
        <f t="shared" si="4"/>
        <v>0225</v>
      </c>
      <c r="O79" s="1" t="s">
        <v>383</v>
      </c>
      <c r="P79" s="1" t="str">
        <f t="shared" si="18"/>
        <v>左端</v>
      </c>
      <c r="Q79" s="1" t="str">
        <f t="shared" si="19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 t="shared" si="17"/>
        <v>請確認是否符合 右端下層筋下限 規定</v>
      </c>
      <c r="N80" s="1" t="str">
        <f t="shared" si="4"/>
        <v>0226</v>
      </c>
      <c r="O80" s="1" t="s">
        <v>383</v>
      </c>
      <c r="P80" s="1" t="str">
        <f t="shared" si="18"/>
        <v>右端</v>
      </c>
      <c r="Q80" s="1" t="str">
        <f t="shared" si="19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 t="shared" si="17"/>
        <v>請確認是否符合 右端下層筋上限 規定</v>
      </c>
      <c r="N81" s="1" t="str">
        <f t="shared" si="4"/>
        <v>0227</v>
      </c>
      <c r="O81" s="1" t="s">
        <v>383</v>
      </c>
      <c r="P81" s="1" t="str">
        <f t="shared" si="18"/>
        <v>右端</v>
      </c>
      <c r="Q81" s="1" t="str">
        <f t="shared" si="19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637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4"/>
        <v>0228</v>
      </c>
    </row>
    <row r="83" spans="2:19" x14ac:dyDescent="0.25">
      <c r="B83" s="14"/>
      <c r="C83" s="3" t="s">
        <v>638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 t="shared" ref="M83:M85" si="20">CONCATENATE(O83,P83,Q83,R83,S83)</f>
        <v>請確認是否符合 中央上層筋下限 規定</v>
      </c>
      <c r="N83" s="1" t="str">
        <f t="shared" si="4"/>
        <v>0229</v>
      </c>
      <c r="O83" s="1" t="s">
        <v>383</v>
      </c>
      <c r="P83" s="1" t="str">
        <f t="shared" ref="P83:P85" si="21">I83</f>
        <v>中央</v>
      </c>
      <c r="Q83" s="1" t="str">
        <f t="shared" ref="Q83:R85" si="22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639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 t="shared" si="20"/>
        <v>請確認是否符合 中央上層筋相對鋼筋量 規定</v>
      </c>
      <c r="N84" s="1" t="str">
        <f t="shared" si="4"/>
        <v>0230</v>
      </c>
      <c r="O84" s="1" t="s">
        <v>383</v>
      </c>
      <c r="P84" s="1" t="str">
        <f t="shared" si="21"/>
        <v>中央</v>
      </c>
      <c r="Q84" s="1" t="str">
        <f t="shared" si="22"/>
        <v>上層筋</v>
      </c>
      <c r="R84" s="1" t="str">
        <f t="shared" si="22"/>
        <v>相對鋼筋量</v>
      </c>
      <c r="S84" s="1" t="s">
        <v>384</v>
      </c>
    </row>
    <row r="85" spans="2:19" x14ac:dyDescent="0.25">
      <c r="B85" s="14"/>
      <c r="C85" s="3" t="s">
        <v>640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 t="shared" si="20"/>
        <v>請確認是否符合 中央下層筋上限 規定</v>
      </c>
      <c r="N85" s="1" t="str">
        <f t="shared" si="4"/>
        <v>0231</v>
      </c>
      <c r="O85" s="1" t="s">
        <v>383</v>
      </c>
      <c r="P85" s="1" t="str">
        <f t="shared" si="21"/>
        <v>中央</v>
      </c>
      <c r="Q85" s="1" t="str">
        <f t="shared" si="22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641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4"/>
        <v>0232</v>
      </c>
    </row>
    <row r="87" spans="2:19" x14ac:dyDescent="0.25">
      <c r="B87" s="14"/>
      <c r="C87" s="3" t="s">
        <v>642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4"/>
        <v>0233</v>
      </c>
    </row>
    <row r="88" spans="2:19" x14ac:dyDescent="0.25">
      <c r="B88" s="14"/>
      <c r="C88" s="3" t="s">
        <v>643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4"/>
        <v>0234</v>
      </c>
      <c r="O88" s="1" t="s">
        <v>383</v>
      </c>
      <c r="P88" s="1" t="str">
        <f t="shared" ref="P88" si="23"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644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4"/>
        <v>0235</v>
      </c>
      <c r="O89" s="1" t="s">
        <v>383</v>
      </c>
      <c r="P89" s="1" t="str">
        <f t="shared" ref="P89" si="24"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645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4"/>
        <v>0236</v>
      </c>
    </row>
    <row r="91" spans="2:19" x14ac:dyDescent="0.25">
      <c r="B91" s="14"/>
      <c r="C91" s="3" t="s">
        <v>646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4"/>
        <v>0237</v>
      </c>
      <c r="O91" s="1" t="s">
        <v>383</v>
      </c>
      <c r="P91" s="1" t="str">
        <f t="shared" ref="P91:P92" si="25"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647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4"/>
        <v>0238</v>
      </c>
      <c r="O92" s="1" t="s">
        <v>383</v>
      </c>
      <c r="P92" s="1" t="str">
        <f t="shared" si="25"/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648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4"/>
        <v>0239</v>
      </c>
    </row>
    <row r="94" spans="2:19" x14ac:dyDescent="0.25">
      <c r="B94" s="14"/>
      <c r="C94" s="3" t="s">
        <v>649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4"/>
        <v>0240</v>
      </c>
      <c r="O94" s="1" t="s">
        <v>383</v>
      </c>
      <c r="P94" s="1" t="str">
        <f t="shared" ref="P94:P95" si="26"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650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4"/>
        <v>0241</v>
      </c>
      <c r="O95" s="1" t="s">
        <v>383</v>
      </c>
      <c r="P95" s="1" t="str">
        <f t="shared" si="26"/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4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4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4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4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4"/>
        <v>0302</v>
      </c>
      <c r="O100" s="1" t="s">
        <v>383</v>
      </c>
      <c r="P100" s="1" t="str">
        <f t="shared" ref="P100:P101" si="27"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4"/>
        <v>0303</v>
      </c>
      <c r="O101" s="1" t="s">
        <v>383</v>
      </c>
      <c r="P101" s="1" t="str">
        <f t="shared" si="27"/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4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4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4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4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4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 t="shared" ref="P110:P111" si="28"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 t="shared" si="28"/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 t="shared" ref="P114:P115" si="29"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 t="shared" si="29"/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 t="shared" ref="P118:P119" si="30"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 t="shared" si="30"/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 t="shared" ref="M125:M129" si="31"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 t="shared" si="31"/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 t="shared" si="31"/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 t="shared" si="31"/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 t="shared" ref="P137:P138" si="32"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 t="shared" si="32"/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 t="shared" ref="P140:P141" si="33"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 t="shared" si="33"/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 t="shared" ref="P150:P151" si="34"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 t="shared" si="34"/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 t="shared" ref="P152" si="35"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 t="shared" ref="P153" si="36"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 t="shared" ref="M155:M156" si="37"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 t="shared" si="37"/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 t="shared" ref="P157:P160" si="38"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 t="shared" si="38"/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 t="shared" si="38"/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 t="shared" si="38"/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 t="shared" ref="P164:P167" si="39"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 t="shared" si="39"/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 t="shared" si="39"/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 t="shared" si="39"/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 t="shared" ref="P173:P174" si="40"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 t="shared" si="40"/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 t="shared" ref="P176:P177" si="41"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 t="shared" si="41"/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 t="shared" ref="M200:M201" si="42"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 t="shared" si="42"/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1"/>
  <sheetViews>
    <sheetView workbookViewId="0">
      <selection activeCell="H8" sqref="H8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0" width="9" style="82"/>
    <col min="11" max="11" width="9" style="83"/>
    <col min="12" max="16384" width="9" style="79"/>
  </cols>
  <sheetData>
    <row r="1" spans="1:11" ht="16.5" thickBot="1" x14ac:dyDescent="0.3">
      <c r="A1" s="79" t="s">
        <v>415</v>
      </c>
      <c r="B1" s="80">
        <f ca="1">NOW()</f>
        <v>42881.49202662037</v>
      </c>
      <c r="C1" s="80"/>
      <c r="D1" s="84" t="s">
        <v>419</v>
      </c>
      <c r="E1" s="85" t="s">
        <v>425</v>
      </c>
      <c r="F1" s="85" t="s">
        <v>652</v>
      </c>
      <c r="G1" s="85" t="s">
        <v>426</v>
      </c>
      <c r="H1" s="85" t="s">
        <v>428</v>
      </c>
      <c r="I1" s="85" t="s">
        <v>429</v>
      </c>
      <c r="J1" s="85" t="s">
        <v>435</v>
      </c>
      <c r="K1" s="86" t="s">
        <v>436</v>
      </c>
    </row>
    <row r="2" spans="1:11" ht="16.5" thickTop="1" x14ac:dyDescent="0.25">
      <c r="A2" s="79" t="s">
        <v>416</v>
      </c>
      <c r="D2" s="81" t="s">
        <v>430</v>
      </c>
      <c r="E2" s="82">
        <v>4200</v>
      </c>
      <c r="F2" s="82">
        <v>4200</v>
      </c>
      <c r="G2" s="82">
        <v>280</v>
      </c>
      <c r="H2" s="82">
        <v>0.1</v>
      </c>
      <c r="I2" s="82">
        <v>0.5</v>
      </c>
      <c r="J2" s="82">
        <v>8</v>
      </c>
      <c r="K2" s="83">
        <v>8</v>
      </c>
    </row>
    <row r="3" spans="1:11" x14ac:dyDescent="0.25">
      <c r="A3" s="79" t="s">
        <v>417</v>
      </c>
      <c r="D3" s="81" t="s">
        <v>432</v>
      </c>
      <c r="E3" s="82">
        <v>4200</v>
      </c>
      <c r="F3" s="82">
        <v>4200</v>
      </c>
      <c r="G3" s="82">
        <v>280</v>
      </c>
      <c r="H3" s="82">
        <v>0.1</v>
      </c>
      <c r="I3" s="82">
        <v>0.5</v>
      </c>
      <c r="J3" s="82">
        <v>8</v>
      </c>
      <c r="K3" s="83">
        <v>8</v>
      </c>
    </row>
    <row r="4" spans="1:11" x14ac:dyDescent="0.25">
      <c r="D4" s="81" t="s">
        <v>433</v>
      </c>
      <c r="E4" s="82">
        <v>4200</v>
      </c>
      <c r="F4" s="82">
        <v>4200</v>
      </c>
      <c r="G4" s="82">
        <v>280</v>
      </c>
      <c r="H4" s="82">
        <v>0.1</v>
      </c>
      <c r="I4" s="82">
        <v>0.5</v>
      </c>
      <c r="J4" s="82">
        <v>8</v>
      </c>
      <c r="K4" s="83">
        <v>8</v>
      </c>
    </row>
    <row r="5" spans="1:11" x14ac:dyDescent="0.25">
      <c r="D5" s="81" t="s">
        <v>434</v>
      </c>
      <c r="E5" s="82">
        <v>4200</v>
      </c>
      <c r="F5" s="82">
        <v>4200</v>
      </c>
      <c r="G5" s="82">
        <v>280</v>
      </c>
      <c r="H5" s="82">
        <v>0.1</v>
      </c>
      <c r="I5" s="82">
        <v>0.5</v>
      </c>
      <c r="J5" s="82">
        <v>8</v>
      </c>
      <c r="K5" s="83">
        <v>8</v>
      </c>
    </row>
    <row r="6" spans="1:11" x14ac:dyDescent="0.25">
      <c r="D6" s="81" t="s">
        <v>427</v>
      </c>
      <c r="E6" s="82">
        <v>4200</v>
      </c>
      <c r="F6" s="82">
        <v>4200</v>
      </c>
      <c r="G6" s="82">
        <v>280</v>
      </c>
      <c r="H6" s="82">
        <v>0.1</v>
      </c>
      <c r="I6" s="82">
        <v>0.5</v>
      </c>
      <c r="J6" s="82">
        <v>8</v>
      </c>
      <c r="K6" s="83">
        <v>8</v>
      </c>
    </row>
    <row r="7" spans="1:11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0.1</v>
      </c>
      <c r="I7" s="82">
        <v>0.5</v>
      </c>
      <c r="J7" s="82">
        <v>8</v>
      </c>
      <c r="K7" s="83">
        <v>8</v>
      </c>
    </row>
    <row r="8" spans="1:11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0.1</v>
      </c>
      <c r="I8" s="82">
        <v>0.5</v>
      </c>
      <c r="J8" s="82">
        <v>8</v>
      </c>
      <c r="K8" s="83">
        <v>8</v>
      </c>
    </row>
    <row r="9" spans="1:11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0.1</v>
      </c>
      <c r="I9" s="82">
        <v>0.5</v>
      </c>
      <c r="J9" s="82">
        <v>8</v>
      </c>
      <c r="K9" s="83">
        <v>8</v>
      </c>
    </row>
    <row r="10" spans="1:11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0.1</v>
      </c>
      <c r="I10" s="82">
        <v>0.5</v>
      </c>
      <c r="J10" s="82">
        <v>8</v>
      </c>
      <c r="K10" s="83">
        <v>8</v>
      </c>
    </row>
    <row r="11" spans="1:11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0.1</v>
      </c>
      <c r="I11" s="82">
        <v>0.5</v>
      </c>
      <c r="J11" s="82">
        <v>8</v>
      </c>
      <c r="K11" s="83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D22" sqref="D22"/>
    </sheetView>
  </sheetViews>
  <sheetFormatPr defaultRowHeight="15.75" x14ac:dyDescent="0.25"/>
  <cols>
    <col min="1" max="1" width="9.75" style="79" bestFit="1" customWidth="1"/>
    <col min="2" max="2" width="15.75" style="79" bestFit="1" customWidth="1"/>
    <col min="3" max="3" width="14.125" style="79" bestFit="1" customWidth="1"/>
    <col min="4" max="4" width="15.375" style="79" bestFit="1" customWidth="1"/>
    <col min="5" max="5" width="12.625" style="79" bestFit="1" customWidth="1"/>
    <col min="6" max="7" width="13.875" style="79" bestFit="1" customWidth="1"/>
    <col min="8" max="8" width="14.625" style="79" bestFit="1" customWidth="1"/>
    <col min="9" max="9" width="16.875" style="79" bestFit="1" customWidth="1"/>
    <col min="10" max="10" width="19.75" style="79" bestFit="1" customWidth="1"/>
    <col min="11" max="16384" width="9" style="79"/>
  </cols>
  <sheetData>
    <row r="1" spans="1:10" x14ac:dyDescent="0.25">
      <c r="A1" s="79" t="s">
        <v>595</v>
      </c>
      <c r="B1" s="80" t="s">
        <v>596</v>
      </c>
      <c r="C1" s="79" t="s">
        <v>597</v>
      </c>
      <c r="D1" s="79" t="s">
        <v>598</v>
      </c>
      <c r="E1" s="79" t="s">
        <v>599</v>
      </c>
      <c r="F1" s="79" t="s">
        <v>600</v>
      </c>
      <c r="G1" s="79" t="s">
        <v>634</v>
      </c>
      <c r="H1" s="79" t="s">
        <v>601</v>
      </c>
      <c r="I1" s="79" t="s">
        <v>602</v>
      </c>
      <c r="J1" s="79" t="s">
        <v>633</v>
      </c>
    </row>
    <row r="2" spans="1:10" x14ac:dyDescent="0.25">
      <c r="A2" s="79" t="s">
        <v>603</v>
      </c>
      <c r="B2" s="79" t="s">
        <v>604</v>
      </c>
      <c r="C2" s="79">
        <v>0.376</v>
      </c>
      <c r="D2" s="79">
        <v>0.56100000000000005</v>
      </c>
      <c r="E2" s="79" t="s">
        <v>605</v>
      </c>
      <c r="F2" s="79">
        <v>9.5250000000000004</v>
      </c>
      <c r="G2" s="79">
        <f>F2/10</f>
        <v>0.95250000000000001</v>
      </c>
      <c r="H2" s="79">
        <v>0.11</v>
      </c>
      <c r="I2" s="79">
        <v>71</v>
      </c>
      <c r="J2" s="79">
        <f>I2/100</f>
        <v>0.71</v>
      </c>
    </row>
    <row r="3" spans="1:10" x14ac:dyDescent="0.25">
      <c r="A3" s="79" t="s">
        <v>606</v>
      </c>
      <c r="B3" s="79" t="s">
        <v>607</v>
      </c>
      <c r="C3" s="79">
        <v>0.66800000000000004</v>
      </c>
      <c r="D3" s="79">
        <v>0.996</v>
      </c>
      <c r="E3" s="79" t="s">
        <v>608</v>
      </c>
      <c r="F3" s="79">
        <v>12.7</v>
      </c>
      <c r="G3" s="79">
        <f t="shared" ref="G3:G13" si="0">F3/10</f>
        <v>1.27</v>
      </c>
      <c r="H3" s="79">
        <v>0.2</v>
      </c>
      <c r="I3" s="79">
        <v>127</v>
      </c>
      <c r="J3" s="79">
        <f t="shared" ref="J3:J13" si="1">I3/100</f>
        <v>1.27</v>
      </c>
    </row>
    <row r="4" spans="1:10" x14ac:dyDescent="0.25">
      <c r="A4" s="79" t="s">
        <v>609</v>
      </c>
      <c r="B4" s="79" t="s">
        <v>610</v>
      </c>
      <c r="C4" s="79">
        <v>1.0429999999999999</v>
      </c>
      <c r="D4" s="79">
        <v>1.556</v>
      </c>
      <c r="E4" s="79" t="s">
        <v>611</v>
      </c>
      <c r="F4" s="79">
        <v>15.875</v>
      </c>
      <c r="G4" s="79">
        <f t="shared" si="0"/>
        <v>1.5874999999999999</v>
      </c>
      <c r="H4" s="79">
        <v>0.31</v>
      </c>
      <c r="I4" s="79">
        <v>200</v>
      </c>
      <c r="J4" s="79">
        <f t="shared" si="1"/>
        <v>2</v>
      </c>
    </row>
    <row r="5" spans="1:10" x14ac:dyDescent="0.25">
      <c r="A5" s="79" t="s">
        <v>612</v>
      </c>
      <c r="B5" s="79" t="s">
        <v>613</v>
      </c>
      <c r="C5" s="79">
        <v>1.502</v>
      </c>
      <c r="D5" s="79">
        <v>2.2400000000000002</v>
      </c>
      <c r="E5" s="79" t="s">
        <v>614</v>
      </c>
      <c r="F5" s="79">
        <v>19.05</v>
      </c>
      <c r="G5" s="79">
        <f t="shared" si="0"/>
        <v>1.905</v>
      </c>
      <c r="H5" s="79">
        <v>0.44</v>
      </c>
      <c r="I5" s="79">
        <v>284</v>
      </c>
      <c r="J5" s="79">
        <f t="shared" si="1"/>
        <v>2.84</v>
      </c>
    </row>
    <row r="6" spans="1:10" x14ac:dyDescent="0.25">
      <c r="A6" s="79" t="s">
        <v>615</v>
      </c>
      <c r="B6" s="79" t="s">
        <v>616</v>
      </c>
      <c r="C6" s="79">
        <v>2.044</v>
      </c>
      <c r="D6" s="79">
        <v>3.0489999999999999</v>
      </c>
      <c r="E6" s="79" t="s">
        <v>617</v>
      </c>
      <c r="F6" s="79">
        <v>22.22</v>
      </c>
      <c r="G6" s="79">
        <f t="shared" si="0"/>
        <v>2.222</v>
      </c>
      <c r="H6" s="79">
        <v>0.6</v>
      </c>
      <c r="I6" s="79">
        <v>387</v>
      </c>
      <c r="J6" s="79">
        <f t="shared" si="1"/>
        <v>3.87</v>
      </c>
    </row>
    <row r="7" spans="1:10" x14ac:dyDescent="0.25">
      <c r="A7" s="79" t="s">
        <v>618</v>
      </c>
      <c r="B7" s="79" t="s">
        <v>619</v>
      </c>
      <c r="C7" s="79">
        <v>2.67</v>
      </c>
      <c r="D7" s="79">
        <v>3.9820000000000002</v>
      </c>
      <c r="E7" s="79" t="s">
        <v>620</v>
      </c>
      <c r="F7" s="79">
        <v>25.4</v>
      </c>
      <c r="G7" s="79">
        <f t="shared" si="0"/>
        <v>2.54</v>
      </c>
      <c r="H7" s="79">
        <v>0.79</v>
      </c>
      <c r="I7" s="79">
        <v>509</v>
      </c>
      <c r="J7" s="79">
        <f t="shared" si="1"/>
        <v>5.09</v>
      </c>
    </row>
    <row r="8" spans="1:10" x14ac:dyDescent="0.25">
      <c r="A8" s="79" t="s">
        <v>621</v>
      </c>
      <c r="B8" s="79" t="s">
        <v>622</v>
      </c>
      <c r="C8" s="79">
        <v>3.4</v>
      </c>
      <c r="D8" s="79">
        <v>5.0709999999999997</v>
      </c>
      <c r="E8" s="79">
        <v>1.1279999999999999</v>
      </c>
      <c r="F8" s="79">
        <v>28.65</v>
      </c>
      <c r="G8" s="79">
        <f t="shared" si="0"/>
        <v>2.8649999999999998</v>
      </c>
      <c r="H8" s="79">
        <v>1</v>
      </c>
      <c r="I8" s="79">
        <v>645</v>
      </c>
      <c r="J8" s="79">
        <f t="shared" si="1"/>
        <v>6.45</v>
      </c>
    </row>
    <row r="9" spans="1:10" x14ac:dyDescent="0.25">
      <c r="A9" s="79" t="s">
        <v>604</v>
      </c>
      <c r="B9" s="79" t="s">
        <v>623</v>
      </c>
      <c r="C9" s="79">
        <v>4.3029999999999999</v>
      </c>
      <c r="D9" s="79">
        <v>6.4180000000000001</v>
      </c>
      <c r="E9" s="79">
        <v>1.27</v>
      </c>
      <c r="F9" s="79">
        <v>32.26</v>
      </c>
      <c r="G9" s="79">
        <f t="shared" si="0"/>
        <v>3.226</v>
      </c>
      <c r="H9" s="79">
        <v>1.27</v>
      </c>
      <c r="I9" s="79">
        <v>819</v>
      </c>
      <c r="J9" s="79">
        <f t="shared" si="1"/>
        <v>8.19</v>
      </c>
    </row>
    <row r="10" spans="1:10" x14ac:dyDescent="0.25">
      <c r="A10" s="79" t="s">
        <v>624</v>
      </c>
      <c r="B10" s="79" t="s">
        <v>625</v>
      </c>
      <c r="C10" s="79">
        <v>5.3129999999999997</v>
      </c>
      <c r="D10" s="79">
        <v>7.9240000000000004</v>
      </c>
      <c r="E10" s="79">
        <v>1.41</v>
      </c>
      <c r="F10" s="79">
        <v>35.81</v>
      </c>
      <c r="G10" s="79">
        <f t="shared" si="0"/>
        <v>3.5810000000000004</v>
      </c>
      <c r="H10" s="79">
        <v>1.56</v>
      </c>
      <c r="I10" s="79">
        <v>1006</v>
      </c>
      <c r="J10" s="79">
        <f t="shared" si="1"/>
        <v>10.06</v>
      </c>
    </row>
    <row r="11" spans="1:10" x14ac:dyDescent="0.25">
      <c r="A11" s="79" t="s">
        <v>626</v>
      </c>
      <c r="B11" s="79" t="s">
        <v>627</v>
      </c>
      <c r="C11" s="79">
        <v>6.4240000000000004</v>
      </c>
      <c r="D11" s="79">
        <v>9.6189999999999998</v>
      </c>
      <c r="E11" s="79">
        <v>1.5</v>
      </c>
      <c r="F11" s="79">
        <v>38.1</v>
      </c>
      <c r="G11" s="79">
        <f t="shared" si="0"/>
        <v>3.81</v>
      </c>
      <c r="H11" s="79">
        <v>1.76</v>
      </c>
      <c r="I11" s="79">
        <v>1140</v>
      </c>
      <c r="J11" s="79">
        <f t="shared" si="1"/>
        <v>11.4</v>
      </c>
    </row>
    <row r="12" spans="1:10" x14ac:dyDescent="0.25">
      <c r="A12" s="79" t="s">
        <v>628</v>
      </c>
      <c r="B12" s="79" t="s">
        <v>629</v>
      </c>
      <c r="C12" s="79">
        <v>7.65</v>
      </c>
      <c r="D12" s="79">
        <v>11.41</v>
      </c>
      <c r="E12" s="79">
        <v>1.6930000000000001</v>
      </c>
      <c r="F12" s="79">
        <v>43</v>
      </c>
      <c r="G12" s="79">
        <f t="shared" si="0"/>
        <v>4.3</v>
      </c>
      <c r="H12" s="79">
        <v>2.25</v>
      </c>
      <c r="I12" s="79">
        <v>1452</v>
      </c>
      <c r="J12" s="79">
        <f t="shared" si="1"/>
        <v>14.52</v>
      </c>
    </row>
    <row r="13" spans="1:10" x14ac:dyDescent="0.25">
      <c r="A13" s="79" t="s">
        <v>630</v>
      </c>
      <c r="B13" s="79" t="s">
        <v>631</v>
      </c>
      <c r="C13" s="79">
        <v>13.6</v>
      </c>
      <c r="D13" s="79">
        <v>20.283999999999999</v>
      </c>
      <c r="E13" s="79">
        <v>2.2570000000000001</v>
      </c>
      <c r="F13" s="79">
        <v>57.33</v>
      </c>
      <c r="G13" s="79">
        <f t="shared" si="0"/>
        <v>5.7329999999999997</v>
      </c>
      <c r="H13" s="79">
        <v>4</v>
      </c>
      <c r="I13" s="79">
        <v>2581</v>
      </c>
      <c r="J13" s="79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Q3"/>
  <sheetViews>
    <sheetView tabSelected="1" workbookViewId="0">
      <selection activeCell="H12" sqref="H12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4" width="11.5" style="79" customWidth="1"/>
    <col min="5" max="5" width="14.625" style="81" customWidth="1"/>
    <col min="6" max="16" width="14.625" style="82" customWidth="1"/>
    <col min="17" max="17" width="14.625" style="83" customWidth="1"/>
    <col min="18" max="16384" width="9" style="79"/>
  </cols>
  <sheetData>
    <row r="1" spans="1:17" x14ac:dyDescent="0.25">
      <c r="A1" s="79" t="s">
        <v>415</v>
      </c>
      <c r="B1" s="80">
        <f ca="1">NOW()</f>
        <v>42881.49202662037</v>
      </c>
      <c r="C1" s="80"/>
      <c r="D1" s="80"/>
      <c r="E1" s="100" t="s">
        <v>635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/>
    </row>
    <row r="2" spans="1:17" x14ac:dyDescent="0.25">
      <c r="A2" s="79" t="s">
        <v>416</v>
      </c>
      <c r="E2" s="97" t="s">
        <v>654</v>
      </c>
      <c r="F2" s="98" t="s">
        <v>655</v>
      </c>
      <c r="G2" s="98" t="s">
        <v>656</v>
      </c>
      <c r="H2" s="98" t="s">
        <v>657</v>
      </c>
      <c r="I2" s="98" t="s">
        <v>658</v>
      </c>
      <c r="J2" s="98" t="s">
        <v>659</v>
      </c>
      <c r="K2" s="98" t="s">
        <v>660</v>
      </c>
      <c r="L2" s="98" t="s">
        <v>661</v>
      </c>
      <c r="M2" s="98" t="s">
        <v>662</v>
      </c>
      <c r="N2" s="98" t="s">
        <v>663</v>
      </c>
      <c r="O2" s="98" t="s">
        <v>664</v>
      </c>
      <c r="P2" s="98" t="s">
        <v>665</v>
      </c>
      <c r="Q2" s="99" t="s">
        <v>666</v>
      </c>
    </row>
    <row r="3" spans="1:17" x14ac:dyDescent="0.25">
      <c r="A3" s="79" t="s">
        <v>417</v>
      </c>
    </row>
  </sheetData>
  <mergeCells count="1">
    <mergeCell ref="E1:Q1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5"/>
  </sheetPr>
  <dimension ref="A1:K56"/>
  <sheetViews>
    <sheetView workbookViewId="0">
      <pane ySplit="2" topLeftCell="A3" activePane="bottomLeft" state="frozen"/>
      <selection activeCell="B4" sqref="B4"/>
      <selection pane="bottomLeft" activeCell="D7" sqref="D7"/>
    </sheetView>
  </sheetViews>
  <sheetFormatPr defaultRowHeight="16.5" x14ac:dyDescent="0.25"/>
  <cols>
    <col min="1" max="1" width="9" style="87"/>
    <col min="2" max="3" width="9.625" style="87" customWidth="1"/>
    <col min="4" max="11" width="10.625" style="87" customWidth="1"/>
    <col min="12" max="12" width="10.125" style="87" customWidth="1"/>
    <col min="13" max="16384" width="9" style="87"/>
  </cols>
  <sheetData>
    <row r="1" spans="1:11" x14ac:dyDescent="0.25">
      <c r="A1" s="103" t="s">
        <v>540</v>
      </c>
      <c r="B1" s="91" t="s">
        <v>541</v>
      </c>
      <c r="C1" s="91" t="s">
        <v>542</v>
      </c>
      <c r="D1" s="107" t="s">
        <v>543</v>
      </c>
      <c r="E1" s="108"/>
      <c r="F1" s="109"/>
      <c r="G1" s="103" t="s">
        <v>544</v>
      </c>
      <c r="H1" s="103"/>
      <c r="I1" s="103"/>
      <c r="J1" s="103"/>
      <c r="K1" s="103" t="s">
        <v>545</v>
      </c>
    </row>
    <row r="2" spans="1:11" x14ac:dyDescent="0.25">
      <c r="A2" s="103"/>
      <c r="B2" s="91" t="s">
        <v>546</v>
      </c>
      <c r="C2" s="91" t="s">
        <v>547</v>
      </c>
      <c r="D2" s="91" t="s">
        <v>440</v>
      </c>
      <c r="E2" s="91" t="s">
        <v>548</v>
      </c>
      <c r="F2" s="91" t="s">
        <v>549</v>
      </c>
      <c r="G2" s="91" t="s">
        <v>550</v>
      </c>
      <c r="H2" s="91" t="s">
        <v>551</v>
      </c>
      <c r="I2" s="91" t="s">
        <v>552</v>
      </c>
      <c r="J2" s="91" t="s">
        <v>553</v>
      </c>
      <c r="K2" s="103"/>
    </row>
    <row r="3" spans="1:11" x14ac:dyDescent="0.25">
      <c r="A3" s="104" t="s">
        <v>554</v>
      </c>
      <c r="B3" s="105"/>
      <c r="C3" s="105"/>
      <c r="D3" s="105"/>
      <c r="E3" s="105"/>
      <c r="F3" s="105"/>
      <c r="G3" s="105"/>
      <c r="H3" s="105"/>
      <c r="I3" s="105"/>
      <c r="J3" s="105"/>
      <c r="K3" s="106"/>
    </row>
    <row r="4" spans="1:11" x14ac:dyDescent="0.25">
      <c r="A4" s="91" t="s">
        <v>555</v>
      </c>
      <c r="B4" s="94" t="s">
        <v>556</v>
      </c>
      <c r="C4" s="94" t="s">
        <v>557</v>
      </c>
      <c r="D4" s="94" t="s">
        <v>556</v>
      </c>
      <c r="E4" s="94" t="s">
        <v>557</v>
      </c>
      <c r="F4" s="94" t="s">
        <v>462</v>
      </c>
      <c r="G4" s="94" t="s">
        <v>557</v>
      </c>
      <c r="H4" s="94" t="s">
        <v>463</v>
      </c>
      <c r="I4" s="94" t="s">
        <v>557</v>
      </c>
      <c r="J4" s="94" t="s">
        <v>557</v>
      </c>
      <c r="K4" s="94" t="s">
        <v>558</v>
      </c>
    </row>
    <row r="5" spans="1:11" x14ac:dyDescent="0.25">
      <c r="A5" s="91" t="s">
        <v>559</v>
      </c>
      <c r="B5" s="94" t="s">
        <v>462</v>
      </c>
      <c r="C5" s="94" t="s">
        <v>556</v>
      </c>
      <c r="D5" s="94" t="s">
        <v>463</v>
      </c>
      <c r="E5" s="94" t="s">
        <v>463</v>
      </c>
      <c r="F5" s="94" t="s">
        <v>557</v>
      </c>
      <c r="G5" s="94" t="s">
        <v>462</v>
      </c>
      <c r="H5" s="94" t="s">
        <v>556</v>
      </c>
      <c r="I5" s="94" t="s">
        <v>463</v>
      </c>
      <c r="J5" s="94" t="s">
        <v>463</v>
      </c>
      <c r="K5" s="94" t="s">
        <v>557</v>
      </c>
    </row>
    <row r="6" spans="1:11" x14ac:dyDescent="0.25">
      <c r="A6" s="91" t="s">
        <v>560</v>
      </c>
      <c r="B6" s="94" t="s">
        <v>556</v>
      </c>
      <c r="C6" s="94" t="s">
        <v>462</v>
      </c>
      <c r="D6" s="94" t="s">
        <v>557</v>
      </c>
      <c r="E6" s="94" t="s">
        <v>463</v>
      </c>
      <c r="F6" s="94" t="s">
        <v>556</v>
      </c>
      <c r="G6" s="94" t="s">
        <v>462</v>
      </c>
      <c r="H6" s="94" t="s">
        <v>463</v>
      </c>
      <c r="I6" s="94" t="s">
        <v>557</v>
      </c>
      <c r="J6" s="94" t="s">
        <v>463</v>
      </c>
      <c r="K6" s="94" t="s">
        <v>557</v>
      </c>
    </row>
    <row r="7" spans="1:11" x14ac:dyDescent="0.25">
      <c r="A7" s="91" t="s">
        <v>561</v>
      </c>
      <c r="B7" s="94" t="s">
        <v>463</v>
      </c>
      <c r="C7" s="94" t="s">
        <v>556</v>
      </c>
      <c r="D7" s="94" t="s">
        <v>463</v>
      </c>
      <c r="E7" s="94" t="s">
        <v>462</v>
      </c>
      <c r="F7" s="94" t="s">
        <v>463</v>
      </c>
      <c r="G7" s="94" t="s">
        <v>463</v>
      </c>
      <c r="H7" s="94" t="s">
        <v>463</v>
      </c>
      <c r="I7" s="94" t="s">
        <v>463</v>
      </c>
      <c r="J7" s="94" t="s">
        <v>557</v>
      </c>
      <c r="K7" s="94" t="s">
        <v>463</v>
      </c>
    </row>
    <row r="8" spans="1:11" x14ac:dyDescent="0.25">
      <c r="A8" s="91" t="s">
        <v>562</v>
      </c>
      <c r="B8" s="94" t="s">
        <v>463</v>
      </c>
      <c r="C8" s="94" t="s">
        <v>463</v>
      </c>
      <c r="D8" s="94" t="s">
        <v>463</v>
      </c>
      <c r="E8" s="94" t="s">
        <v>463</v>
      </c>
      <c r="F8" s="94" t="s">
        <v>463</v>
      </c>
      <c r="G8" s="94" t="s">
        <v>463</v>
      </c>
      <c r="H8" s="94" t="s">
        <v>463</v>
      </c>
      <c r="I8" s="94" t="s">
        <v>463</v>
      </c>
      <c r="J8" s="94" t="s">
        <v>557</v>
      </c>
      <c r="K8" s="94" t="s">
        <v>556</v>
      </c>
    </row>
    <row r="9" spans="1:11" x14ac:dyDescent="0.25">
      <c r="A9" s="91" t="s">
        <v>563</v>
      </c>
      <c r="B9" s="94">
        <v>55</v>
      </c>
      <c r="C9" s="94">
        <v>55</v>
      </c>
      <c r="D9" s="91" t="s">
        <v>564</v>
      </c>
      <c r="E9" s="91">
        <v>3</v>
      </c>
      <c r="F9" s="91">
        <v>3</v>
      </c>
      <c r="G9" s="91" t="s">
        <v>566</v>
      </c>
      <c r="H9" s="91" t="s">
        <v>567</v>
      </c>
      <c r="I9" s="91">
        <v>1</v>
      </c>
      <c r="J9" s="91">
        <v>1</v>
      </c>
      <c r="K9" s="91" t="s">
        <v>463</v>
      </c>
    </row>
    <row r="10" spans="1:11" x14ac:dyDescent="0.25">
      <c r="A10" s="91" t="s">
        <v>568</v>
      </c>
      <c r="B10" s="94">
        <v>55</v>
      </c>
      <c r="C10" s="94">
        <v>55</v>
      </c>
      <c r="D10" s="91" t="s">
        <v>569</v>
      </c>
      <c r="E10" s="91">
        <v>4</v>
      </c>
      <c r="F10" s="91">
        <v>4</v>
      </c>
      <c r="G10" s="91" t="s">
        <v>566</v>
      </c>
      <c r="H10" s="91" t="s">
        <v>570</v>
      </c>
      <c r="I10" s="91">
        <v>1</v>
      </c>
      <c r="J10" s="91">
        <v>1</v>
      </c>
      <c r="K10" s="91" t="s">
        <v>463</v>
      </c>
    </row>
    <row r="11" spans="1:11" x14ac:dyDescent="0.25">
      <c r="A11" s="91" t="s">
        <v>571</v>
      </c>
      <c r="B11" s="94" t="s">
        <v>463</v>
      </c>
      <c r="C11" s="94" t="s">
        <v>463</v>
      </c>
      <c r="D11" s="94" t="s">
        <v>463</v>
      </c>
      <c r="E11" s="94" t="s">
        <v>463</v>
      </c>
      <c r="F11" s="94" t="s">
        <v>557</v>
      </c>
      <c r="G11" s="94" t="s">
        <v>463</v>
      </c>
      <c r="H11" s="94" t="s">
        <v>463</v>
      </c>
      <c r="I11" s="94" t="s">
        <v>462</v>
      </c>
      <c r="J11" s="94" t="s">
        <v>463</v>
      </c>
      <c r="K11" s="94" t="s">
        <v>463</v>
      </c>
    </row>
    <row r="12" spans="1:11" x14ac:dyDescent="0.25">
      <c r="A12" s="91" t="s">
        <v>572</v>
      </c>
      <c r="B12" s="94">
        <v>55</v>
      </c>
      <c r="C12" s="94">
        <v>55</v>
      </c>
      <c r="D12" s="91" t="s">
        <v>569</v>
      </c>
      <c r="E12" s="91">
        <v>4</v>
      </c>
      <c r="F12" s="91">
        <v>4</v>
      </c>
      <c r="G12" s="91" t="s">
        <v>566</v>
      </c>
      <c r="H12" s="91" t="s">
        <v>567</v>
      </c>
      <c r="I12" s="91">
        <v>1</v>
      </c>
      <c r="J12" s="91">
        <v>1</v>
      </c>
      <c r="K12" s="91" t="s">
        <v>463</v>
      </c>
    </row>
    <row r="13" spans="1:11" x14ac:dyDescent="0.25">
      <c r="A13" s="91" t="s">
        <v>573</v>
      </c>
      <c r="B13" s="94">
        <v>55</v>
      </c>
      <c r="C13" s="94">
        <v>55</v>
      </c>
      <c r="D13" s="91" t="s">
        <v>491</v>
      </c>
      <c r="E13" s="91">
        <v>3</v>
      </c>
      <c r="F13" s="91">
        <v>3</v>
      </c>
      <c r="G13" s="91" t="s">
        <v>566</v>
      </c>
      <c r="H13" s="91" t="s">
        <v>567</v>
      </c>
      <c r="I13" s="91">
        <v>1</v>
      </c>
      <c r="J13" s="91">
        <v>1</v>
      </c>
      <c r="K13" s="91" t="s">
        <v>463</v>
      </c>
    </row>
    <row r="14" spans="1:11" x14ac:dyDescent="0.25">
      <c r="A14" s="91" t="s">
        <v>574</v>
      </c>
      <c r="B14" s="94" t="s">
        <v>463</v>
      </c>
      <c r="C14" s="94" t="s">
        <v>556</v>
      </c>
      <c r="D14" s="94" t="s">
        <v>463</v>
      </c>
      <c r="E14" s="94" t="s">
        <v>463</v>
      </c>
      <c r="F14" s="94" t="s">
        <v>463</v>
      </c>
      <c r="G14" s="94" t="s">
        <v>463</v>
      </c>
      <c r="H14" s="94" t="s">
        <v>463</v>
      </c>
      <c r="I14" s="94" t="s">
        <v>463</v>
      </c>
      <c r="J14" s="94" t="s">
        <v>463</v>
      </c>
      <c r="K14" s="94" t="s">
        <v>463</v>
      </c>
    </row>
    <row r="15" spans="1:11" x14ac:dyDescent="0.25">
      <c r="A15" s="91" t="s">
        <v>575</v>
      </c>
      <c r="B15" s="94" t="s">
        <v>463</v>
      </c>
      <c r="C15" s="94" t="s">
        <v>463</v>
      </c>
      <c r="D15" s="94" t="s">
        <v>463</v>
      </c>
      <c r="E15" s="94" t="s">
        <v>463</v>
      </c>
      <c r="F15" s="94" t="s">
        <v>463</v>
      </c>
      <c r="G15" s="94" t="s">
        <v>463</v>
      </c>
      <c r="H15" s="94" t="s">
        <v>463</v>
      </c>
      <c r="I15" s="94" t="s">
        <v>463</v>
      </c>
      <c r="J15" s="94" t="s">
        <v>463</v>
      </c>
      <c r="K15" s="94" t="s">
        <v>463</v>
      </c>
    </row>
    <row r="16" spans="1:11" x14ac:dyDescent="0.25">
      <c r="A16" s="91" t="s">
        <v>576</v>
      </c>
      <c r="B16" s="94" t="s">
        <v>463</v>
      </c>
      <c r="C16" s="94" t="s">
        <v>463</v>
      </c>
      <c r="D16" s="94" t="s">
        <v>462</v>
      </c>
      <c r="E16" s="94" t="s">
        <v>463</v>
      </c>
      <c r="F16" s="94" t="s">
        <v>463</v>
      </c>
      <c r="G16" s="94" t="s">
        <v>463</v>
      </c>
      <c r="H16" s="94" t="s">
        <v>463</v>
      </c>
      <c r="I16" s="94" t="s">
        <v>463</v>
      </c>
      <c r="J16" s="94" t="s">
        <v>463</v>
      </c>
      <c r="K16" s="94" t="s">
        <v>463</v>
      </c>
    </row>
    <row r="17" spans="1:11" x14ac:dyDescent="0.25">
      <c r="A17" s="91" t="s">
        <v>577</v>
      </c>
      <c r="B17" s="94" t="s">
        <v>463</v>
      </c>
      <c r="C17" s="94" t="s">
        <v>463</v>
      </c>
      <c r="D17" s="94" t="s">
        <v>463</v>
      </c>
      <c r="E17" s="94" t="s">
        <v>463</v>
      </c>
      <c r="F17" s="94" t="s">
        <v>463</v>
      </c>
      <c r="G17" s="94" t="s">
        <v>463</v>
      </c>
      <c r="H17" s="94" t="s">
        <v>463</v>
      </c>
      <c r="I17" s="94" t="s">
        <v>463</v>
      </c>
      <c r="J17" s="94" t="s">
        <v>463</v>
      </c>
      <c r="K17" s="94" t="s">
        <v>463</v>
      </c>
    </row>
    <row r="18" spans="1:11" x14ac:dyDescent="0.25">
      <c r="A18" s="91" t="s">
        <v>578</v>
      </c>
      <c r="B18" s="94" t="s">
        <v>463</v>
      </c>
      <c r="C18" s="94" t="s">
        <v>463</v>
      </c>
      <c r="D18" s="94" t="s">
        <v>463</v>
      </c>
      <c r="E18" s="94" t="s">
        <v>463</v>
      </c>
      <c r="F18" s="94" t="s">
        <v>463</v>
      </c>
      <c r="G18" s="94" t="s">
        <v>463</v>
      </c>
      <c r="H18" s="94" t="s">
        <v>463</v>
      </c>
      <c r="I18" s="94" t="s">
        <v>463</v>
      </c>
      <c r="J18" s="94" t="s">
        <v>463</v>
      </c>
      <c r="K18" s="94" t="s">
        <v>463</v>
      </c>
    </row>
    <row r="19" spans="1:11" x14ac:dyDescent="0.25">
      <c r="A19" s="91" t="s">
        <v>579</v>
      </c>
      <c r="B19" s="94" t="s">
        <v>558</v>
      </c>
      <c r="C19" s="94" t="s">
        <v>463</v>
      </c>
      <c r="D19" s="94" t="s">
        <v>463</v>
      </c>
      <c r="E19" s="94" t="s">
        <v>463</v>
      </c>
      <c r="F19" s="94" t="s">
        <v>463</v>
      </c>
      <c r="G19" s="94" t="s">
        <v>463</v>
      </c>
      <c r="H19" s="94" t="s">
        <v>463</v>
      </c>
      <c r="I19" s="94" t="s">
        <v>463</v>
      </c>
      <c r="J19" s="94" t="s">
        <v>463</v>
      </c>
      <c r="K19" s="94" t="s">
        <v>463</v>
      </c>
    </row>
    <row r="20" spans="1:11" x14ac:dyDescent="0.25">
      <c r="A20" s="91" t="s">
        <v>580</v>
      </c>
      <c r="B20" s="94" t="s">
        <v>463</v>
      </c>
      <c r="C20" s="94" t="s">
        <v>463</v>
      </c>
      <c r="D20" s="94" t="s">
        <v>463</v>
      </c>
      <c r="E20" s="94" t="s">
        <v>463</v>
      </c>
      <c r="F20" s="94" t="s">
        <v>463</v>
      </c>
      <c r="G20" s="94" t="s">
        <v>463</v>
      </c>
      <c r="H20" s="94" t="s">
        <v>463</v>
      </c>
      <c r="I20" s="94" t="s">
        <v>463</v>
      </c>
      <c r="J20" s="94" t="s">
        <v>557</v>
      </c>
      <c r="K20" s="94" t="s">
        <v>463</v>
      </c>
    </row>
    <row r="21" spans="1:11" x14ac:dyDescent="0.25">
      <c r="A21" s="104" t="s">
        <v>581</v>
      </c>
      <c r="B21" s="105"/>
      <c r="C21" s="105"/>
      <c r="D21" s="105"/>
      <c r="E21" s="105"/>
      <c r="F21" s="105"/>
      <c r="G21" s="105"/>
      <c r="H21" s="105"/>
      <c r="I21" s="105"/>
      <c r="J21" s="105"/>
      <c r="K21" s="106"/>
    </row>
    <row r="22" spans="1:11" x14ac:dyDescent="0.25">
      <c r="A22" s="91" t="s">
        <v>582</v>
      </c>
      <c r="B22" s="94">
        <v>55</v>
      </c>
      <c r="C22" s="94">
        <v>55</v>
      </c>
      <c r="D22" s="91" t="s">
        <v>491</v>
      </c>
      <c r="E22" s="91">
        <v>3</v>
      </c>
      <c r="F22" s="91">
        <v>3</v>
      </c>
      <c r="G22" s="91" t="s">
        <v>566</v>
      </c>
      <c r="H22" s="91" t="s">
        <v>567</v>
      </c>
      <c r="I22" s="91">
        <v>1</v>
      </c>
      <c r="J22" s="91">
        <v>1</v>
      </c>
      <c r="K22" s="91" t="s">
        <v>463</v>
      </c>
    </row>
    <row r="23" spans="1:11" x14ac:dyDescent="0.25">
      <c r="A23" s="91" t="s">
        <v>583</v>
      </c>
      <c r="B23" s="94">
        <v>55</v>
      </c>
      <c r="C23" s="94">
        <v>55</v>
      </c>
      <c r="D23" s="91" t="s">
        <v>491</v>
      </c>
      <c r="E23" s="91">
        <v>3</v>
      </c>
      <c r="F23" s="91">
        <v>3</v>
      </c>
      <c r="G23" s="91" t="s">
        <v>566</v>
      </c>
      <c r="H23" s="91" t="s">
        <v>567</v>
      </c>
      <c r="I23" s="91">
        <v>1</v>
      </c>
      <c r="J23" s="91">
        <v>1</v>
      </c>
      <c r="K23" s="91" t="s">
        <v>463</v>
      </c>
    </row>
    <row r="24" spans="1:11" x14ac:dyDescent="0.25">
      <c r="A24" s="91" t="s">
        <v>584</v>
      </c>
      <c r="B24" s="94">
        <v>55</v>
      </c>
      <c r="C24" s="94">
        <v>55</v>
      </c>
      <c r="D24" s="91" t="s">
        <v>569</v>
      </c>
      <c r="E24" s="91">
        <v>4</v>
      </c>
      <c r="F24" s="91">
        <v>4</v>
      </c>
      <c r="G24" s="91" t="s">
        <v>566</v>
      </c>
      <c r="H24" s="91" t="s">
        <v>567</v>
      </c>
      <c r="I24" s="91">
        <v>1</v>
      </c>
      <c r="J24" s="91">
        <v>1</v>
      </c>
      <c r="K24" s="91" t="s">
        <v>463</v>
      </c>
    </row>
    <row r="25" spans="1:11" x14ac:dyDescent="0.25">
      <c r="A25" s="91" t="s">
        <v>585</v>
      </c>
      <c r="B25" s="94">
        <v>55</v>
      </c>
      <c r="C25" s="94">
        <v>55</v>
      </c>
      <c r="D25" s="91" t="s">
        <v>491</v>
      </c>
      <c r="E25" s="91">
        <v>3</v>
      </c>
      <c r="F25" s="91">
        <v>3</v>
      </c>
      <c r="G25" s="91" t="s">
        <v>566</v>
      </c>
      <c r="H25" s="91" t="s">
        <v>567</v>
      </c>
      <c r="I25" s="91">
        <v>1</v>
      </c>
      <c r="J25" s="91">
        <v>1</v>
      </c>
      <c r="K25" s="91" t="s">
        <v>463</v>
      </c>
    </row>
    <row r="26" spans="1:11" x14ac:dyDescent="0.25">
      <c r="A26" s="91" t="s">
        <v>562</v>
      </c>
      <c r="B26" s="94">
        <v>55</v>
      </c>
      <c r="C26" s="94">
        <v>55</v>
      </c>
      <c r="D26" s="91" t="s">
        <v>491</v>
      </c>
      <c r="E26" s="91">
        <v>3</v>
      </c>
      <c r="F26" s="91">
        <v>3</v>
      </c>
      <c r="G26" s="91" t="s">
        <v>566</v>
      </c>
      <c r="H26" s="91" t="s">
        <v>567</v>
      </c>
      <c r="I26" s="91">
        <v>1</v>
      </c>
      <c r="J26" s="91">
        <v>1</v>
      </c>
      <c r="K26" s="91" t="s">
        <v>463</v>
      </c>
    </row>
    <row r="27" spans="1:11" x14ac:dyDescent="0.25">
      <c r="A27" s="91" t="s">
        <v>563</v>
      </c>
      <c r="B27" s="94">
        <v>55</v>
      </c>
      <c r="C27" s="94">
        <v>55</v>
      </c>
      <c r="D27" s="91" t="s">
        <v>569</v>
      </c>
      <c r="E27" s="91">
        <v>4</v>
      </c>
      <c r="F27" s="91">
        <v>4</v>
      </c>
      <c r="G27" s="91" t="s">
        <v>566</v>
      </c>
      <c r="H27" s="91" t="s">
        <v>567</v>
      </c>
      <c r="I27" s="91">
        <v>1</v>
      </c>
      <c r="J27" s="91">
        <v>1</v>
      </c>
      <c r="K27" s="91" t="s">
        <v>463</v>
      </c>
    </row>
    <row r="28" spans="1:11" x14ac:dyDescent="0.25">
      <c r="A28" s="91" t="s">
        <v>568</v>
      </c>
      <c r="B28" s="94">
        <v>55</v>
      </c>
      <c r="C28" s="94">
        <v>55</v>
      </c>
      <c r="D28" s="91" t="s">
        <v>569</v>
      </c>
      <c r="E28" s="91">
        <v>4</v>
      </c>
      <c r="F28" s="91">
        <v>4</v>
      </c>
      <c r="G28" s="91" t="s">
        <v>566</v>
      </c>
      <c r="H28" s="91" t="s">
        <v>567</v>
      </c>
      <c r="I28" s="91">
        <v>1</v>
      </c>
      <c r="J28" s="91">
        <v>1</v>
      </c>
      <c r="K28" s="91" t="s">
        <v>463</v>
      </c>
    </row>
    <row r="29" spans="1:11" x14ac:dyDescent="0.25">
      <c r="A29" s="91" t="s">
        <v>586</v>
      </c>
      <c r="B29" s="94">
        <v>55</v>
      </c>
      <c r="C29" s="94">
        <v>55</v>
      </c>
      <c r="D29" s="91" t="s">
        <v>491</v>
      </c>
      <c r="E29" s="91">
        <v>3</v>
      </c>
      <c r="F29" s="91">
        <v>3</v>
      </c>
      <c r="G29" s="91" t="s">
        <v>566</v>
      </c>
      <c r="H29" s="91" t="s">
        <v>567</v>
      </c>
      <c r="I29" s="91">
        <v>1</v>
      </c>
      <c r="J29" s="91">
        <v>1</v>
      </c>
      <c r="K29" s="91" t="s">
        <v>463</v>
      </c>
    </row>
    <row r="30" spans="1:11" x14ac:dyDescent="0.25">
      <c r="A30" s="91" t="s">
        <v>587</v>
      </c>
      <c r="B30" s="94">
        <v>55</v>
      </c>
      <c r="C30" s="94">
        <v>55</v>
      </c>
      <c r="D30" s="91" t="s">
        <v>569</v>
      </c>
      <c r="E30" s="91">
        <v>4</v>
      </c>
      <c r="F30" s="91">
        <v>4</v>
      </c>
      <c r="G30" s="91" t="s">
        <v>566</v>
      </c>
      <c r="H30" s="91" t="s">
        <v>567</v>
      </c>
      <c r="I30" s="91">
        <v>1</v>
      </c>
      <c r="J30" s="91">
        <v>1</v>
      </c>
      <c r="K30" s="91" t="s">
        <v>463</v>
      </c>
    </row>
    <row r="31" spans="1:11" x14ac:dyDescent="0.25">
      <c r="A31" s="91" t="s">
        <v>573</v>
      </c>
      <c r="B31" s="94">
        <v>55</v>
      </c>
      <c r="C31" s="94">
        <v>55</v>
      </c>
      <c r="D31" s="91" t="s">
        <v>588</v>
      </c>
      <c r="E31" s="91">
        <v>5</v>
      </c>
      <c r="F31" s="91">
        <v>5</v>
      </c>
      <c r="G31" s="91" t="s">
        <v>566</v>
      </c>
      <c r="H31" s="91" t="s">
        <v>567</v>
      </c>
      <c r="I31" s="91">
        <v>1</v>
      </c>
      <c r="J31" s="91">
        <v>1</v>
      </c>
      <c r="K31" s="91" t="s">
        <v>463</v>
      </c>
    </row>
    <row r="32" spans="1:11" x14ac:dyDescent="0.25">
      <c r="A32" s="91" t="s">
        <v>574</v>
      </c>
      <c r="B32" s="94">
        <v>55</v>
      </c>
      <c r="C32" s="94">
        <v>55</v>
      </c>
      <c r="D32" s="91" t="s">
        <v>569</v>
      </c>
      <c r="E32" s="91">
        <v>4</v>
      </c>
      <c r="F32" s="91">
        <v>4</v>
      </c>
      <c r="G32" s="91" t="s">
        <v>566</v>
      </c>
      <c r="H32" s="91" t="s">
        <v>567</v>
      </c>
      <c r="I32" s="91">
        <v>1</v>
      </c>
      <c r="J32" s="91">
        <v>1</v>
      </c>
      <c r="K32" s="91" t="s">
        <v>463</v>
      </c>
    </row>
    <row r="33" spans="1:11" x14ac:dyDescent="0.25">
      <c r="A33" s="91" t="s">
        <v>575</v>
      </c>
      <c r="B33" s="94">
        <v>55</v>
      </c>
      <c r="C33" s="94">
        <v>55</v>
      </c>
      <c r="D33" s="91" t="s">
        <v>569</v>
      </c>
      <c r="E33" s="91">
        <v>4</v>
      </c>
      <c r="F33" s="91">
        <v>4</v>
      </c>
      <c r="G33" s="91" t="s">
        <v>566</v>
      </c>
      <c r="H33" s="91" t="s">
        <v>567</v>
      </c>
      <c r="I33" s="91">
        <v>1</v>
      </c>
      <c r="J33" s="91">
        <v>1</v>
      </c>
      <c r="K33" s="91" t="s">
        <v>463</v>
      </c>
    </row>
    <row r="34" spans="1:11" x14ac:dyDescent="0.25">
      <c r="A34" s="91" t="s">
        <v>576</v>
      </c>
      <c r="B34" s="94">
        <v>55</v>
      </c>
      <c r="C34" s="94">
        <v>55</v>
      </c>
      <c r="D34" s="91" t="s">
        <v>491</v>
      </c>
      <c r="E34" s="91">
        <v>3</v>
      </c>
      <c r="F34" s="91">
        <v>3</v>
      </c>
      <c r="G34" s="91" t="s">
        <v>566</v>
      </c>
      <c r="H34" s="91" t="s">
        <v>567</v>
      </c>
      <c r="I34" s="91">
        <v>1</v>
      </c>
      <c r="J34" s="91">
        <v>1</v>
      </c>
      <c r="K34" s="91" t="s">
        <v>463</v>
      </c>
    </row>
    <row r="35" spans="1:11" x14ac:dyDescent="0.25">
      <c r="A35" s="91" t="s">
        <v>577</v>
      </c>
      <c r="B35" s="94">
        <v>55</v>
      </c>
      <c r="C35" s="94">
        <v>55</v>
      </c>
      <c r="D35" s="91" t="s">
        <v>589</v>
      </c>
      <c r="E35" s="91">
        <v>6</v>
      </c>
      <c r="F35" s="91">
        <v>6</v>
      </c>
      <c r="G35" s="91" t="s">
        <v>566</v>
      </c>
      <c r="H35" s="91" t="s">
        <v>567</v>
      </c>
      <c r="I35" s="91">
        <v>2</v>
      </c>
      <c r="J35" s="91">
        <v>2</v>
      </c>
      <c r="K35" s="91" t="s">
        <v>463</v>
      </c>
    </row>
    <row r="36" spans="1:11" x14ac:dyDescent="0.25">
      <c r="A36" s="91" t="s">
        <v>578</v>
      </c>
      <c r="B36" s="94">
        <v>55</v>
      </c>
      <c r="C36" s="94">
        <v>55</v>
      </c>
      <c r="D36" s="91" t="s">
        <v>588</v>
      </c>
      <c r="E36" s="91">
        <v>5</v>
      </c>
      <c r="F36" s="91">
        <v>5</v>
      </c>
      <c r="G36" s="91" t="s">
        <v>566</v>
      </c>
      <c r="H36" s="91" t="s">
        <v>567</v>
      </c>
      <c r="I36" s="91">
        <v>1</v>
      </c>
      <c r="J36" s="91">
        <v>1</v>
      </c>
      <c r="K36" s="91" t="s">
        <v>463</v>
      </c>
    </row>
    <row r="37" spans="1:11" x14ac:dyDescent="0.25">
      <c r="A37" s="91" t="s">
        <v>579</v>
      </c>
      <c r="B37" s="94">
        <v>55</v>
      </c>
      <c r="C37" s="94">
        <v>55</v>
      </c>
      <c r="D37" s="91" t="s">
        <v>491</v>
      </c>
      <c r="E37" s="91">
        <v>3</v>
      </c>
      <c r="F37" s="91">
        <v>3</v>
      </c>
      <c r="G37" s="91" t="s">
        <v>566</v>
      </c>
      <c r="H37" s="91" t="s">
        <v>567</v>
      </c>
      <c r="I37" s="91">
        <v>1</v>
      </c>
      <c r="J37" s="91">
        <v>1</v>
      </c>
      <c r="K37" s="91" t="s">
        <v>557</v>
      </c>
    </row>
    <row r="38" spans="1:11" x14ac:dyDescent="0.25">
      <c r="A38" s="91" t="s">
        <v>580</v>
      </c>
      <c r="B38" s="94">
        <v>50</v>
      </c>
      <c r="C38" s="94">
        <v>50</v>
      </c>
      <c r="D38" s="91" t="s">
        <v>491</v>
      </c>
      <c r="E38" s="91">
        <v>3</v>
      </c>
      <c r="F38" s="91">
        <v>3</v>
      </c>
      <c r="G38" s="91" t="s">
        <v>566</v>
      </c>
      <c r="H38" s="91" t="s">
        <v>567</v>
      </c>
      <c r="I38" s="91">
        <v>1</v>
      </c>
      <c r="J38" s="91">
        <v>1</v>
      </c>
      <c r="K38" s="91" t="s">
        <v>463</v>
      </c>
    </row>
    <row r="39" spans="1:11" x14ac:dyDescent="0.25">
      <c r="A39" s="104" t="s">
        <v>471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6"/>
    </row>
    <row r="40" spans="1:11" x14ac:dyDescent="0.25">
      <c r="A40" s="91" t="s">
        <v>582</v>
      </c>
      <c r="B40" s="94">
        <v>55</v>
      </c>
      <c r="C40" s="94">
        <v>55</v>
      </c>
      <c r="D40" s="91" t="s">
        <v>588</v>
      </c>
      <c r="E40" s="91">
        <v>5</v>
      </c>
      <c r="F40" s="91">
        <v>5</v>
      </c>
      <c r="G40" s="91" t="s">
        <v>566</v>
      </c>
      <c r="H40" s="91" t="s">
        <v>566</v>
      </c>
      <c r="I40" s="91">
        <v>1</v>
      </c>
      <c r="J40" s="91">
        <v>1</v>
      </c>
      <c r="K40" s="91" t="s">
        <v>463</v>
      </c>
    </row>
    <row r="41" spans="1:11" x14ac:dyDescent="0.25">
      <c r="A41" s="91" t="s">
        <v>583</v>
      </c>
      <c r="B41" s="94">
        <v>55</v>
      </c>
      <c r="C41" s="94">
        <v>55</v>
      </c>
      <c r="D41" s="91" t="s">
        <v>588</v>
      </c>
      <c r="E41" s="91">
        <v>5</v>
      </c>
      <c r="F41" s="91">
        <v>5</v>
      </c>
      <c r="G41" s="91" t="s">
        <v>566</v>
      </c>
      <c r="H41" s="91" t="s">
        <v>566</v>
      </c>
      <c r="I41" s="91">
        <v>1</v>
      </c>
      <c r="J41" s="91">
        <v>1</v>
      </c>
      <c r="K41" s="91" t="s">
        <v>463</v>
      </c>
    </row>
    <row r="42" spans="1:11" x14ac:dyDescent="0.25">
      <c r="A42" s="91" t="s">
        <v>584</v>
      </c>
      <c r="B42" s="94">
        <v>55</v>
      </c>
      <c r="C42" s="94">
        <v>55</v>
      </c>
      <c r="D42" s="91" t="s">
        <v>588</v>
      </c>
      <c r="E42" s="91">
        <v>5</v>
      </c>
      <c r="F42" s="91">
        <v>5</v>
      </c>
      <c r="G42" s="91" t="s">
        <v>566</v>
      </c>
      <c r="H42" s="91" t="s">
        <v>566</v>
      </c>
      <c r="I42" s="91">
        <v>1</v>
      </c>
      <c r="J42" s="91">
        <v>1</v>
      </c>
      <c r="K42" s="91" t="s">
        <v>463</v>
      </c>
    </row>
    <row r="43" spans="1:11" x14ac:dyDescent="0.25">
      <c r="A43" s="91" t="s">
        <v>585</v>
      </c>
      <c r="B43" s="94">
        <v>55</v>
      </c>
      <c r="C43" s="94">
        <v>55</v>
      </c>
      <c r="D43" s="91" t="s">
        <v>588</v>
      </c>
      <c r="E43" s="91">
        <v>5</v>
      </c>
      <c r="F43" s="91">
        <v>5</v>
      </c>
      <c r="G43" s="91" t="s">
        <v>566</v>
      </c>
      <c r="H43" s="91" t="s">
        <v>566</v>
      </c>
      <c r="I43" s="91">
        <v>1</v>
      </c>
      <c r="J43" s="91">
        <v>1</v>
      </c>
      <c r="K43" s="91" t="s">
        <v>463</v>
      </c>
    </row>
    <row r="44" spans="1:11" x14ac:dyDescent="0.25">
      <c r="A44" s="91" t="s">
        <v>562</v>
      </c>
      <c r="B44" s="94">
        <v>55</v>
      </c>
      <c r="C44" s="94">
        <v>55</v>
      </c>
      <c r="D44" s="91" t="s">
        <v>588</v>
      </c>
      <c r="E44" s="91">
        <v>5</v>
      </c>
      <c r="F44" s="91">
        <v>5</v>
      </c>
      <c r="G44" s="91" t="s">
        <v>566</v>
      </c>
      <c r="H44" s="91" t="s">
        <v>566</v>
      </c>
      <c r="I44" s="91">
        <v>1</v>
      </c>
      <c r="J44" s="91">
        <v>1</v>
      </c>
      <c r="K44" s="91" t="s">
        <v>463</v>
      </c>
    </row>
    <row r="45" spans="1:11" x14ac:dyDescent="0.25">
      <c r="A45" s="91" t="s">
        <v>563</v>
      </c>
      <c r="B45" s="94">
        <v>55</v>
      </c>
      <c r="C45" s="94">
        <v>55</v>
      </c>
      <c r="D45" s="91" t="s">
        <v>590</v>
      </c>
      <c r="E45" s="91">
        <v>7</v>
      </c>
      <c r="F45" s="91">
        <v>7</v>
      </c>
      <c r="G45" s="91" t="s">
        <v>565</v>
      </c>
      <c r="H45" s="91" t="s">
        <v>566</v>
      </c>
      <c r="I45" s="91">
        <v>2</v>
      </c>
      <c r="J45" s="91">
        <v>2</v>
      </c>
      <c r="K45" s="91" t="s">
        <v>463</v>
      </c>
    </row>
    <row r="46" spans="1:11" x14ac:dyDescent="0.25">
      <c r="A46" s="91" t="s">
        <v>568</v>
      </c>
      <c r="B46" s="94">
        <v>55</v>
      </c>
      <c r="C46" s="94">
        <v>55</v>
      </c>
      <c r="D46" s="91" t="s">
        <v>590</v>
      </c>
      <c r="E46" s="91">
        <v>7</v>
      </c>
      <c r="F46" s="91">
        <v>7</v>
      </c>
      <c r="G46" s="91" t="s">
        <v>566</v>
      </c>
      <c r="H46" s="91" t="s">
        <v>566</v>
      </c>
      <c r="I46" s="91">
        <v>2</v>
      </c>
      <c r="J46" s="91">
        <v>2</v>
      </c>
      <c r="K46" s="91" t="s">
        <v>463</v>
      </c>
    </row>
    <row r="47" spans="1:11" x14ac:dyDescent="0.25">
      <c r="A47" s="91" t="s">
        <v>586</v>
      </c>
      <c r="B47" s="94">
        <v>55</v>
      </c>
      <c r="C47" s="94">
        <v>55</v>
      </c>
      <c r="D47" s="91" t="s">
        <v>588</v>
      </c>
      <c r="E47" s="91">
        <v>5</v>
      </c>
      <c r="F47" s="91">
        <v>5</v>
      </c>
      <c r="G47" s="91" t="s">
        <v>566</v>
      </c>
      <c r="H47" s="91" t="s">
        <v>566</v>
      </c>
      <c r="I47" s="91">
        <v>1</v>
      </c>
      <c r="J47" s="91">
        <v>1</v>
      </c>
      <c r="K47" s="91" t="s">
        <v>463</v>
      </c>
    </row>
    <row r="48" spans="1:11" x14ac:dyDescent="0.25">
      <c r="A48" s="91" t="s">
        <v>587</v>
      </c>
      <c r="B48" s="94">
        <v>55</v>
      </c>
      <c r="C48" s="94">
        <v>55</v>
      </c>
      <c r="D48" s="91" t="s">
        <v>589</v>
      </c>
      <c r="E48" s="91">
        <v>6</v>
      </c>
      <c r="F48" s="91">
        <v>6</v>
      </c>
      <c r="G48" s="91" t="s">
        <v>566</v>
      </c>
      <c r="H48" s="91" t="s">
        <v>566</v>
      </c>
      <c r="I48" s="91">
        <v>2</v>
      </c>
      <c r="J48" s="91">
        <v>2</v>
      </c>
      <c r="K48" s="91" t="s">
        <v>463</v>
      </c>
    </row>
    <row r="49" spans="1:11" x14ac:dyDescent="0.25">
      <c r="A49" s="91" t="s">
        <v>573</v>
      </c>
      <c r="B49" s="94">
        <v>55</v>
      </c>
      <c r="C49" s="94">
        <v>55</v>
      </c>
      <c r="D49" s="91" t="s">
        <v>591</v>
      </c>
      <c r="E49" s="91">
        <v>8</v>
      </c>
      <c r="F49" s="91">
        <v>8</v>
      </c>
      <c r="G49" s="91" t="s">
        <v>566</v>
      </c>
      <c r="H49" s="91" t="s">
        <v>566</v>
      </c>
      <c r="I49" s="91">
        <v>3</v>
      </c>
      <c r="J49" s="91">
        <v>3</v>
      </c>
      <c r="K49" s="91" t="s">
        <v>463</v>
      </c>
    </row>
    <row r="50" spans="1:11" x14ac:dyDescent="0.25">
      <c r="A50" s="91" t="s">
        <v>574</v>
      </c>
      <c r="B50" s="94">
        <v>55</v>
      </c>
      <c r="C50" s="94">
        <v>55</v>
      </c>
      <c r="D50" s="91" t="s">
        <v>588</v>
      </c>
      <c r="E50" s="91">
        <v>5</v>
      </c>
      <c r="F50" s="91">
        <v>5</v>
      </c>
      <c r="G50" s="91" t="s">
        <v>566</v>
      </c>
      <c r="H50" s="91" t="s">
        <v>566</v>
      </c>
      <c r="I50" s="91">
        <v>1</v>
      </c>
      <c r="J50" s="91">
        <v>1</v>
      </c>
      <c r="K50" s="91" t="s">
        <v>463</v>
      </c>
    </row>
    <row r="51" spans="1:11" x14ac:dyDescent="0.25">
      <c r="A51" s="91" t="s">
        <v>575</v>
      </c>
      <c r="B51" s="94">
        <v>55</v>
      </c>
      <c r="C51" s="94">
        <v>55</v>
      </c>
      <c r="D51" s="91" t="s">
        <v>588</v>
      </c>
      <c r="E51" s="91">
        <v>5</v>
      </c>
      <c r="F51" s="91">
        <v>5</v>
      </c>
      <c r="G51" s="91" t="s">
        <v>566</v>
      </c>
      <c r="H51" s="91" t="s">
        <v>592</v>
      </c>
      <c r="I51" s="91">
        <v>1</v>
      </c>
      <c r="J51" s="91">
        <v>1</v>
      </c>
      <c r="K51" s="91" t="s">
        <v>463</v>
      </c>
    </row>
    <row r="52" spans="1:11" x14ac:dyDescent="0.25">
      <c r="A52" s="91" t="s">
        <v>576</v>
      </c>
      <c r="B52" s="94">
        <v>55</v>
      </c>
      <c r="C52" s="94">
        <v>55</v>
      </c>
      <c r="D52" s="91" t="s">
        <v>588</v>
      </c>
      <c r="E52" s="91">
        <v>5</v>
      </c>
      <c r="F52" s="91">
        <v>5</v>
      </c>
      <c r="G52" s="91" t="s">
        <v>566</v>
      </c>
      <c r="H52" s="91" t="s">
        <v>566</v>
      </c>
      <c r="I52" s="91">
        <v>1</v>
      </c>
      <c r="J52" s="91">
        <v>1</v>
      </c>
      <c r="K52" s="91" t="s">
        <v>463</v>
      </c>
    </row>
    <row r="53" spans="1:11" x14ac:dyDescent="0.25">
      <c r="A53" s="91" t="s">
        <v>577</v>
      </c>
      <c r="B53" s="94">
        <v>55</v>
      </c>
      <c r="C53" s="94">
        <v>55</v>
      </c>
      <c r="D53" s="91" t="s">
        <v>590</v>
      </c>
      <c r="E53" s="91">
        <v>7</v>
      </c>
      <c r="F53" s="91">
        <v>7</v>
      </c>
      <c r="G53" s="91" t="s">
        <v>566</v>
      </c>
      <c r="H53" s="91" t="s">
        <v>566</v>
      </c>
      <c r="I53" s="91">
        <v>2</v>
      </c>
      <c r="J53" s="91">
        <v>2</v>
      </c>
      <c r="K53" s="91" t="s">
        <v>463</v>
      </c>
    </row>
    <row r="54" spans="1:11" x14ac:dyDescent="0.25">
      <c r="A54" s="91" t="s">
        <v>578</v>
      </c>
      <c r="B54" s="94">
        <v>55</v>
      </c>
      <c r="C54" s="94">
        <v>55</v>
      </c>
      <c r="D54" s="91" t="s">
        <v>589</v>
      </c>
      <c r="E54" s="91">
        <v>6</v>
      </c>
      <c r="F54" s="91">
        <v>6</v>
      </c>
      <c r="G54" s="91" t="s">
        <v>566</v>
      </c>
      <c r="H54" s="91" t="s">
        <v>566</v>
      </c>
      <c r="I54" s="91">
        <v>2</v>
      </c>
      <c r="J54" s="91">
        <v>2</v>
      </c>
      <c r="K54" s="91" t="s">
        <v>463</v>
      </c>
    </row>
    <row r="55" spans="1:11" x14ac:dyDescent="0.25">
      <c r="A55" s="91" t="s">
        <v>579</v>
      </c>
      <c r="B55" s="94">
        <v>55</v>
      </c>
      <c r="C55" s="94">
        <v>55</v>
      </c>
      <c r="D55" s="91" t="s">
        <v>588</v>
      </c>
      <c r="E55" s="91">
        <v>5</v>
      </c>
      <c r="F55" s="91">
        <v>5</v>
      </c>
      <c r="G55" s="91" t="s">
        <v>566</v>
      </c>
      <c r="H55" s="91" t="s">
        <v>566</v>
      </c>
      <c r="I55" s="91">
        <v>1</v>
      </c>
      <c r="J55" s="91">
        <v>1</v>
      </c>
      <c r="K55" s="91" t="s">
        <v>463</v>
      </c>
    </row>
    <row r="56" spans="1:11" x14ac:dyDescent="0.25">
      <c r="A56" s="91" t="s">
        <v>580</v>
      </c>
      <c r="B56" s="94">
        <v>50</v>
      </c>
      <c r="C56" s="94">
        <v>50</v>
      </c>
      <c r="D56" s="91" t="s">
        <v>491</v>
      </c>
      <c r="E56" s="91">
        <v>3</v>
      </c>
      <c r="F56" s="91">
        <v>3</v>
      </c>
      <c r="G56" s="91" t="s">
        <v>566</v>
      </c>
      <c r="H56" s="91" t="s">
        <v>566</v>
      </c>
      <c r="I56" s="91">
        <v>1</v>
      </c>
      <c r="J56" s="91">
        <v>1</v>
      </c>
      <c r="K56" s="91" t="s">
        <v>463</v>
      </c>
    </row>
  </sheetData>
  <mergeCells count="7">
    <mergeCell ref="K1:K2"/>
    <mergeCell ref="A3:K3"/>
    <mergeCell ref="A21:K21"/>
    <mergeCell ref="A39:K39"/>
    <mergeCell ref="A1:A2"/>
    <mergeCell ref="D1:F1"/>
    <mergeCell ref="G1:J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06"/>
  <sheetViews>
    <sheetView zoomScale="115" zoomScaleNormal="115" workbookViewId="0">
      <selection activeCell="E3" sqref="E3"/>
    </sheetView>
  </sheetViews>
  <sheetFormatPr defaultRowHeight="16.5" x14ac:dyDescent="0.25"/>
  <cols>
    <col min="1" max="2" width="9" style="87"/>
    <col min="3" max="4" width="8.5" style="87" bestFit="1" customWidth="1"/>
    <col min="5" max="5" width="12.875" style="87" customWidth="1"/>
    <col min="6" max="6" width="5.875" style="87" bestFit="1" customWidth="1"/>
    <col min="7" max="7" width="5.625" style="87" customWidth="1"/>
    <col min="8" max="8" width="5.875" style="87" bestFit="1" customWidth="1"/>
    <col min="9" max="9" width="5.375" style="87" bestFit="1" customWidth="1"/>
    <col min="10" max="12" width="7.625" style="87" bestFit="1" customWidth="1"/>
    <col min="13" max="13" width="7.625" style="87" customWidth="1"/>
    <col min="14" max="14" width="7.625" style="87" bestFit="1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5" x14ac:dyDescent="0.25">
      <c r="A1" s="118" t="s">
        <v>418</v>
      </c>
      <c r="B1" s="121" t="s">
        <v>437</v>
      </c>
      <c r="C1" s="124" t="s">
        <v>438</v>
      </c>
      <c r="D1" s="124" t="s">
        <v>439</v>
      </c>
      <c r="E1" s="124" t="s">
        <v>440</v>
      </c>
      <c r="F1" s="129" t="s">
        <v>440</v>
      </c>
      <c r="G1" s="130"/>
      <c r="H1" s="131"/>
      <c r="I1" s="124" t="s">
        <v>442</v>
      </c>
      <c r="J1" s="107" t="s">
        <v>443</v>
      </c>
      <c r="K1" s="108"/>
      <c r="L1" s="109"/>
      <c r="M1" s="116" t="s">
        <v>444</v>
      </c>
      <c r="N1" s="116" t="s">
        <v>445</v>
      </c>
      <c r="O1" s="127" t="s">
        <v>446</v>
      </c>
    </row>
    <row r="2" spans="1:15" ht="17.25" thickBot="1" x14ac:dyDescent="0.3">
      <c r="A2" s="120"/>
      <c r="B2" s="123"/>
      <c r="C2" s="112"/>
      <c r="D2" s="112"/>
      <c r="E2" s="112"/>
      <c r="F2" s="88" t="s">
        <v>447</v>
      </c>
      <c r="G2" s="88" t="s">
        <v>448</v>
      </c>
      <c r="H2" s="88" t="s">
        <v>449</v>
      </c>
      <c r="I2" s="112"/>
      <c r="J2" s="95" t="s">
        <v>632</v>
      </c>
      <c r="K2" s="96" t="s">
        <v>448</v>
      </c>
      <c r="L2" s="95" t="s">
        <v>449</v>
      </c>
      <c r="M2" s="125"/>
      <c r="N2" s="126"/>
      <c r="O2" s="128"/>
    </row>
    <row r="3" spans="1:15" x14ac:dyDescent="0.25">
      <c r="A3" s="118" t="s">
        <v>451</v>
      </c>
      <c r="B3" s="121" t="s">
        <v>452</v>
      </c>
      <c r="C3" s="124">
        <v>30</v>
      </c>
      <c r="D3" s="124">
        <v>60</v>
      </c>
      <c r="E3" s="90" t="s">
        <v>453</v>
      </c>
      <c r="F3" s="90" t="s">
        <v>454</v>
      </c>
      <c r="G3" s="90" t="s">
        <v>651</v>
      </c>
      <c r="H3" s="90" t="s">
        <v>456</v>
      </c>
      <c r="I3" s="124" t="s">
        <v>457</v>
      </c>
      <c r="J3" s="110" t="s">
        <v>459</v>
      </c>
      <c r="K3" s="113" t="s">
        <v>460</v>
      </c>
      <c r="L3" s="110" t="s">
        <v>459</v>
      </c>
      <c r="M3" s="117"/>
      <c r="N3" s="117"/>
      <c r="O3" s="116" t="s">
        <v>593</v>
      </c>
    </row>
    <row r="4" spans="1:15" x14ac:dyDescent="0.25">
      <c r="A4" s="119"/>
      <c r="B4" s="122"/>
      <c r="C4" s="111"/>
      <c r="D4" s="111"/>
      <c r="E4" s="91" t="s">
        <v>461</v>
      </c>
      <c r="F4" s="91" t="s">
        <v>462</v>
      </c>
      <c r="G4" s="91" t="s">
        <v>463</v>
      </c>
      <c r="H4" s="91" t="s">
        <v>464</v>
      </c>
      <c r="I4" s="111"/>
      <c r="J4" s="111"/>
      <c r="K4" s="114"/>
      <c r="L4" s="111"/>
      <c r="M4" s="117"/>
      <c r="N4" s="117"/>
      <c r="O4" s="117"/>
    </row>
    <row r="5" spans="1:15" x14ac:dyDescent="0.25">
      <c r="A5" s="119"/>
      <c r="B5" s="122"/>
      <c r="C5" s="111"/>
      <c r="D5" s="111"/>
      <c r="E5" s="91" t="s">
        <v>465</v>
      </c>
      <c r="F5" s="91" t="s">
        <v>464</v>
      </c>
      <c r="G5" s="91" t="s">
        <v>463</v>
      </c>
      <c r="H5" s="91" t="s">
        <v>462</v>
      </c>
      <c r="I5" s="111"/>
      <c r="J5" s="111"/>
      <c r="K5" s="114"/>
      <c r="L5" s="111"/>
      <c r="M5" s="117"/>
      <c r="N5" s="117"/>
      <c r="O5" s="117"/>
    </row>
    <row r="6" spans="1:15" ht="17.25" thickBot="1" x14ac:dyDescent="0.3">
      <c r="A6" s="120"/>
      <c r="B6" s="123"/>
      <c r="C6" s="112"/>
      <c r="D6" s="112"/>
      <c r="E6" s="88" t="s">
        <v>466</v>
      </c>
      <c r="F6" s="88" t="s">
        <v>468</v>
      </c>
      <c r="G6" s="88" t="s">
        <v>469</v>
      </c>
      <c r="H6" s="88" t="s">
        <v>470</v>
      </c>
      <c r="I6" s="112"/>
      <c r="J6" s="112"/>
      <c r="K6" s="115"/>
      <c r="L6" s="112"/>
      <c r="M6" s="117"/>
      <c r="N6" s="117"/>
      <c r="O6" s="117"/>
    </row>
    <row r="7" spans="1:15" x14ac:dyDescent="0.25">
      <c r="A7" s="118" t="s">
        <v>471</v>
      </c>
      <c r="B7" s="121" t="s">
        <v>472</v>
      </c>
      <c r="C7" s="124">
        <v>30</v>
      </c>
      <c r="D7" s="124">
        <v>60</v>
      </c>
      <c r="E7" s="90" t="s">
        <v>473</v>
      </c>
      <c r="F7" s="90" t="s">
        <v>469</v>
      </c>
      <c r="G7" s="90" t="s">
        <v>474</v>
      </c>
      <c r="H7" s="90" t="s">
        <v>467</v>
      </c>
      <c r="I7" s="124" t="s">
        <v>475</v>
      </c>
      <c r="J7" s="110" t="s">
        <v>476</v>
      </c>
      <c r="K7" s="113" t="s">
        <v>477</v>
      </c>
      <c r="L7" s="110" t="s">
        <v>476</v>
      </c>
      <c r="M7" s="117"/>
      <c r="N7" s="117"/>
      <c r="O7" s="117" t="s">
        <v>594</v>
      </c>
    </row>
    <row r="8" spans="1:15" x14ac:dyDescent="0.25">
      <c r="A8" s="119"/>
      <c r="B8" s="122"/>
      <c r="C8" s="111"/>
      <c r="D8" s="111"/>
      <c r="E8" s="91" t="s">
        <v>461</v>
      </c>
      <c r="F8" s="91" t="s">
        <v>462</v>
      </c>
      <c r="G8" s="91" t="s">
        <v>462</v>
      </c>
      <c r="H8" s="91" t="s">
        <v>463</v>
      </c>
      <c r="I8" s="111"/>
      <c r="J8" s="111"/>
      <c r="K8" s="114"/>
      <c r="L8" s="111"/>
      <c r="M8" s="117"/>
      <c r="N8" s="117"/>
      <c r="O8" s="117"/>
    </row>
    <row r="9" spans="1:15" x14ac:dyDescent="0.25">
      <c r="A9" s="119"/>
      <c r="B9" s="122"/>
      <c r="C9" s="111"/>
      <c r="D9" s="111"/>
      <c r="E9" s="91" t="s">
        <v>478</v>
      </c>
      <c r="F9" s="91" t="s">
        <v>463</v>
      </c>
      <c r="G9" s="91" t="s">
        <v>463</v>
      </c>
      <c r="H9" s="91" t="s">
        <v>463</v>
      </c>
      <c r="I9" s="111"/>
      <c r="J9" s="111"/>
      <c r="K9" s="114"/>
      <c r="L9" s="111"/>
      <c r="M9" s="117"/>
      <c r="N9" s="117"/>
      <c r="O9" s="117"/>
    </row>
    <row r="10" spans="1:15" ht="17.25" thickBot="1" x14ac:dyDescent="0.3">
      <c r="A10" s="120"/>
      <c r="B10" s="123"/>
      <c r="C10" s="112"/>
      <c r="D10" s="112"/>
      <c r="E10" s="88" t="s">
        <v>466</v>
      </c>
      <c r="F10" s="88" t="s">
        <v>474</v>
      </c>
      <c r="G10" s="88" t="s">
        <v>474</v>
      </c>
      <c r="H10" s="88" t="s">
        <v>479</v>
      </c>
      <c r="I10" s="112"/>
      <c r="J10" s="112"/>
      <c r="K10" s="115"/>
      <c r="L10" s="112"/>
      <c r="M10" s="117"/>
      <c r="N10" s="117"/>
      <c r="O10" s="117"/>
    </row>
    <row r="11" spans="1:15" x14ac:dyDescent="0.25">
      <c r="A11" s="118" t="s">
        <v>471</v>
      </c>
      <c r="B11" s="121" t="s">
        <v>480</v>
      </c>
      <c r="C11" s="124">
        <v>30</v>
      </c>
      <c r="D11" s="124">
        <v>60</v>
      </c>
      <c r="E11" s="90" t="s">
        <v>453</v>
      </c>
      <c r="F11" s="90" t="s">
        <v>470</v>
      </c>
      <c r="G11" s="90" t="s">
        <v>474</v>
      </c>
      <c r="H11" s="90" t="s">
        <v>470</v>
      </c>
      <c r="I11" s="124" t="s">
        <v>475</v>
      </c>
      <c r="J11" s="110" t="s">
        <v>476</v>
      </c>
      <c r="K11" s="113" t="s">
        <v>477</v>
      </c>
      <c r="L11" s="110" t="s">
        <v>476</v>
      </c>
      <c r="M11" s="117"/>
      <c r="N11" s="117"/>
      <c r="O11" s="117"/>
    </row>
    <row r="12" spans="1:15" x14ac:dyDescent="0.25">
      <c r="A12" s="119"/>
      <c r="B12" s="122"/>
      <c r="C12" s="111"/>
      <c r="D12" s="111"/>
      <c r="E12" s="91" t="s">
        <v>481</v>
      </c>
      <c r="F12" s="91" t="s">
        <v>463</v>
      </c>
      <c r="G12" s="91" t="s">
        <v>463</v>
      </c>
      <c r="H12" s="91" t="s">
        <v>463</v>
      </c>
      <c r="I12" s="111"/>
      <c r="J12" s="111"/>
      <c r="K12" s="114"/>
      <c r="L12" s="111"/>
      <c r="M12" s="117"/>
      <c r="N12" s="117"/>
      <c r="O12" s="117"/>
    </row>
    <row r="13" spans="1:15" x14ac:dyDescent="0.25">
      <c r="A13" s="119"/>
      <c r="B13" s="122"/>
      <c r="C13" s="111"/>
      <c r="D13" s="111"/>
      <c r="E13" s="91" t="s">
        <v>465</v>
      </c>
      <c r="F13" s="91" t="s">
        <v>462</v>
      </c>
      <c r="G13" s="91" t="s">
        <v>462</v>
      </c>
      <c r="H13" s="91" t="s">
        <v>464</v>
      </c>
      <c r="I13" s="111"/>
      <c r="J13" s="111"/>
      <c r="K13" s="114"/>
      <c r="L13" s="111"/>
      <c r="M13" s="117"/>
      <c r="N13" s="117"/>
      <c r="O13" s="117"/>
    </row>
    <row r="14" spans="1:15" ht="17.25" thickBot="1" x14ac:dyDescent="0.3">
      <c r="A14" s="120"/>
      <c r="B14" s="123"/>
      <c r="C14" s="112"/>
      <c r="D14" s="112"/>
      <c r="E14" s="88" t="s">
        <v>466</v>
      </c>
      <c r="F14" s="88" t="s">
        <v>474</v>
      </c>
      <c r="G14" s="88" t="s">
        <v>455</v>
      </c>
      <c r="H14" s="88" t="s">
        <v>474</v>
      </c>
      <c r="I14" s="112"/>
      <c r="J14" s="112"/>
      <c r="K14" s="115"/>
      <c r="L14" s="112"/>
      <c r="M14" s="117"/>
      <c r="N14" s="117"/>
      <c r="O14" s="117"/>
    </row>
    <row r="15" spans="1:15" x14ac:dyDescent="0.25">
      <c r="A15" s="118" t="s">
        <v>471</v>
      </c>
      <c r="B15" s="121" t="s">
        <v>482</v>
      </c>
      <c r="C15" s="124">
        <v>30</v>
      </c>
      <c r="D15" s="124">
        <v>60</v>
      </c>
      <c r="E15" s="90" t="s">
        <v>473</v>
      </c>
      <c r="F15" s="90" t="s">
        <v>470</v>
      </c>
      <c r="G15" s="90" t="s">
        <v>455</v>
      </c>
      <c r="H15" s="90" t="s">
        <v>469</v>
      </c>
      <c r="I15" s="124" t="s">
        <v>475</v>
      </c>
      <c r="J15" s="110" t="s">
        <v>476</v>
      </c>
      <c r="K15" s="113" t="s">
        <v>477</v>
      </c>
      <c r="L15" s="110" t="s">
        <v>476</v>
      </c>
      <c r="M15" s="92"/>
    </row>
    <row r="16" spans="1:15" x14ac:dyDescent="0.25">
      <c r="A16" s="119"/>
      <c r="B16" s="122"/>
      <c r="C16" s="111"/>
      <c r="D16" s="111"/>
      <c r="E16" s="91" t="s">
        <v>461</v>
      </c>
      <c r="F16" s="91" t="s">
        <v>463</v>
      </c>
      <c r="G16" s="91" t="s">
        <v>463</v>
      </c>
      <c r="H16" s="91" t="s">
        <v>464</v>
      </c>
      <c r="I16" s="111"/>
      <c r="J16" s="111"/>
      <c r="K16" s="114"/>
      <c r="L16" s="111"/>
      <c r="M16" s="93"/>
    </row>
    <row r="17" spans="1:13" x14ac:dyDescent="0.25">
      <c r="A17" s="119"/>
      <c r="B17" s="122"/>
      <c r="C17" s="111"/>
      <c r="D17" s="111"/>
      <c r="E17" s="91" t="s">
        <v>465</v>
      </c>
      <c r="F17" s="91" t="s">
        <v>463</v>
      </c>
      <c r="G17" s="91" t="s">
        <v>463</v>
      </c>
      <c r="H17" s="91" t="s">
        <v>463</v>
      </c>
      <c r="I17" s="111"/>
      <c r="J17" s="111"/>
      <c r="K17" s="114"/>
      <c r="L17" s="111"/>
      <c r="M17" s="93"/>
    </row>
    <row r="18" spans="1:13" ht="17.25" thickBot="1" x14ac:dyDescent="0.3">
      <c r="A18" s="120"/>
      <c r="B18" s="123"/>
      <c r="C18" s="112"/>
      <c r="D18" s="112"/>
      <c r="E18" s="88" t="s">
        <v>466</v>
      </c>
      <c r="F18" s="88" t="s">
        <v>474</v>
      </c>
      <c r="G18" s="88" t="s">
        <v>474</v>
      </c>
      <c r="H18" s="88" t="s">
        <v>474</v>
      </c>
      <c r="I18" s="112"/>
      <c r="J18" s="112"/>
      <c r="K18" s="115"/>
      <c r="L18" s="112"/>
      <c r="M18" s="93"/>
    </row>
    <row r="19" spans="1:13" x14ac:dyDescent="0.25">
      <c r="A19" s="118" t="s">
        <v>471</v>
      </c>
      <c r="B19" s="121" t="s">
        <v>483</v>
      </c>
      <c r="C19" s="124">
        <v>30</v>
      </c>
      <c r="D19" s="124">
        <v>60</v>
      </c>
      <c r="E19" s="90" t="s">
        <v>473</v>
      </c>
      <c r="F19" s="90" t="s">
        <v>469</v>
      </c>
      <c r="G19" s="90" t="s">
        <v>474</v>
      </c>
      <c r="H19" s="90" t="s">
        <v>470</v>
      </c>
      <c r="I19" s="124" t="s">
        <v>475</v>
      </c>
      <c r="J19" s="110" t="s">
        <v>476</v>
      </c>
      <c r="K19" s="113" t="s">
        <v>477</v>
      </c>
      <c r="L19" s="110" t="s">
        <v>476</v>
      </c>
      <c r="M19" s="92"/>
    </row>
    <row r="20" spans="1:13" x14ac:dyDescent="0.25">
      <c r="A20" s="119"/>
      <c r="B20" s="122"/>
      <c r="C20" s="111"/>
      <c r="D20" s="111"/>
      <c r="E20" s="91" t="s">
        <v>481</v>
      </c>
      <c r="F20" s="91" t="s">
        <v>463</v>
      </c>
      <c r="G20" s="91" t="s">
        <v>463</v>
      </c>
      <c r="H20" s="91" t="s">
        <v>463</v>
      </c>
      <c r="I20" s="111"/>
      <c r="J20" s="111"/>
      <c r="K20" s="114"/>
      <c r="L20" s="111"/>
      <c r="M20" s="93"/>
    </row>
    <row r="21" spans="1:13" x14ac:dyDescent="0.25">
      <c r="A21" s="119"/>
      <c r="B21" s="122"/>
      <c r="C21" s="111"/>
      <c r="D21" s="111"/>
      <c r="E21" s="91" t="s">
        <v>465</v>
      </c>
      <c r="F21" s="91" t="s">
        <v>463</v>
      </c>
      <c r="G21" s="91" t="s">
        <v>463</v>
      </c>
      <c r="H21" s="91" t="s">
        <v>463</v>
      </c>
      <c r="I21" s="111"/>
      <c r="J21" s="111"/>
      <c r="K21" s="114"/>
      <c r="L21" s="111"/>
      <c r="M21" s="93"/>
    </row>
    <row r="22" spans="1:13" ht="17.25" thickBot="1" x14ac:dyDescent="0.3">
      <c r="A22" s="120"/>
      <c r="B22" s="123"/>
      <c r="C22" s="112"/>
      <c r="D22" s="112"/>
      <c r="E22" s="88" t="s">
        <v>466</v>
      </c>
      <c r="F22" s="88" t="s">
        <v>474</v>
      </c>
      <c r="G22" s="88" t="s">
        <v>474</v>
      </c>
      <c r="H22" s="88" t="s">
        <v>474</v>
      </c>
      <c r="I22" s="112"/>
      <c r="J22" s="112"/>
      <c r="K22" s="115"/>
      <c r="L22" s="112"/>
      <c r="M22" s="93"/>
    </row>
    <row r="23" spans="1:13" x14ac:dyDescent="0.25">
      <c r="A23" s="118" t="s">
        <v>471</v>
      </c>
      <c r="B23" s="121" t="s">
        <v>484</v>
      </c>
      <c r="C23" s="124">
        <v>30</v>
      </c>
      <c r="D23" s="124">
        <v>60</v>
      </c>
      <c r="E23" s="90" t="s">
        <v>473</v>
      </c>
      <c r="F23" s="90" t="s">
        <v>469</v>
      </c>
      <c r="G23" s="90" t="s">
        <v>474</v>
      </c>
      <c r="H23" s="90" t="s">
        <v>456</v>
      </c>
      <c r="I23" s="124" t="s">
        <v>475</v>
      </c>
      <c r="J23" s="110" t="s">
        <v>476</v>
      </c>
      <c r="K23" s="113" t="s">
        <v>477</v>
      </c>
      <c r="L23" s="110" t="s">
        <v>476</v>
      </c>
      <c r="M23" s="92"/>
    </row>
    <row r="24" spans="1:13" x14ac:dyDescent="0.25">
      <c r="A24" s="119"/>
      <c r="B24" s="122"/>
      <c r="C24" s="111"/>
      <c r="D24" s="111"/>
      <c r="E24" s="91" t="s">
        <v>481</v>
      </c>
      <c r="F24" s="91" t="s">
        <v>463</v>
      </c>
      <c r="G24" s="91" t="s">
        <v>462</v>
      </c>
      <c r="H24" s="91" t="s">
        <v>463</v>
      </c>
      <c r="I24" s="111"/>
      <c r="J24" s="111"/>
      <c r="K24" s="114"/>
      <c r="L24" s="111"/>
      <c r="M24" s="93"/>
    </row>
    <row r="25" spans="1:13" x14ac:dyDescent="0.25">
      <c r="A25" s="119"/>
      <c r="B25" s="122"/>
      <c r="C25" s="111"/>
      <c r="D25" s="111"/>
      <c r="E25" s="91" t="s">
        <v>465</v>
      </c>
      <c r="F25" s="91" t="s">
        <v>463</v>
      </c>
      <c r="G25" s="91" t="s">
        <v>463</v>
      </c>
      <c r="H25" s="91" t="s">
        <v>463</v>
      </c>
      <c r="I25" s="111"/>
      <c r="J25" s="111"/>
      <c r="K25" s="114"/>
      <c r="L25" s="111"/>
      <c r="M25" s="93"/>
    </row>
    <row r="26" spans="1:13" ht="17.25" thickBot="1" x14ac:dyDescent="0.3">
      <c r="A26" s="120"/>
      <c r="B26" s="123"/>
      <c r="C26" s="112"/>
      <c r="D26" s="112"/>
      <c r="E26" s="88" t="s">
        <v>466</v>
      </c>
      <c r="F26" s="88" t="s">
        <v>470</v>
      </c>
      <c r="G26" s="88" t="s">
        <v>469</v>
      </c>
      <c r="H26" s="88" t="s">
        <v>470</v>
      </c>
      <c r="I26" s="112"/>
      <c r="J26" s="112"/>
      <c r="K26" s="115"/>
      <c r="L26" s="112"/>
      <c r="M26" s="93"/>
    </row>
    <row r="27" spans="1:13" ht="17.25" thickBot="1" x14ac:dyDescent="0.3">
      <c r="A27" s="118" t="s">
        <v>471</v>
      </c>
      <c r="B27" s="121" t="s">
        <v>485</v>
      </c>
      <c r="C27" s="124">
        <v>50</v>
      </c>
      <c r="D27" s="124">
        <v>70</v>
      </c>
      <c r="E27" s="90" t="s">
        <v>473</v>
      </c>
      <c r="F27" s="90" t="s">
        <v>486</v>
      </c>
      <c r="G27" s="90" t="s">
        <v>487</v>
      </c>
      <c r="H27" s="90" t="s">
        <v>486</v>
      </c>
      <c r="I27" s="124" t="s">
        <v>462</v>
      </c>
      <c r="J27" s="110" t="s">
        <v>476</v>
      </c>
      <c r="K27" s="113" t="s">
        <v>477</v>
      </c>
      <c r="L27" s="110" t="s">
        <v>476</v>
      </c>
      <c r="M27" s="92"/>
    </row>
    <row r="28" spans="1:13" x14ac:dyDescent="0.25">
      <c r="A28" s="119"/>
      <c r="B28" s="122"/>
      <c r="C28" s="111"/>
      <c r="D28" s="111"/>
      <c r="E28" s="91" t="s">
        <v>481</v>
      </c>
      <c r="F28" s="91" t="s">
        <v>463</v>
      </c>
      <c r="G28" s="91" t="s">
        <v>463</v>
      </c>
      <c r="H28" s="90" t="s">
        <v>488</v>
      </c>
      <c r="I28" s="111"/>
      <c r="J28" s="111"/>
      <c r="K28" s="114"/>
      <c r="L28" s="111"/>
      <c r="M28" s="93"/>
    </row>
    <row r="29" spans="1:13" x14ac:dyDescent="0.25">
      <c r="A29" s="119"/>
      <c r="B29" s="122"/>
      <c r="C29" s="111"/>
      <c r="D29" s="111"/>
      <c r="E29" s="91" t="s">
        <v>465</v>
      </c>
      <c r="F29" s="91" t="s">
        <v>463</v>
      </c>
      <c r="G29" s="91" t="s">
        <v>487</v>
      </c>
      <c r="H29" s="91" t="s">
        <v>463</v>
      </c>
      <c r="I29" s="111"/>
      <c r="J29" s="111"/>
      <c r="K29" s="114"/>
      <c r="L29" s="111"/>
      <c r="M29" s="93"/>
    </row>
    <row r="30" spans="1:13" ht="17.25" thickBot="1" x14ac:dyDescent="0.3">
      <c r="A30" s="120"/>
      <c r="B30" s="123"/>
      <c r="C30" s="112"/>
      <c r="D30" s="112"/>
      <c r="E30" s="88" t="s">
        <v>466</v>
      </c>
      <c r="F30" s="88" t="s">
        <v>489</v>
      </c>
      <c r="G30" s="88" t="s">
        <v>486</v>
      </c>
      <c r="H30" s="88" t="s">
        <v>489</v>
      </c>
      <c r="I30" s="112"/>
      <c r="J30" s="112"/>
      <c r="K30" s="115"/>
      <c r="L30" s="112"/>
      <c r="M30" s="93"/>
    </row>
    <row r="31" spans="1:13" x14ac:dyDescent="0.25">
      <c r="A31" s="118" t="s">
        <v>431</v>
      </c>
      <c r="B31" s="121" t="s">
        <v>490</v>
      </c>
      <c r="C31" s="124">
        <v>50</v>
      </c>
      <c r="D31" s="124">
        <v>70</v>
      </c>
      <c r="E31" s="90" t="s">
        <v>473</v>
      </c>
      <c r="F31" s="90" t="s">
        <v>491</v>
      </c>
      <c r="G31" s="90" t="s">
        <v>487</v>
      </c>
      <c r="H31" s="90" t="s">
        <v>486</v>
      </c>
      <c r="I31" s="124" t="s">
        <v>463</v>
      </c>
      <c r="J31" s="110" t="s">
        <v>476</v>
      </c>
      <c r="K31" s="113" t="s">
        <v>477</v>
      </c>
      <c r="L31" s="110" t="s">
        <v>476</v>
      </c>
      <c r="M31" s="92"/>
    </row>
    <row r="32" spans="1:13" x14ac:dyDescent="0.25">
      <c r="A32" s="119"/>
      <c r="B32" s="122"/>
      <c r="C32" s="111"/>
      <c r="D32" s="111"/>
      <c r="E32" s="91" t="s">
        <v>481</v>
      </c>
      <c r="F32" s="91" t="s">
        <v>463</v>
      </c>
      <c r="G32" s="91" t="s">
        <v>463</v>
      </c>
      <c r="H32" s="91" t="s">
        <v>463</v>
      </c>
      <c r="I32" s="111"/>
      <c r="J32" s="111"/>
      <c r="K32" s="114"/>
      <c r="L32" s="111"/>
      <c r="M32" s="93"/>
    </row>
    <row r="33" spans="1:13" x14ac:dyDescent="0.25">
      <c r="A33" s="119"/>
      <c r="B33" s="122"/>
      <c r="C33" s="111"/>
      <c r="D33" s="111"/>
      <c r="E33" s="91" t="s">
        <v>465</v>
      </c>
      <c r="F33" s="91" t="s">
        <v>463</v>
      </c>
      <c r="G33" s="91" t="s">
        <v>463</v>
      </c>
      <c r="H33" s="91" t="s">
        <v>463</v>
      </c>
      <c r="I33" s="111"/>
      <c r="J33" s="111"/>
      <c r="K33" s="114"/>
      <c r="L33" s="111"/>
      <c r="M33" s="93"/>
    </row>
    <row r="34" spans="1:13" ht="17.25" thickBot="1" x14ac:dyDescent="0.3">
      <c r="A34" s="120"/>
      <c r="B34" s="123"/>
      <c r="C34" s="112"/>
      <c r="D34" s="112"/>
      <c r="E34" s="88" t="s">
        <v>466</v>
      </c>
      <c r="F34" s="88" t="s">
        <v>489</v>
      </c>
      <c r="G34" s="88" t="s">
        <v>486</v>
      </c>
      <c r="H34" s="88" t="s">
        <v>489</v>
      </c>
      <c r="I34" s="112"/>
      <c r="J34" s="112"/>
      <c r="K34" s="115"/>
      <c r="L34" s="112"/>
      <c r="M34" s="93"/>
    </row>
    <row r="35" spans="1:13" ht="17.25" thickBot="1" x14ac:dyDescent="0.3">
      <c r="A35" s="118" t="s">
        <v>471</v>
      </c>
      <c r="B35" s="121" t="s">
        <v>492</v>
      </c>
      <c r="C35" s="124">
        <v>50</v>
      </c>
      <c r="D35" s="124">
        <v>70</v>
      </c>
      <c r="E35" s="90" t="s">
        <v>473</v>
      </c>
      <c r="F35" s="90" t="s">
        <v>493</v>
      </c>
      <c r="G35" s="90" t="s">
        <v>487</v>
      </c>
      <c r="H35" s="90" t="s">
        <v>486</v>
      </c>
      <c r="I35" s="124" t="s">
        <v>463</v>
      </c>
      <c r="J35" s="110" t="s">
        <v>476</v>
      </c>
      <c r="K35" s="113" t="s">
        <v>477</v>
      </c>
      <c r="L35" s="110" t="s">
        <v>476</v>
      </c>
      <c r="M35" s="92"/>
    </row>
    <row r="36" spans="1:13" x14ac:dyDescent="0.25">
      <c r="A36" s="119"/>
      <c r="B36" s="122"/>
      <c r="C36" s="111"/>
      <c r="D36" s="111"/>
      <c r="E36" s="91" t="s">
        <v>481</v>
      </c>
      <c r="F36" s="90" t="s">
        <v>494</v>
      </c>
      <c r="G36" s="91" t="s">
        <v>463</v>
      </c>
      <c r="H36" s="91" t="s">
        <v>463</v>
      </c>
      <c r="I36" s="111"/>
      <c r="J36" s="111"/>
      <c r="K36" s="114"/>
      <c r="L36" s="111"/>
      <c r="M36" s="93"/>
    </row>
    <row r="37" spans="1:13" x14ac:dyDescent="0.25">
      <c r="A37" s="119"/>
      <c r="B37" s="122"/>
      <c r="C37" s="111"/>
      <c r="D37" s="111"/>
      <c r="E37" s="91" t="s">
        <v>465</v>
      </c>
      <c r="F37" s="91" t="s">
        <v>463</v>
      </c>
      <c r="G37" s="91" t="s">
        <v>463</v>
      </c>
      <c r="H37" s="91" t="s">
        <v>463</v>
      </c>
      <c r="I37" s="111"/>
      <c r="J37" s="111"/>
      <c r="K37" s="114"/>
      <c r="L37" s="111"/>
      <c r="M37" s="93"/>
    </row>
    <row r="38" spans="1:13" ht="17.25" thickBot="1" x14ac:dyDescent="0.3">
      <c r="A38" s="120"/>
      <c r="B38" s="123"/>
      <c r="C38" s="112"/>
      <c r="D38" s="112"/>
      <c r="E38" s="88" t="s">
        <v>466</v>
      </c>
      <c r="F38" s="88" t="s">
        <v>489</v>
      </c>
      <c r="G38" s="88" t="s">
        <v>486</v>
      </c>
      <c r="H38" s="88" t="s">
        <v>489</v>
      </c>
      <c r="I38" s="112"/>
      <c r="J38" s="112"/>
      <c r="K38" s="115"/>
      <c r="L38" s="112"/>
      <c r="M38" s="93"/>
    </row>
    <row r="39" spans="1:13" ht="17.25" thickBot="1" x14ac:dyDescent="0.3">
      <c r="A39" s="118" t="s">
        <v>471</v>
      </c>
      <c r="B39" s="121" t="s">
        <v>495</v>
      </c>
      <c r="C39" s="124">
        <v>50</v>
      </c>
      <c r="D39" s="124">
        <v>70</v>
      </c>
      <c r="E39" s="90" t="s">
        <v>453</v>
      </c>
      <c r="F39" s="90" t="s">
        <v>486</v>
      </c>
      <c r="G39" s="90" t="s">
        <v>487</v>
      </c>
      <c r="H39" s="90" t="s">
        <v>486</v>
      </c>
      <c r="I39" s="124" t="s">
        <v>463</v>
      </c>
      <c r="J39" s="110" t="s">
        <v>476</v>
      </c>
      <c r="K39" s="113" t="s">
        <v>477</v>
      </c>
      <c r="L39" s="110" t="s">
        <v>476</v>
      </c>
      <c r="M39" s="92"/>
    </row>
    <row r="40" spans="1:13" x14ac:dyDescent="0.25">
      <c r="A40" s="119"/>
      <c r="B40" s="122"/>
      <c r="C40" s="111"/>
      <c r="D40" s="111"/>
      <c r="E40" s="91" t="s">
        <v>481</v>
      </c>
      <c r="F40" s="90" t="s">
        <v>488</v>
      </c>
      <c r="G40" s="91" t="s">
        <v>463</v>
      </c>
      <c r="H40" s="91" t="s">
        <v>463</v>
      </c>
      <c r="I40" s="111"/>
      <c r="J40" s="111"/>
      <c r="K40" s="114"/>
      <c r="L40" s="111"/>
      <c r="M40" s="93"/>
    </row>
    <row r="41" spans="1:13" x14ac:dyDescent="0.25">
      <c r="A41" s="119"/>
      <c r="B41" s="122"/>
      <c r="C41" s="111"/>
      <c r="D41" s="111"/>
      <c r="E41" s="91" t="s">
        <v>465</v>
      </c>
      <c r="F41" s="91" t="s">
        <v>463</v>
      </c>
      <c r="G41" s="91" t="s">
        <v>488</v>
      </c>
      <c r="H41" s="91" t="s">
        <v>463</v>
      </c>
      <c r="I41" s="111"/>
      <c r="J41" s="111"/>
      <c r="K41" s="114"/>
      <c r="L41" s="111"/>
      <c r="M41" s="93"/>
    </row>
    <row r="42" spans="1:13" ht="17.25" thickBot="1" x14ac:dyDescent="0.3">
      <c r="A42" s="120"/>
      <c r="B42" s="123"/>
      <c r="C42" s="112"/>
      <c r="D42" s="112"/>
      <c r="E42" s="88" t="s">
        <v>466</v>
      </c>
      <c r="F42" s="88" t="s">
        <v>489</v>
      </c>
      <c r="G42" s="88" t="s">
        <v>491</v>
      </c>
      <c r="H42" s="88" t="s">
        <v>489</v>
      </c>
      <c r="I42" s="112"/>
      <c r="J42" s="112"/>
      <c r="K42" s="115"/>
      <c r="L42" s="112"/>
      <c r="M42" s="93"/>
    </row>
    <row r="43" spans="1:13" x14ac:dyDescent="0.25">
      <c r="A43" s="118" t="s">
        <v>471</v>
      </c>
      <c r="B43" s="121" t="s">
        <v>496</v>
      </c>
      <c r="C43" s="124">
        <v>30</v>
      </c>
      <c r="D43" s="124">
        <v>60</v>
      </c>
      <c r="E43" s="90" t="s">
        <v>473</v>
      </c>
      <c r="F43" s="90" t="s">
        <v>469</v>
      </c>
      <c r="G43" s="90" t="s">
        <v>474</v>
      </c>
      <c r="H43" s="90" t="s">
        <v>469</v>
      </c>
      <c r="I43" s="124" t="s">
        <v>475</v>
      </c>
      <c r="J43" s="110" t="s">
        <v>476</v>
      </c>
      <c r="K43" s="113" t="s">
        <v>477</v>
      </c>
      <c r="L43" s="110" t="s">
        <v>476</v>
      </c>
      <c r="M43" s="92"/>
    </row>
    <row r="44" spans="1:13" x14ac:dyDescent="0.25">
      <c r="A44" s="119"/>
      <c r="B44" s="122"/>
      <c r="C44" s="111"/>
      <c r="D44" s="111"/>
      <c r="E44" s="91" t="s">
        <v>481</v>
      </c>
      <c r="F44" s="91" t="s">
        <v>463</v>
      </c>
      <c r="G44" s="91" t="s">
        <v>463</v>
      </c>
      <c r="H44" s="91" t="s">
        <v>463</v>
      </c>
      <c r="I44" s="111"/>
      <c r="J44" s="111"/>
      <c r="K44" s="114"/>
      <c r="L44" s="111"/>
      <c r="M44" s="93"/>
    </row>
    <row r="45" spans="1:13" x14ac:dyDescent="0.25">
      <c r="A45" s="119"/>
      <c r="B45" s="122"/>
      <c r="C45" s="111"/>
      <c r="D45" s="111"/>
      <c r="E45" s="91" t="s">
        <v>465</v>
      </c>
      <c r="F45" s="91" t="s">
        <v>463</v>
      </c>
      <c r="G45" s="91" t="s">
        <v>463</v>
      </c>
      <c r="H45" s="91" t="s">
        <v>463</v>
      </c>
      <c r="I45" s="111"/>
      <c r="J45" s="111"/>
      <c r="K45" s="114"/>
      <c r="L45" s="111"/>
      <c r="M45" s="93"/>
    </row>
    <row r="46" spans="1:13" ht="17.25" thickBot="1" x14ac:dyDescent="0.3">
      <c r="A46" s="120"/>
      <c r="B46" s="123"/>
      <c r="C46" s="112"/>
      <c r="D46" s="112"/>
      <c r="E46" s="88" t="s">
        <v>466</v>
      </c>
      <c r="F46" s="88" t="s">
        <v>470</v>
      </c>
      <c r="G46" s="88" t="s">
        <v>469</v>
      </c>
      <c r="H46" s="88" t="s">
        <v>470</v>
      </c>
      <c r="I46" s="112"/>
      <c r="J46" s="112"/>
      <c r="K46" s="115"/>
      <c r="L46" s="112"/>
      <c r="M46" s="93"/>
    </row>
    <row r="47" spans="1:13" x14ac:dyDescent="0.25">
      <c r="A47" s="118" t="s">
        <v>471</v>
      </c>
      <c r="B47" s="121" t="s">
        <v>497</v>
      </c>
      <c r="C47" s="124">
        <v>30</v>
      </c>
      <c r="D47" s="124">
        <v>60</v>
      </c>
      <c r="E47" s="90" t="s">
        <v>473</v>
      </c>
      <c r="F47" s="90" t="s">
        <v>469</v>
      </c>
      <c r="G47" s="90" t="s">
        <v>474</v>
      </c>
      <c r="H47" s="90" t="s">
        <v>469</v>
      </c>
      <c r="I47" s="124" t="s">
        <v>475</v>
      </c>
      <c r="J47" s="110" t="s">
        <v>476</v>
      </c>
      <c r="K47" s="113" t="s">
        <v>477</v>
      </c>
      <c r="L47" s="110" t="s">
        <v>476</v>
      </c>
      <c r="M47" s="92"/>
    </row>
    <row r="48" spans="1:13" x14ac:dyDescent="0.25">
      <c r="A48" s="119"/>
      <c r="B48" s="122"/>
      <c r="C48" s="111"/>
      <c r="D48" s="111"/>
      <c r="E48" s="91" t="s">
        <v>481</v>
      </c>
      <c r="F48" s="91" t="s">
        <v>463</v>
      </c>
      <c r="G48" s="91" t="s">
        <v>463</v>
      </c>
      <c r="H48" s="91" t="s">
        <v>463</v>
      </c>
      <c r="I48" s="111"/>
      <c r="J48" s="111"/>
      <c r="K48" s="114"/>
      <c r="L48" s="111"/>
      <c r="M48" s="93"/>
    </row>
    <row r="49" spans="1:13" x14ac:dyDescent="0.25">
      <c r="A49" s="119"/>
      <c r="B49" s="122"/>
      <c r="C49" s="111"/>
      <c r="D49" s="111"/>
      <c r="E49" s="91" t="s">
        <v>465</v>
      </c>
      <c r="F49" s="91" t="s">
        <v>463</v>
      </c>
      <c r="G49" s="91" t="s">
        <v>463</v>
      </c>
      <c r="H49" s="91" t="s">
        <v>463</v>
      </c>
      <c r="I49" s="111"/>
      <c r="J49" s="111"/>
      <c r="K49" s="114"/>
      <c r="L49" s="111"/>
      <c r="M49" s="93"/>
    </row>
    <row r="50" spans="1:13" ht="17.25" thickBot="1" x14ac:dyDescent="0.3">
      <c r="A50" s="120"/>
      <c r="B50" s="123"/>
      <c r="C50" s="112"/>
      <c r="D50" s="112"/>
      <c r="E50" s="88" t="s">
        <v>466</v>
      </c>
      <c r="F50" s="88" t="s">
        <v>474</v>
      </c>
      <c r="G50" s="88" t="s">
        <v>474</v>
      </c>
      <c r="H50" s="88" t="s">
        <v>474</v>
      </c>
      <c r="I50" s="112"/>
      <c r="J50" s="112"/>
      <c r="K50" s="115"/>
      <c r="L50" s="112"/>
      <c r="M50" s="93"/>
    </row>
    <row r="51" spans="1:13" x14ac:dyDescent="0.25">
      <c r="A51" s="118" t="s">
        <v>471</v>
      </c>
      <c r="B51" s="121" t="s">
        <v>498</v>
      </c>
      <c r="C51" s="124">
        <v>30</v>
      </c>
      <c r="D51" s="124">
        <v>60</v>
      </c>
      <c r="E51" s="90" t="s">
        <v>473</v>
      </c>
      <c r="F51" s="90" t="s">
        <v>470</v>
      </c>
      <c r="G51" s="90" t="s">
        <v>474</v>
      </c>
      <c r="H51" s="90" t="s">
        <v>470</v>
      </c>
      <c r="I51" s="124" t="s">
        <v>475</v>
      </c>
      <c r="J51" s="110" t="s">
        <v>476</v>
      </c>
      <c r="K51" s="113" t="s">
        <v>477</v>
      </c>
      <c r="L51" s="110" t="s">
        <v>476</v>
      </c>
      <c r="M51" s="92"/>
    </row>
    <row r="52" spans="1:13" x14ac:dyDescent="0.25">
      <c r="A52" s="119"/>
      <c r="B52" s="122"/>
      <c r="C52" s="111"/>
      <c r="D52" s="111"/>
      <c r="E52" s="91" t="s">
        <v>481</v>
      </c>
      <c r="F52" s="91" t="s">
        <v>463</v>
      </c>
      <c r="G52" s="91" t="s">
        <v>463</v>
      </c>
      <c r="H52" s="91" t="s">
        <v>463</v>
      </c>
      <c r="I52" s="111"/>
      <c r="J52" s="111"/>
      <c r="K52" s="114"/>
      <c r="L52" s="111"/>
      <c r="M52" s="93"/>
    </row>
    <row r="53" spans="1:13" x14ac:dyDescent="0.25">
      <c r="A53" s="119"/>
      <c r="B53" s="122"/>
      <c r="C53" s="111"/>
      <c r="D53" s="111"/>
      <c r="E53" s="91" t="s">
        <v>465</v>
      </c>
      <c r="F53" s="91" t="s">
        <v>463</v>
      </c>
      <c r="G53" s="91" t="s">
        <v>463</v>
      </c>
      <c r="H53" s="91" t="s">
        <v>463</v>
      </c>
      <c r="I53" s="111"/>
      <c r="J53" s="111"/>
      <c r="K53" s="114"/>
      <c r="L53" s="111"/>
      <c r="M53" s="93"/>
    </row>
    <row r="54" spans="1:13" ht="17.25" thickBot="1" x14ac:dyDescent="0.3">
      <c r="A54" s="120"/>
      <c r="B54" s="123"/>
      <c r="C54" s="112"/>
      <c r="D54" s="112"/>
      <c r="E54" s="88" t="s">
        <v>466</v>
      </c>
      <c r="F54" s="88" t="s">
        <v>474</v>
      </c>
      <c r="G54" s="88" t="s">
        <v>474</v>
      </c>
      <c r="H54" s="88" t="s">
        <v>474</v>
      </c>
      <c r="I54" s="112"/>
      <c r="J54" s="112"/>
      <c r="K54" s="115"/>
      <c r="L54" s="112"/>
      <c r="M54" s="93"/>
    </row>
    <row r="55" spans="1:13" x14ac:dyDescent="0.25">
      <c r="A55" s="118" t="s">
        <v>471</v>
      </c>
      <c r="B55" s="121" t="s">
        <v>499</v>
      </c>
      <c r="C55" s="124">
        <v>30</v>
      </c>
      <c r="D55" s="124">
        <v>60</v>
      </c>
      <c r="E55" s="90" t="s">
        <v>473</v>
      </c>
      <c r="F55" s="90" t="s">
        <v>470</v>
      </c>
      <c r="G55" s="90" t="s">
        <v>474</v>
      </c>
      <c r="H55" s="90" t="s">
        <v>470</v>
      </c>
      <c r="I55" s="124" t="s">
        <v>475</v>
      </c>
      <c r="J55" s="110" t="s">
        <v>476</v>
      </c>
      <c r="K55" s="113" t="s">
        <v>477</v>
      </c>
      <c r="L55" s="110" t="s">
        <v>476</v>
      </c>
      <c r="M55" s="92"/>
    </row>
    <row r="56" spans="1:13" x14ac:dyDescent="0.25">
      <c r="A56" s="119"/>
      <c r="B56" s="122"/>
      <c r="C56" s="111"/>
      <c r="D56" s="111"/>
      <c r="E56" s="91" t="s">
        <v>481</v>
      </c>
      <c r="F56" s="91" t="s">
        <v>463</v>
      </c>
      <c r="G56" s="91" t="s">
        <v>463</v>
      </c>
      <c r="H56" s="91" t="s">
        <v>463</v>
      </c>
      <c r="I56" s="111"/>
      <c r="J56" s="111"/>
      <c r="K56" s="114"/>
      <c r="L56" s="111"/>
      <c r="M56" s="93"/>
    </row>
    <row r="57" spans="1:13" x14ac:dyDescent="0.25">
      <c r="A57" s="119"/>
      <c r="B57" s="122"/>
      <c r="C57" s="111"/>
      <c r="D57" s="111"/>
      <c r="E57" s="91" t="s">
        <v>465</v>
      </c>
      <c r="F57" s="91" t="s">
        <v>463</v>
      </c>
      <c r="G57" s="91" t="s">
        <v>463</v>
      </c>
      <c r="H57" s="91" t="s">
        <v>463</v>
      </c>
      <c r="I57" s="111"/>
      <c r="J57" s="111"/>
      <c r="K57" s="114"/>
      <c r="L57" s="111"/>
      <c r="M57" s="93"/>
    </row>
    <row r="58" spans="1:13" ht="17.25" thickBot="1" x14ac:dyDescent="0.3">
      <c r="A58" s="120"/>
      <c r="B58" s="123"/>
      <c r="C58" s="112"/>
      <c r="D58" s="112"/>
      <c r="E58" s="88" t="s">
        <v>466</v>
      </c>
      <c r="F58" s="88" t="s">
        <v>474</v>
      </c>
      <c r="G58" s="88" t="s">
        <v>474</v>
      </c>
      <c r="H58" s="88" t="s">
        <v>474</v>
      </c>
      <c r="I58" s="112"/>
      <c r="J58" s="112"/>
      <c r="K58" s="115"/>
      <c r="L58" s="112"/>
      <c r="M58" s="93"/>
    </row>
    <row r="59" spans="1:13" x14ac:dyDescent="0.25">
      <c r="A59" s="118" t="s">
        <v>471</v>
      </c>
      <c r="B59" s="121" t="s">
        <v>500</v>
      </c>
      <c r="C59" s="124">
        <v>30</v>
      </c>
      <c r="D59" s="124">
        <v>60</v>
      </c>
      <c r="E59" s="90" t="s">
        <v>473</v>
      </c>
      <c r="F59" s="90" t="s">
        <v>470</v>
      </c>
      <c r="G59" s="90" t="s">
        <v>474</v>
      </c>
      <c r="H59" s="90" t="s">
        <v>469</v>
      </c>
      <c r="I59" s="124" t="s">
        <v>475</v>
      </c>
      <c r="J59" s="110" t="s">
        <v>476</v>
      </c>
      <c r="K59" s="113" t="s">
        <v>477</v>
      </c>
      <c r="L59" s="110" t="s">
        <v>476</v>
      </c>
      <c r="M59" s="92"/>
    </row>
    <row r="60" spans="1:13" x14ac:dyDescent="0.25">
      <c r="A60" s="119"/>
      <c r="B60" s="122"/>
      <c r="C60" s="111"/>
      <c r="D60" s="111"/>
      <c r="E60" s="91" t="s">
        <v>481</v>
      </c>
      <c r="F60" s="91" t="s">
        <v>463</v>
      </c>
      <c r="G60" s="91" t="s">
        <v>463</v>
      </c>
      <c r="H60" s="91" t="s">
        <v>463</v>
      </c>
      <c r="I60" s="111"/>
      <c r="J60" s="111"/>
      <c r="K60" s="114"/>
      <c r="L60" s="111"/>
      <c r="M60" s="93"/>
    </row>
    <row r="61" spans="1:13" x14ac:dyDescent="0.25">
      <c r="A61" s="119"/>
      <c r="B61" s="122"/>
      <c r="C61" s="111"/>
      <c r="D61" s="111"/>
      <c r="E61" s="91" t="s">
        <v>465</v>
      </c>
      <c r="F61" s="91" t="s">
        <v>463</v>
      </c>
      <c r="G61" s="91" t="s">
        <v>463</v>
      </c>
      <c r="H61" s="91" t="s">
        <v>463</v>
      </c>
      <c r="I61" s="111"/>
      <c r="J61" s="111"/>
      <c r="K61" s="114"/>
      <c r="L61" s="111"/>
      <c r="M61" s="93"/>
    </row>
    <row r="62" spans="1:13" ht="17.25" thickBot="1" x14ac:dyDescent="0.3">
      <c r="A62" s="120"/>
      <c r="B62" s="123"/>
      <c r="C62" s="112"/>
      <c r="D62" s="112"/>
      <c r="E62" s="88" t="s">
        <v>466</v>
      </c>
      <c r="F62" s="88" t="s">
        <v>474</v>
      </c>
      <c r="G62" s="88" t="s">
        <v>474</v>
      </c>
      <c r="H62" s="88" t="s">
        <v>474</v>
      </c>
      <c r="I62" s="112"/>
      <c r="J62" s="112"/>
      <c r="K62" s="115"/>
      <c r="L62" s="112"/>
      <c r="M62" s="93"/>
    </row>
    <row r="63" spans="1:13" x14ac:dyDescent="0.25">
      <c r="A63" s="118" t="s">
        <v>471</v>
      </c>
      <c r="B63" s="121" t="s">
        <v>501</v>
      </c>
      <c r="C63" s="124">
        <v>30</v>
      </c>
      <c r="D63" s="124">
        <v>60</v>
      </c>
      <c r="E63" s="90" t="s">
        <v>473</v>
      </c>
      <c r="F63" s="90" t="s">
        <v>469</v>
      </c>
      <c r="G63" s="90" t="s">
        <v>474</v>
      </c>
      <c r="H63" s="90" t="s">
        <v>469</v>
      </c>
      <c r="I63" s="124" t="s">
        <v>475</v>
      </c>
      <c r="J63" s="110" t="s">
        <v>476</v>
      </c>
      <c r="K63" s="113" t="s">
        <v>477</v>
      </c>
      <c r="L63" s="110" t="s">
        <v>476</v>
      </c>
      <c r="M63" s="92"/>
    </row>
    <row r="64" spans="1:13" x14ac:dyDescent="0.25">
      <c r="A64" s="119"/>
      <c r="B64" s="122"/>
      <c r="C64" s="111"/>
      <c r="D64" s="111"/>
      <c r="E64" s="91" t="s">
        <v>481</v>
      </c>
      <c r="F64" s="91" t="s">
        <v>463</v>
      </c>
      <c r="G64" s="91" t="s">
        <v>463</v>
      </c>
      <c r="H64" s="91" t="s">
        <v>463</v>
      </c>
      <c r="I64" s="111"/>
      <c r="J64" s="111"/>
      <c r="K64" s="114"/>
      <c r="L64" s="111"/>
      <c r="M64" s="93"/>
    </row>
    <row r="65" spans="1:13" x14ac:dyDescent="0.25">
      <c r="A65" s="119"/>
      <c r="B65" s="122"/>
      <c r="C65" s="111"/>
      <c r="D65" s="111"/>
      <c r="E65" s="91" t="s">
        <v>465</v>
      </c>
      <c r="F65" s="91" t="s">
        <v>463</v>
      </c>
      <c r="G65" s="91" t="s">
        <v>463</v>
      </c>
      <c r="H65" s="91" t="s">
        <v>463</v>
      </c>
      <c r="I65" s="111"/>
      <c r="J65" s="111"/>
      <c r="K65" s="114"/>
      <c r="L65" s="111"/>
      <c r="M65" s="93"/>
    </row>
    <row r="66" spans="1:13" ht="17.25" thickBot="1" x14ac:dyDescent="0.3">
      <c r="A66" s="120"/>
      <c r="B66" s="123"/>
      <c r="C66" s="112"/>
      <c r="D66" s="112"/>
      <c r="E66" s="88" t="s">
        <v>466</v>
      </c>
      <c r="F66" s="88" t="s">
        <v>470</v>
      </c>
      <c r="G66" s="88" t="s">
        <v>469</v>
      </c>
      <c r="H66" s="88" t="s">
        <v>470</v>
      </c>
      <c r="I66" s="112"/>
      <c r="J66" s="112"/>
      <c r="K66" s="115"/>
      <c r="L66" s="112"/>
      <c r="M66" s="93"/>
    </row>
    <row r="67" spans="1:13" x14ac:dyDescent="0.25">
      <c r="A67" s="118" t="s">
        <v>471</v>
      </c>
      <c r="B67" s="121" t="s">
        <v>502</v>
      </c>
      <c r="C67" s="124">
        <v>30</v>
      </c>
      <c r="D67" s="124">
        <v>60</v>
      </c>
      <c r="E67" s="90" t="s">
        <v>473</v>
      </c>
      <c r="F67" s="90" t="s">
        <v>470</v>
      </c>
      <c r="G67" s="90" t="s">
        <v>474</v>
      </c>
      <c r="H67" s="90" t="s">
        <v>470</v>
      </c>
      <c r="I67" s="124" t="s">
        <v>475</v>
      </c>
      <c r="J67" s="110" t="s">
        <v>476</v>
      </c>
      <c r="K67" s="113" t="s">
        <v>477</v>
      </c>
      <c r="L67" s="110" t="s">
        <v>476</v>
      </c>
      <c r="M67" s="92"/>
    </row>
    <row r="68" spans="1:13" x14ac:dyDescent="0.25">
      <c r="A68" s="119"/>
      <c r="B68" s="122"/>
      <c r="C68" s="111"/>
      <c r="D68" s="111"/>
      <c r="E68" s="91" t="s">
        <v>481</v>
      </c>
      <c r="F68" s="91" t="s">
        <v>463</v>
      </c>
      <c r="G68" s="91" t="s">
        <v>463</v>
      </c>
      <c r="H68" s="91" t="s">
        <v>463</v>
      </c>
      <c r="I68" s="111"/>
      <c r="J68" s="111"/>
      <c r="K68" s="114"/>
      <c r="L68" s="111"/>
      <c r="M68" s="93"/>
    </row>
    <row r="69" spans="1:13" x14ac:dyDescent="0.25">
      <c r="A69" s="119"/>
      <c r="B69" s="122"/>
      <c r="C69" s="111"/>
      <c r="D69" s="111"/>
      <c r="E69" s="91" t="s">
        <v>465</v>
      </c>
      <c r="F69" s="91" t="s">
        <v>463</v>
      </c>
      <c r="G69" s="91" t="s">
        <v>463</v>
      </c>
      <c r="H69" s="91" t="s">
        <v>463</v>
      </c>
      <c r="I69" s="111"/>
      <c r="J69" s="111"/>
      <c r="K69" s="114"/>
      <c r="L69" s="111"/>
      <c r="M69" s="93"/>
    </row>
    <row r="70" spans="1:13" ht="17.25" thickBot="1" x14ac:dyDescent="0.3">
      <c r="A70" s="120"/>
      <c r="B70" s="123"/>
      <c r="C70" s="112"/>
      <c r="D70" s="112"/>
      <c r="E70" s="88" t="s">
        <v>466</v>
      </c>
      <c r="F70" s="88" t="s">
        <v>474</v>
      </c>
      <c r="G70" s="88" t="s">
        <v>474</v>
      </c>
      <c r="H70" s="88" t="s">
        <v>474</v>
      </c>
      <c r="I70" s="112"/>
      <c r="J70" s="112"/>
      <c r="K70" s="115"/>
      <c r="L70" s="112"/>
      <c r="M70" s="93"/>
    </row>
    <row r="71" spans="1:13" x14ac:dyDescent="0.25">
      <c r="A71" s="118" t="s">
        <v>471</v>
      </c>
      <c r="B71" s="121" t="s">
        <v>503</v>
      </c>
      <c r="C71" s="124">
        <v>30</v>
      </c>
      <c r="D71" s="124">
        <v>60</v>
      </c>
      <c r="E71" s="90" t="s">
        <v>473</v>
      </c>
      <c r="F71" s="90" t="s">
        <v>470</v>
      </c>
      <c r="G71" s="90" t="s">
        <v>474</v>
      </c>
      <c r="H71" s="90" t="s">
        <v>470</v>
      </c>
      <c r="I71" s="124" t="s">
        <v>475</v>
      </c>
      <c r="J71" s="110" t="s">
        <v>476</v>
      </c>
      <c r="K71" s="113" t="s">
        <v>477</v>
      </c>
      <c r="L71" s="110" t="s">
        <v>476</v>
      </c>
      <c r="M71" s="92"/>
    </row>
    <row r="72" spans="1:13" x14ac:dyDescent="0.25">
      <c r="A72" s="119"/>
      <c r="B72" s="122"/>
      <c r="C72" s="111"/>
      <c r="D72" s="111"/>
      <c r="E72" s="91" t="s">
        <v>481</v>
      </c>
      <c r="F72" s="91" t="s">
        <v>463</v>
      </c>
      <c r="G72" s="91" t="s">
        <v>463</v>
      </c>
      <c r="H72" s="91" t="s">
        <v>463</v>
      </c>
      <c r="I72" s="111"/>
      <c r="J72" s="111"/>
      <c r="K72" s="114"/>
      <c r="L72" s="111"/>
      <c r="M72" s="93"/>
    </row>
    <row r="73" spans="1:13" x14ac:dyDescent="0.25">
      <c r="A73" s="119"/>
      <c r="B73" s="122"/>
      <c r="C73" s="111"/>
      <c r="D73" s="111"/>
      <c r="E73" s="91" t="s">
        <v>465</v>
      </c>
      <c r="F73" s="91" t="s">
        <v>463</v>
      </c>
      <c r="G73" s="91" t="s">
        <v>463</v>
      </c>
      <c r="H73" s="91" t="s">
        <v>463</v>
      </c>
      <c r="I73" s="111"/>
      <c r="J73" s="111"/>
      <c r="K73" s="114"/>
      <c r="L73" s="111"/>
      <c r="M73" s="93"/>
    </row>
    <row r="74" spans="1:13" ht="17.25" thickBot="1" x14ac:dyDescent="0.3">
      <c r="A74" s="120"/>
      <c r="B74" s="123"/>
      <c r="C74" s="112"/>
      <c r="D74" s="112"/>
      <c r="E74" s="88" t="s">
        <v>466</v>
      </c>
      <c r="F74" s="88" t="s">
        <v>474</v>
      </c>
      <c r="G74" s="88" t="s">
        <v>474</v>
      </c>
      <c r="H74" s="88" t="s">
        <v>474</v>
      </c>
      <c r="I74" s="112"/>
      <c r="J74" s="112"/>
      <c r="K74" s="115"/>
      <c r="L74" s="112"/>
      <c r="M74" s="93"/>
    </row>
    <row r="75" spans="1:13" x14ac:dyDescent="0.25">
      <c r="A75" s="118" t="s">
        <v>471</v>
      </c>
      <c r="B75" s="121" t="s">
        <v>504</v>
      </c>
      <c r="C75" s="124">
        <v>30</v>
      </c>
      <c r="D75" s="124">
        <v>60</v>
      </c>
      <c r="E75" s="90" t="s">
        <v>473</v>
      </c>
      <c r="F75" s="90" t="s">
        <v>470</v>
      </c>
      <c r="G75" s="90" t="s">
        <v>474</v>
      </c>
      <c r="H75" s="90" t="s">
        <v>470</v>
      </c>
      <c r="I75" s="124" t="s">
        <v>463</v>
      </c>
      <c r="J75" s="110" t="s">
        <v>476</v>
      </c>
      <c r="K75" s="113" t="s">
        <v>477</v>
      </c>
      <c r="L75" s="110" t="s">
        <v>476</v>
      </c>
      <c r="M75" s="92"/>
    </row>
    <row r="76" spans="1:13" x14ac:dyDescent="0.25">
      <c r="A76" s="119"/>
      <c r="B76" s="122"/>
      <c r="C76" s="111"/>
      <c r="D76" s="111"/>
      <c r="E76" s="91" t="s">
        <v>481</v>
      </c>
      <c r="F76" s="91" t="s">
        <v>463</v>
      </c>
      <c r="G76" s="91" t="s">
        <v>463</v>
      </c>
      <c r="H76" s="91" t="s">
        <v>463</v>
      </c>
      <c r="I76" s="111"/>
      <c r="J76" s="111"/>
      <c r="K76" s="114"/>
      <c r="L76" s="111"/>
      <c r="M76" s="93"/>
    </row>
    <row r="77" spans="1:13" x14ac:dyDescent="0.25">
      <c r="A77" s="119"/>
      <c r="B77" s="122"/>
      <c r="C77" s="111"/>
      <c r="D77" s="111"/>
      <c r="E77" s="91" t="s">
        <v>465</v>
      </c>
      <c r="F77" s="91" t="s">
        <v>463</v>
      </c>
      <c r="G77" s="91" t="s">
        <v>463</v>
      </c>
      <c r="H77" s="91" t="s">
        <v>463</v>
      </c>
      <c r="I77" s="111"/>
      <c r="J77" s="111"/>
      <c r="K77" s="114"/>
      <c r="L77" s="111"/>
      <c r="M77" s="93"/>
    </row>
    <row r="78" spans="1:13" ht="17.25" thickBot="1" x14ac:dyDescent="0.3">
      <c r="A78" s="120"/>
      <c r="B78" s="123"/>
      <c r="C78" s="112"/>
      <c r="D78" s="112"/>
      <c r="E78" s="88" t="s">
        <v>466</v>
      </c>
      <c r="F78" s="88" t="s">
        <v>474</v>
      </c>
      <c r="G78" s="88" t="s">
        <v>470</v>
      </c>
      <c r="H78" s="88" t="s">
        <v>474</v>
      </c>
      <c r="I78" s="112"/>
      <c r="J78" s="112"/>
      <c r="K78" s="115"/>
      <c r="L78" s="112"/>
      <c r="M78" s="93"/>
    </row>
    <row r="79" spans="1:13" x14ac:dyDescent="0.25">
      <c r="A79" s="118" t="s">
        <v>471</v>
      </c>
      <c r="B79" s="121" t="s">
        <v>505</v>
      </c>
      <c r="C79" s="124">
        <v>30</v>
      </c>
      <c r="D79" s="124">
        <v>60</v>
      </c>
      <c r="E79" s="90" t="s">
        <v>473</v>
      </c>
      <c r="F79" s="90" t="s">
        <v>470</v>
      </c>
      <c r="G79" s="90" t="s">
        <v>474</v>
      </c>
      <c r="H79" s="90" t="s">
        <v>470</v>
      </c>
      <c r="I79" s="124" t="s">
        <v>463</v>
      </c>
      <c r="J79" s="110" t="s">
        <v>476</v>
      </c>
      <c r="K79" s="113" t="s">
        <v>477</v>
      </c>
      <c r="L79" s="110" t="s">
        <v>476</v>
      </c>
      <c r="M79" s="92"/>
    </row>
    <row r="80" spans="1:13" x14ac:dyDescent="0.25">
      <c r="A80" s="119"/>
      <c r="B80" s="122"/>
      <c r="C80" s="111"/>
      <c r="D80" s="111"/>
      <c r="E80" s="91" t="s">
        <v>481</v>
      </c>
      <c r="F80" s="91" t="s">
        <v>463</v>
      </c>
      <c r="G80" s="91" t="s">
        <v>463</v>
      </c>
      <c r="H80" s="91" t="s">
        <v>463</v>
      </c>
      <c r="I80" s="111"/>
      <c r="J80" s="111"/>
      <c r="K80" s="114"/>
      <c r="L80" s="111"/>
      <c r="M80" s="93"/>
    </row>
    <row r="81" spans="1:13" x14ac:dyDescent="0.25">
      <c r="A81" s="119"/>
      <c r="B81" s="122"/>
      <c r="C81" s="111"/>
      <c r="D81" s="111"/>
      <c r="E81" s="91" t="s">
        <v>465</v>
      </c>
      <c r="F81" s="91" t="s">
        <v>463</v>
      </c>
      <c r="G81" s="91" t="s">
        <v>463</v>
      </c>
      <c r="H81" s="91" t="s">
        <v>463</v>
      </c>
      <c r="I81" s="111"/>
      <c r="J81" s="111"/>
      <c r="K81" s="114"/>
      <c r="L81" s="111"/>
      <c r="M81" s="93"/>
    </row>
    <row r="82" spans="1:13" ht="17.25" thickBot="1" x14ac:dyDescent="0.3">
      <c r="A82" s="120"/>
      <c r="B82" s="123"/>
      <c r="C82" s="112"/>
      <c r="D82" s="112"/>
      <c r="E82" s="88" t="s">
        <v>466</v>
      </c>
      <c r="F82" s="88" t="s">
        <v>474</v>
      </c>
      <c r="G82" s="88" t="s">
        <v>470</v>
      </c>
      <c r="H82" s="88" t="s">
        <v>474</v>
      </c>
      <c r="I82" s="112"/>
      <c r="J82" s="112"/>
      <c r="K82" s="115"/>
      <c r="L82" s="112"/>
      <c r="M82" s="93"/>
    </row>
    <row r="83" spans="1:13" x14ac:dyDescent="0.25">
      <c r="A83" s="118" t="s">
        <v>471</v>
      </c>
      <c r="B83" s="121" t="s">
        <v>506</v>
      </c>
      <c r="C83" s="124">
        <v>30</v>
      </c>
      <c r="D83" s="124">
        <v>60</v>
      </c>
      <c r="E83" s="90" t="s">
        <v>473</v>
      </c>
      <c r="F83" s="90" t="s">
        <v>470</v>
      </c>
      <c r="G83" s="90" t="s">
        <v>474</v>
      </c>
      <c r="H83" s="90" t="s">
        <v>470</v>
      </c>
      <c r="I83" s="124" t="s">
        <v>463</v>
      </c>
      <c r="J83" s="110" t="s">
        <v>476</v>
      </c>
      <c r="K83" s="113" t="s">
        <v>477</v>
      </c>
      <c r="L83" s="110" t="s">
        <v>476</v>
      </c>
      <c r="M83" s="92"/>
    </row>
    <row r="84" spans="1:13" x14ac:dyDescent="0.25">
      <c r="A84" s="119"/>
      <c r="B84" s="122"/>
      <c r="C84" s="111"/>
      <c r="D84" s="111"/>
      <c r="E84" s="91" t="s">
        <v>481</v>
      </c>
      <c r="F84" s="91" t="s">
        <v>463</v>
      </c>
      <c r="G84" s="91" t="s">
        <v>463</v>
      </c>
      <c r="H84" s="91" t="s">
        <v>463</v>
      </c>
      <c r="I84" s="111"/>
      <c r="J84" s="111"/>
      <c r="K84" s="114"/>
      <c r="L84" s="111"/>
      <c r="M84" s="93"/>
    </row>
    <row r="85" spans="1:13" x14ac:dyDescent="0.25">
      <c r="A85" s="119"/>
      <c r="B85" s="122"/>
      <c r="C85" s="111"/>
      <c r="D85" s="111"/>
      <c r="E85" s="91" t="s">
        <v>465</v>
      </c>
      <c r="F85" s="91" t="s">
        <v>463</v>
      </c>
      <c r="G85" s="91" t="s">
        <v>463</v>
      </c>
      <c r="H85" s="91" t="s">
        <v>463</v>
      </c>
      <c r="I85" s="111"/>
      <c r="J85" s="111"/>
      <c r="K85" s="114"/>
      <c r="L85" s="111"/>
      <c r="M85" s="93"/>
    </row>
    <row r="86" spans="1:13" ht="17.25" thickBot="1" x14ac:dyDescent="0.3">
      <c r="A86" s="120"/>
      <c r="B86" s="123"/>
      <c r="C86" s="112"/>
      <c r="D86" s="112"/>
      <c r="E86" s="88" t="s">
        <v>466</v>
      </c>
      <c r="F86" s="88" t="s">
        <v>474</v>
      </c>
      <c r="G86" s="88" t="s">
        <v>470</v>
      </c>
      <c r="H86" s="88" t="s">
        <v>474</v>
      </c>
      <c r="I86" s="112"/>
      <c r="J86" s="112"/>
      <c r="K86" s="115"/>
      <c r="L86" s="112"/>
      <c r="M86" s="93"/>
    </row>
    <row r="87" spans="1:13" x14ac:dyDescent="0.25">
      <c r="A87" s="118" t="s">
        <v>471</v>
      </c>
      <c r="B87" s="121" t="s">
        <v>507</v>
      </c>
      <c r="C87" s="124">
        <v>30</v>
      </c>
      <c r="D87" s="124">
        <v>60</v>
      </c>
      <c r="E87" s="90" t="s">
        <v>473</v>
      </c>
      <c r="F87" s="90" t="s">
        <v>470</v>
      </c>
      <c r="G87" s="90" t="s">
        <v>474</v>
      </c>
      <c r="H87" s="90" t="s">
        <v>470</v>
      </c>
      <c r="I87" s="124" t="s">
        <v>463</v>
      </c>
      <c r="J87" s="110" t="s">
        <v>476</v>
      </c>
      <c r="K87" s="113" t="s">
        <v>477</v>
      </c>
      <c r="L87" s="110" t="s">
        <v>476</v>
      </c>
      <c r="M87" s="92"/>
    </row>
    <row r="88" spans="1:13" x14ac:dyDescent="0.25">
      <c r="A88" s="119"/>
      <c r="B88" s="122"/>
      <c r="C88" s="111"/>
      <c r="D88" s="111"/>
      <c r="E88" s="91" t="s">
        <v>481</v>
      </c>
      <c r="F88" s="91" t="s">
        <v>463</v>
      </c>
      <c r="G88" s="91" t="s">
        <v>463</v>
      </c>
      <c r="H88" s="91" t="s">
        <v>463</v>
      </c>
      <c r="I88" s="111"/>
      <c r="J88" s="111"/>
      <c r="K88" s="114"/>
      <c r="L88" s="111"/>
      <c r="M88" s="93"/>
    </row>
    <row r="89" spans="1:13" x14ac:dyDescent="0.25">
      <c r="A89" s="119"/>
      <c r="B89" s="122"/>
      <c r="C89" s="111"/>
      <c r="D89" s="111"/>
      <c r="E89" s="91" t="s">
        <v>465</v>
      </c>
      <c r="F89" s="91" t="s">
        <v>463</v>
      </c>
      <c r="G89" s="91" t="s">
        <v>463</v>
      </c>
      <c r="H89" s="91" t="s">
        <v>463</v>
      </c>
      <c r="I89" s="111"/>
      <c r="J89" s="111"/>
      <c r="K89" s="114"/>
      <c r="L89" s="111"/>
      <c r="M89" s="93"/>
    </row>
    <row r="90" spans="1:13" ht="17.25" thickBot="1" x14ac:dyDescent="0.3">
      <c r="A90" s="120"/>
      <c r="B90" s="123"/>
      <c r="C90" s="112"/>
      <c r="D90" s="112"/>
      <c r="E90" s="88" t="s">
        <v>466</v>
      </c>
      <c r="F90" s="88" t="s">
        <v>474</v>
      </c>
      <c r="G90" s="88" t="s">
        <v>470</v>
      </c>
      <c r="H90" s="88" t="s">
        <v>474</v>
      </c>
      <c r="I90" s="112"/>
      <c r="J90" s="112"/>
      <c r="K90" s="115"/>
      <c r="L90" s="112"/>
      <c r="M90" s="93"/>
    </row>
    <row r="91" spans="1:13" x14ac:dyDescent="0.25">
      <c r="A91" s="118" t="s">
        <v>471</v>
      </c>
      <c r="B91" s="121" t="s">
        <v>508</v>
      </c>
      <c r="C91" s="124">
        <v>30</v>
      </c>
      <c r="D91" s="124">
        <v>60</v>
      </c>
      <c r="E91" s="90" t="s">
        <v>473</v>
      </c>
      <c r="F91" s="90" t="s">
        <v>470</v>
      </c>
      <c r="G91" s="90" t="s">
        <v>474</v>
      </c>
      <c r="H91" s="90" t="s">
        <v>470</v>
      </c>
      <c r="I91" s="124" t="s">
        <v>463</v>
      </c>
      <c r="J91" s="110" t="s">
        <v>476</v>
      </c>
      <c r="K91" s="113" t="s">
        <v>477</v>
      </c>
      <c r="L91" s="110" t="s">
        <v>476</v>
      </c>
      <c r="M91" s="92"/>
    </row>
    <row r="92" spans="1:13" x14ac:dyDescent="0.25">
      <c r="A92" s="119"/>
      <c r="B92" s="122"/>
      <c r="C92" s="111"/>
      <c r="D92" s="111"/>
      <c r="E92" s="91" t="s">
        <v>481</v>
      </c>
      <c r="F92" s="91" t="s">
        <v>463</v>
      </c>
      <c r="G92" s="91" t="s">
        <v>463</v>
      </c>
      <c r="H92" s="91" t="s">
        <v>463</v>
      </c>
      <c r="I92" s="111"/>
      <c r="J92" s="111"/>
      <c r="K92" s="114"/>
      <c r="L92" s="111"/>
      <c r="M92" s="93"/>
    </row>
    <row r="93" spans="1:13" x14ac:dyDescent="0.25">
      <c r="A93" s="119"/>
      <c r="B93" s="122"/>
      <c r="C93" s="111"/>
      <c r="D93" s="111"/>
      <c r="E93" s="91" t="s">
        <v>465</v>
      </c>
      <c r="F93" s="91" t="s">
        <v>463</v>
      </c>
      <c r="G93" s="91" t="s">
        <v>463</v>
      </c>
      <c r="H93" s="91" t="s">
        <v>463</v>
      </c>
      <c r="I93" s="111"/>
      <c r="J93" s="111"/>
      <c r="K93" s="114"/>
      <c r="L93" s="111"/>
      <c r="M93" s="93"/>
    </row>
    <row r="94" spans="1:13" ht="17.25" thickBot="1" x14ac:dyDescent="0.3">
      <c r="A94" s="120"/>
      <c r="B94" s="123"/>
      <c r="C94" s="112"/>
      <c r="D94" s="112"/>
      <c r="E94" s="88" t="s">
        <v>466</v>
      </c>
      <c r="F94" s="88" t="s">
        <v>474</v>
      </c>
      <c r="G94" s="88" t="s">
        <v>470</v>
      </c>
      <c r="H94" s="88" t="s">
        <v>474</v>
      </c>
      <c r="I94" s="112"/>
      <c r="J94" s="112"/>
      <c r="K94" s="115"/>
      <c r="L94" s="112"/>
      <c r="M94" s="93"/>
    </row>
    <row r="95" spans="1:13" x14ac:dyDescent="0.25">
      <c r="A95" s="118" t="s">
        <v>471</v>
      </c>
      <c r="B95" s="121" t="s">
        <v>509</v>
      </c>
      <c r="C95" s="124">
        <v>30</v>
      </c>
      <c r="D95" s="124">
        <v>60</v>
      </c>
      <c r="E95" s="90" t="s">
        <v>473</v>
      </c>
      <c r="F95" s="90" t="s">
        <v>470</v>
      </c>
      <c r="G95" s="90" t="s">
        <v>474</v>
      </c>
      <c r="H95" s="90" t="s">
        <v>470</v>
      </c>
      <c r="I95" s="124" t="s">
        <v>463</v>
      </c>
      <c r="J95" s="110" t="s">
        <v>476</v>
      </c>
      <c r="K95" s="113" t="s">
        <v>477</v>
      </c>
      <c r="L95" s="110" t="s">
        <v>476</v>
      </c>
      <c r="M95" s="92"/>
    </row>
    <row r="96" spans="1:13" x14ac:dyDescent="0.25">
      <c r="A96" s="119"/>
      <c r="B96" s="122"/>
      <c r="C96" s="111"/>
      <c r="D96" s="111"/>
      <c r="E96" s="91" t="s">
        <v>481</v>
      </c>
      <c r="F96" s="91" t="s">
        <v>463</v>
      </c>
      <c r="G96" s="91" t="s">
        <v>463</v>
      </c>
      <c r="H96" s="91" t="s">
        <v>463</v>
      </c>
      <c r="I96" s="111"/>
      <c r="J96" s="111"/>
      <c r="K96" s="114"/>
      <c r="L96" s="111"/>
      <c r="M96" s="93"/>
    </row>
    <row r="97" spans="1:13" x14ac:dyDescent="0.25">
      <c r="A97" s="119"/>
      <c r="B97" s="122"/>
      <c r="C97" s="111"/>
      <c r="D97" s="111"/>
      <c r="E97" s="91" t="s">
        <v>465</v>
      </c>
      <c r="F97" s="91" t="s">
        <v>463</v>
      </c>
      <c r="G97" s="91" t="s">
        <v>463</v>
      </c>
      <c r="H97" s="91" t="s">
        <v>463</v>
      </c>
      <c r="I97" s="111"/>
      <c r="J97" s="111"/>
      <c r="K97" s="114"/>
      <c r="L97" s="111"/>
      <c r="M97" s="93"/>
    </row>
    <row r="98" spans="1:13" ht="17.25" thickBot="1" x14ac:dyDescent="0.3">
      <c r="A98" s="120"/>
      <c r="B98" s="123"/>
      <c r="C98" s="112"/>
      <c r="D98" s="112"/>
      <c r="E98" s="88" t="s">
        <v>466</v>
      </c>
      <c r="F98" s="88" t="s">
        <v>474</v>
      </c>
      <c r="G98" s="88" t="s">
        <v>470</v>
      </c>
      <c r="H98" s="88" t="s">
        <v>474</v>
      </c>
      <c r="I98" s="112"/>
      <c r="J98" s="112"/>
      <c r="K98" s="115"/>
      <c r="L98" s="112"/>
      <c r="M98" s="93"/>
    </row>
    <row r="99" spans="1:13" x14ac:dyDescent="0.25">
      <c r="A99" s="118" t="s">
        <v>471</v>
      </c>
      <c r="B99" s="121" t="s">
        <v>510</v>
      </c>
      <c r="C99" s="124">
        <v>30</v>
      </c>
      <c r="D99" s="124">
        <v>60</v>
      </c>
      <c r="E99" s="90" t="s">
        <v>473</v>
      </c>
      <c r="F99" s="90" t="s">
        <v>470</v>
      </c>
      <c r="G99" s="90" t="s">
        <v>474</v>
      </c>
      <c r="H99" s="90" t="s">
        <v>470</v>
      </c>
      <c r="I99" s="124" t="s">
        <v>475</v>
      </c>
      <c r="J99" s="110" t="s">
        <v>476</v>
      </c>
      <c r="K99" s="113" t="s">
        <v>477</v>
      </c>
      <c r="L99" s="110" t="s">
        <v>476</v>
      </c>
      <c r="M99" s="92"/>
    </row>
    <row r="100" spans="1:13" x14ac:dyDescent="0.25">
      <c r="A100" s="119"/>
      <c r="B100" s="122"/>
      <c r="C100" s="111"/>
      <c r="D100" s="111"/>
      <c r="E100" s="91" t="s">
        <v>481</v>
      </c>
      <c r="F100" s="91" t="s">
        <v>463</v>
      </c>
      <c r="G100" s="91" t="s">
        <v>463</v>
      </c>
      <c r="H100" s="91" t="s">
        <v>463</v>
      </c>
      <c r="I100" s="111"/>
      <c r="J100" s="111"/>
      <c r="K100" s="114"/>
      <c r="L100" s="111"/>
      <c r="M100" s="93"/>
    </row>
    <row r="101" spans="1:13" x14ac:dyDescent="0.25">
      <c r="A101" s="119"/>
      <c r="B101" s="122"/>
      <c r="C101" s="111"/>
      <c r="D101" s="111"/>
      <c r="E101" s="91" t="s">
        <v>465</v>
      </c>
      <c r="F101" s="91" t="s">
        <v>463</v>
      </c>
      <c r="G101" s="91" t="s">
        <v>463</v>
      </c>
      <c r="H101" s="91" t="s">
        <v>463</v>
      </c>
      <c r="I101" s="111"/>
      <c r="J101" s="111"/>
      <c r="K101" s="114"/>
      <c r="L101" s="111"/>
      <c r="M101" s="93"/>
    </row>
    <row r="102" spans="1:13" ht="17.25" thickBot="1" x14ac:dyDescent="0.3">
      <c r="A102" s="120"/>
      <c r="B102" s="123"/>
      <c r="C102" s="112"/>
      <c r="D102" s="112"/>
      <c r="E102" s="88" t="s">
        <v>466</v>
      </c>
      <c r="F102" s="88" t="s">
        <v>474</v>
      </c>
      <c r="G102" s="88" t="s">
        <v>474</v>
      </c>
      <c r="H102" s="88" t="s">
        <v>474</v>
      </c>
      <c r="I102" s="112"/>
      <c r="J102" s="112"/>
      <c r="K102" s="115"/>
      <c r="L102" s="112"/>
      <c r="M102" s="93"/>
    </row>
    <row r="103" spans="1:13" x14ac:dyDescent="0.25">
      <c r="A103" s="118" t="s">
        <v>471</v>
      </c>
      <c r="B103" s="121" t="s">
        <v>511</v>
      </c>
      <c r="C103" s="124">
        <v>30</v>
      </c>
      <c r="D103" s="124">
        <v>60</v>
      </c>
      <c r="E103" s="90" t="s">
        <v>473</v>
      </c>
      <c r="F103" s="90" t="s">
        <v>470</v>
      </c>
      <c r="G103" s="90" t="s">
        <v>474</v>
      </c>
      <c r="H103" s="90" t="s">
        <v>470</v>
      </c>
      <c r="I103" s="124" t="s">
        <v>475</v>
      </c>
      <c r="J103" s="110" t="s">
        <v>476</v>
      </c>
      <c r="K103" s="113" t="s">
        <v>477</v>
      </c>
      <c r="L103" s="110" t="s">
        <v>476</v>
      </c>
      <c r="M103" s="92"/>
    </row>
    <row r="104" spans="1:13" x14ac:dyDescent="0.25">
      <c r="A104" s="119"/>
      <c r="B104" s="122"/>
      <c r="C104" s="111"/>
      <c r="D104" s="111"/>
      <c r="E104" s="91" t="s">
        <v>481</v>
      </c>
      <c r="F104" s="91" t="s">
        <v>463</v>
      </c>
      <c r="G104" s="91" t="s">
        <v>463</v>
      </c>
      <c r="H104" s="91" t="s">
        <v>463</v>
      </c>
      <c r="I104" s="111"/>
      <c r="J104" s="111"/>
      <c r="K104" s="114"/>
      <c r="L104" s="111"/>
      <c r="M104" s="93"/>
    </row>
    <row r="105" spans="1:13" x14ac:dyDescent="0.25">
      <c r="A105" s="119"/>
      <c r="B105" s="122"/>
      <c r="C105" s="111"/>
      <c r="D105" s="111"/>
      <c r="E105" s="91" t="s">
        <v>465</v>
      </c>
      <c r="F105" s="91" t="s">
        <v>463</v>
      </c>
      <c r="G105" s="91" t="s">
        <v>463</v>
      </c>
      <c r="H105" s="91" t="s">
        <v>463</v>
      </c>
      <c r="I105" s="111"/>
      <c r="J105" s="111"/>
      <c r="K105" s="114"/>
      <c r="L105" s="111"/>
      <c r="M105" s="93"/>
    </row>
    <row r="106" spans="1:13" ht="17.25" thickBot="1" x14ac:dyDescent="0.3">
      <c r="A106" s="120"/>
      <c r="B106" s="123"/>
      <c r="C106" s="112"/>
      <c r="D106" s="112"/>
      <c r="E106" s="88" t="s">
        <v>466</v>
      </c>
      <c r="F106" s="88" t="s">
        <v>474</v>
      </c>
      <c r="G106" s="88" t="s">
        <v>474</v>
      </c>
      <c r="H106" s="88" t="s">
        <v>474</v>
      </c>
      <c r="I106" s="112"/>
      <c r="J106" s="112"/>
      <c r="K106" s="115"/>
      <c r="L106" s="112"/>
      <c r="M106" s="93"/>
    </row>
  </sheetData>
  <mergeCells count="228"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K34"/>
  <sheetViews>
    <sheetView workbookViewId="0">
      <selection activeCell="H13" sqref="H13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</cols>
  <sheetData>
    <row r="1" spans="1:11" x14ac:dyDescent="0.25">
      <c r="A1" s="121" t="s">
        <v>512</v>
      </c>
      <c r="B1" s="124" t="s">
        <v>437</v>
      </c>
      <c r="C1" s="124" t="s">
        <v>513</v>
      </c>
      <c r="D1" s="124" t="s">
        <v>514</v>
      </c>
      <c r="E1" s="124" t="s">
        <v>515</v>
      </c>
      <c r="F1" s="129" t="s">
        <v>440</v>
      </c>
      <c r="G1" s="130"/>
      <c r="H1" s="131"/>
      <c r="I1" s="124" t="s">
        <v>441</v>
      </c>
      <c r="J1" s="129" t="s">
        <v>516</v>
      </c>
      <c r="K1" s="132"/>
    </row>
    <row r="2" spans="1:11" ht="17.25" thickBot="1" x14ac:dyDescent="0.3">
      <c r="A2" s="123"/>
      <c r="B2" s="112"/>
      <c r="C2" s="112"/>
      <c r="D2" s="112"/>
      <c r="E2" s="112"/>
      <c r="F2" s="88" t="s">
        <v>447</v>
      </c>
      <c r="G2" s="88" t="s">
        <v>448</v>
      </c>
      <c r="H2" s="88" t="s">
        <v>517</v>
      </c>
      <c r="I2" s="112"/>
      <c r="J2" s="88" t="s">
        <v>450</v>
      </c>
      <c r="K2" s="89" t="s">
        <v>448</v>
      </c>
    </row>
    <row r="3" spans="1:11" x14ac:dyDescent="0.25">
      <c r="A3" s="121" t="s">
        <v>518</v>
      </c>
      <c r="B3" s="124" t="s">
        <v>519</v>
      </c>
      <c r="C3" s="124">
        <v>30</v>
      </c>
      <c r="D3" s="124">
        <v>55</v>
      </c>
      <c r="E3" s="90" t="s">
        <v>453</v>
      </c>
      <c r="F3" s="90" t="s">
        <v>520</v>
      </c>
      <c r="G3" s="90" t="s">
        <v>455</v>
      </c>
      <c r="H3" s="90" t="s">
        <v>521</v>
      </c>
      <c r="I3" s="124" t="s">
        <v>522</v>
      </c>
      <c r="J3" s="110" t="s">
        <v>458</v>
      </c>
      <c r="K3" s="113" t="s">
        <v>460</v>
      </c>
    </row>
    <row r="4" spans="1:11" x14ac:dyDescent="0.25">
      <c r="A4" s="122"/>
      <c r="B4" s="111"/>
      <c r="C4" s="111"/>
      <c r="D4" s="111"/>
      <c r="E4" s="91" t="s">
        <v>523</v>
      </c>
      <c r="F4" s="91" t="s">
        <v>524</v>
      </c>
      <c r="G4" s="91" t="s">
        <v>462</v>
      </c>
      <c r="H4" s="91" t="s">
        <v>525</v>
      </c>
      <c r="I4" s="111"/>
      <c r="J4" s="111"/>
      <c r="K4" s="114"/>
    </row>
    <row r="5" spans="1:11" x14ac:dyDescent="0.25">
      <c r="A5" s="122"/>
      <c r="B5" s="111"/>
      <c r="C5" s="111"/>
      <c r="D5" s="111"/>
      <c r="E5" s="91" t="s">
        <v>526</v>
      </c>
      <c r="F5" s="91" t="s">
        <v>463</v>
      </c>
      <c r="G5" s="91" t="s">
        <v>524</v>
      </c>
      <c r="H5" s="91" t="s">
        <v>524</v>
      </c>
      <c r="I5" s="111"/>
      <c r="J5" s="111"/>
      <c r="K5" s="114"/>
    </row>
    <row r="6" spans="1:11" ht="17.25" thickBot="1" x14ac:dyDescent="0.3">
      <c r="A6" s="123"/>
      <c r="B6" s="112"/>
      <c r="C6" s="112"/>
      <c r="D6" s="112"/>
      <c r="E6" s="88" t="s">
        <v>466</v>
      </c>
      <c r="F6" s="88" t="s">
        <v>455</v>
      </c>
      <c r="G6" s="88" t="s">
        <v>527</v>
      </c>
      <c r="H6" s="88" t="s">
        <v>520</v>
      </c>
      <c r="I6" s="112"/>
      <c r="J6" s="112"/>
      <c r="K6" s="115"/>
    </row>
    <row r="7" spans="1:11" x14ac:dyDescent="0.25">
      <c r="A7" s="121" t="s">
        <v>431</v>
      </c>
      <c r="B7" s="124" t="s">
        <v>528</v>
      </c>
      <c r="C7" s="124">
        <v>30</v>
      </c>
      <c r="D7" s="124">
        <v>55</v>
      </c>
      <c r="E7" s="90" t="s">
        <v>473</v>
      </c>
      <c r="F7" s="90" t="s">
        <v>521</v>
      </c>
      <c r="G7" s="90" t="s">
        <v>455</v>
      </c>
      <c r="H7" s="90" t="s">
        <v>474</v>
      </c>
      <c r="I7" s="124" t="s">
        <v>524</v>
      </c>
      <c r="J7" s="110" t="s">
        <v>529</v>
      </c>
      <c r="K7" s="113" t="s">
        <v>530</v>
      </c>
    </row>
    <row r="8" spans="1:11" x14ac:dyDescent="0.25">
      <c r="A8" s="122"/>
      <c r="B8" s="111"/>
      <c r="C8" s="111"/>
      <c r="D8" s="111"/>
      <c r="E8" s="91" t="s">
        <v>523</v>
      </c>
      <c r="F8" s="91" t="s">
        <v>474</v>
      </c>
      <c r="G8" s="91" t="s">
        <v>524</v>
      </c>
      <c r="H8" s="91" t="s">
        <v>524</v>
      </c>
      <c r="I8" s="111"/>
      <c r="J8" s="111"/>
      <c r="K8" s="114"/>
    </row>
    <row r="9" spans="1:11" x14ac:dyDescent="0.25">
      <c r="A9" s="122"/>
      <c r="B9" s="111"/>
      <c r="C9" s="111"/>
      <c r="D9" s="111"/>
      <c r="E9" s="91" t="s">
        <v>526</v>
      </c>
      <c r="F9" s="91" t="s">
        <v>463</v>
      </c>
      <c r="G9" s="91" t="s">
        <v>462</v>
      </c>
      <c r="H9" s="91" t="s">
        <v>463</v>
      </c>
      <c r="I9" s="111"/>
      <c r="J9" s="111"/>
      <c r="K9" s="114"/>
    </row>
    <row r="10" spans="1:11" ht="17.25" thickBot="1" x14ac:dyDescent="0.3">
      <c r="A10" s="123"/>
      <c r="B10" s="112"/>
      <c r="C10" s="112"/>
      <c r="D10" s="112"/>
      <c r="E10" s="88" t="s">
        <v>466</v>
      </c>
      <c r="F10" s="88" t="s">
        <v>520</v>
      </c>
      <c r="G10" s="88" t="s">
        <v>531</v>
      </c>
      <c r="H10" s="88" t="s">
        <v>474</v>
      </c>
      <c r="I10" s="112"/>
      <c r="J10" s="112"/>
      <c r="K10" s="115"/>
    </row>
    <row r="11" spans="1:11" x14ac:dyDescent="0.25">
      <c r="A11" s="121" t="s">
        <v>471</v>
      </c>
      <c r="B11" s="124" t="s">
        <v>532</v>
      </c>
      <c r="C11" s="124">
        <v>30</v>
      </c>
      <c r="D11" s="124">
        <v>55</v>
      </c>
      <c r="E11" s="90" t="s">
        <v>473</v>
      </c>
      <c r="F11" s="90" t="s">
        <v>531</v>
      </c>
      <c r="G11" s="90" t="s">
        <v>533</v>
      </c>
      <c r="H11" s="90" t="s">
        <v>470</v>
      </c>
      <c r="I11" s="124" t="s">
        <v>463</v>
      </c>
      <c r="J11" s="110" t="s">
        <v>458</v>
      </c>
      <c r="K11" s="113" t="s">
        <v>460</v>
      </c>
    </row>
    <row r="12" spans="1:11" x14ac:dyDescent="0.25">
      <c r="A12" s="122"/>
      <c r="B12" s="111"/>
      <c r="C12" s="111"/>
      <c r="D12" s="111"/>
      <c r="E12" s="91" t="s">
        <v>481</v>
      </c>
      <c r="F12" s="91" t="s">
        <v>463</v>
      </c>
      <c r="G12" s="91" t="s">
        <v>463</v>
      </c>
      <c r="H12" s="91" t="s">
        <v>524</v>
      </c>
      <c r="I12" s="111"/>
      <c r="J12" s="111"/>
      <c r="K12" s="114"/>
    </row>
    <row r="13" spans="1:11" x14ac:dyDescent="0.25">
      <c r="A13" s="122"/>
      <c r="B13" s="111"/>
      <c r="C13" s="111"/>
      <c r="D13" s="111"/>
      <c r="E13" s="91" t="s">
        <v>465</v>
      </c>
      <c r="F13" s="91" t="s">
        <v>463</v>
      </c>
      <c r="G13" s="91" t="s">
        <v>463</v>
      </c>
      <c r="H13" s="91" t="s">
        <v>463</v>
      </c>
      <c r="I13" s="111"/>
      <c r="J13" s="111"/>
      <c r="K13" s="114"/>
    </row>
    <row r="14" spans="1:11" ht="17.25" thickBot="1" x14ac:dyDescent="0.3">
      <c r="A14" s="123"/>
      <c r="B14" s="112"/>
      <c r="C14" s="112"/>
      <c r="D14" s="112"/>
      <c r="E14" s="88" t="s">
        <v>534</v>
      </c>
      <c r="F14" s="88" t="s">
        <v>474</v>
      </c>
      <c r="G14" s="88" t="s">
        <v>470</v>
      </c>
      <c r="H14" s="88" t="s">
        <v>474</v>
      </c>
      <c r="I14" s="112"/>
      <c r="J14" s="112"/>
      <c r="K14" s="115"/>
    </row>
    <row r="15" spans="1:11" x14ac:dyDescent="0.25">
      <c r="A15" s="121" t="s">
        <v>471</v>
      </c>
      <c r="B15" s="124" t="s">
        <v>535</v>
      </c>
      <c r="C15" s="124">
        <v>30</v>
      </c>
      <c r="D15" s="124">
        <v>55</v>
      </c>
      <c r="E15" s="90" t="s">
        <v>473</v>
      </c>
      <c r="F15" s="90" t="s">
        <v>470</v>
      </c>
      <c r="G15" s="90" t="s">
        <v>474</v>
      </c>
      <c r="H15" s="90" t="s">
        <v>531</v>
      </c>
      <c r="I15" s="124" t="s">
        <v>462</v>
      </c>
      <c r="J15" s="110" t="s">
        <v>458</v>
      </c>
      <c r="K15" s="113" t="s">
        <v>477</v>
      </c>
    </row>
    <row r="16" spans="1:11" x14ac:dyDescent="0.25">
      <c r="A16" s="122"/>
      <c r="B16" s="111"/>
      <c r="C16" s="111"/>
      <c r="D16" s="111"/>
      <c r="E16" s="91" t="s">
        <v>481</v>
      </c>
      <c r="F16" s="91" t="s">
        <v>463</v>
      </c>
      <c r="G16" s="91" t="s">
        <v>463</v>
      </c>
      <c r="H16" s="91" t="s">
        <v>463</v>
      </c>
      <c r="I16" s="111"/>
      <c r="J16" s="111"/>
      <c r="K16" s="114"/>
    </row>
    <row r="17" spans="1:11" x14ac:dyDescent="0.25">
      <c r="A17" s="122"/>
      <c r="B17" s="111"/>
      <c r="C17" s="111"/>
      <c r="D17" s="111"/>
      <c r="E17" s="91" t="s">
        <v>465</v>
      </c>
      <c r="F17" s="91" t="s">
        <v>463</v>
      </c>
      <c r="G17" s="91" t="s">
        <v>463</v>
      </c>
      <c r="H17" s="91" t="s">
        <v>463</v>
      </c>
      <c r="I17" s="111"/>
      <c r="J17" s="111"/>
      <c r="K17" s="114"/>
    </row>
    <row r="18" spans="1:11" ht="17.25" thickBot="1" x14ac:dyDescent="0.3">
      <c r="A18" s="123"/>
      <c r="B18" s="112"/>
      <c r="C18" s="112"/>
      <c r="D18" s="112"/>
      <c r="E18" s="88" t="s">
        <v>466</v>
      </c>
      <c r="F18" s="88" t="s">
        <v>474</v>
      </c>
      <c r="G18" s="88" t="s">
        <v>470</v>
      </c>
      <c r="H18" s="88" t="s">
        <v>474</v>
      </c>
      <c r="I18" s="112"/>
      <c r="J18" s="112"/>
      <c r="K18" s="115"/>
    </row>
    <row r="19" spans="1:11" x14ac:dyDescent="0.25">
      <c r="A19" s="121" t="s">
        <v>471</v>
      </c>
      <c r="B19" s="124" t="s">
        <v>536</v>
      </c>
      <c r="C19" s="124">
        <v>30</v>
      </c>
      <c r="D19" s="124">
        <v>55</v>
      </c>
      <c r="E19" s="90" t="s">
        <v>473</v>
      </c>
      <c r="F19" s="90" t="s">
        <v>531</v>
      </c>
      <c r="G19" s="90" t="s">
        <v>474</v>
      </c>
      <c r="H19" s="90" t="s">
        <v>470</v>
      </c>
      <c r="I19" s="124" t="s">
        <v>463</v>
      </c>
      <c r="J19" s="110" t="s">
        <v>476</v>
      </c>
      <c r="K19" s="113" t="s">
        <v>477</v>
      </c>
    </row>
    <row r="20" spans="1:11" x14ac:dyDescent="0.25">
      <c r="A20" s="122"/>
      <c r="B20" s="111"/>
      <c r="C20" s="111"/>
      <c r="D20" s="111"/>
      <c r="E20" s="91" t="s">
        <v>481</v>
      </c>
      <c r="F20" s="91" t="s">
        <v>463</v>
      </c>
      <c r="G20" s="91" t="s">
        <v>463</v>
      </c>
      <c r="H20" s="91" t="s">
        <v>463</v>
      </c>
      <c r="I20" s="111"/>
      <c r="J20" s="111"/>
      <c r="K20" s="114"/>
    </row>
    <row r="21" spans="1:11" x14ac:dyDescent="0.25">
      <c r="A21" s="122"/>
      <c r="B21" s="111"/>
      <c r="C21" s="111"/>
      <c r="D21" s="111"/>
      <c r="E21" s="91" t="s">
        <v>465</v>
      </c>
      <c r="F21" s="91" t="s">
        <v>463</v>
      </c>
      <c r="G21" s="91" t="s">
        <v>463</v>
      </c>
      <c r="H21" s="91" t="s">
        <v>463</v>
      </c>
      <c r="I21" s="111"/>
      <c r="J21" s="111"/>
      <c r="K21" s="114"/>
    </row>
    <row r="22" spans="1:11" ht="17.25" thickBot="1" x14ac:dyDescent="0.3">
      <c r="A22" s="123"/>
      <c r="B22" s="112"/>
      <c r="C22" s="112"/>
      <c r="D22" s="112"/>
      <c r="E22" s="88" t="s">
        <v>466</v>
      </c>
      <c r="F22" s="88" t="s">
        <v>474</v>
      </c>
      <c r="G22" s="88" t="s">
        <v>470</v>
      </c>
      <c r="H22" s="88" t="s">
        <v>474</v>
      </c>
      <c r="I22" s="112"/>
      <c r="J22" s="112"/>
      <c r="K22" s="115"/>
    </row>
    <row r="23" spans="1:11" ht="17.25" thickBot="1" x14ac:dyDescent="0.3">
      <c r="A23" s="121" t="s">
        <v>431</v>
      </c>
      <c r="B23" s="124" t="s">
        <v>537</v>
      </c>
      <c r="C23" s="124">
        <v>30</v>
      </c>
      <c r="D23" s="124">
        <v>55</v>
      </c>
      <c r="E23" s="90" t="s">
        <v>473</v>
      </c>
      <c r="F23" s="88" t="s">
        <v>470</v>
      </c>
      <c r="G23" s="90" t="s">
        <v>474</v>
      </c>
      <c r="H23" s="90" t="s">
        <v>531</v>
      </c>
      <c r="I23" s="124" t="s">
        <v>463</v>
      </c>
      <c r="J23" s="110" t="s">
        <v>476</v>
      </c>
      <c r="K23" s="113" t="s">
        <v>477</v>
      </c>
    </row>
    <row r="24" spans="1:11" x14ac:dyDescent="0.25">
      <c r="A24" s="122"/>
      <c r="B24" s="111"/>
      <c r="C24" s="111"/>
      <c r="D24" s="111"/>
      <c r="E24" s="91" t="s">
        <v>481</v>
      </c>
      <c r="F24" s="91" t="s">
        <v>463</v>
      </c>
      <c r="G24" s="91" t="s">
        <v>463</v>
      </c>
      <c r="H24" s="91" t="s">
        <v>463</v>
      </c>
      <c r="I24" s="111"/>
      <c r="J24" s="111"/>
      <c r="K24" s="114"/>
    </row>
    <row r="25" spans="1:11" x14ac:dyDescent="0.25">
      <c r="A25" s="122"/>
      <c r="B25" s="111"/>
      <c r="C25" s="111"/>
      <c r="D25" s="111"/>
      <c r="E25" s="91" t="s">
        <v>465</v>
      </c>
      <c r="F25" s="91" t="s">
        <v>463</v>
      </c>
      <c r="G25" s="91" t="s">
        <v>463</v>
      </c>
      <c r="H25" s="91" t="s">
        <v>463</v>
      </c>
      <c r="I25" s="111"/>
      <c r="J25" s="111"/>
      <c r="K25" s="114"/>
    </row>
    <row r="26" spans="1:11" ht="17.25" thickBot="1" x14ac:dyDescent="0.3">
      <c r="A26" s="123"/>
      <c r="B26" s="112"/>
      <c r="C26" s="112"/>
      <c r="D26" s="112"/>
      <c r="E26" s="88" t="s">
        <v>466</v>
      </c>
      <c r="F26" s="88" t="s">
        <v>474</v>
      </c>
      <c r="G26" s="88" t="s">
        <v>470</v>
      </c>
      <c r="H26" s="88" t="s">
        <v>474</v>
      </c>
      <c r="I26" s="112"/>
      <c r="J26" s="112"/>
      <c r="K26" s="115"/>
    </row>
    <row r="27" spans="1:11" ht="17.25" thickBot="1" x14ac:dyDescent="0.3">
      <c r="A27" s="121" t="s">
        <v>471</v>
      </c>
      <c r="B27" s="124" t="s">
        <v>538</v>
      </c>
      <c r="C27" s="124">
        <v>30</v>
      </c>
      <c r="D27" s="124">
        <v>55</v>
      </c>
      <c r="E27" s="90" t="s">
        <v>473</v>
      </c>
      <c r="F27" s="88" t="s">
        <v>474</v>
      </c>
      <c r="G27" s="90" t="s">
        <v>474</v>
      </c>
      <c r="H27" s="90" t="s">
        <v>531</v>
      </c>
      <c r="I27" s="124" t="s">
        <v>463</v>
      </c>
      <c r="J27" s="110" t="s">
        <v>476</v>
      </c>
      <c r="K27" s="113" t="s">
        <v>477</v>
      </c>
    </row>
    <row r="28" spans="1:11" x14ac:dyDescent="0.25">
      <c r="A28" s="122"/>
      <c r="B28" s="111"/>
      <c r="C28" s="111"/>
      <c r="D28" s="111"/>
      <c r="E28" s="91" t="s">
        <v>481</v>
      </c>
      <c r="F28" s="91" t="s">
        <v>463</v>
      </c>
      <c r="G28" s="91" t="s">
        <v>463</v>
      </c>
      <c r="H28" s="91" t="s">
        <v>474</v>
      </c>
      <c r="I28" s="111"/>
      <c r="J28" s="111"/>
      <c r="K28" s="114"/>
    </row>
    <row r="29" spans="1:11" x14ac:dyDescent="0.25">
      <c r="A29" s="122"/>
      <c r="B29" s="111"/>
      <c r="C29" s="111"/>
      <c r="D29" s="111"/>
      <c r="E29" s="91" t="s">
        <v>465</v>
      </c>
      <c r="F29" s="91" t="s">
        <v>463</v>
      </c>
      <c r="G29" s="91" t="s">
        <v>463</v>
      </c>
      <c r="H29" s="91" t="s">
        <v>463</v>
      </c>
      <c r="I29" s="111"/>
      <c r="J29" s="111"/>
      <c r="K29" s="114"/>
    </row>
    <row r="30" spans="1:11" ht="17.25" thickBot="1" x14ac:dyDescent="0.3">
      <c r="A30" s="123"/>
      <c r="B30" s="112"/>
      <c r="C30" s="112"/>
      <c r="D30" s="112"/>
      <c r="E30" s="88" t="s">
        <v>466</v>
      </c>
      <c r="F30" s="88" t="s">
        <v>474</v>
      </c>
      <c r="G30" s="88" t="s">
        <v>531</v>
      </c>
      <c r="H30" s="88" t="s">
        <v>474</v>
      </c>
      <c r="I30" s="112"/>
      <c r="J30" s="112"/>
      <c r="K30" s="115"/>
    </row>
    <row r="31" spans="1:11" ht="17.25" thickBot="1" x14ac:dyDescent="0.3">
      <c r="A31" s="121" t="s">
        <v>471</v>
      </c>
      <c r="B31" s="124" t="s">
        <v>539</v>
      </c>
      <c r="C31" s="124">
        <v>30</v>
      </c>
      <c r="D31" s="124">
        <v>55</v>
      </c>
      <c r="E31" s="90" t="s">
        <v>473</v>
      </c>
      <c r="F31" s="90" t="s">
        <v>531</v>
      </c>
      <c r="G31" s="90" t="s">
        <v>474</v>
      </c>
      <c r="H31" s="88" t="s">
        <v>474</v>
      </c>
      <c r="I31" s="124" t="s">
        <v>463</v>
      </c>
      <c r="J31" s="110" t="s">
        <v>476</v>
      </c>
      <c r="K31" s="113" t="s">
        <v>477</v>
      </c>
    </row>
    <row r="32" spans="1:11" x14ac:dyDescent="0.25">
      <c r="A32" s="122"/>
      <c r="B32" s="111"/>
      <c r="C32" s="111"/>
      <c r="D32" s="111"/>
      <c r="E32" s="91" t="s">
        <v>481</v>
      </c>
      <c r="F32" s="91" t="s">
        <v>474</v>
      </c>
      <c r="G32" s="91" t="s">
        <v>463</v>
      </c>
      <c r="H32" s="91" t="s">
        <v>463</v>
      </c>
      <c r="I32" s="111"/>
      <c r="J32" s="111"/>
      <c r="K32" s="114"/>
    </row>
    <row r="33" spans="1:11" x14ac:dyDescent="0.25">
      <c r="A33" s="122"/>
      <c r="B33" s="111"/>
      <c r="C33" s="111"/>
      <c r="D33" s="111"/>
      <c r="E33" s="91" t="s">
        <v>465</v>
      </c>
      <c r="F33" s="91" t="s">
        <v>463</v>
      </c>
      <c r="G33" s="91" t="s">
        <v>463</v>
      </c>
      <c r="H33" s="91" t="s">
        <v>463</v>
      </c>
      <c r="I33" s="111"/>
      <c r="J33" s="111"/>
      <c r="K33" s="114"/>
    </row>
    <row r="34" spans="1:11" ht="17.25" thickBot="1" x14ac:dyDescent="0.3">
      <c r="A34" s="123"/>
      <c r="B34" s="112"/>
      <c r="C34" s="112"/>
      <c r="D34" s="112"/>
      <c r="E34" s="88" t="s">
        <v>466</v>
      </c>
      <c r="F34" s="88" t="s">
        <v>474</v>
      </c>
      <c r="G34" s="88" t="s">
        <v>531</v>
      </c>
      <c r="H34" s="88" t="s">
        <v>474</v>
      </c>
      <c r="I34" s="112"/>
      <c r="J34" s="112"/>
      <c r="K34" s="115"/>
    </row>
  </sheetData>
  <mergeCells count="64"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31:K34"/>
    <mergeCell ref="A31:A34"/>
    <mergeCell ref="B31:B34"/>
    <mergeCell ref="C31:C34"/>
    <mergeCell ref="D31:D34"/>
    <mergeCell ref="I31:I34"/>
    <mergeCell ref="J31:J3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1</vt:i4>
      </vt:variant>
    </vt:vector>
  </HeadingPairs>
  <TitlesOfParts>
    <vt:vector size="8" baseType="lpstr">
      <vt:lpstr>Rule</vt:lpstr>
      <vt:lpstr>General Information</vt:lpstr>
      <vt:lpstr>Rebar Size</vt:lpstr>
      <vt:lpstr>Expert Check</vt:lpstr>
      <vt:lpstr>柱</vt:lpstr>
      <vt:lpstr>大梁配筋</vt:lpstr>
      <vt:lpstr>小梁配筋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使用者</cp:lastModifiedBy>
  <cp:lastPrinted>2017-05-16T02:06:44Z</cp:lastPrinted>
  <dcterms:created xsi:type="dcterms:W3CDTF">2017-05-14T12:57:37Z</dcterms:created>
  <dcterms:modified xsi:type="dcterms:W3CDTF">2017-05-26T03:48:35Z</dcterms:modified>
</cp:coreProperties>
</file>