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70524 RC EXPERT\"/>
    </mc:Choice>
  </mc:AlternateContent>
  <bookViews>
    <workbookView xWindow="360" yWindow="135" windowWidth="18840" windowHeight="11190" firstSheet="1" activeTab="4"/>
  </bookViews>
  <sheets>
    <sheet name="Rule" sheetId="1" r:id="rId1"/>
    <sheet name="General Information" sheetId="6" r:id="rId2"/>
    <sheet name="Rebar Size" sheetId="10" r:id="rId3"/>
    <sheet name="柱" sheetId="9" r:id="rId4"/>
    <sheet name="大梁配筋" sheetId="7" r:id="rId5"/>
    <sheet name="小梁配筋" sheetId="8" r:id="rId6"/>
    <sheet name="地梁配筋" sheetId="11" r:id="rId7"/>
    <sheet name="Echo 大梁配筋" sheetId="12" r:id="rId8"/>
  </sheets>
  <functionGroups builtInGroupCount="18"/>
  <externalReferences>
    <externalReference r:id="rId9"/>
  </externalReferences>
  <definedNames>
    <definedName name="_xlnm.Print_Area" localSheetId="4">[1]小梁配筋!$A$5:$K$38</definedName>
    <definedName name="_xlnm.Print_Titles" localSheetId="4">大梁配筋!$1:$2</definedName>
  </definedNames>
  <calcPr calcId="162913" refMode="R1C1"/>
</workbook>
</file>

<file path=xl/calcChain.xml><?xml version="1.0" encoding="utf-8"?>
<calcChain xmlns="http://schemas.openxmlformats.org/spreadsheetml/2006/main">
  <c r="J13" i="10" l="1"/>
  <c r="G13" i="10"/>
  <c r="J12" i="10"/>
  <c r="G12" i="10"/>
  <c r="J11" i="10"/>
  <c r="G11" i="10"/>
  <c r="J10" i="10"/>
  <c r="G10" i="10"/>
  <c r="J9" i="10"/>
  <c r="G9" i="10"/>
  <c r="J8" i="10"/>
  <c r="G8" i="10"/>
  <c r="J7" i="10"/>
  <c r="G7" i="10"/>
  <c r="J6" i="10"/>
  <c r="G6" i="10"/>
  <c r="J5" i="10"/>
  <c r="G5" i="10"/>
  <c r="J4" i="10"/>
  <c r="G4" i="10"/>
  <c r="J3" i="10"/>
  <c r="G3" i="10"/>
  <c r="J2" i="10"/>
  <c r="G2" i="10"/>
  <c r="B1" i="6"/>
  <c r="P237" i="1"/>
  <c r="M237" i="1"/>
  <c r="P230" i="1"/>
  <c r="M230" i="1"/>
  <c r="Q229" i="1"/>
  <c r="P229" i="1"/>
  <c r="M229" i="1"/>
  <c r="P228" i="1"/>
  <c r="M228" i="1"/>
  <c r="Q227" i="1"/>
  <c r="P227" i="1"/>
  <c r="M227" i="1"/>
  <c r="P221" i="1"/>
  <c r="M221" i="1"/>
  <c r="Q220" i="1"/>
  <c r="P220" i="1"/>
  <c r="M220" i="1"/>
  <c r="P219" i="1"/>
  <c r="M219" i="1"/>
  <c r="Q218" i="1"/>
  <c r="P218" i="1"/>
  <c r="M218" i="1"/>
  <c r="Q216" i="1"/>
  <c r="P216" i="1"/>
  <c r="M216" i="1"/>
  <c r="Q215" i="1"/>
  <c r="P215" i="1"/>
  <c r="M215" i="1"/>
  <c r="Q214" i="1"/>
  <c r="P214" i="1"/>
  <c r="M214" i="1"/>
  <c r="Q212" i="1"/>
  <c r="P212" i="1"/>
  <c r="M212" i="1"/>
  <c r="Q211" i="1"/>
  <c r="P211" i="1"/>
  <c r="M211" i="1"/>
  <c r="Q210" i="1"/>
  <c r="P210" i="1"/>
  <c r="M210" i="1"/>
  <c r="Q208" i="1"/>
  <c r="P208" i="1"/>
  <c r="M208" i="1"/>
  <c r="Q201" i="1"/>
  <c r="P201" i="1"/>
  <c r="M201" i="1"/>
  <c r="Q200" i="1"/>
  <c r="P200" i="1"/>
  <c r="M200" i="1"/>
  <c r="P198" i="1"/>
  <c r="M198" i="1"/>
  <c r="P197" i="1"/>
  <c r="M197" i="1"/>
  <c r="P196" i="1"/>
  <c r="M196" i="1"/>
  <c r="P195" i="1"/>
  <c r="M195" i="1"/>
  <c r="Q191" i="1"/>
  <c r="P191" i="1"/>
  <c r="M191" i="1"/>
  <c r="Q190" i="1"/>
  <c r="P190" i="1"/>
  <c r="M190" i="1"/>
  <c r="P189" i="1"/>
  <c r="M189" i="1"/>
  <c r="P188" i="1"/>
  <c r="M188" i="1"/>
  <c r="P187" i="1"/>
  <c r="M187" i="1"/>
  <c r="P186" i="1"/>
  <c r="M186" i="1"/>
  <c r="M179" i="1"/>
  <c r="P177" i="1"/>
  <c r="M177" i="1"/>
  <c r="P176" i="1"/>
  <c r="M176" i="1"/>
  <c r="P174" i="1"/>
  <c r="M174" i="1"/>
  <c r="P173" i="1"/>
  <c r="M173" i="1"/>
  <c r="M169" i="1"/>
  <c r="M168" i="1"/>
  <c r="P167" i="1"/>
  <c r="M167" i="1"/>
  <c r="P166" i="1"/>
  <c r="M166" i="1"/>
  <c r="P165" i="1"/>
  <c r="M165" i="1"/>
  <c r="P164" i="1"/>
  <c r="M164" i="1"/>
  <c r="Q160" i="1"/>
  <c r="P160" i="1"/>
  <c r="M160" i="1"/>
  <c r="Q159" i="1"/>
  <c r="P159" i="1"/>
  <c r="M159" i="1"/>
  <c r="P158" i="1"/>
  <c r="M158" i="1"/>
  <c r="P157" i="1"/>
  <c r="M157" i="1"/>
  <c r="Q156" i="1"/>
  <c r="P156" i="1"/>
  <c r="M156" i="1"/>
  <c r="Q155" i="1"/>
  <c r="P155" i="1"/>
  <c r="M155" i="1"/>
  <c r="Q153" i="1"/>
  <c r="P153" i="1"/>
  <c r="M153" i="1"/>
  <c r="Q152" i="1"/>
  <c r="P152" i="1"/>
  <c r="M152" i="1"/>
  <c r="P151" i="1"/>
  <c r="M151" i="1"/>
  <c r="P150" i="1"/>
  <c r="M150" i="1"/>
  <c r="P141" i="1"/>
  <c r="M141" i="1"/>
  <c r="P140" i="1"/>
  <c r="M140" i="1"/>
  <c r="P138" i="1"/>
  <c r="M138" i="1"/>
  <c r="P137" i="1"/>
  <c r="M137" i="1"/>
  <c r="Q129" i="1"/>
  <c r="P129" i="1"/>
  <c r="M129" i="1"/>
  <c r="P127" i="1"/>
  <c r="M127" i="1"/>
  <c r="P126" i="1"/>
  <c r="M126" i="1"/>
  <c r="P125" i="1"/>
  <c r="M125" i="1"/>
  <c r="M123" i="1"/>
  <c r="M122" i="1"/>
  <c r="M121" i="1"/>
  <c r="P119" i="1"/>
  <c r="M119" i="1"/>
  <c r="P118" i="1"/>
  <c r="M118" i="1"/>
  <c r="P117" i="1"/>
  <c r="M117" i="1"/>
  <c r="P115" i="1"/>
  <c r="M115" i="1"/>
  <c r="P114" i="1"/>
  <c r="M114" i="1"/>
  <c r="P113" i="1"/>
  <c r="M113" i="1"/>
  <c r="P111" i="1"/>
  <c r="M111" i="1"/>
  <c r="P110" i="1"/>
  <c r="M110" i="1"/>
  <c r="N106" i="1"/>
  <c r="N105" i="1"/>
  <c r="N104" i="1"/>
  <c r="N103" i="1"/>
  <c r="N102" i="1"/>
  <c r="P101" i="1"/>
  <c r="N101" i="1"/>
  <c r="M101" i="1"/>
  <c r="P100" i="1"/>
  <c r="N100" i="1"/>
  <c r="M100" i="1"/>
  <c r="N99" i="1"/>
  <c r="N98" i="1"/>
  <c r="N97" i="1"/>
  <c r="N96" i="1"/>
  <c r="P95" i="1"/>
  <c r="N95" i="1"/>
  <c r="M95" i="1"/>
  <c r="P94" i="1"/>
  <c r="N94" i="1"/>
  <c r="M94" i="1"/>
  <c r="N93" i="1"/>
  <c r="P92" i="1"/>
  <c r="N92" i="1"/>
  <c r="M92" i="1"/>
  <c r="P91" i="1"/>
  <c r="N91" i="1"/>
  <c r="M91" i="1"/>
  <c r="N90" i="1"/>
  <c r="P89" i="1"/>
  <c r="N89" i="1"/>
  <c r="M89" i="1"/>
  <c r="P88" i="1"/>
  <c r="N88" i="1"/>
  <c r="M88" i="1"/>
  <c r="N87" i="1"/>
  <c r="N86" i="1"/>
  <c r="Q85" i="1"/>
  <c r="P85" i="1"/>
  <c r="N85" i="1"/>
  <c r="M85" i="1"/>
  <c r="R84" i="1"/>
  <c r="Q84" i="1"/>
  <c r="P84" i="1"/>
  <c r="N84" i="1"/>
  <c r="M84" i="1"/>
  <c r="Q83" i="1"/>
  <c r="P83" i="1"/>
  <c r="N83" i="1"/>
  <c r="M83" i="1"/>
  <c r="N82" i="1"/>
  <c r="Q81" i="1"/>
  <c r="P81" i="1"/>
  <c r="N81" i="1"/>
  <c r="M81" i="1"/>
  <c r="Q80" i="1"/>
  <c r="P80" i="1"/>
  <c r="N80" i="1"/>
  <c r="M80" i="1"/>
  <c r="Q79" i="1"/>
  <c r="P79" i="1"/>
  <c r="N79" i="1"/>
  <c r="M79" i="1"/>
  <c r="Q78" i="1"/>
  <c r="P78" i="1"/>
  <c r="N78" i="1"/>
  <c r="M78" i="1"/>
  <c r="N77" i="1"/>
  <c r="Q76" i="1"/>
  <c r="P76" i="1"/>
  <c r="N76" i="1"/>
  <c r="M76" i="1"/>
  <c r="Q75" i="1"/>
  <c r="P75" i="1"/>
  <c r="N75" i="1"/>
  <c r="M75" i="1"/>
  <c r="Q74" i="1"/>
  <c r="P74" i="1"/>
  <c r="N74" i="1"/>
  <c r="M74" i="1"/>
  <c r="Q73" i="1"/>
  <c r="P73" i="1"/>
  <c r="N73" i="1"/>
  <c r="M73" i="1"/>
  <c r="N72" i="1"/>
  <c r="Q71" i="1"/>
  <c r="P71" i="1"/>
  <c r="N71" i="1"/>
  <c r="M71" i="1"/>
  <c r="R70" i="1"/>
  <c r="Q70" i="1"/>
  <c r="P70" i="1"/>
  <c r="N70" i="1"/>
  <c r="M70" i="1"/>
  <c r="Q69" i="1"/>
  <c r="P69" i="1"/>
  <c r="N69" i="1"/>
  <c r="M69" i="1"/>
  <c r="N68" i="1"/>
  <c r="Q67" i="1"/>
  <c r="P67" i="1"/>
  <c r="N67" i="1"/>
  <c r="M67" i="1"/>
  <c r="Q66" i="1"/>
  <c r="P66" i="1"/>
  <c r="N66" i="1"/>
  <c r="M66" i="1"/>
  <c r="Q65" i="1"/>
  <c r="P65" i="1"/>
  <c r="N65" i="1"/>
  <c r="M65" i="1"/>
  <c r="Q64" i="1"/>
  <c r="P64" i="1"/>
  <c r="N64" i="1"/>
  <c r="M64" i="1"/>
  <c r="N63" i="1"/>
  <c r="Q62" i="1"/>
  <c r="P62" i="1"/>
  <c r="N62" i="1"/>
  <c r="M62" i="1"/>
  <c r="Q61" i="1"/>
  <c r="P61" i="1"/>
  <c r="N61" i="1"/>
  <c r="M61" i="1"/>
  <c r="Q60" i="1"/>
  <c r="P60" i="1"/>
  <c r="N60" i="1"/>
  <c r="M60" i="1"/>
  <c r="Q59" i="1"/>
  <c r="P59" i="1"/>
  <c r="N59" i="1"/>
  <c r="M59" i="1"/>
  <c r="M25" i="1"/>
  <c r="P24" i="1"/>
  <c r="M24" i="1"/>
  <c r="P23" i="1"/>
  <c r="M23" i="1"/>
  <c r="M22" i="1"/>
  <c r="P21" i="1"/>
  <c r="M21" i="1"/>
  <c r="P20" i="1"/>
  <c r="M20" i="1"/>
  <c r="P19" i="1"/>
  <c r="M19" i="1"/>
  <c r="P17" i="1"/>
  <c r="M17" i="1"/>
  <c r="P16" i="1"/>
  <c r="M16" i="1"/>
  <c r="P15" i="1"/>
  <c r="M15" i="1"/>
  <c r="P13" i="1"/>
  <c r="M13" i="1"/>
  <c r="P10" i="1"/>
  <c r="M10" i="1"/>
  <c r="F4" i="1"/>
  <c r="E4" i="1"/>
  <c r="D4" i="1"/>
  <c r="C3" i="1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<sst xmlns="http://schemas.openxmlformats.org/spreadsheetml/2006/main" count="3824" uniqueCount="760">
  <si>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</si>
  <si>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</si>
  <si>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</si>
  <si>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</si>
  <si>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</si>
  <si>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</si>
  <si>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</si>
  <si>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</si>
  <si>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</si>
  <si>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</si>
  <si>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</si>
  <si>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</si>
  <si>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</si>
  <si>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</si>
  <si>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</si>
  <si>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</si>
  <si>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</si>
  <si>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</si>
  <si>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</si>
  <si>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</si>
  <si>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</si>
  <si>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</si>
  <si>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</si>
  <si>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</si>
  <si>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</si>
  <si>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</si>
  <si>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</si>
  <si>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不少於0.003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</si>
  <si>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</si>
  <si>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</si>
  <si>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</si>
  <si>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</si>
  <si>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</si>
  <si>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</si>
  <si>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</si>
  <si>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</si>
  <si>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</si>
  <si>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</si>
  <si>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</si>
  <si>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0101</t>
    <phoneticPr fontId="1" type="noConversion"/>
  </si>
  <si>
    <t>0102</t>
    <phoneticPr fontId="1" type="noConversion"/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</si>
  <si>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</si>
  <si>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</si>
  <si>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</si>
  <si>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</si>
  <si>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</si>
  <si>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</si>
  <si>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</si>
  <si>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</si>
  <si>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</si>
  <si>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</si>
  <si>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</si>
  <si>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</si>
  <si>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</si>
  <si>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</si>
  <si>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</si>
  <si>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</si>
  <si>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</si>
  <si>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</si>
  <si>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</si>
  <si>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</si>
  <si>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</si>
  <si>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</si>
  <si>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</si>
  <si>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</si>
  <si>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</si>
  <si>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</si>
  <si>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</si>
  <si>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0301</t>
    <phoneticPr fontId="1" type="noConversion"/>
  </si>
  <si>
    <t>0302</t>
    <phoneticPr fontId="1" type="noConversion"/>
  </si>
  <si>
    <t>0303</t>
  </si>
  <si>
    <t>0304</t>
  </si>
  <si>
    <t>0305</t>
  </si>
  <si>
    <t>0306</t>
  </si>
  <si>
    <t>0307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</si>
  <si>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</si>
  <si>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</si>
  <si>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</si>
  <si>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</si>
  <si>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</si>
  <si>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</si>
  <si>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</si>
  <si>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</si>
  <si>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</si>
  <si>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</si>
  <si>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</si>
  <si>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</si>
  <si>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</si>
  <si>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</si>
  <si>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</si>
  <si>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</si>
  <si>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</si>
  <si>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</si>
  <si>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</si>
  <si>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</si>
  <si>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</si>
  <si>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</si>
  <si>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</si>
  <si>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</si>
  <si>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</si>
  <si>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</si>
  <si>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</si>
  <si>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</si>
  <si>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</si>
  <si>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</si>
  <si>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</si>
  <si>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</si>
  <si>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</si>
  <si>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</si>
  <si>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</si>
  <si>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</si>
  <si>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</si>
  <si>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</si>
  <si>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</si>
  <si>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</si>
  <si>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</si>
  <si>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</si>
  <si>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</si>
  <si>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</si>
  <si>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</si>
  <si>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</si>
  <si>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</si>
  <si>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</si>
  <si>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</si>
  <si>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</si>
  <si>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</si>
  <si>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</si>
  <si>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</si>
  <si>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</si>
  <si>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</si>
  <si>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</si>
  <si>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</si>
  <si>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</si>
  <si>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</si>
  <si>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</si>
  <si>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</si>
  <si>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</si>
  <si>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</si>
  <si>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</si>
  <si>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</si>
  <si>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</si>
  <si>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</si>
  <si>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</si>
  <si>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</si>
  <si>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</si>
  <si>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</si>
  <si>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</si>
  <si>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</si>
  <si>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</si>
  <si>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</si>
  <si>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</si>
  <si>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</si>
  <si>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是否為短梁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</si>
  <si>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</si>
  <si>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</si>
  <si>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</si>
  <si>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</si>
  <si>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</si>
  <si>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</si>
  <si>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假設帶寬3M , 1/8wuL^2 &lt;= 0.9Asfyd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</si>
  <si>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</si>
  <si>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</si>
  <si>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</si>
  <si>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</si>
  <si>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</si>
  <si>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</si>
  <si>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</si>
  <si>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</si>
  <si>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</si>
  <si>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</si>
  <si>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</si>
  <si>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</si>
  <si>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</si>
  <si>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</si>
  <si>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</si>
  <si>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</si>
  <si>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</si>
  <si>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</si>
  <si>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</si>
  <si>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</si>
  <si>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</si>
  <si>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</si>
  <si>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</si>
  <si>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</si>
  <si>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</si>
  <si>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</si>
  <si>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</si>
  <si>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</si>
  <si>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</si>
  <si>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</si>
  <si>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</si>
  <si>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</si>
  <si>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</si>
  <si>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</si>
  <si>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</si>
  <si>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</si>
  <si>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</si>
  <si>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</si>
  <si>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</si>
  <si>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</si>
  <si>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</si>
  <si>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</si>
  <si>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</si>
  <si>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</si>
  <si>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</si>
  <si>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</si>
  <si>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</si>
  <si>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</si>
  <si>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</si>
  <si>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</si>
  <si>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</si>
  <si>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</si>
  <si>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</si>
  <si>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</si>
  <si>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</si>
  <si>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</si>
  <si>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</si>
  <si>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</si>
  <si>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</si>
  <si>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</si>
  <si>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</si>
  <si>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</si>
  <si>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</si>
  <si>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</si>
  <si>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</si>
  <si>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</si>
  <si>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</si>
  <si>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</si>
  <si>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</si>
  <si>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</si>
  <si>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</si>
  <si>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</si>
  <si>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</si>
  <si>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</si>
  <si>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</si>
  <si>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</si>
  <si>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</si>
  <si>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</si>
  <si>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</si>
  <si>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</si>
  <si>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</si>
  <si>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</si>
  <si>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</si>
  <si>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</si>
  <si>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</si>
  <si>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</si>
  <si>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</si>
  <si>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</si>
  <si>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</si>
  <si>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</si>
  <si>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</si>
  <si>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</si>
  <si>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</si>
  <si>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</si>
  <si>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</si>
  <si>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</si>
  <si>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</si>
  <si>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</si>
  <si>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</si>
  <si>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</si>
  <si>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</si>
  <si>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</si>
  <si>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</si>
  <si>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</si>
  <si>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</si>
  <si>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</si>
  <si>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</si>
  <si>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</si>
  <si>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</si>
  <si>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</si>
  <si>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</si>
  <si>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</si>
  <si>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</si>
  <si>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</si>
  <si>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</si>
  <si>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</si>
  <si>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</si>
  <si>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</si>
  <si>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</si>
  <si>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</si>
  <si>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</si>
  <si>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</si>
  <si>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</si>
  <si>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</si>
  <si>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</si>
  <si>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</si>
  <si>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</si>
  <si>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</si>
  <si>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</si>
  <si>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</si>
  <si>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</si>
  <si>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</si>
  <si>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</si>
  <si>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</si>
  <si>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</si>
  <si>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</si>
  <si>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</si>
  <si>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</si>
  <si>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</si>
  <si>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</si>
  <si>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間距不大於15CM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</si>
  <si>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</si>
  <si>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</si>
  <si>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</si>
  <si>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</si>
  <si>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</si>
  <si>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</si>
  <si>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</si>
  <si>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</si>
  <si>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</si>
  <si>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</si>
  <si>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</si>
  <si>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</si>
  <si>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</si>
  <si>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</si>
  <si>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</si>
  <si>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</si>
  <si>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</si>
  <si>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</si>
  <si>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</si>
  <si>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</si>
  <si>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</si>
  <si>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</si>
  <si>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</si>
  <si>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</si>
  <si>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</si>
  <si>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</si>
  <si>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</si>
  <si>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</si>
  <si>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</si>
  <si>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</si>
  <si>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</si>
  <si>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</si>
  <si>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</si>
  <si>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</si>
  <si>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</si>
  <si>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</si>
  <si>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</si>
  <si>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</si>
  <si>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</si>
  <si>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</si>
  <si>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</si>
  <si>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</si>
  <si>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</si>
  <si>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</si>
  <si>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</si>
  <si>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</si>
  <si>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</si>
  <si>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</si>
  <si>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</si>
  <si>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</si>
  <si>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</si>
  <si>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</si>
  <si>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</si>
  <si>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</si>
  <si>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</si>
  <si>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</si>
  <si>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</si>
  <si>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</si>
  <si>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</si>
  <si>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</si>
  <si>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</si>
  <si>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</si>
  <si>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</si>
  <si>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</si>
  <si>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</si>
  <si>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</si>
  <si>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</si>
  <si>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</si>
  <si>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</si>
  <si>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</si>
  <si>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</si>
  <si>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</si>
  <si>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</si>
  <si>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</si>
  <si>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</si>
  <si>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</si>
  <si>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</si>
  <si>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</si>
  <si>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</si>
  <si>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</si>
  <si>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</si>
  <si>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</si>
  <si>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</si>
  <si>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</si>
  <si>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</si>
  <si>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</si>
  <si>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</si>
  <si>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</si>
  <si>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</si>
  <si>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</si>
  <si>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</si>
  <si>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</si>
  <si>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</si>
  <si>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</si>
  <si>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</si>
  <si>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</si>
  <si>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</si>
  <si>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</si>
  <si>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</si>
  <si>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</si>
  <si>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</si>
  <si>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</si>
  <si>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</si>
  <si>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</si>
  <si>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</si>
  <si>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</si>
  <si>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</si>
  <si>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</si>
  <si>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</si>
  <si>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</si>
  <si>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</si>
  <si>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</si>
  <si>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</si>
  <si>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</si>
  <si>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</si>
  <si>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</si>
  <si>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</si>
  <si>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樓層</t>
    <phoneticPr fontId="1" type="noConversion"/>
  </si>
  <si>
    <t>STORY</t>
    <phoneticPr fontId="1" type="noConversion"/>
  </si>
  <si>
    <t>6F</t>
  </si>
  <si>
    <t>5F</t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</si>
  <si>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</si>
  <si>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</si>
  <si>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</si>
  <si>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</si>
  <si>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</si>
  <si>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</si>
  <si>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</si>
  <si>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</si>
  <si>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1F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</si>
  <si>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</si>
  <si>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</si>
  <si>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</si>
  <si>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</si>
  <si>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</si>
  <si>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</si>
  <si>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</si>
  <si>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</si>
  <si>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</si>
  <si>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</si>
  <si>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</si>
  <si>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</si>
  <si>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</si>
  <si>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</si>
  <si>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左端</t>
    <phoneticPr fontId="1" type="noConversion"/>
  </si>
  <si>
    <t>中央</t>
    <phoneticPr fontId="1" type="noConversion"/>
  </si>
  <si>
    <t>右端</t>
    <phoneticPr fontId="1" type="noConversion"/>
  </si>
  <si>
    <t>端部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</si>
  <si>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</si>
  <si>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</si>
  <si>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</si>
  <si>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</si>
  <si>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</si>
  <si>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</si>
  <si>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</si>
  <si>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</si>
  <si>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#3@15</t>
    <phoneticPr fontId="1" type="noConversion"/>
  </si>
  <si>
    <t>#3@20</t>
    <phoneticPr fontId="1" type="noConversion"/>
  </si>
  <si>
    <t>上層 第二排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</si>
  <si>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</si>
  <si>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</si>
  <si>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</si>
  <si>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</si>
  <si>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</si>
  <si>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</si>
  <si>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3-#6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</si>
  <si>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</si>
  <si>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</si>
  <si>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</si>
  <si>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</si>
  <si>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</si>
  <si>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</si>
  <si>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</si>
  <si>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</si>
  <si>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</si>
  <si>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下層 第二排</t>
    <phoneticPr fontId="1" type="noConversion"/>
  </si>
  <si>
    <t>GA-3</t>
    <phoneticPr fontId="1" type="noConversion"/>
  </si>
  <si>
    <t>上層 第二排</t>
    <phoneticPr fontId="1" type="noConversion"/>
  </si>
  <si>
    <t>GA-4</t>
    <phoneticPr fontId="1" type="noConversion"/>
  </si>
  <si>
    <t>GA-5</t>
    <phoneticPr fontId="1" type="noConversion"/>
  </si>
  <si>
    <t>GA-6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</si>
  <si>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</si>
  <si>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</si>
  <si>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</si>
  <si>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2-#7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</si>
  <si>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</si>
  <si>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</si>
  <si>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</si>
  <si>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</si>
  <si>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</si>
  <si>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2-#7</t>
    <phoneticPr fontId="1" type="noConversion"/>
  </si>
  <si>
    <t>GB-4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</si>
  <si>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</si>
  <si>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</si>
  <si>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</si>
  <si>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</si>
  <si>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</si>
  <si>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</si>
  <si>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</si>
  <si>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</si>
  <si>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</si>
  <si>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</si>
  <si>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</si>
  <si>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</si>
  <si>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</si>
  <si>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</si>
  <si>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</si>
  <si>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</si>
  <si>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RC梁寬</t>
    <phoneticPr fontId="1" type="noConversion"/>
  </si>
  <si>
    <t>b1-1</t>
    <phoneticPr fontId="1" type="noConversion"/>
  </si>
  <si>
    <t>4-#6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</si>
  <si>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</si>
  <si>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</si>
  <si>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</si>
  <si>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</si>
  <si>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</si>
  <si>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</si>
  <si>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</si>
  <si>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</si>
  <si>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</si>
  <si>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</si>
  <si>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</si>
  <si>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柱箍筋</t>
    <phoneticPr fontId="1" type="noConversion"/>
  </si>
  <si>
    <t>cm</t>
    <phoneticPr fontId="1" type="noConversion"/>
  </si>
  <si>
    <t>cm</t>
    <phoneticPr fontId="1" type="noConversion"/>
  </si>
  <si>
    <t>X向支數</t>
    <phoneticPr fontId="1" type="noConversion"/>
  </si>
  <si>
    <t>Y向支數</t>
    <phoneticPr fontId="1" type="noConversion"/>
  </si>
  <si>
    <t>圍束區</t>
    <phoneticPr fontId="1" type="noConversion"/>
  </si>
  <si>
    <t>非圍束區</t>
    <phoneticPr fontId="1" type="noConversion"/>
  </si>
  <si>
    <t>X向繫筋</t>
    <phoneticPr fontId="1" type="noConversion"/>
  </si>
  <si>
    <t>Y向繫筋</t>
    <phoneticPr fontId="1" type="noConversion"/>
  </si>
  <si>
    <t>C101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</si>
  <si>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</si>
  <si>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</si>
  <si>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</si>
  <si>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</si>
  <si>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</si>
  <si>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</si>
  <si>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C105</t>
    <phoneticPr fontId="1" type="noConversion"/>
  </si>
  <si>
    <t>C106</t>
    <phoneticPr fontId="1" type="noConversion"/>
  </si>
  <si>
    <t>8-#7</t>
    <phoneticPr fontId="1" type="noConversion"/>
  </si>
  <si>
    <t>#4@10</t>
    <phoneticPr fontId="1" type="noConversion"/>
  </si>
  <si>
    <t>#4@10</t>
    <phoneticPr fontId="1" type="noConversion"/>
  </si>
  <si>
    <t>#4@15</t>
    <phoneticPr fontId="1" type="noConversion"/>
  </si>
  <si>
    <t>C107</t>
    <phoneticPr fontId="1" type="noConversion"/>
  </si>
  <si>
    <t>12-#7</t>
    <phoneticPr fontId="1" type="noConversion"/>
  </si>
  <si>
    <t>#4@15</t>
    <phoneticPr fontId="1" type="noConversion"/>
  </si>
  <si>
    <t>C108</t>
    <phoneticPr fontId="1" type="noConversion"/>
  </si>
  <si>
    <t>C109</t>
    <phoneticPr fontId="1" type="noConversion"/>
  </si>
  <si>
    <t>C110</t>
    <phoneticPr fontId="1" type="noConversion"/>
  </si>
  <si>
    <t>C111</t>
    <phoneticPr fontId="1" type="noConversion"/>
  </si>
  <si>
    <t>C112</t>
    <phoneticPr fontId="1" type="noConversion"/>
  </si>
  <si>
    <t>C113</t>
    <phoneticPr fontId="1" type="noConversion"/>
  </si>
  <si>
    <t>C114</t>
    <phoneticPr fontId="1" type="noConversion"/>
  </si>
  <si>
    <t>C115</t>
    <phoneticPr fontId="1" type="noConversion"/>
  </si>
  <si>
    <t>C116</t>
    <phoneticPr fontId="1" type="noConversion"/>
  </si>
  <si>
    <t>C117</t>
  </si>
  <si>
    <t>C101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</si>
  <si>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</si>
  <si>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</si>
  <si>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</si>
  <si>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C108</t>
    <phoneticPr fontId="1" type="noConversion"/>
  </si>
  <si>
    <t>C109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</si>
  <si>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</si>
  <si>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</si>
  <si>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</si>
  <si>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</si>
  <si>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#4@10</t>
    <phoneticPr fontId="1" type="noConversion"/>
  </si>
  <si>
    <t>懸臂梁</t>
  </si>
  <si>
    <t>梁上柱</t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</si>
  <si>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</si>
  <si>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</si>
  <si>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</si>
  <si>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</si>
  <si>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</si>
  <si>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</si>
  <si>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</si>
  <si>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</si>
  <si>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</si>
  <si>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</si>
  <si>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</si>
  <si>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</si>
  <si>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</si>
  <si>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</si>
  <si>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</si>
  <si>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</si>
  <si>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</si>
  <si>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</si>
  <si>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</si>
  <si>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</si>
  <si>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</si>
  <si>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</si>
  <si>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</si>
  <si>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</si>
  <si>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</si>
  <si>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</si>
  <si>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</si>
  <si>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</si>
  <si>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</si>
  <si>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左端</t>
    <phoneticPr fontId="1" type="noConversion"/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</si>
  <si>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</si>
  <si>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</si>
  <si>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</si>
  <si>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</si>
  <si>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</si>
  <si>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</si>
  <si>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</si>
  <si>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</si>
  <si>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</si>
  <si>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</si>
  <si>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</si>
  <si>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</si>
  <si>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</si>
  <si>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</si>
  <si>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</si>
  <si>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Fyt</t>
    <phoneticPr fontId="1" type="noConversion"/>
  </si>
  <si>
    <t>請確認是否為深梁</t>
  </si>
  <si>
    <t>梁版 fc'</t>
    <phoneticPr fontId="1" type="noConversion"/>
  </si>
  <si>
    <t>柱牆 fc'</t>
    <phoneticPr fontId="1" type="noConversion"/>
  </si>
  <si>
    <t>RF</t>
    <phoneticPr fontId="1" type="noConversion"/>
  </si>
  <si>
    <t>(S), (E), (i) - check 結果 ok</t>
    <phoneticPr fontId="1" type="noConversion"/>
  </si>
  <si>
    <t>Warning Message</t>
    <phoneticPr fontId="1" type="noConversion"/>
  </si>
  <si>
    <t>1-#6</t>
    <phoneticPr fontId="1" type="noConversion"/>
  </si>
  <si>
    <t>3-#6</t>
    <phoneticPr fontId="1" type="noConversion"/>
  </si>
  <si>
    <t>2-#6</t>
    <phoneticPr fontId="1" type="noConversion"/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</si>
  <si>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</si>
  <si>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</si>
  <si>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</si>
  <si>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</si>
  <si>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</si>
  <si>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</si>
  <si>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</si>
  <si>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</si>
  <si>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</si>
  <si>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</si>
  <si>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t>2-#6</t>
    <phoneticPr fontId="1" type="noConversion"/>
  </si>
  <si>
    <t>#3@25</t>
    <phoneticPr fontId="1" type="noConversion"/>
  </si>
  <si>
    <t>1-#6</t>
    <phoneticPr fontId="1" type="noConversion"/>
  </si>
  <si>
    <t>請確認是否符合 單排支數下限 規定_x000D_
請確認是否符合 單排支數下限 規定_x000D_
請確認是否符合 左端下層筋下限 規定_x000D_</t>
    <phoneticPr fontId="1" type="noConversion"/>
  </si>
  <si>
    <t>13F</t>
    <phoneticPr fontId="1" type="noConversion"/>
  </si>
  <si>
    <t>12F</t>
    <phoneticPr fontId="1" type="noConversion"/>
  </si>
  <si>
    <t>11F</t>
  </si>
  <si>
    <t>10F</t>
  </si>
  <si>
    <t>9F</t>
  </si>
  <si>
    <t>8F</t>
  </si>
  <si>
    <t>7F</t>
  </si>
  <si>
    <t>1F</t>
  </si>
  <si>
    <t>16F</t>
  </si>
  <si>
    <t>15F</t>
  </si>
  <si>
    <t>14F</t>
  </si>
  <si>
    <t>Story</t>
    <phoneticPr fontId="1" type="noConversion"/>
  </si>
  <si>
    <t>Note</t>
    <phoneticPr fontId="1" type="noConversion"/>
  </si>
  <si>
    <t>R1</t>
    <phoneticPr fontId="1" type="noConversion"/>
  </si>
  <si>
    <t>R2</t>
    <phoneticPr fontId="1" type="noConversion"/>
  </si>
  <si>
    <t>PR</t>
    <phoneticPr fontId="1" type="noConversion"/>
  </si>
  <si>
    <t>(S), (E), (i) - check 結果 ok</t>
    <phoneticPr fontId="1" type="noConversion"/>
  </si>
  <si>
    <t>(S), (E), (i) - check 結果 ok</t>
    <phoneticPr fontId="1" type="noConversion"/>
  </si>
  <si>
    <t>1-#6</t>
    <phoneticPr fontId="1" type="noConversion"/>
  </si>
  <si>
    <t>請確認是否符合 單排支數下限 規定_x000D_
請確認是否符合 單排支數下限 規定_x000D_
請確認是否符合 左端下層筋下限 規定_x000D_</t>
    <phoneticPr fontId="1" type="noConversion"/>
  </si>
  <si>
    <t>-</t>
    <phoneticPr fontId="1" type="noConversion"/>
  </si>
  <si>
    <t>3-#6</t>
    <phoneticPr fontId="1" type="noConversion"/>
  </si>
  <si>
    <t>下層 第一排</t>
    <phoneticPr fontId="1" type="noConversion"/>
  </si>
  <si>
    <t>1F</t>
    <phoneticPr fontId="1" type="noConversion"/>
  </si>
  <si>
    <t>1#3EF</t>
    <phoneticPr fontId="1" type="noConversion"/>
  </si>
  <si>
    <t>#3@15</t>
    <phoneticPr fontId="1" type="noConversion"/>
  </si>
  <si>
    <t>2-#6</t>
    <phoneticPr fontId="1" type="noConversion"/>
  </si>
  <si>
    <t>#3@20</t>
    <phoneticPr fontId="1" type="noConversion"/>
  </si>
  <si>
    <t>5-#6</t>
    <phoneticPr fontId="1" type="noConversion"/>
  </si>
  <si>
    <t>上層 第二排</t>
    <phoneticPr fontId="1" type="noConversion"/>
  </si>
  <si>
    <t>下層 第二排</t>
    <phoneticPr fontId="1" type="noConversion"/>
  </si>
  <si>
    <t>上層 第一排</t>
    <phoneticPr fontId="1" type="noConversion"/>
  </si>
  <si>
    <t>7-#7</t>
    <phoneticPr fontId="1" type="noConversion"/>
  </si>
  <si>
    <t>3-#7</t>
    <phoneticPr fontId="1" type="noConversion"/>
  </si>
  <si>
    <t>4-#7</t>
    <phoneticPr fontId="1" type="noConversion"/>
  </si>
  <si>
    <t>GB-2</t>
    <phoneticPr fontId="1" type="noConversion"/>
  </si>
  <si>
    <t>2-#7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</si>
  <si>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</si>
  <si>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</si>
  <si>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</si>
  <si>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</si>
  <si>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</si>
  <si>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</si>
  <si>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</si>
  <si>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</si>
  <si>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</si>
  <si>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</si>
  <si>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</si>
  <si>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</si>
  <si>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</si>
  <si>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</si>
  <si>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Note</t>
    <phoneticPr fontId="1" type="noConversion"/>
  </si>
  <si>
    <t>上層 第一排</t>
    <phoneticPr fontId="1" type="noConversion"/>
  </si>
  <si>
    <t>5-#6</t>
    <phoneticPr fontId="1" type="noConversion"/>
  </si>
  <si>
    <t>#3@15</t>
    <phoneticPr fontId="1" type="noConversion"/>
  </si>
  <si>
    <t>1#3EF</t>
    <phoneticPr fontId="1" type="noConversion"/>
  </si>
  <si>
    <t>-</t>
    <phoneticPr fontId="1" type="noConversion"/>
  </si>
  <si>
    <t>1F</t>
    <phoneticPr fontId="1" type="noConversion"/>
  </si>
  <si>
    <t>8-#7</t>
    <phoneticPr fontId="1" type="noConversion"/>
  </si>
  <si>
    <t>5-#7</t>
    <phoneticPr fontId="1" type="noConversion"/>
  </si>
  <si>
    <t>-</t>
    <phoneticPr fontId="1" type="noConversion"/>
  </si>
  <si>
    <t>GC-4</t>
    <phoneticPr fontId="1" type="noConversion"/>
  </si>
  <si>
    <t>#3@15</t>
    <phoneticPr fontId="1" type="noConversion"/>
  </si>
  <si>
    <t>GB-3</t>
    <phoneticPr fontId="1" type="noConversion"/>
  </si>
  <si>
    <t>5-#6</t>
    <phoneticPr fontId="1" type="noConversion"/>
  </si>
  <si>
    <t>GA-4</t>
    <phoneticPr fontId="1" type="noConversion"/>
  </si>
  <si>
    <t>中央</t>
    <phoneticPr fontId="1" type="noConversion"/>
  </si>
  <si>
    <t>樓層</t>
    <phoneticPr fontId="1" type="noConversion"/>
  </si>
  <si>
    <t>右端</t>
    <phoneticPr fontId="1" type="noConversion"/>
  </si>
  <si>
    <t>中央</t>
    <phoneticPr fontId="1" type="noConversion"/>
  </si>
  <si>
    <t>1F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</si>
  <si>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</si>
  <si>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</si>
  <si>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</si>
  <si>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懸臂梁</t>
    <phoneticPr fontId="1" type="noConversion"/>
  </si>
  <si>
    <t>-</t>
    <phoneticPr fontId="1" type="noConversion"/>
  </si>
  <si>
    <t>5-#6</t>
    <phoneticPr fontId="1" type="noConversion"/>
  </si>
  <si>
    <t>上層 第二排</t>
    <phoneticPr fontId="1" type="noConversion"/>
  </si>
  <si>
    <t>1-#6</t>
    <phoneticPr fontId="1" type="noConversion"/>
  </si>
  <si>
    <t>#3@15</t>
    <phoneticPr fontId="1" type="noConversion"/>
  </si>
  <si>
    <t>下層 第二排</t>
    <phoneticPr fontId="1" type="noConversion"/>
  </si>
  <si>
    <t>3-#6</t>
    <phoneticPr fontId="1" type="noConversion"/>
  </si>
  <si>
    <t>#3@20</t>
    <phoneticPr fontId="1" type="noConversion"/>
  </si>
  <si>
    <t>4-#7</t>
    <phoneticPr fontId="1" type="noConversion"/>
  </si>
  <si>
    <t>3-#7</t>
    <phoneticPr fontId="1" type="noConversion"/>
  </si>
  <si>
    <t>7-#7</t>
    <phoneticPr fontId="1" type="noConversion"/>
  </si>
  <si>
    <t>下層 第一排</t>
    <phoneticPr fontId="1" type="noConversion"/>
  </si>
  <si>
    <t>RC梁深</t>
    <phoneticPr fontId="1" type="noConversion"/>
  </si>
  <si>
    <t>主筋</t>
    <phoneticPr fontId="1" type="noConversion"/>
  </si>
  <si>
    <t>箍筋</t>
    <phoneticPr fontId="1" type="noConversion"/>
  </si>
  <si>
    <t>支承寬</t>
    <phoneticPr fontId="1" type="noConversion"/>
  </si>
  <si>
    <t>左端</t>
    <phoneticPr fontId="1" type="noConversion"/>
  </si>
  <si>
    <t>GA-2</t>
    <phoneticPr fontId="1" type="noConversion"/>
  </si>
  <si>
    <t>梁上柱</t>
    <phoneticPr fontId="1" type="noConversion"/>
  </si>
  <si>
    <t>GA-3</t>
    <phoneticPr fontId="1" type="noConversion"/>
  </si>
  <si>
    <t>GA-5</t>
    <phoneticPr fontId="1" type="noConversion"/>
  </si>
  <si>
    <t>B2-1</t>
    <phoneticPr fontId="1" type="noConversion"/>
  </si>
  <si>
    <t>請確認是否符合 單排支數下限 規定_x000D_
請確認是否符合 中央上層筋相對鋼筋量 規定_x000D_
請確認是否符合 右端上層筋下限 規定_x000D_</t>
    <phoneticPr fontId="1" type="noConversion"/>
  </si>
  <si>
    <t>(S), (E), (i) - check 結果 ok</t>
    <phoneticPr fontId="1" type="noConversion"/>
  </si>
  <si>
    <t>請確認是否符合 單排支數下限 規定_x000D_
請確認是否符合 中央上層筋下限 規定_x000D_</t>
    <phoneticPr fontId="1" type="noConversion"/>
  </si>
  <si>
    <t>編號</t>
    <phoneticPr fontId="1" type="noConversion"/>
  </si>
  <si>
    <t>梁長</t>
    <phoneticPr fontId="1" type="noConversion"/>
  </si>
  <si>
    <t>GA-6</t>
    <phoneticPr fontId="1" type="noConversion"/>
  </si>
  <si>
    <t>2-#7</t>
    <phoneticPr fontId="1" type="noConversion"/>
  </si>
  <si>
    <t>1-#6</t>
    <phoneticPr fontId="1" type="noConversion"/>
  </si>
  <si>
    <t>請確認是否符合 單排支數下限 規定_x000D_
請確認是否符合 中央上層筋相對鋼筋量 規定_x000D_
請確認是否符合 右端上層筋下限 規定_x000D_</t>
    <phoneticPr fontId="1" type="noConversion"/>
  </si>
  <si>
    <t>(S), (E), (i) - check 結果 ok</t>
    <phoneticPr fontId="1" type="noConversion"/>
  </si>
  <si>
    <t>5-#3</t>
    <phoneticPr fontId="1" type="noConversion"/>
  </si>
  <si>
    <t>請確認是否符合 中央上層筋相對鋼筋量 規定_x000D_
請確認是否符合 右端上層筋下限 規定_x000D_</t>
    <phoneticPr fontId="1" type="noConversion"/>
  </si>
  <si>
    <t>1-#5</t>
    <phoneticPr fontId="1" type="noConversion"/>
  </si>
  <si>
    <t>請確認是否符合 單排支數下限 規定_x000D_
請確認是否符合 中央上層筋相對鋼筋量 規定_x000D_
請確認是否符合 右端上層筋下限 規定_x000D_</t>
    <phoneticPr fontId="1" type="noConversion"/>
  </si>
  <si>
    <t>1-#5</t>
    <phoneticPr fontId="1" type="noConversion"/>
  </si>
  <si>
    <t>腰筋</t>
    <phoneticPr fontId="1" type="noConversion"/>
  </si>
  <si>
    <t>#3@25</t>
    <phoneticPr fontId="1" type="noConversion"/>
  </si>
  <si>
    <t>上層 第一排</t>
    <phoneticPr fontId="1" type="noConversion"/>
  </si>
  <si>
    <t>5-#3</t>
    <phoneticPr fontId="1" type="noConversion"/>
  </si>
  <si>
    <t>GB-1</t>
    <phoneticPr fontId="1" type="noConversion"/>
  </si>
  <si>
    <t>GB-4</t>
    <phoneticPr fontId="1" type="noConversion"/>
  </si>
  <si>
    <t>(S), (E), (i) - check 結果 ok</t>
    <phoneticPr fontId="1" type="noConversion"/>
  </si>
  <si>
    <t>(S), (E), (i) - check 結果 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</si>
</sst>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</cellStyleXfs>
  <cellXfs count="11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9" fillId="12" borderId="14" xfId="2" applyFont="1" applyBorder="1" applyAlignment="1">
      <alignment horizontal="center" vertical="center"/>
    </xf>
    <xf numFmtId="0" fontId="9" fillId="12" borderId="15" xfId="2" applyFont="1" applyBorder="1" applyAlignment="1">
      <alignment horizontal="center" vertical="center"/>
    </xf>
    <xf numFmtId="0" fontId="9" fillId="12" borderId="16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12" borderId="0" xfId="2" applyFont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0" fillId="0" borderId="18" xfId="0" applyBorder="1">
      <alignment vertical="center"/>
    </xf>
    <xf numFmtId="0" fontId="11" fillId="13" borderId="22" xfId="4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0" fillId="0" borderId="1" xfId="3" applyBorder="1" applyAlignment="1">
      <alignment horizontal="center" vertical="center"/>
    </xf>
    <xf numFmtId="0" fontId="8" fillId="12" borderId="21" xfId="2" applyBorder="1" applyAlignment="1">
      <alignment horizontal="center" vertical="center"/>
    </xf>
    <xf numFmtId="0" fontId="8" fillId="12" borderId="24" xfId="2" applyBorder="1" applyAlignment="1">
      <alignment horizontal="center" vertical="center"/>
    </xf>
    <xf numFmtId="0" fontId="11" fillId="13" borderId="23" xfId="4" applyBorder="1" applyAlignment="1">
      <alignment horizontal="center" vertical="center" wrapText="1"/>
    </xf>
    <xf numFmtId="0" fontId="11" fillId="13" borderId="22" xfId="4" applyBorder="1" applyAlignment="1">
      <alignment horizontal="center" vertical="center"/>
    </xf>
    <xf numFmtId="0" fontId="12" fillId="14" borderId="22" xfId="5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</cellXfs>
  <cellStyles count="6">
    <cellStyle name="一般" xfId="0" builtinId="0"/>
    <cellStyle name="中等" xfId="2" builtinId="28"/>
    <cellStyle name="好" xfId="4" builtinId="26"/>
    <cellStyle name="備註" xfId="1" builtinId="10"/>
    <cellStyle name="超連結" xfId="3" builtinId="8"/>
    <cellStyle name="壞" xfId="5" builtinId="27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1609725</xdr:colOff>
      <xdr:row>101</xdr:row>
      <xdr:rowOff>76200</xdr:rowOff>
    </xdr:from>
    <xdr:to>
      <xdr:col>13</xdr:col>
      <xdr:colOff>0</xdr:colOff>
      <xdr:row>106</xdr:row>
      <xdr:rowOff>152400</xdr:rowOff>
    </xdr:to>
    <xdr:sp macro="" textlink="">
      <xdr:nvSpPr>
        <xdr:cNvPr id="4" name="橢圓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925175" y="241649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140</xdr:row>
      <xdr:rowOff>200025</xdr:rowOff>
    </xdr:from>
    <xdr:to>
      <xdr:col>12</xdr:col>
      <xdr:colOff>2971800</xdr:colOff>
      <xdr:row>146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237</xdr:row>
      <xdr:rowOff>104775</xdr:rowOff>
    </xdr:from>
    <xdr:to>
      <xdr:col>13</xdr:col>
      <xdr:colOff>142874</xdr:colOff>
      <xdr:row>239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179</xdr:row>
      <xdr:rowOff>66675</xdr:rowOff>
    </xdr:from>
    <xdr:to>
      <xdr:col>13</xdr:col>
      <xdr:colOff>371476</xdr:colOff>
      <xdr:row>181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16</xdr:col>
      <xdr:colOff>38100</xdr:colOff>
      <xdr:row>9</xdr:row>
      <xdr:rowOff>0</xdr:rowOff>
    </xdr:to>
    <xdr:sp macro="[0]!Girde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391650" y="819150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21</xdr:col>
      <xdr:colOff>38100</xdr:colOff>
      <xdr:row>9</xdr:row>
      <xdr:rowOff>152400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458575" y="105727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21</xdr:col>
      <xdr:colOff>38100</xdr:colOff>
      <xdr:row>9</xdr:row>
      <xdr:rowOff>152400</xdr:rowOff>
    </xdr:to>
    <xdr:sp macro="[0]!Girder" textlink="">
      <xdr:nvSpPr>
        <xdr:cNvPr id="2" name="矩形 1">
          <a:extLst>
            <a:ext uri="{FF2B5EF4-FFF2-40B4-BE49-F238E27FC236}">
              <a16:creationId xmlns:a16="http://schemas.microsoft.com/office/drawing/2014/main" id="{E9C0CA26-2163-419B-9249-02B2AD13B346}"/>
            </a:ext>
          </a:extLst>
        </xdr:cNvPr>
        <xdr:cNvSpPr/>
      </xdr:nvSpPr>
      <xdr:spPr>
        <a:xfrm>
          <a:off x="12211050" y="1066800"/>
          <a:ext cx="2095500" cy="9906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21</xdr:col>
      <xdr:colOff>38100</xdr:colOff>
      <xdr:row>9</xdr:row>
      <xdr:rowOff>152400</xdr:rowOff>
    </xdr:to>
    <xdr:sp macro="[0]!Girder" textlink="">
      <xdr:nvSpPr>
        <xdr:cNvPr id="2" name="矩形 1">
          <a:extLst>
            <a:ext uri="{FF2B5EF4-FFF2-40B4-BE49-F238E27FC236}">
              <a16:creationId xmlns:a16="http://schemas.microsoft.com/office/drawing/2014/main" id="{29E1D7F2-4C5B-4FDC-A070-149DFB450ADB}"/>
            </a:ext>
          </a:extLst>
        </xdr:cNvPr>
        <xdr:cNvSpPr/>
      </xdr:nvSpPr>
      <xdr:spPr>
        <a:xfrm>
          <a:off x="12211050" y="1066800"/>
          <a:ext cx="2095500" cy="9906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printerSettings" Target="../printerSettings/printerSettings4.bin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82" Type="http://schemas.openxmlformats.org/officeDocument/2006/relationships/comments" Target="../comments1.xm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drawing" Target="../drawings/drawing3.xm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vmlDrawing" Target="../drawings/vmlDrawing1.v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hyperlink" Target="mailto:#3@15" TargetMode="External"/><Relationship Id="rId39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34" Type="http://schemas.openxmlformats.org/officeDocument/2006/relationships/hyperlink" Target="mailto:#3@15" TargetMode="External"/><Relationship Id="rId42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32" Type="http://schemas.openxmlformats.org/officeDocument/2006/relationships/hyperlink" Target="mailto:#3@15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15" TargetMode="External"/><Relationship Id="rId45" Type="http://schemas.openxmlformats.org/officeDocument/2006/relationships/comments" Target="../comments2.xm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15" TargetMode="External"/><Relationship Id="rId36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31" Type="http://schemas.openxmlformats.org/officeDocument/2006/relationships/hyperlink" Target="mailto:#3@15" TargetMode="External"/><Relationship Id="rId44" Type="http://schemas.openxmlformats.org/officeDocument/2006/relationships/vmlDrawing" Target="../drawings/vmlDrawing2.v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15" TargetMode="External"/><Relationship Id="rId35" Type="http://schemas.openxmlformats.org/officeDocument/2006/relationships/hyperlink" Target="mailto:#3@15" TargetMode="External"/><Relationship Id="rId43" Type="http://schemas.openxmlformats.org/officeDocument/2006/relationships/drawing" Target="../drawings/drawing4.xml"/><Relationship Id="rId8" Type="http://schemas.openxmlformats.org/officeDocument/2006/relationships/hyperlink" Target="mailto:#3@20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15" TargetMode="External"/><Relationship Id="rId20" Type="http://schemas.openxmlformats.org/officeDocument/2006/relationships/hyperlink" Target="mailto:#3@15" TargetMode="External"/><Relationship Id="rId41" Type="http://schemas.openxmlformats.org/officeDocument/2006/relationships/hyperlink" Target="mailto:#3@15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drawing" Target="../drawings/drawing5.xm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vmlDrawing" Target="../drawings/vmlDrawing3.vm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comments" Target="../comments3.x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45"/>
  <sheetViews>
    <sheetView topLeftCell="F79" zoomScaleNormal="100" workbookViewId="0">
      <selection activeCell="L74" sqref="L74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8" customWidth="1"/>
    <col min="13" max="13" width="40.5" style="67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7" t="s">
        <v>18</v>
      </c>
    </row>
    <row r="3" spans="1:17" ht="20.25" x14ac:dyDescent="0.25">
      <c r="C3" s="23">
        <f>SUM(D4:F4)</f>
        <v>181</v>
      </c>
      <c r="D3" s="24"/>
      <c r="E3" s="25"/>
      <c r="F3" s="26"/>
    </row>
    <row r="4" spans="1:17" ht="21" thickBot="1" x14ac:dyDescent="0.3">
      <c r="C4" s="23"/>
      <c r="D4" s="24">
        <f>SUM(D6:D265)</f>
        <v>77</v>
      </c>
      <c r="E4" s="25">
        <f>SUM(E6:E265)</f>
        <v>63</v>
      </c>
      <c r="F4" s="26">
        <f>SUM(F6:F265)</f>
        <v>41</v>
      </c>
    </row>
    <row r="5" spans="1:17" x14ac:dyDescent="0.25">
      <c r="B5" s="50" t="s">
        <v>335</v>
      </c>
      <c r="C5" s="51" t="s">
        <v>336</v>
      </c>
      <c r="D5" s="52" t="s">
        <v>337</v>
      </c>
      <c r="E5" s="53" t="s">
        <v>338</v>
      </c>
      <c r="F5" s="54" t="s">
        <v>339</v>
      </c>
      <c r="G5" s="55" t="s">
        <v>340</v>
      </c>
      <c r="H5" s="51" t="s">
        <v>341</v>
      </c>
      <c r="I5" s="51" t="s">
        <v>341</v>
      </c>
      <c r="J5" s="51" t="s">
        <v>341</v>
      </c>
      <c r="K5" s="56" t="s">
        <v>342</v>
      </c>
      <c r="L5" s="57" t="s">
        <v>343</v>
      </c>
      <c r="M5" s="68" t="s">
        <v>366</v>
      </c>
    </row>
    <row r="6" spans="1:17" ht="19.5" thickBot="1" x14ac:dyDescent="0.3">
      <c r="B6" s="58" t="s">
        <v>364</v>
      </c>
      <c r="C6" s="59" t="s">
        <v>365</v>
      </c>
      <c r="D6" s="60" t="s">
        <v>346</v>
      </c>
      <c r="E6" s="61" t="s">
        <v>347</v>
      </c>
      <c r="F6" s="62" t="s">
        <v>348</v>
      </c>
      <c r="G6" s="63"/>
      <c r="H6" s="64"/>
      <c r="I6" s="64"/>
      <c r="J6" s="64"/>
      <c r="K6" s="65"/>
      <c r="L6" s="66"/>
      <c r="M6" s="69"/>
    </row>
    <row r="7" spans="1:17" x14ac:dyDescent="0.25">
      <c r="B7" s="14"/>
      <c r="C7" s="3" t="s">
        <v>39</v>
      </c>
      <c r="D7" s="8"/>
      <c r="E7" s="6"/>
      <c r="F7" s="11"/>
      <c r="G7" s="18" t="s">
        <v>141</v>
      </c>
      <c r="H7" s="4"/>
      <c r="I7" s="4" t="s">
        <v>152</v>
      </c>
      <c r="J7" s="4"/>
      <c r="K7" s="21"/>
      <c r="L7" s="29"/>
      <c r="M7" s="70"/>
    </row>
    <row r="8" spans="1:17" x14ac:dyDescent="0.25">
      <c r="B8" s="14"/>
      <c r="C8" s="3" t="s">
        <v>40</v>
      </c>
      <c r="D8" s="8">
        <v>1</v>
      </c>
      <c r="E8" s="6"/>
      <c r="F8" s="11"/>
      <c r="G8" s="18" t="s">
        <v>141</v>
      </c>
      <c r="H8" s="4"/>
      <c r="I8" s="4"/>
      <c r="J8" s="4"/>
      <c r="K8" s="21"/>
      <c r="L8" s="30"/>
      <c r="M8" s="71"/>
    </row>
    <row r="9" spans="1:17" x14ac:dyDescent="0.25">
      <c r="B9" s="14"/>
      <c r="C9" s="3" t="s">
        <v>41</v>
      </c>
      <c r="D9" s="8"/>
      <c r="E9" s="6"/>
      <c r="F9" s="11"/>
      <c r="G9" s="18"/>
      <c r="H9" s="4"/>
      <c r="I9" s="4"/>
      <c r="J9" s="4"/>
      <c r="K9" s="21"/>
      <c r="L9" s="30"/>
      <c r="M9" s="75"/>
    </row>
    <row r="10" spans="1:17" x14ac:dyDescent="0.25">
      <c r="B10" s="14"/>
      <c r="C10" s="3" t="s">
        <v>42</v>
      </c>
      <c r="D10" s="8">
        <v>1</v>
      </c>
      <c r="E10" s="6"/>
      <c r="F10" s="11"/>
      <c r="G10" s="18" t="s">
        <v>141</v>
      </c>
      <c r="H10" s="4" t="s">
        <v>225</v>
      </c>
      <c r="I10" s="4" t="s">
        <v>29</v>
      </c>
      <c r="J10" s="4"/>
      <c r="K10" s="21" t="s">
        <v>142</v>
      </c>
      <c r="L10" s="30" t="s">
        <v>143</v>
      </c>
      <c r="M10" s="75" t="str">
        <f t="shared" ref="M10:M25" si="0">CONCATENATE(O10,P10,Q10)</f>
        <v>請確認是否符合 短梁側筋 規定</v>
      </c>
      <c r="O10" s="1" t="s">
        <v>383</v>
      </c>
      <c r="P10" s="1" t="str">
        <f t="shared" ref="P10:P24" si="1">I10</f>
        <v>短梁側筋</v>
      </c>
      <c r="Q10" s="1" t="s">
        <v>384</v>
      </c>
    </row>
    <row r="11" spans="1:17" x14ac:dyDescent="0.25">
      <c r="B11" s="14"/>
      <c r="C11" s="3" t="s">
        <v>43</v>
      </c>
      <c r="D11" s="8"/>
      <c r="E11" s="6"/>
      <c r="F11" s="11"/>
      <c r="G11" s="18" t="s">
        <v>141</v>
      </c>
      <c r="H11" s="4" t="s">
        <v>225</v>
      </c>
      <c r="I11" s="4"/>
      <c r="J11" s="4"/>
      <c r="K11" s="21"/>
      <c r="L11" s="30"/>
      <c r="M11" s="75"/>
    </row>
    <row r="12" spans="1:17" x14ac:dyDescent="0.25">
      <c r="B12" s="14"/>
      <c r="C12" s="3" t="s">
        <v>44</v>
      </c>
      <c r="D12" s="8"/>
      <c r="E12" s="6"/>
      <c r="F12" s="11"/>
      <c r="G12" s="18"/>
      <c r="H12" s="4" t="s">
        <v>225</v>
      </c>
      <c r="I12" s="4"/>
      <c r="J12" s="4"/>
      <c r="K12" s="21"/>
      <c r="L12" s="30"/>
      <c r="M12" s="75"/>
    </row>
    <row r="13" spans="1:17" x14ac:dyDescent="0.25">
      <c r="B13" s="14"/>
      <c r="C13" s="3" t="s">
        <v>45</v>
      </c>
      <c r="D13" s="8">
        <v>1</v>
      </c>
      <c r="E13" s="6"/>
      <c r="F13" s="11"/>
      <c r="G13" s="18" t="s">
        <v>141</v>
      </c>
      <c r="H13" s="4" t="s">
        <v>225</v>
      </c>
      <c r="I13" s="4" t="s">
        <v>30</v>
      </c>
      <c r="J13" s="4"/>
      <c r="K13" s="21" t="s">
        <v>142</v>
      </c>
      <c r="L13" s="30" t="s">
        <v>143</v>
      </c>
      <c r="M13" s="75" t="str">
        <f t="shared" si="0"/>
        <v>請確認是否符合 短梁箍筋 規定</v>
      </c>
      <c r="O13" s="1" t="s">
        <v>383</v>
      </c>
      <c r="P13" s="1" t="str">
        <f t="shared" si="1"/>
        <v>短梁箍筋</v>
      </c>
      <c r="Q13" s="1" t="s">
        <v>384</v>
      </c>
    </row>
    <row r="14" spans="1:17" x14ac:dyDescent="0.25">
      <c r="B14" s="14"/>
      <c r="C14" s="3" t="s">
        <v>46</v>
      </c>
      <c r="D14" s="8"/>
      <c r="E14" s="6"/>
      <c r="F14" s="11"/>
      <c r="G14" s="18" t="s">
        <v>141</v>
      </c>
      <c r="H14" s="4" t="s">
        <v>225</v>
      </c>
      <c r="I14" s="4"/>
      <c r="J14" s="4"/>
      <c r="K14" s="21"/>
      <c r="L14" s="30"/>
      <c r="M14" s="75"/>
    </row>
    <row r="15" spans="1:17" x14ac:dyDescent="0.25">
      <c r="B15" s="14"/>
      <c r="C15" s="3" t="s">
        <v>47</v>
      </c>
      <c r="D15" s="8">
        <v>1</v>
      </c>
      <c r="E15" s="6"/>
      <c r="F15" s="11"/>
      <c r="G15" s="18" t="s">
        <v>141</v>
      </c>
      <c r="H15" s="4" t="s">
        <v>225</v>
      </c>
      <c r="I15" s="4" t="s">
        <v>37</v>
      </c>
      <c r="J15" s="4"/>
      <c r="K15" s="21" t="s">
        <v>3</v>
      </c>
      <c r="L15" s="30" t="s">
        <v>303</v>
      </c>
      <c r="M15" s="75" t="str">
        <f t="shared" si="0"/>
        <v>請確認是否符合 上層筋 規定</v>
      </c>
      <c r="O15" s="1" t="s">
        <v>383</v>
      </c>
      <c r="P15" s="1" t="str">
        <f t="shared" si="1"/>
        <v>上層筋</v>
      </c>
      <c r="Q15" s="1" t="s">
        <v>384</v>
      </c>
    </row>
    <row r="16" spans="1:17" x14ac:dyDescent="0.25">
      <c r="B16" s="14"/>
      <c r="C16" s="3" t="s">
        <v>48</v>
      </c>
      <c r="D16" s="8"/>
      <c r="E16" s="6">
        <v>1</v>
      </c>
      <c r="F16" s="11">
        <v>1</v>
      </c>
      <c r="G16" s="18" t="s">
        <v>141</v>
      </c>
      <c r="H16" s="4" t="s">
        <v>225</v>
      </c>
      <c r="I16" s="4" t="s">
        <v>37</v>
      </c>
      <c r="J16" s="4"/>
      <c r="K16" s="21" t="s">
        <v>4</v>
      </c>
      <c r="L16" s="30" t="s">
        <v>304</v>
      </c>
      <c r="M16" s="75" t="str">
        <f t="shared" si="0"/>
        <v>請確認是否符合 上層筋 規定</v>
      </c>
      <c r="O16" s="1" t="s">
        <v>383</v>
      </c>
      <c r="P16" s="1" t="str">
        <f t="shared" si="1"/>
        <v>上層筋</v>
      </c>
      <c r="Q16" s="1" t="s">
        <v>384</v>
      </c>
    </row>
    <row r="17" spans="2:17" x14ac:dyDescent="0.25">
      <c r="B17" s="14"/>
      <c r="C17" s="3" t="s">
        <v>49</v>
      </c>
      <c r="D17" s="8">
        <v>1</v>
      </c>
      <c r="E17" s="6"/>
      <c r="F17" s="11"/>
      <c r="G17" s="18" t="s">
        <v>141</v>
      </c>
      <c r="H17" s="4" t="s">
        <v>225</v>
      </c>
      <c r="I17" s="4" t="s">
        <v>133</v>
      </c>
      <c r="J17" s="4"/>
      <c r="K17" s="21" t="s">
        <v>228</v>
      </c>
      <c r="L17" s="30" t="s">
        <v>229</v>
      </c>
      <c r="M17" s="75" t="str">
        <f t="shared" si="0"/>
        <v>請確認是否符合 上層筋 規定</v>
      </c>
      <c r="O17" s="1" t="s">
        <v>383</v>
      </c>
      <c r="P17" s="1" t="str">
        <f t="shared" si="1"/>
        <v>上層筋</v>
      </c>
      <c r="Q17" s="1" t="s">
        <v>384</v>
      </c>
    </row>
    <row r="18" spans="2:17" x14ac:dyDescent="0.25">
      <c r="B18" s="14"/>
      <c r="C18" s="3" t="s">
        <v>50</v>
      </c>
      <c r="D18" s="8"/>
      <c r="E18" s="6"/>
      <c r="F18" s="11"/>
      <c r="G18" s="18"/>
      <c r="H18" s="4" t="s">
        <v>225</v>
      </c>
      <c r="I18" s="4"/>
      <c r="J18" s="4"/>
      <c r="K18" s="21"/>
      <c r="L18" s="30"/>
      <c r="M18" s="75"/>
    </row>
    <row r="19" spans="2:17" x14ac:dyDescent="0.25">
      <c r="B19" s="14"/>
      <c r="C19" s="3" t="s">
        <v>51</v>
      </c>
      <c r="D19" s="8">
        <v>1</v>
      </c>
      <c r="E19" s="6"/>
      <c r="F19" s="11"/>
      <c r="G19" s="18" t="s">
        <v>141</v>
      </c>
      <c r="H19" s="4" t="s">
        <v>225</v>
      </c>
      <c r="I19" s="4" t="s">
        <v>38</v>
      </c>
      <c r="J19" s="4"/>
      <c r="K19" s="21" t="s">
        <v>3</v>
      </c>
      <c r="L19" s="30" t="s">
        <v>303</v>
      </c>
      <c r="M19" s="75" t="str">
        <f t="shared" si="0"/>
        <v>請確認是否符合 下層筋 規定</v>
      </c>
      <c r="O19" s="1" t="s">
        <v>383</v>
      </c>
      <c r="P19" s="1" t="str">
        <f t="shared" si="1"/>
        <v>下層筋</v>
      </c>
      <c r="Q19" s="1" t="s">
        <v>384</v>
      </c>
    </row>
    <row r="20" spans="2:17" x14ac:dyDescent="0.25">
      <c r="B20" s="14"/>
      <c r="C20" s="3" t="s">
        <v>52</v>
      </c>
      <c r="D20" s="8"/>
      <c r="E20" s="6">
        <v>1</v>
      </c>
      <c r="F20" s="11">
        <v>1</v>
      </c>
      <c r="G20" s="18" t="s">
        <v>141</v>
      </c>
      <c r="H20" s="4" t="s">
        <v>225</v>
      </c>
      <c r="I20" s="4" t="s">
        <v>38</v>
      </c>
      <c r="J20" s="4"/>
      <c r="K20" s="21" t="s">
        <v>4</v>
      </c>
      <c r="L20" s="30" t="s">
        <v>304</v>
      </c>
      <c r="M20" s="75" t="str">
        <f t="shared" si="0"/>
        <v>請確認是否符合 下層筋 規定</v>
      </c>
      <c r="O20" s="1" t="s">
        <v>383</v>
      </c>
      <c r="P20" s="1" t="str">
        <f t="shared" si="1"/>
        <v>下層筋</v>
      </c>
      <c r="Q20" s="1" t="s">
        <v>384</v>
      </c>
    </row>
    <row r="21" spans="2:17" x14ac:dyDescent="0.25">
      <c r="B21" s="14"/>
      <c r="C21" s="3" t="s">
        <v>208</v>
      </c>
      <c r="D21" s="8">
        <v>1</v>
      </c>
      <c r="E21" s="6"/>
      <c r="F21" s="11"/>
      <c r="G21" s="18" t="s">
        <v>141</v>
      </c>
      <c r="H21" s="4" t="s">
        <v>225</v>
      </c>
      <c r="I21" s="4" t="s">
        <v>38</v>
      </c>
      <c r="J21" s="4"/>
      <c r="K21" s="21" t="s">
        <v>231</v>
      </c>
      <c r="L21" s="30" t="s">
        <v>230</v>
      </c>
      <c r="M21" s="75" t="str">
        <f t="shared" si="0"/>
        <v>請確認是否符合 下層筋 規定</v>
      </c>
      <c r="O21" s="1" t="s">
        <v>383</v>
      </c>
      <c r="P21" s="1" t="str">
        <f t="shared" si="1"/>
        <v>下層筋</v>
      </c>
      <c r="Q21" s="1" t="s">
        <v>384</v>
      </c>
    </row>
    <row r="22" spans="2:17" x14ac:dyDescent="0.25">
      <c r="B22" s="14"/>
      <c r="C22" s="3" t="s">
        <v>209</v>
      </c>
      <c r="D22" s="8"/>
      <c r="E22" s="6"/>
      <c r="F22" s="11"/>
      <c r="G22" s="18" t="s">
        <v>141</v>
      </c>
      <c r="H22" s="4" t="s">
        <v>225</v>
      </c>
      <c r="I22" s="4"/>
      <c r="J22" s="4"/>
      <c r="K22" s="21"/>
      <c r="L22" s="30"/>
      <c r="M22" s="75" t="str">
        <f t="shared" si="0"/>
        <v/>
      </c>
    </row>
    <row r="23" spans="2:17" x14ac:dyDescent="0.25">
      <c r="B23" s="14"/>
      <c r="C23" s="3" t="s">
        <v>210</v>
      </c>
      <c r="D23" s="8">
        <v>1</v>
      </c>
      <c r="E23" s="6"/>
      <c r="F23" s="11"/>
      <c r="G23" s="18" t="s">
        <v>141</v>
      </c>
      <c r="H23" s="4" t="s">
        <v>225</v>
      </c>
      <c r="I23" s="4" t="s">
        <v>301</v>
      </c>
      <c r="J23" s="4"/>
      <c r="K23" s="21" t="s">
        <v>144</v>
      </c>
      <c r="L23" s="30" t="s">
        <v>299</v>
      </c>
      <c r="M23" s="75" t="str">
        <f t="shared" si="0"/>
        <v>請確認是否符合 箍筋 規定</v>
      </c>
      <c r="O23" s="1" t="s">
        <v>383</v>
      </c>
      <c r="P23" s="1" t="str">
        <f t="shared" si="1"/>
        <v>箍筋</v>
      </c>
      <c r="Q23" s="1" t="s">
        <v>384</v>
      </c>
    </row>
    <row r="24" spans="2:17" x14ac:dyDescent="0.25">
      <c r="B24" s="14"/>
      <c r="C24" s="3" t="s">
        <v>211</v>
      </c>
      <c r="D24" s="8">
        <v>1</v>
      </c>
      <c r="E24" s="6"/>
      <c r="F24" s="11"/>
      <c r="G24" s="18" t="s">
        <v>141</v>
      </c>
      <c r="H24" s="4" t="s">
        <v>225</v>
      </c>
      <c r="I24" s="4" t="s">
        <v>301</v>
      </c>
      <c r="J24" s="4"/>
      <c r="K24" s="21" t="s">
        <v>142</v>
      </c>
      <c r="L24" s="30" t="s">
        <v>300</v>
      </c>
      <c r="M24" s="75" t="str">
        <f t="shared" si="0"/>
        <v>請確認是否符合 箍筋 規定</v>
      </c>
      <c r="O24" s="1" t="s">
        <v>383</v>
      </c>
      <c r="P24" s="1" t="str">
        <f t="shared" si="1"/>
        <v>箍筋</v>
      </c>
      <c r="Q24" s="1" t="s">
        <v>384</v>
      </c>
    </row>
    <row r="25" spans="2:17" ht="18.600000000000001" customHeight="1" x14ac:dyDescent="0.25">
      <c r="B25" s="14"/>
      <c r="C25" s="3" t="s">
        <v>212</v>
      </c>
      <c r="D25" s="8"/>
      <c r="E25" s="6"/>
      <c r="F25" s="11"/>
      <c r="G25" s="18" t="s">
        <v>141</v>
      </c>
      <c r="H25" s="4"/>
      <c r="I25" s="4"/>
      <c r="J25" s="4"/>
      <c r="K25" s="21"/>
      <c r="L25" s="30"/>
      <c r="M25" s="75" t="str">
        <f t="shared" si="0"/>
        <v/>
      </c>
    </row>
    <row r="26" spans="2:17" x14ac:dyDescent="0.25">
      <c r="B26" s="14"/>
      <c r="C26" s="3" t="s">
        <v>213</v>
      </c>
      <c r="D26" s="8"/>
      <c r="E26" s="6"/>
      <c r="F26" s="11"/>
      <c r="G26" s="18" t="s">
        <v>141</v>
      </c>
      <c r="H26" s="4"/>
      <c r="I26" s="4"/>
      <c r="J26" s="4"/>
      <c r="K26" s="21"/>
      <c r="L26" s="30"/>
      <c r="M26" s="71"/>
    </row>
    <row r="27" spans="2:17" x14ac:dyDescent="0.25">
      <c r="B27" s="14"/>
      <c r="C27" s="3" t="s">
        <v>218</v>
      </c>
      <c r="D27" s="9"/>
      <c r="E27" s="6">
        <v>1</v>
      </c>
      <c r="F27" s="12"/>
      <c r="G27" s="18" t="s">
        <v>141</v>
      </c>
      <c r="H27" s="22" t="s">
        <v>28</v>
      </c>
      <c r="I27" s="4" t="s">
        <v>216</v>
      </c>
      <c r="J27" s="4"/>
      <c r="K27" s="21" t="s">
        <v>215</v>
      </c>
      <c r="L27" s="30" t="s">
        <v>214</v>
      </c>
      <c r="M27" s="71" t="s">
        <v>214</v>
      </c>
    </row>
    <row r="28" spans="2:17" x14ac:dyDescent="0.25">
      <c r="B28" s="14"/>
      <c r="C28" s="3" t="s">
        <v>219</v>
      </c>
      <c r="D28" s="9"/>
      <c r="E28" s="6">
        <v>1</v>
      </c>
      <c r="F28" s="12"/>
      <c r="G28" s="18" t="s">
        <v>141</v>
      </c>
      <c r="H28" s="22" t="s">
        <v>28</v>
      </c>
      <c r="I28" s="4" t="s">
        <v>217</v>
      </c>
      <c r="J28" s="4"/>
      <c r="K28" s="21" t="s">
        <v>32</v>
      </c>
      <c r="L28" s="30" t="s">
        <v>214</v>
      </c>
      <c r="M28" s="71" t="s">
        <v>214</v>
      </c>
    </row>
    <row r="29" spans="2:17" x14ac:dyDescent="0.25">
      <c r="B29" s="14"/>
      <c r="C29" s="3" t="s">
        <v>220</v>
      </c>
      <c r="D29" s="8"/>
      <c r="E29" s="6"/>
      <c r="F29" s="11"/>
      <c r="G29" s="18" t="s">
        <v>141</v>
      </c>
      <c r="H29" s="4"/>
      <c r="I29" s="4"/>
      <c r="J29" s="4"/>
      <c r="K29" s="21"/>
      <c r="L29" s="30"/>
      <c r="M29" s="71"/>
    </row>
    <row r="30" spans="2:17" x14ac:dyDescent="0.25">
      <c r="B30" s="14"/>
      <c r="C30" s="3" t="s">
        <v>221</v>
      </c>
      <c r="D30" s="8"/>
      <c r="E30" s="6">
        <v>1</v>
      </c>
      <c r="F30" s="11"/>
      <c r="G30" s="18" t="s">
        <v>141</v>
      </c>
      <c r="H30" s="4" t="s">
        <v>297</v>
      </c>
      <c r="I30" s="4" t="s">
        <v>29</v>
      </c>
      <c r="J30" s="4"/>
      <c r="K30" s="21" t="s">
        <v>3</v>
      </c>
      <c r="L30" s="30" t="s">
        <v>207</v>
      </c>
      <c r="M30" s="71" t="s">
        <v>207</v>
      </c>
    </row>
    <row r="31" spans="2:17" x14ac:dyDescent="0.25">
      <c r="B31" s="14"/>
      <c r="C31" s="3" t="s">
        <v>222</v>
      </c>
      <c r="D31" s="8">
        <v>1</v>
      </c>
      <c r="E31" s="6"/>
      <c r="F31" s="11"/>
      <c r="G31" s="18" t="s">
        <v>141</v>
      </c>
      <c r="H31" s="4" t="s">
        <v>297</v>
      </c>
      <c r="I31" s="4" t="s">
        <v>29</v>
      </c>
      <c r="J31" s="4"/>
      <c r="K31" s="21" t="s">
        <v>4</v>
      </c>
      <c r="L31" s="30" t="s">
        <v>143</v>
      </c>
      <c r="M31" s="71" t="s">
        <v>143</v>
      </c>
    </row>
    <row r="32" spans="2:17" x14ac:dyDescent="0.25">
      <c r="B32" s="14"/>
      <c r="C32" s="3" t="s">
        <v>223</v>
      </c>
      <c r="D32" s="8"/>
      <c r="E32" s="6"/>
      <c r="F32" s="11"/>
      <c r="G32" s="18"/>
      <c r="H32" s="4" t="s">
        <v>297</v>
      </c>
      <c r="I32" s="4"/>
      <c r="J32" s="4"/>
      <c r="K32" s="21"/>
      <c r="L32" s="30"/>
      <c r="M32" s="71"/>
    </row>
    <row r="33" spans="2:13" x14ac:dyDescent="0.25">
      <c r="B33" s="14"/>
      <c r="C33" s="3" t="s">
        <v>224</v>
      </c>
      <c r="D33" s="8"/>
      <c r="E33" s="6">
        <v>1</v>
      </c>
      <c r="F33" s="11">
        <v>1</v>
      </c>
      <c r="G33" s="18" t="s">
        <v>141</v>
      </c>
      <c r="H33" s="4" t="s">
        <v>297</v>
      </c>
      <c r="I33" s="4" t="s">
        <v>30</v>
      </c>
      <c r="J33" s="4"/>
      <c r="K33" s="21" t="s">
        <v>3</v>
      </c>
      <c r="L33" s="30" t="s">
        <v>387</v>
      </c>
      <c r="M33" s="71" t="s">
        <v>226</v>
      </c>
    </row>
    <row r="34" spans="2:13" x14ac:dyDescent="0.25">
      <c r="B34" s="14"/>
      <c r="C34" s="3" t="s">
        <v>227</v>
      </c>
      <c r="D34" s="8">
        <v>1</v>
      </c>
      <c r="E34" s="6"/>
      <c r="F34" s="11"/>
      <c r="G34" s="18" t="s">
        <v>141</v>
      </c>
      <c r="H34" s="4" t="s">
        <v>297</v>
      </c>
      <c r="I34" s="4" t="s">
        <v>30</v>
      </c>
      <c r="J34" s="4"/>
      <c r="K34" s="21" t="s">
        <v>4</v>
      </c>
      <c r="L34" s="30" t="s">
        <v>143</v>
      </c>
      <c r="M34" s="71" t="s">
        <v>143</v>
      </c>
    </row>
    <row r="35" spans="2:13" x14ac:dyDescent="0.25">
      <c r="B35" s="14"/>
      <c r="C35" s="3" t="s">
        <v>305</v>
      </c>
      <c r="D35" s="8"/>
      <c r="E35" s="6"/>
      <c r="F35" s="11"/>
      <c r="G35" s="18"/>
      <c r="H35" s="4" t="s">
        <v>297</v>
      </c>
      <c r="I35" s="4"/>
      <c r="J35" s="4"/>
      <c r="K35" s="21"/>
      <c r="L35" s="30"/>
      <c r="M35" s="71"/>
    </row>
    <row r="36" spans="2:13" x14ac:dyDescent="0.25">
      <c r="B36" s="14"/>
      <c r="C36" s="3" t="s">
        <v>306</v>
      </c>
      <c r="D36" s="8">
        <v>1</v>
      </c>
      <c r="E36" s="6"/>
      <c r="F36" s="11"/>
      <c r="G36" s="18" t="s">
        <v>141</v>
      </c>
      <c r="H36" s="4" t="s">
        <v>297</v>
      </c>
      <c r="I36" s="4" t="s">
        <v>302</v>
      </c>
      <c r="J36" s="4"/>
      <c r="K36" s="21" t="s">
        <v>3</v>
      </c>
      <c r="L36" s="30" t="s">
        <v>207</v>
      </c>
      <c r="M36" s="71" t="s">
        <v>207</v>
      </c>
    </row>
    <row r="37" spans="2:13" x14ac:dyDescent="0.25">
      <c r="B37" s="14"/>
      <c r="C37" s="3" t="s">
        <v>307</v>
      </c>
      <c r="D37" s="8">
        <v>1</v>
      </c>
      <c r="E37" s="6"/>
      <c r="F37" s="11"/>
      <c r="G37" s="18" t="s">
        <v>141</v>
      </c>
      <c r="H37" s="4" t="s">
        <v>297</v>
      </c>
      <c r="I37" s="4" t="s">
        <v>302</v>
      </c>
      <c r="J37" s="4"/>
      <c r="K37" s="21" t="s">
        <v>4</v>
      </c>
      <c r="L37" s="30" t="s">
        <v>143</v>
      </c>
      <c r="M37" s="71" t="s">
        <v>143</v>
      </c>
    </row>
    <row r="38" spans="2:13" x14ac:dyDescent="0.25">
      <c r="B38" s="14"/>
      <c r="C38" s="3" t="s">
        <v>308</v>
      </c>
      <c r="D38" s="8"/>
      <c r="E38" s="6"/>
      <c r="F38" s="11"/>
      <c r="G38" s="18"/>
      <c r="H38" s="4" t="s">
        <v>297</v>
      </c>
      <c r="I38" s="4"/>
      <c r="J38" s="4"/>
      <c r="K38" s="21"/>
      <c r="L38" s="30"/>
      <c r="M38" s="71"/>
    </row>
    <row r="39" spans="2:13" x14ac:dyDescent="0.25">
      <c r="B39" s="14"/>
      <c r="C39" s="3" t="s">
        <v>309</v>
      </c>
      <c r="D39" s="8">
        <v>1</v>
      </c>
      <c r="E39" s="6"/>
      <c r="F39" s="11"/>
      <c r="G39" s="18" t="s">
        <v>141</v>
      </c>
      <c r="H39" s="4" t="s">
        <v>297</v>
      </c>
      <c r="I39" s="4" t="s">
        <v>301</v>
      </c>
      <c r="J39" s="4"/>
      <c r="K39" s="21" t="s">
        <v>3</v>
      </c>
      <c r="L39" s="30" t="s">
        <v>298</v>
      </c>
      <c r="M39" s="71" t="s">
        <v>226</v>
      </c>
    </row>
    <row r="40" spans="2:13" x14ac:dyDescent="0.25">
      <c r="B40" s="14"/>
      <c r="C40" s="3" t="s">
        <v>310</v>
      </c>
      <c r="D40" s="8">
        <v>1</v>
      </c>
      <c r="E40" s="6"/>
      <c r="F40" s="11"/>
      <c r="G40" s="18" t="s">
        <v>141</v>
      </c>
      <c r="H40" s="4" t="s">
        <v>297</v>
      </c>
      <c r="I40" s="4" t="s">
        <v>301</v>
      </c>
      <c r="J40" s="4"/>
      <c r="K40" s="21" t="s">
        <v>4</v>
      </c>
      <c r="L40" s="30" t="s">
        <v>299</v>
      </c>
      <c r="M40" s="71" t="s">
        <v>299</v>
      </c>
    </row>
    <row r="41" spans="2:13" x14ac:dyDescent="0.25">
      <c r="B41" s="14"/>
      <c r="C41" s="3" t="s">
        <v>311</v>
      </c>
      <c r="D41" s="8"/>
      <c r="E41" s="6"/>
      <c r="F41" s="11"/>
      <c r="G41" s="18"/>
      <c r="H41" s="4" t="s">
        <v>297</v>
      </c>
      <c r="I41" s="4"/>
      <c r="J41" s="4"/>
      <c r="K41" s="21"/>
      <c r="L41" s="30"/>
      <c r="M41" s="71"/>
    </row>
    <row r="42" spans="2:13" x14ac:dyDescent="0.25">
      <c r="B42" s="14"/>
      <c r="C42" s="3" t="s">
        <v>312</v>
      </c>
      <c r="D42" s="8">
        <v>1</v>
      </c>
      <c r="E42" s="6"/>
      <c r="F42" s="11"/>
      <c r="G42" s="18" t="s">
        <v>141</v>
      </c>
      <c r="H42" s="4" t="s">
        <v>297</v>
      </c>
      <c r="I42" s="4" t="s">
        <v>37</v>
      </c>
      <c r="J42" s="4"/>
      <c r="K42" s="21" t="s">
        <v>3</v>
      </c>
      <c r="L42" s="30" t="s">
        <v>303</v>
      </c>
      <c r="M42" s="71" t="s">
        <v>303</v>
      </c>
    </row>
    <row r="43" spans="2:13" x14ac:dyDescent="0.25">
      <c r="B43" s="14"/>
      <c r="C43" s="3" t="s">
        <v>313</v>
      </c>
      <c r="D43" s="8"/>
      <c r="E43" s="6">
        <v>1</v>
      </c>
      <c r="F43" s="11">
        <v>1</v>
      </c>
      <c r="G43" s="18" t="s">
        <v>141</v>
      </c>
      <c r="H43" s="4" t="s">
        <v>297</v>
      </c>
      <c r="I43" s="4" t="s">
        <v>37</v>
      </c>
      <c r="J43" s="4"/>
      <c r="K43" s="21" t="s">
        <v>4</v>
      </c>
      <c r="L43" s="30" t="s">
        <v>304</v>
      </c>
      <c r="M43" s="71" t="s">
        <v>161</v>
      </c>
    </row>
    <row r="44" spans="2:13" x14ac:dyDescent="0.25">
      <c r="B44" s="14"/>
      <c r="C44" s="3" t="s">
        <v>314</v>
      </c>
      <c r="D44" s="8">
        <v>1</v>
      </c>
      <c r="E44" s="6"/>
      <c r="F44" s="11"/>
      <c r="G44" s="18" t="s">
        <v>141</v>
      </c>
      <c r="H44" s="4" t="s">
        <v>297</v>
      </c>
      <c r="I44" s="4" t="s">
        <v>37</v>
      </c>
      <c r="J44" s="4"/>
      <c r="K44" s="21" t="s">
        <v>228</v>
      </c>
      <c r="L44" s="30" t="s">
        <v>229</v>
      </c>
      <c r="M44" s="71" t="s">
        <v>229</v>
      </c>
    </row>
    <row r="45" spans="2:13" x14ac:dyDescent="0.25">
      <c r="B45" s="14"/>
      <c r="C45" s="3" t="s">
        <v>315</v>
      </c>
      <c r="D45" s="8"/>
      <c r="E45" s="6"/>
      <c r="F45" s="11"/>
      <c r="G45" s="18"/>
      <c r="H45" s="4" t="s">
        <v>297</v>
      </c>
      <c r="I45" s="4"/>
      <c r="J45" s="4"/>
      <c r="K45" s="21"/>
      <c r="L45" s="30"/>
      <c r="M45" s="71"/>
    </row>
    <row r="46" spans="2:13" x14ac:dyDescent="0.25">
      <c r="B46" s="14"/>
      <c r="C46" s="3" t="s">
        <v>316</v>
      </c>
      <c r="D46" s="8">
        <v>1</v>
      </c>
      <c r="E46" s="6"/>
      <c r="F46" s="11"/>
      <c r="G46" s="18" t="s">
        <v>141</v>
      </c>
      <c r="H46" s="4" t="s">
        <v>297</v>
      </c>
      <c r="I46" s="4" t="s">
        <v>38</v>
      </c>
      <c r="J46" s="4"/>
      <c r="K46" s="21" t="s">
        <v>3</v>
      </c>
      <c r="L46" s="30" t="s">
        <v>303</v>
      </c>
      <c r="M46" s="71" t="s">
        <v>303</v>
      </c>
    </row>
    <row r="47" spans="2:13" x14ac:dyDescent="0.25">
      <c r="B47" s="14"/>
      <c r="C47" s="3" t="s">
        <v>317</v>
      </c>
      <c r="D47" s="8"/>
      <c r="E47" s="6">
        <v>1</v>
      </c>
      <c r="F47" s="11">
        <v>1</v>
      </c>
      <c r="G47" s="18" t="s">
        <v>141</v>
      </c>
      <c r="H47" s="4" t="s">
        <v>297</v>
      </c>
      <c r="I47" s="4" t="s">
        <v>38</v>
      </c>
      <c r="J47" s="4"/>
      <c r="K47" s="21" t="s">
        <v>4</v>
      </c>
      <c r="L47" s="30" t="s">
        <v>304</v>
      </c>
      <c r="M47" s="71" t="s">
        <v>161</v>
      </c>
    </row>
    <row r="48" spans="2:13" x14ac:dyDescent="0.25">
      <c r="B48" s="14"/>
      <c r="C48" s="3" t="s">
        <v>318</v>
      </c>
      <c r="D48" s="8">
        <v>1</v>
      </c>
      <c r="E48" s="6"/>
      <c r="F48" s="11"/>
      <c r="G48" s="18" t="s">
        <v>141</v>
      </c>
      <c r="H48" s="4" t="s">
        <v>297</v>
      </c>
      <c r="I48" s="4" t="s">
        <v>38</v>
      </c>
      <c r="J48" s="4"/>
      <c r="K48" s="21" t="s">
        <v>231</v>
      </c>
      <c r="L48" s="30" t="s">
        <v>230</v>
      </c>
      <c r="M48" s="71" t="s">
        <v>230</v>
      </c>
    </row>
    <row r="49" spans="2:19" x14ac:dyDescent="0.25">
      <c r="B49" s="14"/>
      <c r="C49" s="3" t="s">
        <v>319</v>
      </c>
      <c r="D49" s="8"/>
      <c r="E49" s="6"/>
      <c r="F49" s="11"/>
      <c r="G49" s="18"/>
      <c r="H49" s="4"/>
      <c r="I49" s="4"/>
      <c r="J49" s="4"/>
      <c r="K49" s="21"/>
      <c r="L49" s="30"/>
      <c r="M49" s="71"/>
    </row>
    <row r="50" spans="2:19" ht="18.600000000000001" customHeight="1" x14ac:dyDescent="0.25">
      <c r="B50" s="14"/>
      <c r="C50" s="3" t="s">
        <v>320</v>
      </c>
      <c r="D50" s="8"/>
      <c r="E50" s="6"/>
      <c r="F50" s="11"/>
      <c r="G50" s="18"/>
      <c r="H50" s="4"/>
      <c r="I50" s="4"/>
      <c r="J50" s="4"/>
      <c r="K50" s="21"/>
      <c r="L50" s="30"/>
      <c r="M50" s="71"/>
    </row>
    <row r="51" spans="2:19" x14ac:dyDescent="0.25">
      <c r="B51" s="14"/>
      <c r="C51" s="3" t="s">
        <v>321</v>
      </c>
      <c r="D51" s="8"/>
      <c r="E51" s="6"/>
      <c r="F51" s="11"/>
      <c r="G51" s="18"/>
      <c r="H51" s="4"/>
      <c r="I51" s="4"/>
      <c r="J51" s="4"/>
      <c r="K51" s="21"/>
      <c r="L51" s="30"/>
      <c r="M51" s="71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9"/>
      <c r="M52" s="70"/>
    </row>
    <row r="53" spans="2:19" x14ac:dyDescent="0.25">
      <c r="B53" s="50" t="s">
        <v>335</v>
      </c>
      <c r="C53" s="51" t="s">
        <v>336</v>
      </c>
      <c r="D53" s="52" t="s">
        <v>337</v>
      </c>
      <c r="E53" s="53" t="s">
        <v>338</v>
      </c>
      <c r="F53" s="54" t="s">
        <v>339</v>
      </c>
      <c r="G53" s="55" t="s">
        <v>340</v>
      </c>
      <c r="H53" s="51" t="s">
        <v>341</v>
      </c>
      <c r="I53" s="51" t="s">
        <v>341</v>
      </c>
      <c r="J53" s="51" t="s">
        <v>341</v>
      </c>
      <c r="K53" s="56" t="s">
        <v>342</v>
      </c>
      <c r="L53" s="57" t="s">
        <v>343</v>
      </c>
      <c r="M53" s="68" t="s">
        <v>366</v>
      </c>
    </row>
    <row r="54" spans="2:19" ht="19.5" thickBot="1" x14ac:dyDescent="0.3">
      <c r="B54" s="58" t="s">
        <v>362</v>
      </c>
      <c r="C54" s="59" t="s">
        <v>363</v>
      </c>
      <c r="D54" s="60" t="s">
        <v>346</v>
      </c>
      <c r="E54" s="61" t="s">
        <v>347</v>
      </c>
      <c r="F54" s="62" t="s">
        <v>348</v>
      </c>
      <c r="G54" s="63"/>
      <c r="H54" s="64"/>
      <c r="I54" s="64"/>
      <c r="J54" s="64"/>
      <c r="K54" s="65"/>
      <c r="L54" s="66"/>
      <c r="M54" s="69"/>
    </row>
    <row r="55" spans="2:19" x14ac:dyDescent="0.25">
      <c r="B55" s="14"/>
      <c r="C55" s="3" t="s">
        <v>53</v>
      </c>
      <c r="D55" s="8"/>
      <c r="E55" s="6"/>
      <c r="F55" s="11"/>
      <c r="G55" s="17"/>
      <c r="H55" s="4"/>
      <c r="I55" s="4"/>
      <c r="J55" s="4"/>
      <c r="K55" s="21"/>
      <c r="L55" s="31"/>
      <c r="M55" s="72"/>
    </row>
    <row r="56" spans="2:19" x14ac:dyDescent="0.25">
      <c r="B56" s="14"/>
      <c r="C56" s="3" t="s">
        <v>601</v>
      </c>
      <c r="D56" s="8">
        <v>1</v>
      </c>
      <c r="E56" s="6"/>
      <c r="F56" s="11"/>
      <c r="G56" s="17" t="s">
        <v>13</v>
      </c>
      <c r="H56" s="4"/>
      <c r="I56" s="4"/>
      <c r="J56" s="4"/>
      <c r="K56" s="21" t="s">
        <v>153</v>
      </c>
      <c r="L56" s="31"/>
      <c r="M56" s="72" t="s">
        <v>617</v>
      </c>
    </row>
    <row r="57" spans="2:19" x14ac:dyDescent="0.25">
      <c r="B57" s="14"/>
      <c r="C57" s="3" t="s">
        <v>54</v>
      </c>
      <c r="D57" s="8">
        <v>1</v>
      </c>
      <c r="E57" s="6"/>
      <c r="F57" s="11"/>
      <c r="G57" s="17" t="s">
        <v>10</v>
      </c>
      <c r="H57" s="4"/>
      <c r="I57" s="4"/>
      <c r="J57" s="4"/>
      <c r="K57" s="21" t="s">
        <v>7</v>
      </c>
      <c r="L57" s="31"/>
      <c r="M57" s="72"/>
    </row>
    <row r="58" spans="2:19" x14ac:dyDescent="0.25">
      <c r="B58" s="14"/>
      <c r="C58" s="3" t="s">
        <v>55</v>
      </c>
      <c r="D58" s="8">
        <v>1</v>
      </c>
      <c r="E58" s="6"/>
      <c r="F58" s="11"/>
      <c r="G58" s="17"/>
      <c r="H58" s="4"/>
      <c r="I58" s="4"/>
      <c r="J58" s="4"/>
      <c r="K58" s="21"/>
      <c r="L58" s="31"/>
      <c r="M58" s="72"/>
    </row>
    <row r="59" spans="2:19" x14ac:dyDescent="0.25">
      <c r="B59" s="14"/>
      <c r="C59" s="3" t="s">
        <v>56</v>
      </c>
      <c r="D59" s="8">
        <v>1</v>
      </c>
      <c r="E59" s="6"/>
      <c r="F59" s="11"/>
      <c r="G59" s="17" t="s">
        <v>333</v>
      </c>
      <c r="H59" s="4" t="s">
        <v>325</v>
      </c>
      <c r="I59" s="4" t="s">
        <v>192</v>
      </c>
      <c r="J59" s="4" t="s">
        <v>326</v>
      </c>
      <c r="K59" s="21" t="s">
        <v>3</v>
      </c>
      <c r="L59" s="32" t="s">
        <v>155</v>
      </c>
      <c r="M59" s="73" t="str">
        <f>CONCATENATE(O59,P59,Q59,R59,S59)</f>
        <v>請確認是否符合 左端上層筋下限 規定</v>
      </c>
      <c r="N59" s="1" t="str">
        <f>C59</f>
        <v>0205</v>
      </c>
      <c r="O59" s="1" t="s">
        <v>383</v>
      </c>
      <c r="P59" s="1" t="str">
        <f t="shared" ref="P59:Q62" si="2">I59</f>
        <v>左端</v>
      </c>
      <c r="Q59" s="1" t="str">
        <f t="shared" si="2"/>
        <v>上層筋</v>
      </c>
      <c r="R59" s="1" t="s">
        <v>142</v>
      </c>
      <c r="S59" s="1" t="s">
        <v>384</v>
      </c>
    </row>
    <row r="60" spans="2:19" x14ac:dyDescent="0.25">
      <c r="B60" s="14"/>
      <c r="C60" s="3" t="s">
        <v>57</v>
      </c>
      <c r="D60" s="8"/>
      <c r="E60" s="6"/>
      <c r="F60" s="11">
        <v>1</v>
      </c>
      <c r="G60" s="17" t="s">
        <v>333</v>
      </c>
      <c r="H60" s="4" t="s">
        <v>325</v>
      </c>
      <c r="I60" s="4" t="s">
        <v>192</v>
      </c>
      <c r="J60" s="4" t="s">
        <v>326</v>
      </c>
      <c r="K60" s="21" t="s">
        <v>4</v>
      </c>
      <c r="L60" s="32" t="s">
        <v>322</v>
      </c>
      <c r="M60" s="73" t="str">
        <f>CONCATENATE(O60,P60,Q60,R60,S60)</f>
        <v>請確認是否符合 左端上層筋上限 規定</v>
      </c>
      <c r="N60" s="1" t="str">
        <f t="shared" ref="N60:N106" si="3">C60</f>
        <v>0206</v>
      </c>
      <c r="O60" s="1" t="s">
        <v>383</v>
      </c>
      <c r="P60" s="1" t="str">
        <f t="shared" si="2"/>
        <v>左端</v>
      </c>
      <c r="Q60" s="1" t="str">
        <f t="shared" si="2"/>
        <v>上層筋</v>
      </c>
      <c r="R60" s="1" t="s">
        <v>388</v>
      </c>
      <c r="S60" s="1" t="s">
        <v>384</v>
      </c>
    </row>
    <row r="61" spans="2:19" x14ac:dyDescent="0.25">
      <c r="B61" s="14"/>
      <c r="C61" s="3" t="s">
        <v>58</v>
      </c>
      <c r="D61" s="8">
        <v>1</v>
      </c>
      <c r="E61" s="6"/>
      <c r="F61" s="11"/>
      <c r="G61" s="17" t="s">
        <v>333</v>
      </c>
      <c r="H61" s="4" t="s">
        <v>325</v>
      </c>
      <c r="I61" s="4" t="s">
        <v>327</v>
      </c>
      <c r="J61" s="4" t="s">
        <v>326</v>
      </c>
      <c r="K61" s="21" t="s">
        <v>3</v>
      </c>
      <c r="L61" s="32" t="s">
        <v>155</v>
      </c>
      <c r="M61" s="73" t="str">
        <f>CONCATENATE(O61,P61,Q61,R61,S61)</f>
        <v>請確認是否符合 右端上層筋下限 規定</v>
      </c>
      <c r="N61" s="1" t="str">
        <f t="shared" si="3"/>
        <v>0207</v>
      </c>
      <c r="O61" s="1" t="s">
        <v>383</v>
      </c>
      <c r="P61" s="1" t="str">
        <f t="shared" si="2"/>
        <v>右端</v>
      </c>
      <c r="Q61" s="1" t="str">
        <f t="shared" si="2"/>
        <v>上層筋</v>
      </c>
      <c r="R61" s="1" t="s">
        <v>142</v>
      </c>
      <c r="S61" s="1" t="s">
        <v>384</v>
      </c>
    </row>
    <row r="62" spans="2:19" x14ac:dyDescent="0.25">
      <c r="B62" s="14"/>
      <c r="C62" s="3" t="s">
        <v>59</v>
      </c>
      <c r="D62" s="8"/>
      <c r="E62" s="6"/>
      <c r="F62" s="11">
        <v>1</v>
      </c>
      <c r="G62" s="17" t="s">
        <v>333</v>
      </c>
      <c r="H62" s="4" t="s">
        <v>325</v>
      </c>
      <c r="I62" s="4" t="s">
        <v>327</v>
      </c>
      <c r="J62" s="4" t="s">
        <v>326</v>
      </c>
      <c r="K62" s="21" t="s">
        <v>4</v>
      </c>
      <c r="L62" s="32" t="s">
        <v>322</v>
      </c>
      <c r="M62" s="73" t="str">
        <f>CONCATENATE(O62,P62,Q62,R62,S62)</f>
        <v>請確認是否符合 右端上層筋上限 規定</v>
      </c>
      <c r="N62" s="1" t="str">
        <f t="shared" si="3"/>
        <v>0208</v>
      </c>
      <c r="O62" s="1" t="s">
        <v>383</v>
      </c>
      <c r="P62" s="1" t="str">
        <f t="shared" si="2"/>
        <v>右端</v>
      </c>
      <c r="Q62" s="1" t="str">
        <f t="shared" si="2"/>
        <v>上層筋</v>
      </c>
      <c r="R62" s="1" t="s">
        <v>388</v>
      </c>
      <c r="S62" s="1" t="s">
        <v>384</v>
      </c>
    </row>
    <row r="63" spans="2:19" x14ac:dyDescent="0.25">
      <c r="B63" s="14"/>
      <c r="C63" s="3" t="s">
        <v>60</v>
      </c>
      <c r="D63" s="8"/>
      <c r="E63" s="6"/>
      <c r="F63" s="11"/>
      <c r="G63" s="17" t="s">
        <v>333</v>
      </c>
      <c r="H63" s="4"/>
      <c r="I63" s="4"/>
      <c r="J63" s="4"/>
      <c r="K63" s="21"/>
      <c r="L63" s="32"/>
      <c r="M63" s="73"/>
      <c r="N63" s="1" t="str">
        <f t="shared" si="3"/>
        <v>0209</v>
      </c>
    </row>
    <row r="64" spans="2:19" x14ac:dyDescent="0.25">
      <c r="B64" s="14"/>
      <c r="C64" s="3" t="s">
        <v>61</v>
      </c>
      <c r="D64" s="8">
        <v>1</v>
      </c>
      <c r="E64" s="6"/>
      <c r="F64" s="11"/>
      <c r="G64" s="17" t="s">
        <v>333</v>
      </c>
      <c r="H64" s="4" t="s">
        <v>325</v>
      </c>
      <c r="I64" s="4" t="s">
        <v>192</v>
      </c>
      <c r="J64" s="4" t="s">
        <v>323</v>
      </c>
      <c r="K64" s="21" t="s">
        <v>3</v>
      </c>
      <c r="L64" s="32" t="s">
        <v>155</v>
      </c>
      <c r="M64" s="73" t="str">
        <f>CONCATENATE(O64,P64,Q64,R64,S64)</f>
        <v>請確認是否符合 左端下層筋下限 規定</v>
      </c>
      <c r="N64" s="1" t="str">
        <f t="shared" si="3"/>
        <v>0210</v>
      </c>
      <c r="O64" s="1" t="s">
        <v>383</v>
      </c>
      <c r="P64" s="1" t="str">
        <f t="shared" ref="P64:Q67" si="4">I64</f>
        <v>左端</v>
      </c>
      <c r="Q64" s="1" t="str">
        <f t="shared" si="4"/>
        <v>下層筋</v>
      </c>
      <c r="R64" s="1" t="s">
        <v>142</v>
      </c>
      <c r="S64" s="1" t="s">
        <v>384</v>
      </c>
    </row>
    <row r="65" spans="2:19" x14ac:dyDescent="0.25">
      <c r="B65" s="14"/>
      <c r="C65" s="3" t="s">
        <v>62</v>
      </c>
      <c r="D65" s="8"/>
      <c r="E65" s="6"/>
      <c r="F65" s="11">
        <v>1</v>
      </c>
      <c r="G65" s="17" t="s">
        <v>333</v>
      </c>
      <c r="H65" s="4" t="s">
        <v>325</v>
      </c>
      <c r="I65" s="4" t="s">
        <v>192</v>
      </c>
      <c r="J65" s="4" t="s">
        <v>323</v>
      </c>
      <c r="K65" s="21" t="s">
        <v>4</v>
      </c>
      <c r="L65" s="32" t="s">
        <v>154</v>
      </c>
      <c r="M65" s="73" t="str">
        <f>CONCATENATE(O65,P65,Q65,R65,S65)</f>
        <v>請確認是否符合 左端下層筋上限 規定</v>
      </c>
      <c r="N65" s="1" t="str">
        <f t="shared" si="3"/>
        <v>0211</v>
      </c>
      <c r="O65" s="1" t="s">
        <v>383</v>
      </c>
      <c r="P65" s="1" t="str">
        <f t="shared" si="4"/>
        <v>左端</v>
      </c>
      <c r="Q65" s="1" t="str">
        <f t="shared" si="4"/>
        <v>下層筋</v>
      </c>
      <c r="R65" s="1" t="s">
        <v>388</v>
      </c>
      <c r="S65" s="1" t="s">
        <v>384</v>
      </c>
    </row>
    <row r="66" spans="2:19" x14ac:dyDescent="0.25">
      <c r="B66" s="14"/>
      <c r="C66" s="3" t="s">
        <v>63</v>
      </c>
      <c r="D66" s="8">
        <v>1</v>
      </c>
      <c r="E66" s="6"/>
      <c r="F66" s="11"/>
      <c r="G66" s="17" t="s">
        <v>333</v>
      </c>
      <c r="H66" s="4" t="s">
        <v>325</v>
      </c>
      <c r="I66" s="4" t="s">
        <v>327</v>
      </c>
      <c r="J66" s="4" t="s">
        <v>323</v>
      </c>
      <c r="K66" s="21" t="s">
        <v>3</v>
      </c>
      <c r="L66" s="32" t="s">
        <v>155</v>
      </c>
      <c r="M66" s="73" t="str">
        <f>CONCATENATE(O66,P66,Q66,R66,S66)</f>
        <v>請確認是否符合 右端下層筋下限 規定</v>
      </c>
      <c r="N66" s="1" t="str">
        <f t="shared" si="3"/>
        <v>0212</v>
      </c>
      <c r="O66" s="1" t="s">
        <v>383</v>
      </c>
      <c r="P66" s="1" t="str">
        <f t="shared" si="4"/>
        <v>右端</v>
      </c>
      <c r="Q66" s="1" t="str">
        <f t="shared" si="4"/>
        <v>下層筋</v>
      </c>
      <c r="R66" s="1" t="s">
        <v>142</v>
      </c>
      <c r="S66" s="1" t="s">
        <v>384</v>
      </c>
    </row>
    <row r="67" spans="2:19" x14ac:dyDescent="0.25">
      <c r="B67" s="14"/>
      <c r="C67" s="3" t="s">
        <v>64</v>
      </c>
      <c r="D67" s="8"/>
      <c r="E67" s="6"/>
      <c r="F67" s="11">
        <v>1</v>
      </c>
      <c r="G67" s="17" t="s">
        <v>333</v>
      </c>
      <c r="H67" s="4" t="s">
        <v>325</v>
      </c>
      <c r="I67" s="4" t="s">
        <v>327</v>
      </c>
      <c r="J67" s="4" t="s">
        <v>323</v>
      </c>
      <c r="K67" s="21" t="s">
        <v>4</v>
      </c>
      <c r="L67" s="32" t="s">
        <v>154</v>
      </c>
      <c r="M67" s="73" t="str">
        <f>CONCATENATE(O67,P67,Q67,R67,S67)</f>
        <v>請確認是否符合 右端下層筋上限 規定</v>
      </c>
      <c r="N67" s="1" t="str">
        <f t="shared" si="3"/>
        <v>0213</v>
      </c>
      <c r="O67" s="1" t="s">
        <v>383</v>
      </c>
      <c r="P67" s="1" t="str">
        <f t="shared" si="4"/>
        <v>右端</v>
      </c>
      <c r="Q67" s="1" t="str">
        <f t="shared" si="4"/>
        <v>下層筋</v>
      </c>
      <c r="R67" s="1" t="s">
        <v>388</v>
      </c>
      <c r="S67" s="1" t="s">
        <v>384</v>
      </c>
    </row>
    <row r="68" spans="2:19" x14ac:dyDescent="0.25">
      <c r="B68" s="14"/>
      <c r="C68" s="3" t="s">
        <v>65</v>
      </c>
      <c r="D68" s="8"/>
      <c r="E68" s="6"/>
      <c r="F68" s="11"/>
      <c r="G68" s="17" t="s">
        <v>333</v>
      </c>
      <c r="H68" s="4"/>
      <c r="I68" s="4"/>
      <c r="J68" s="4"/>
      <c r="K68" s="21"/>
      <c r="L68" s="32"/>
      <c r="M68" s="73"/>
      <c r="N68" s="1" t="str">
        <f t="shared" si="3"/>
        <v>0214</v>
      </c>
    </row>
    <row r="69" spans="2:19" x14ac:dyDescent="0.25">
      <c r="B69" s="14"/>
      <c r="C69" s="3" t="s">
        <v>66</v>
      </c>
      <c r="D69" s="8">
        <v>1</v>
      </c>
      <c r="E69" s="6"/>
      <c r="F69" s="11"/>
      <c r="G69" s="17" t="s">
        <v>333</v>
      </c>
      <c r="H69" s="4" t="s">
        <v>325</v>
      </c>
      <c r="I69" s="4" t="s">
        <v>324</v>
      </c>
      <c r="J69" s="4" t="s">
        <v>326</v>
      </c>
      <c r="K69" s="21" t="s">
        <v>3</v>
      </c>
      <c r="L69" s="32" t="s">
        <v>155</v>
      </c>
      <c r="M69" s="73" t="str">
        <f>CONCATENATE(O69,P69,Q69,R69,S69)</f>
        <v>請確認是否符合 中央上層筋下限 規定</v>
      </c>
      <c r="N69" s="1" t="str">
        <f t="shared" si="3"/>
        <v>0215</v>
      </c>
      <c r="O69" s="1" t="s">
        <v>383</v>
      </c>
      <c r="P69" s="1" t="str">
        <f t="shared" ref="P69:Q71" si="5">I69</f>
        <v>中央</v>
      </c>
      <c r="Q69" s="1" t="str">
        <f t="shared" si="5"/>
        <v>上層筋</v>
      </c>
      <c r="R69" s="1" t="s">
        <v>142</v>
      </c>
      <c r="S69" s="1" t="s">
        <v>384</v>
      </c>
    </row>
    <row r="70" spans="2:19" x14ac:dyDescent="0.25">
      <c r="B70" s="14"/>
      <c r="C70" s="3" t="s">
        <v>146</v>
      </c>
      <c r="D70" s="8"/>
      <c r="E70" s="6">
        <v>1</v>
      </c>
      <c r="F70" s="11"/>
      <c r="G70" s="17" t="s">
        <v>333</v>
      </c>
      <c r="H70" s="4" t="s">
        <v>325</v>
      </c>
      <c r="I70" s="4" t="s">
        <v>324</v>
      </c>
      <c r="J70" s="4" t="s">
        <v>326</v>
      </c>
      <c r="K70" s="21" t="s">
        <v>193</v>
      </c>
      <c r="L70" s="32" t="s">
        <v>202</v>
      </c>
      <c r="M70" s="73" t="str">
        <f>CONCATENATE(O70,P70,Q70,R70,S70)</f>
        <v>請確認是否符合 中央上層筋相對鋼筋量 規定</v>
      </c>
      <c r="N70" s="1" t="str">
        <f t="shared" si="3"/>
        <v>0216</v>
      </c>
      <c r="O70" s="1" t="s">
        <v>383</v>
      </c>
      <c r="P70" s="1" t="str">
        <f t="shared" si="5"/>
        <v>中央</v>
      </c>
      <c r="Q70" s="1" t="str">
        <f t="shared" si="5"/>
        <v>上層筋</v>
      </c>
      <c r="R70" s="1" t="str">
        <f>K70</f>
        <v>相對鋼筋量</v>
      </c>
      <c r="S70" s="1" t="s">
        <v>384</v>
      </c>
    </row>
    <row r="71" spans="2:19" x14ac:dyDescent="0.25">
      <c r="B71" s="14"/>
      <c r="C71" s="3" t="s">
        <v>147</v>
      </c>
      <c r="D71" s="8">
        <v>1</v>
      </c>
      <c r="E71" s="6"/>
      <c r="F71" s="11">
        <v>1</v>
      </c>
      <c r="G71" s="17" t="s">
        <v>333</v>
      </c>
      <c r="H71" s="4" t="s">
        <v>325</v>
      </c>
      <c r="I71" s="4" t="s">
        <v>324</v>
      </c>
      <c r="J71" s="4" t="s">
        <v>323</v>
      </c>
      <c r="K71" s="21" t="s">
        <v>4</v>
      </c>
      <c r="L71" s="32" t="s">
        <v>154</v>
      </c>
      <c r="M71" s="73" t="str">
        <f>CONCATENATE(O71,P71,Q71,R71,S71)</f>
        <v>請確認是否符合 中央下層筋上限 規定</v>
      </c>
      <c r="N71" s="1" t="str">
        <f t="shared" si="3"/>
        <v>0217</v>
      </c>
      <c r="O71" s="1" t="s">
        <v>383</v>
      </c>
      <c r="P71" s="1" t="str">
        <f t="shared" si="5"/>
        <v>中央</v>
      </c>
      <c r="Q71" s="1" t="str">
        <f t="shared" si="5"/>
        <v>下層筋</v>
      </c>
      <c r="R71" s="1" t="s">
        <v>388</v>
      </c>
      <c r="S71" s="1" t="s">
        <v>384</v>
      </c>
    </row>
    <row r="72" spans="2:19" x14ac:dyDescent="0.25">
      <c r="B72" s="14"/>
      <c r="C72" s="3" t="s">
        <v>148</v>
      </c>
      <c r="D72" s="8"/>
      <c r="E72" s="6"/>
      <c r="F72" s="11"/>
      <c r="G72" s="17"/>
      <c r="H72" s="4"/>
      <c r="I72" s="4"/>
      <c r="J72" s="4"/>
      <c r="K72" s="21"/>
      <c r="L72" s="32"/>
      <c r="M72" s="73"/>
      <c r="N72" s="1" t="str">
        <f t="shared" si="3"/>
        <v>0218</v>
      </c>
    </row>
    <row r="73" spans="2:19" x14ac:dyDescent="0.25">
      <c r="B73" s="14"/>
      <c r="C73" s="3" t="s">
        <v>149</v>
      </c>
      <c r="D73" s="8">
        <v>1</v>
      </c>
      <c r="E73" s="6"/>
      <c r="F73" s="11"/>
      <c r="G73" s="17" t="s">
        <v>328</v>
      </c>
      <c r="H73" s="4" t="s">
        <v>325</v>
      </c>
      <c r="I73" s="4" t="s">
        <v>192</v>
      </c>
      <c r="J73" s="4" t="s">
        <v>326</v>
      </c>
      <c r="K73" s="21" t="s">
        <v>3</v>
      </c>
      <c r="L73" s="32" t="s">
        <v>155</v>
      </c>
      <c r="M73" s="73" t="str">
        <f>CONCATENATE(O73,P73,Q73,R73,S73)</f>
        <v>請確認是否符合 左端上層筋下限 規定</v>
      </c>
      <c r="N73" s="1" t="str">
        <f t="shared" si="3"/>
        <v>0219</v>
      </c>
      <c r="O73" s="1" t="s">
        <v>383</v>
      </c>
      <c r="P73" s="1" t="str">
        <f t="shared" ref="P73:Q76" si="6">I73</f>
        <v>左端</v>
      </c>
      <c r="Q73" s="1" t="str">
        <f t="shared" si="6"/>
        <v>上層筋</v>
      </c>
      <c r="R73" s="1" t="s">
        <v>142</v>
      </c>
      <c r="S73" s="1" t="s">
        <v>384</v>
      </c>
    </row>
    <row r="74" spans="2:19" x14ac:dyDescent="0.25">
      <c r="B74" s="14"/>
      <c r="C74" s="3" t="s">
        <v>194</v>
      </c>
      <c r="D74" s="8"/>
      <c r="E74" s="6"/>
      <c r="F74" s="11">
        <v>1</v>
      </c>
      <c r="G74" s="17" t="s">
        <v>328</v>
      </c>
      <c r="H74" s="4" t="s">
        <v>325</v>
      </c>
      <c r="I74" s="4" t="s">
        <v>192</v>
      </c>
      <c r="J74" s="4" t="s">
        <v>326</v>
      </c>
      <c r="K74" s="21" t="s">
        <v>4</v>
      </c>
      <c r="L74" s="32" t="s">
        <v>322</v>
      </c>
      <c r="M74" s="73" t="str">
        <f>CONCATENATE(O74,P74,Q74,R74,S74)</f>
        <v>請確認是否符合 左端上層筋上限 規定</v>
      </c>
      <c r="N74" s="1" t="str">
        <f t="shared" si="3"/>
        <v>0220</v>
      </c>
      <c r="O74" s="1" t="s">
        <v>383</v>
      </c>
      <c r="P74" s="1" t="str">
        <f t="shared" si="6"/>
        <v>左端</v>
      </c>
      <c r="Q74" s="1" t="str">
        <f t="shared" si="6"/>
        <v>上層筋</v>
      </c>
      <c r="R74" s="1" t="s">
        <v>388</v>
      </c>
      <c r="S74" s="1" t="s">
        <v>384</v>
      </c>
    </row>
    <row r="75" spans="2:19" x14ac:dyDescent="0.25">
      <c r="B75" s="14"/>
      <c r="C75" s="3" t="s">
        <v>195</v>
      </c>
      <c r="D75" s="8">
        <v>1</v>
      </c>
      <c r="E75" s="6"/>
      <c r="F75" s="11"/>
      <c r="G75" s="17" t="s">
        <v>328</v>
      </c>
      <c r="H75" s="4" t="s">
        <v>325</v>
      </c>
      <c r="I75" s="4" t="s">
        <v>327</v>
      </c>
      <c r="J75" s="4" t="s">
        <v>326</v>
      </c>
      <c r="K75" s="21" t="s">
        <v>3</v>
      </c>
      <c r="L75" s="32" t="s">
        <v>155</v>
      </c>
      <c r="M75" s="73" t="str">
        <f>CONCATENATE(O75,P75,Q75,R75,S75)</f>
        <v>請確認是否符合 右端上層筋下限 規定</v>
      </c>
      <c r="N75" s="1" t="str">
        <f t="shared" si="3"/>
        <v>0221</v>
      </c>
      <c r="O75" s="1" t="s">
        <v>383</v>
      </c>
      <c r="P75" s="1" t="str">
        <f t="shared" si="6"/>
        <v>右端</v>
      </c>
      <c r="Q75" s="1" t="str">
        <f t="shared" si="6"/>
        <v>上層筋</v>
      </c>
      <c r="R75" s="1" t="s">
        <v>142</v>
      </c>
      <c r="S75" s="1" t="s">
        <v>384</v>
      </c>
    </row>
    <row r="76" spans="2:19" x14ac:dyDescent="0.25">
      <c r="B76" s="14"/>
      <c r="C76" s="3" t="s">
        <v>196</v>
      </c>
      <c r="D76" s="8"/>
      <c r="E76" s="6"/>
      <c r="F76" s="11">
        <v>1</v>
      </c>
      <c r="G76" s="17" t="s">
        <v>328</v>
      </c>
      <c r="H76" s="4" t="s">
        <v>325</v>
      </c>
      <c r="I76" s="4" t="s">
        <v>327</v>
      </c>
      <c r="J76" s="4" t="s">
        <v>326</v>
      </c>
      <c r="K76" s="21" t="s">
        <v>4</v>
      </c>
      <c r="L76" s="32" t="s">
        <v>322</v>
      </c>
      <c r="M76" s="73" t="str">
        <f>CONCATENATE(O76,P76,Q76,R76,S76)</f>
        <v>請確認是否符合 右端上層筋上限 規定</v>
      </c>
      <c r="N76" s="1" t="str">
        <f t="shared" si="3"/>
        <v>0222</v>
      </c>
      <c r="O76" s="1" t="s">
        <v>383</v>
      </c>
      <c r="P76" s="1" t="str">
        <f t="shared" si="6"/>
        <v>右端</v>
      </c>
      <c r="Q76" s="1" t="str">
        <f t="shared" si="6"/>
        <v>上層筋</v>
      </c>
      <c r="R76" s="1" t="s">
        <v>388</v>
      </c>
      <c r="S76" s="1" t="s">
        <v>384</v>
      </c>
    </row>
    <row r="77" spans="2:19" x14ac:dyDescent="0.25">
      <c r="B77" s="14"/>
      <c r="C77" s="3" t="s">
        <v>197</v>
      </c>
      <c r="D77" s="8"/>
      <c r="E77" s="6"/>
      <c r="F77" s="11"/>
      <c r="G77" s="17" t="s">
        <v>328</v>
      </c>
      <c r="H77" s="4"/>
      <c r="I77" s="4"/>
      <c r="J77" s="4"/>
      <c r="K77" s="21"/>
      <c r="L77" s="32"/>
      <c r="M77" s="73"/>
      <c r="N77" s="1" t="str">
        <f t="shared" si="3"/>
        <v>0223</v>
      </c>
    </row>
    <row r="78" spans="2:19" x14ac:dyDescent="0.25">
      <c r="B78" s="14"/>
      <c r="C78" s="3" t="s">
        <v>198</v>
      </c>
      <c r="D78" s="8">
        <v>1</v>
      </c>
      <c r="E78" s="6"/>
      <c r="F78" s="11"/>
      <c r="G78" s="17" t="s">
        <v>328</v>
      </c>
      <c r="H78" s="4" t="s">
        <v>325</v>
      </c>
      <c r="I78" s="4" t="s">
        <v>192</v>
      </c>
      <c r="J78" s="4" t="s">
        <v>323</v>
      </c>
      <c r="K78" s="21" t="s">
        <v>3</v>
      </c>
      <c r="L78" s="32" t="s">
        <v>155</v>
      </c>
      <c r="M78" s="73" t="str">
        <f>CONCATENATE(O78,P78,Q78,R78,S78)</f>
        <v>請確認是否符合 左端下層筋下限 規定</v>
      </c>
      <c r="N78" s="1" t="str">
        <f t="shared" si="3"/>
        <v>0224</v>
      </c>
      <c r="O78" s="1" t="s">
        <v>383</v>
      </c>
      <c r="P78" s="1" t="str">
        <f t="shared" ref="P78:Q81" si="7">I78</f>
        <v>左端</v>
      </c>
      <c r="Q78" s="1" t="str">
        <f t="shared" si="7"/>
        <v>下層筋</v>
      </c>
      <c r="R78" s="1" t="s">
        <v>142</v>
      </c>
      <c r="S78" s="1" t="s">
        <v>384</v>
      </c>
    </row>
    <row r="79" spans="2:19" x14ac:dyDescent="0.25">
      <c r="B79" s="14"/>
      <c r="C79" s="3" t="s">
        <v>199</v>
      </c>
      <c r="D79" s="8"/>
      <c r="E79" s="6"/>
      <c r="F79" s="11">
        <v>1</v>
      </c>
      <c r="G79" s="17" t="s">
        <v>328</v>
      </c>
      <c r="H79" s="4" t="s">
        <v>325</v>
      </c>
      <c r="I79" s="4" t="s">
        <v>192</v>
      </c>
      <c r="J79" s="4" t="s">
        <v>323</v>
      </c>
      <c r="K79" s="21" t="s">
        <v>4</v>
      </c>
      <c r="L79" s="32" t="s">
        <v>154</v>
      </c>
      <c r="M79" s="73" t="str">
        <f>CONCATENATE(O79,P79,Q79,R79,S79)</f>
        <v>請確認是否符合 左端下層筋上限 規定</v>
      </c>
      <c r="N79" s="1" t="str">
        <f t="shared" si="3"/>
        <v>0225</v>
      </c>
      <c r="O79" s="1" t="s">
        <v>383</v>
      </c>
      <c r="P79" s="1" t="str">
        <f t="shared" si="7"/>
        <v>左端</v>
      </c>
      <c r="Q79" s="1" t="str">
        <f t="shared" si="7"/>
        <v>下層筋</v>
      </c>
      <c r="R79" s="1" t="s">
        <v>388</v>
      </c>
      <c r="S79" s="1" t="s">
        <v>384</v>
      </c>
    </row>
    <row r="80" spans="2:19" x14ac:dyDescent="0.25">
      <c r="B80" s="14"/>
      <c r="C80" s="3" t="s">
        <v>200</v>
      </c>
      <c r="D80" s="8">
        <v>1</v>
      </c>
      <c r="E80" s="6"/>
      <c r="F80" s="11"/>
      <c r="G80" s="17" t="s">
        <v>328</v>
      </c>
      <c r="H80" s="4" t="s">
        <v>325</v>
      </c>
      <c r="I80" s="4" t="s">
        <v>327</v>
      </c>
      <c r="J80" s="4" t="s">
        <v>323</v>
      </c>
      <c r="K80" s="21" t="s">
        <v>3</v>
      </c>
      <c r="L80" s="32" t="s">
        <v>155</v>
      </c>
      <c r="M80" s="73" t="str">
        <f>CONCATENATE(O80,P80,Q80,R80,S80)</f>
        <v>請確認是否符合 右端下層筋下限 規定</v>
      </c>
      <c r="N80" s="1" t="str">
        <f t="shared" si="3"/>
        <v>0226</v>
      </c>
      <c r="O80" s="1" t="s">
        <v>383</v>
      </c>
      <c r="P80" s="1" t="str">
        <f t="shared" si="7"/>
        <v>右端</v>
      </c>
      <c r="Q80" s="1" t="str">
        <f t="shared" si="7"/>
        <v>下層筋</v>
      </c>
      <c r="R80" s="1" t="s">
        <v>142</v>
      </c>
      <c r="S80" s="1" t="s">
        <v>384</v>
      </c>
    </row>
    <row r="81" spans="2:19" x14ac:dyDescent="0.25">
      <c r="B81" s="14"/>
      <c r="C81" s="3" t="s">
        <v>201</v>
      </c>
      <c r="D81" s="8"/>
      <c r="E81" s="6"/>
      <c r="F81" s="11">
        <v>1</v>
      </c>
      <c r="G81" s="17" t="s">
        <v>328</v>
      </c>
      <c r="H81" s="4" t="s">
        <v>325</v>
      </c>
      <c r="I81" s="4" t="s">
        <v>327</v>
      </c>
      <c r="J81" s="4" t="s">
        <v>323</v>
      </c>
      <c r="K81" s="21" t="s">
        <v>4</v>
      </c>
      <c r="L81" s="32" t="s">
        <v>154</v>
      </c>
      <c r="M81" s="73" t="str">
        <f>CONCATENATE(O81,P81,Q81,R81,S81)</f>
        <v>請確認是否符合 右端下層筋上限 規定</v>
      </c>
      <c r="N81" s="1" t="str">
        <f t="shared" si="3"/>
        <v>0227</v>
      </c>
      <c r="O81" s="1" t="s">
        <v>383</v>
      </c>
      <c r="P81" s="1" t="str">
        <f t="shared" si="7"/>
        <v>右端</v>
      </c>
      <c r="Q81" s="1" t="str">
        <f t="shared" si="7"/>
        <v>下層筋</v>
      </c>
      <c r="R81" s="1" t="s">
        <v>388</v>
      </c>
      <c r="S81" s="1" t="s">
        <v>384</v>
      </c>
    </row>
    <row r="82" spans="2:19" x14ac:dyDescent="0.25">
      <c r="B82" s="14"/>
      <c r="C82" s="3" t="s">
        <v>602</v>
      </c>
      <c r="D82" s="8"/>
      <c r="E82" s="6"/>
      <c r="F82" s="11"/>
      <c r="G82" s="17" t="s">
        <v>328</v>
      </c>
      <c r="H82" s="4"/>
      <c r="I82" s="4"/>
      <c r="J82" s="4"/>
      <c r="K82" s="21"/>
      <c r="L82" s="32"/>
      <c r="M82" s="73"/>
      <c r="N82" s="1" t="str">
        <f t="shared" si="3"/>
        <v>0228</v>
      </c>
    </row>
    <row r="83" spans="2:19" x14ac:dyDescent="0.25">
      <c r="B83" s="14"/>
      <c r="C83" s="3" t="s">
        <v>603</v>
      </c>
      <c r="D83" s="8">
        <v>1</v>
      </c>
      <c r="E83" s="6"/>
      <c r="F83" s="11"/>
      <c r="G83" s="17" t="s">
        <v>328</v>
      </c>
      <c r="H83" s="4" t="s">
        <v>325</v>
      </c>
      <c r="I83" s="4" t="s">
        <v>324</v>
      </c>
      <c r="J83" s="4" t="s">
        <v>326</v>
      </c>
      <c r="K83" s="21" t="s">
        <v>3</v>
      </c>
      <c r="L83" s="32" t="s">
        <v>155</v>
      </c>
      <c r="M83" s="73" t="str">
        <f>CONCATENATE(O83,P83,Q83,R83,S83)</f>
        <v>請確認是否符合 中央上層筋下限 規定</v>
      </c>
      <c r="N83" s="1" t="str">
        <f t="shared" si="3"/>
        <v>0229</v>
      </c>
      <c r="O83" s="1" t="s">
        <v>383</v>
      </c>
      <c r="P83" s="1" t="str">
        <f>I83</f>
        <v>中央</v>
      </c>
      <c r="Q83" s="1" t="str">
        <f t="shared" ref="Q83:R85" si="8">J83</f>
        <v>上層筋</v>
      </c>
      <c r="R83" s="1" t="s">
        <v>142</v>
      </c>
      <c r="S83" s="1" t="s">
        <v>384</v>
      </c>
    </row>
    <row r="84" spans="2:19" x14ac:dyDescent="0.25">
      <c r="B84" s="14"/>
      <c r="C84" s="3" t="s">
        <v>604</v>
      </c>
      <c r="D84" s="8">
        <v>1</v>
      </c>
      <c r="E84" s="6"/>
      <c r="F84" s="11">
        <v>1</v>
      </c>
      <c r="G84" s="17" t="s">
        <v>328</v>
      </c>
      <c r="H84" s="4" t="s">
        <v>325</v>
      </c>
      <c r="I84" s="4" t="s">
        <v>324</v>
      </c>
      <c r="J84" s="4" t="s">
        <v>326</v>
      </c>
      <c r="K84" s="21" t="s">
        <v>190</v>
      </c>
      <c r="L84" s="32" t="s">
        <v>202</v>
      </c>
      <c r="M84" s="73" t="str">
        <f>CONCATENATE(O84,P84,Q84,R84,S84)</f>
        <v>請確認是否符合 中央上層筋相對鋼筋量 規定</v>
      </c>
      <c r="N84" s="1" t="str">
        <f t="shared" si="3"/>
        <v>0230</v>
      </c>
      <c r="O84" s="1" t="s">
        <v>383</v>
      </c>
      <c r="P84" s="1" t="str">
        <f>I84</f>
        <v>中央</v>
      </c>
      <c r="Q84" s="1" t="str">
        <f t="shared" si="8"/>
        <v>上層筋</v>
      </c>
      <c r="R84" s="1" t="str">
        <f t="shared" si="8"/>
        <v>相對鋼筋量</v>
      </c>
      <c r="S84" s="1" t="s">
        <v>384</v>
      </c>
    </row>
    <row r="85" spans="2:19" x14ac:dyDescent="0.25">
      <c r="B85" s="14"/>
      <c r="C85" s="3" t="s">
        <v>605</v>
      </c>
      <c r="D85" s="8">
        <v>1</v>
      </c>
      <c r="E85" s="6"/>
      <c r="F85" s="11">
        <v>1</v>
      </c>
      <c r="G85" s="17" t="s">
        <v>328</v>
      </c>
      <c r="H85" s="4" t="s">
        <v>325</v>
      </c>
      <c r="I85" s="4" t="s">
        <v>324</v>
      </c>
      <c r="J85" s="4" t="s">
        <v>323</v>
      </c>
      <c r="K85" s="21" t="s">
        <v>4</v>
      </c>
      <c r="L85" s="32" t="s">
        <v>154</v>
      </c>
      <c r="M85" s="73" t="str">
        <f>CONCATENATE(O85,P85,Q85,R85,S85)</f>
        <v>請確認是否符合 中央下層筋上限 規定</v>
      </c>
      <c r="N85" s="1" t="str">
        <f t="shared" si="3"/>
        <v>0231</v>
      </c>
      <c r="O85" s="1" t="s">
        <v>383</v>
      </c>
      <c r="P85" s="1" t="str">
        <f>I85</f>
        <v>中央</v>
      </c>
      <c r="Q85" s="1" t="str">
        <f t="shared" si="8"/>
        <v>下層筋</v>
      </c>
      <c r="R85" s="1" t="s">
        <v>388</v>
      </c>
      <c r="S85" s="1" t="s">
        <v>384</v>
      </c>
    </row>
    <row r="86" spans="2:19" x14ac:dyDescent="0.25">
      <c r="B86" s="14"/>
      <c r="C86" s="3" t="s">
        <v>606</v>
      </c>
      <c r="D86" s="8"/>
      <c r="E86" s="6"/>
      <c r="F86" s="11"/>
      <c r="G86" s="17"/>
      <c r="H86" s="4"/>
      <c r="I86" s="4"/>
      <c r="J86" s="4"/>
      <c r="K86" s="21"/>
      <c r="L86" s="32"/>
      <c r="M86" s="73"/>
      <c r="N86" s="1" t="str">
        <f t="shared" si="3"/>
        <v>0232</v>
      </c>
    </row>
    <row r="87" spans="2:19" x14ac:dyDescent="0.25">
      <c r="B87" s="14"/>
      <c r="C87" s="3" t="s">
        <v>607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3"/>
        <v>0233</v>
      </c>
    </row>
    <row r="88" spans="2:19" x14ac:dyDescent="0.25">
      <c r="B88" s="14"/>
      <c r="C88" s="3" t="s">
        <v>608</v>
      </c>
      <c r="D88" s="8">
        <v>1</v>
      </c>
      <c r="E88" s="6"/>
      <c r="F88" s="11"/>
      <c r="G88" s="17" t="s">
        <v>332</v>
      </c>
      <c r="H88" s="4"/>
      <c r="I88" s="4" t="s">
        <v>329</v>
      </c>
      <c r="J88" s="4"/>
      <c r="K88" s="21" t="s">
        <v>3</v>
      </c>
      <c r="L88" s="32" t="s">
        <v>156</v>
      </c>
      <c r="M88" s="73" t="str">
        <f>CONCATENATE(O88,P88,Q88,R88)</f>
        <v>請確認是否符合 單排支數下限 規定</v>
      </c>
      <c r="N88" s="1" t="str">
        <f t="shared" si="3"/>
        <v>0234</v>
      </c>
      <c r="O88" s="1" t="s">
        <v>383</v>
      </c>
      <c r="P88" s="1" t="str">
        <f>I88</f>
        <v>單排支數</v>
      </c>
      <c r="Q88" s="1" t="s">
        <v>389</v>
      </c>
      <c r="R88" s="1" t="s">
        <v>384</v>
      </c>
    </row>
    <row r="89" spans="2:19" x14ac:dyDescent="0.25">
      <c r="B89" s="14"/>
      <c r="C89" s="3" t="s">
        <v>609</v>
      </c>
      <c r="D89" s="8"/>
      <c r="E89" s="6">
        <v>1</v>
      </c>
      <c r="F89" s="11">
        <v>1</v>
      </c>
      <c r="G89" s="17" t="s">
        <v>332</v>
      </c>
      <c r="H89" s="4"/>
      <c r="I89" s="4" t="s">
        <v>329</v>
      </c>
      <c r="J89" s="4"/>
      <c r="K89" s="21" t="s">
        <v>4</v>
      </c>
      <c r="L89" s="32" t="s">
        <v>157</v>
      </c>
      <c r="M89" s="73" t="str">
        <f>CONCATENATE(O89,P89,Q89,R89)</f>
        <v>請確認是否符合 單排支數上限 規定</v>
      </c>
      <c r="N89" s="1" t="str">
        <f t="shared" si="3"/>
        <v>0235</v>
      </c>
      <c r="O89" s="1" t="s">
        <v>383</v>
      </c>
      <c r="P89" s="1" t="str">
        <f>I89</f>
        <v>單排支數</v>
      </c>
      <c r="Q89" s="1" t="s">
        <v>390</v>
      </c>
      <c r="R89" s="1" t="s">
        <v>384</v>
      </c>
    </row>
    <row r="90" spans="2:19" x14ac:dyDescent="0.25">
      <c r="B90" s="14"/>
      <c r="C90" s="3" t="s">
        <v>610</v>
      </c>
      <c r="D90" s="8">
        <v>1</v>
      </c>
      <c r="E90" s="6"/>
      <c r="F90" s="11"/>
      <c r="G90" s="17" t="s">
        <v>332</v>
      </c>
      <c r="H90" s="4"/>
      <c r="I90" s="4"/>
      <c r="J90" s="4"/>
      <c r="K90" s="21"/>
      <c r="L90" s="31"/>
      <c r="M90" s="72"/>
      <c r="N90" s="1" t="str">
        <f t="shared" si="3"/>
        <v>0236</v>
      </c>
    </row>
    <row r="91" spans="2:19" x14ac:dyDescent="0.25">
      <c r="B91" s="14"/>
      <c r="C91" s="3" t="s">
        <v>611</v>
      </c>
      <c r="D91" s="8">
        <v>1</v>
      </c>
      <c r="E91" s="6">
        <v>1</v>
      </c>
      <c r="F91" s="11">
        <v>1</v>
      </c>
      <c r="G91" s="17" t="s">
        <v>332</v>
      </c>
      <c r="H91" s="4"/>
      <c r="I91" s="4" t="s">
        <v>330</v>
      </c>
      <c r="J91" s="4"/>
      <c r="K91" s="21" t="s">
        <v>3</v>
      </c>
      <c r="L91" s="31" t="s">
        <v>78</v>
      </c>
      <c r="M91" s="73" t="str">
        <f>CONCATENATE(O91,P91,Q91,R91)</f>
        <v>請確認是否符合 箍筋間距下限 規定</v>
      </c>
      <c r="N91" s="1" t="str">
        <f t="shared" si="3"/>
        <v>0237</v>
      </c>
      <c r="O91" s="1" t="s">
        <v>383</v>
      </c>
      <c r="P91" s="1" t="str">
        <f>I91</f>
        <v>箍筋間距</v>
      </c>
      <c r="Q91" s="1" t="s">
        <v>389</v>
      </c>
      <c r="R91" s="1" t="s">
        <v>384</v>
      </c>
    </row>
    <row r="92" spans="2:19" x14ac:dyDescent="0.25">
      <c r="B92" s="14"/>
      <c r="C92" s="3" t="s">
        <v>612</v>
      </c>
      <c r="D92" s="8">
        <v>1</v>
      </c>
      <c r="E92" s="6">
        <v>1</v>
      </c>
      <c r="F92" s="11"/>
      <c r="G92" s="17" t="s">
        <v>332</v>
      </c>
      <c r="H92" s="4"/>
      <c r="I92" s="4" t="s">
        <v>330</v>
      </c>
      <c r="J92" s="4"/>
      <c r="K92" s="21" t="s">
        <v>4</v>
      </c>
      <c r="L92" s="31" t="s">
        <v>79</v>
      </c>
      <c r="M92" s="73" t="str">
        <f>CONCATENATE(O92,P92,Q92,R92)</f>
        <v>請確認是否符合 箍筋間距上限 規定</v>
      </c>
      <c r="N92" s="1" t="str">
        <f t="shared" si="3"/>
        <v>0238</v>
      </c>
      <c r="O92" s="1" t="s">
        <v>383</v>
      </c>
      <c r="P92" s="1" t="str">
        <f>I92</f>
        <v>箍筋間距</v>
      </c>
      <c r="Q92" s="1" t="s">
        <v>390</v>
      </c>
      <c r="R92" s="1" t="s">
        <v>384</v>
      </c>
    </row>
    <row r="93" spans="2:19" x14ac:dyDescent="0.25">
      <c r="B93" s="14"/>
      <c r="C93" s="3" t="s">
        <v>613</v>
      </c>
      <c r="D93" s="8">
        <v>1</v>
      </c>
      <c r="E93" s="6"/>
      <c r="F93" s="11"/>
      <c r="G93" s="17" t="s">
        <v>332</v>
      </c>
      <c r="H93" s="4"/>
      <c r="I93" s="4"/>
      <c r="J93" s="4"/>
      <c r="K93" s="21"/>
      <c r="L93" s="31"/>
      <c r="M93" s="72"/>
      <c r="N93" s="1" t="str">
        <f t="shared" si="3"/>
        <v>0239</v>
      </c>
    </row>
    <row r="94" spans="2:19" x14ac:dyDescent="0.25">
      <c r="B94" s="14"/>
      <c r="C94" s="3" t="s">
        <v>614</v>
      </c>
      <c r="D94" s="8">
        <v>1</v>
      </c>
      <c r="E94" s="6"/>
      <c r="F94" s="11"/>
      <c r="G94" s="17" t="s">
        <v>332</v>
      </c>
      <c r="H94" s="4"/>
      <c r="I94" s="4" t="s">
        <v>331</v>
      </c>
      <c r="J94" s="4"/>
      <c r="K94" s="21" t="s">
        <v>3</v>
      </c>
      <c r="L94" s="31" t="s">
        <v>158</v>
      </c>
      <c r="M94" s="73" t="str">
        <f>CONCATENATE(O94,P94,Q94,R94)</f>
        <v>請確認是否符合 剪力鋼筋量下限 規定</v>
      </c>
      <c r="N94" s="1" t="str">
        <f t="shared" si="3"/>
        <v>0240</v>
      </c>
      <c r="O94" s="1" t="s">
        <v>383</v>
      </c>
      <c r="P94" s="1" t="str">
        <f>I94</f>
        <v>剪力鋼筋量</v>
      </c>
      <c r="Q94" s="1" t="s">
        <v>389</v>
      </c>
      <c r="R94" s="1" t="s">
        <v>384</v>
      </c>
    </row>
    <row r="95" spans="2:19" x14ac:dyDescent="0.25">
      <c r="B95" s="14"/>
      <c r="C95" s="3" t="s">
        <v>615</v>
      </c>
      <c r="D95" s="8">
        <v>1</v>
      </c>
      <c r="E95" s="6">
        <v>1</v>
      </c>
      <c r="F95" s="11">
        <v>1</v>
      </c>
      <c r="G95" s="17" t="s">
        <v>332</v>
      </c>
      <c r="H95" s="4"/>
      <c r="I95" s="4" t="s">
        <v>331</v>
      </c>
      <c r="J95" s="4"/>
      <c r="K95" s="21" t="s">
        <v>4</v>
      </c>
      <c r="L95" s="31" t="s">
        <v>150</v>
      </c>
      <c r="M95" s="73" t="str">
        <f>CONCATENATE(O95,P95,Q95,R95)</f>
        <v>請確認是否符合 剪力鋼筋量上限 規定</v>
      </c>
      <c r="N95" s="1" t="str">
        <f t="shared" si="3"/>
        <v>0241</v>
      </c>
      <c r="O95" s="1" t="s">
        <v>383</v>
      </c>
      <c r="P95" s="1" t="str">
        <f>I95</f>
        <v>剪力鋼筋量</v>
      </c>
      <c r="Q95" s="1" t="s">
        <v>390</v>
      </c>
      <c r="R95" s="1" t="s">
        <v>384</v>
      </c>
    </row>
    <row r="96" spans="2:19" ht="19.5" thickBot="1" x14ac:dyDescent="0.3">
      <c r="B96" s="14"/>
      <c r="C96" s="3"/>
      <c r="D96" s="8"/>
      <c r="E96" s="6"/>
      <c r="F96" s="11"/>
      <c r="G96" s="17"/>
      <c r="H96" s="4"/>
      <c r="I96" s="4"/>
      <c r="J96" s="4"/>
      <c r="K96" s="21"/>
      <c r="L96" s="31"/>
      <c r="M96" s="72"/>
      <c r="N96" s="1">
        <f t="shared" si="3"/>
        <v>0</v>
      </c>
    </row>
    <row r="97" spans="2:18" x14ac:dyDescent="0.25">
      <c r="B97" s="50" t="s">
        <v>335</v>
      </c>
      <c r="C97" s="51" t="s">
        <v>336</v>
      </c>
      <c r="D97" s="52" t="s">
        <v>337</v>
      </c>
      <c r="E97" s="53" t="s">
        <v>338</v>
      </c>
      <c r="F97" s="54" t="s">
        <v>339</v>
      </c>
      <c r="G97" s="55" t="s">
        <v>340</v>
      </c>
      <c r="H97" s="51" t="s">
        <v>341</v>
      </c>
      <c r="I97" s="51" t="s">
        <v>341</v>
      </c>
      <c r="J97" s="51" t="s">
        <v>341</v>
      </c>
      <c r="K97" s="56" t="s">
        <v>342</v>
      </c>
      <c r="L97" s="57" t="s">
        <v>343</v>
      </c>
      <c r="M97" s="68" t="s">
        <v>366</v>
      </c>
      <c r="N97" s="1" t="str">
        <f t="shared" si="3"/>
        <v>#</v>
      </c>
    </row>
    <row r="98" spans="2:18" ht="19.5" thickBot="1" x14ac:dyDescent="0.3">
      <c r="B98" s="58" t="s">
        <v>360</v>
      </c>
      <c r="C98" s="59" t="s">
        <v>361</v>
      </c>
      <c r="D98" s="60" t="s">
        <v>346</v>
      </c>
      <c r="E98" s="61" t="s">
        <v>347</v>
      </c>
      <c r="F98" s="62" t="s">
        <v>348</v>
      </c>
      <c r="G98" s="63"/>
      <c r="H98" s="64"/>
      <c r="I98" s="64"/>
      <c r="J98" s="64"/>
      <c r="K98" s="65"/>
      <c r="L98" s="66"/>
      <c r="M98" s="69"/>
      <c r="N98" s="1" t="str">
        <f t="shared" si="3"/>
        <v>0300</v>
      </c>
    </row>
    <row r="99" spans="2:18" x14ac:dyDescent="0.25">
      <c r="B99" s="14"/>
      <c r="C99" s="3" t="s">
        <v>68</v>
      </c>
      <c r="D99" s="8"/>
      <c r="E99" s="6"/>
      <c r="F99" s="11"/>
      <c r="G99" s="17"/>
      <c r="H99" s="4"/>
      <c r="I99" s="4"/>
      <c r="J99" s="4"/>
      <c r="K99" s="21"/>
      <c r="L99" s="29"/>
      <c r="M99" s="70"/>
      <c r="N99" s="1" t="str">
        <f t="shared" si="3"/>
        <v>0301</v>
      </c>
    </row>
    <row r="100" spans="2:18" x14ac:dyDescent="0.25">
      <c r="B100" s="14"/>
      <c r="C100" s="3" t="s">
        <v>69</v>
      </c>
      <c r="D100" s="8">
        <v>1</v>
      </c>
      <c r="E100" s="6">
        <v>1</v>
      </c>
      <c r="F100" s="11"/>
      <c r="G100" s="17" t="s">
        <v>145</v>
      </c>
      <c r="H100" s="4"/>
      <c r="I100" s="4" t="s">
        <v>325</v>
      </c>
      <c r="J100" s="4"/>
      <c r="K100" s="21" t="s">
        <v>3</v>
      </c>
      <c r="L100" s="30" t="s">
        <v>27</v>
      </c>
      <c r="M100" s="73" t="str">
        <f>CONCATENATE(O100,P100,Q100,R100)</f>
        <v>請確認是否符合 主筋比下限 規定</v>
      </c>
      <c r="N100" s="1" t="str">
        <f t="shared" si="3"/>
        <v>0302</v>
      </c>
      <c r="O100" s="1" t="s">
        <v>383</v>
      </c>
      <c r="P100" s="1" t="str">
        <f>I100</f>
        <v>主筋比</v>
      </c>
      <c r="Q100" s="1" t="s">
        <v>389</v>
      </c>
      <c r="R100" s="1" t="s">
        <v>384</v>
      </c>
    </row>
    <row r="101" spans="2:18" x14ac:dyDescent="0.25">
      <c r="B101" s="14"/>
      <c r="C101" s="3" t="s">
        <v>70</v>
      </c>
      <c r="D101" s="8">
        <v>1</v>
      </c>
      <c r="E101" s="6">
        <v>1</v>
      </c>
      <c r="F101" s="11"/>
      <c r="G101" s="17" t="s">
        <v>145</v>
      </c>
      <c r="H101" s="4"/>
      <c r="I101" s="4" t="s">
        <v>325</v>
      </c>
      <c r="J101" s="4"/>
      <c r="K101" s="21" t="s">
        <v>4</v>
      </c>
      <c r="L101" s="30" t="s">
        <v>26</v>
      </c>
      <c r="M101" s="73" t="str">
        <f>CONCATENATE(O101,P101,Q101,R101)</f>
        <v>請確認是否符合 主筋比上限 規定</v>
      </c>
      <c r="N101" s="1" t="str">
        <f t="shared" si="3"/>
        <v>0303</v>
      </c>
      <c r="O101" s="1" t="s">
        <v>383</v>
      </c>
      <c r="P101" s="1" t="str">
        <f>I101</f>
        <v>主筋比</v>
      </c>
      <c r="Q101" s="1" t="s">
        <v>390</v>
      </c>
      <c r="R101" s="1" t="s">
        <v>384</v>
      </c>
    </row>
    <row r="102" spans="2:18" x14ac:dyDescent="0.25">
      <c r="B102" s="14"/>
      <c r="C102" s="3" t="s">
        <v>71</v>
      </c>
      <c r="D102" s="8"/>
      <c r="E102" s="6"/>
      <c r="F102" s="11"/>
      <c r="G102" s="17"/>
      <c r="H102" s="4"/>
      <c r="I102" s="4"/>
      <c r="J102" s="4"/>
      <c r="K102" s="21"/>
      <c r="L102" s="30"/>
      <c r="M102" s="71"/>
      <c r="N102" s="1" t="str">
        <f t="shared" si="3"/>
        <v>0304</v>
      </c>
    </row>
    <row r="103" spans="2:18" x14ac:dyDescent="0.25">
      <c r="B103" s="14"/>
      <c r="C103" s="3" t="s">
        <v>72</v>
      </c>
      <c r="D103" s="8">
        <v>1</v>
      </c>
      <c r="E103" s="6">
        <v>1</v>
      </c>
      <c r="F103" s="11"/>
      <c r="G103" s="17" t="s">
        <v>8</v>
      </c>
      <c r="H103" s="4"/>
      <c r="I103" s="4" t="s">
        <v>67</v>
      </c>
      <c r="J103" s="4"/>
      <c r="K103" s="21" t="s">
        <v>3</v>
      </c>
      <c r="L103" s="30"/>
      <c r="M103" s="71"/>
      <c r="N103" s="1" t="str">
        <f t="shared" si="3"/>
        <v>0305</v>
      </c>
    </row>
    <row r="104" spans="2:18" x14ac:dyDescent="0.25">
      <c r="B104" s="14"/>
      <c r="C104" s="3" t="s">
        <v>73</v>
      </c>
      <c r="D104" s="8">
        <v>1</v>
      </c>
      <c r="E104" s="6">
        <v>1</v>
      </c>
      <c r="F104" s="11"/>
      <c r="G104" s="17" t="s">
        <v>8</v>
      </c>
      <c r="H104" s="4"/>
      <c r="I104" s="4" t="s">
        <v>67</v>
      </c>
      <c r="J104" s="4"/>
      <c r="K104" s="21" t="s">
        <v>4</v>
      </c>
      <c r="L104" s="29"/>
      <c r="M104" s="70"/>
      <c r="N104" s="1" t="str">
        <f t="shared" si="3"/>
        <v>0306</v>
      </c>
    </row>
    <row r="105" spans="2:18" x14ac:dyDescent="0.25">
      <c r="B105" s="14"/>
      <c r="C105" s="3" t="s">
        <v>74</v>
      </c>
      <c r="D105" s="8">
        <v>1</v>
      </c>
      <c r="E105" s="6"/>
      <c r="F105" s="11"/>
      <c r="G105" s="17"/>
      <c r="H105" s="4"/>
      <c r="I105" s="4"/>
      <c r="J105" s="4"/>
      <c r="K105" s="21"/>
      <c r="L105" s="31"/>
      <c r="M105" s="72"/>
      <c r="N105" s="1" t="str">
        <f t="shared" si="3"/>
        <v>0307</v>
      </c>
    </row>
    <row r="106" spans="2:18" x14ac:dyDescent="0.25">
      <c r="B106" s="14"/>
      <c r="C106" s="3" t="s">
        <v>75</v>
      </c>
      <c r="D106" s="8">
        <v>1</v>
      </c>
      <c r="E106" s="6"/>
      <c r="F106" s="11"/>
      <c r="G106" s="17" t="s">
        <v>9</v>
      </c>
      <c r="H106" s="4"/>
      <c r="I106" s="4"/>
      <c r="J106" s="4"/>
      <c r="K106" s="21" t="s">
        <v>19</v>
      </c>
      <c r="L106" s="31" t="s">
        <v>159</v>
      </c>
      <c r="M106" s="72"/>
      <c r="N106" s="1" t="str">
        <f t="shared" si="3"/>
        <v>0308</v>
      </c>
    </row>
    <row r="107" spans="2:18" ht="19.5" thickBot="1" x14ac:dyDescent="0.3">
      <c r="B107" s="14"/>
      <c r="C107" s="4"/>
      <c r="D107" s="8"/>
      <c r="E107" s="6"/>
      <c r="F107" s="11"/>
      <c r="G107" s="17"/>
      <c r="H107" s="4"/>
      <c r="I107" s="4"/>
      <c r="J107" s="4"/>
      <c r="K107" s="21"/>
      <c r="L107" s="31"/>
      <c r="M107" s="72"/>
    </row>
    <row r="108" spans="2:18" x14ac:dyDescent="0.25">
      <c r="B108" s="50" t="s">
        <v>335</v>
      </c>
      <c r="C108" s="51" t="s">
        <v>336</v>
      </c>
      <c r="D108" s="52" t="s">
        <v>337</v>
      </c>
      <c r="E108" s="53" t="s">
        <v>338</v>
      </c>
      <c r="F108" s="54" t="s">
        <v>339</v>
      </c>
      <c r="G108" s="55" t="s">
        <v>340</v>
      </c>
      <c r="H108" s="51" t="s">
        <v>341</v>
      </c>
      <c r="I108" s="51" t="s">
        <v>341</v>
      </c>
      <c r="J108" s="51" t="s">
        <v>341</v>
      </c>
      <c r="K108" s="56" t="s">
        <v>342</v>
      </c>
      <c r="L108" s="57" t="s">
        <v>343</v>
      </c>
      <c r="M108" s="68" t="s">
        <v>366</v>
      </c>
    </row>
    <row r="109" spans="2:18" ht="19.5" thickBot="1" x14ac:dyDescent="0.3">
      <c r="B109" s="58" t="s">
        <v>358</v>
      </c>
      <c r="C109" s="59" t="s">
        <v>359</v>
      </c>
      <c r="D109" s="60" t="s">
        <v>346</v>
      </c>
      <c r="E109" s="61" t="s">
        <v>347</v>
      </c>
      <c r="F109" s="62" t="s">
        <v>348</v>
      </c>
      <c r="G109" s="63"/>
      <c r="H109" s="64"/>
      <c r="I109" s="64"/>
      <c r="J109" s="64"/>
      <c r="K109" s="65"/>
      <c r="L109" s="66"/>
      <c r="M109" s="69"/>
    </row>
    <row r="110" spans="2:18" x14ac:dyDescent="0.25">
      <c r="B110" s="14"/>
      <c r="C110" s="3" t="s">
        <v>82</v>
      </c>
      <c r="D110" s="8"/>
      <c r="E110" s="6">
        <v>1</v>
      </c>
      <c r="F110" s="11"/>
      <c r="G110" s="17" t="s">
        <v>34</v>
      </c>
      <c r="H110" s="4"/>
      <c r="I110" s="4" t="s">
        <v>5</v>
      </c>
      <c r="J110" s="4"/>
      <c r="K110" s="21" t="s">
        <v>3</v>
      </c>
      <c r="L110" s="31" t="s">
        <v>392</v>
      </c>
      <c r="M110" s="73" t="str">
        <f>CONCATENATE(O110,P110,Q110,R110)</f>
        <v>請確認是否符合 鋼筋比下限 規定</v>
      </c>
      <c r="O110" s="1" t="s">
        <v>383</v>
      </c>
      <c r="P110" s="1" t="str">
        <f>I110</f>
        <v>鋼筋比</v>
      </c>
      <c r="Q110" s="1" t="s">
        <v>389</v>
      </c>
      <c r="R110" s="1" t="s">
        <v>384</v>
      </c>
    </row>
    <row r="111" spans="2:18" x14ac:dyDescent="0.25">
      <c r="B111" s="14"/>
      <c r="C111" s="3" t="s">
        <v>83</v>
      </c>
      <c r="D111" s="8">
        <v>1</v>
      </c>
      <c r="E111" s="6">
        <v>1</v>
      </c>
      <c r="F111" s="11">
        <v>1</v>
      </c>
      <c r="G111" s="17" t="s">
        <v>34</v>
      </c>
      <c r="H111" s="4"/>
      <c r="I111" s="4" t="s">
        <v>5</v>
      </c>
      <c r="J111" s="4"/>
      <c r="K111" s="21" t="s">
        <v>4</v>
      </c>
      <c r="L111" s="31" t="s">
        <v>160</v>
      </c>
      <c r="M111" s="73" t="str">
        <f>CONCATENATE(O111,P111,Q111,R111)</f>
        <v>請確認是否符合 鋼筋比上限 規定</v>
      </c>
      <c r="O111" s="1" t="s">
        <v>383</v>
      </c>
      <c r="P111" s="1" t="str">
        <f>I111</f>
        <v>鋼筋比</v>
      </c>
      <c r="Q111" s="1" t="s">
        <v>390</v>
      </c>
      <c r="R111" s="1" t="s">
        <v>384</v>
      </c>
    </row>
    <row r="112" spans="2:18" x14ac:dyDescent="0.25">
      <c r="B112" s="14"/>
      <c r="C112" s="3" t="s">
        <v>84</v>
      </c>
      <c r="D112" s="8"/>
      <c r="E112" s="6"/>
      <c r="F112" s="11"/>
      <c r="G112" s="17"/>
      <c r="H112" s="4"/>
      <c r="I112" s="4"/>
      <c r="J112" s="4"/>
      <c r="K112" s="21"/>
      <c r="L112" s="31"/>
      <c r="M112" s="72"/>
    </row>
    <row r="113" spans="2:18" x14ac:dyDescent="0.25">
      <c r="B113" s="14"/>
      <c r="C113" s="3" t="s">
        <v>85</v>
      </c>
      <c r="D113" s="8"/>
      <c r="E113" s="6">
        <v>1</v>
      </c>
      <c r="F113" s="11"/>
      <c r="G113" s="17" t="s">
        <v>33</v>
      </c>
      <c r="H113" s="4"/>
      <c r="I113" s="4" t="s">
        <v>5</v>
      </c>
      <c r="J113" s="4"/>
      <c r="K113" s="21" t="s">
        <v>394</v>
      </c>
      <c r="L113" s="31" t="s">
        <v>393</v>
      </c>
      <c r="M113" s="73" t="str">
        <f>CONCATENATE(O113,P113)</f>
        <v>請確認 尺寸是否過大</v>
      </c>
      <c r="O113" s="1" t="s">
        <v>402</v>
      </c>
      <c r="P113" s="1" t="str">
        <f>K113</f>
        <v>尺寸是否過大</v>
      </c>
    </row>
    <row r="114" spans="2:18" x14ac:dyDescent="0.25">
      <c r="B114" s="14"/>
      <c r="C114" s="3" t="s">
        <v>85</v>
      </c>
      <c r="D114" s="8"/>
      <c r="E114" s="6">
        <v>1</v>
      </c>
      <c r="F114" s="11"/>
      <c r="G114" s="17" t="s">
        <v>33</v>
      </c>
      <c r="H114" s="4"/>
      <c r="I114" s="4" t="s">
        <v>5</v>
      </c>
      <c r="J114" s="4"/>
      <c r="K114" s="21" t="s">
        <v>162</v>
      </c>
      <c r="L114" s="31" t="s">
        <v>392</v>
      </c>
      <c r="M114" s="73" t="str">
        <f>CONCATENATE(O114,P114,Q114,R114)</f>
        <v>請確認是否符合 鋼筋比下限 規定</v>
      </c>
      <c r="O114" s="1" t="s">
        <v>383</v>
      </c>
      <c r="P114" s="1" t="str">
        <f>I114</f>
        <v>鋼筋比</v>
      </c>
      <c r="Q114" s="1" t="s">
        <v>389</v>
      </c>
      <c r="R114" s="1" t="s">
        <v>384</v>
      </c>
    </row>
    <row r="115" spans="2:18" x14ac:dyDescent="0.25">
      <c r="B115" s="14"/>
      <c r="C115" s="3" t="s">
        <v>86</v>
      </c>
      <c r="D115" s="8">
        <v>1</v>
      </c>
      <c r="E115" s="6">
        <v>1</v>
      </c>
      <c r="F115" s="11">
        <v>1</v>
      </c>
      <c r="G115" s="17" t="s">
        <v>33</v>
      </c>
      <c r="H115" s="4"/>
      <c r="I115" s="4" t="s">
        <v>5</v>
      </c>
      <c r="J115" s="4"/>
      <c r="K115" s="21" t="s">
        <v>4</v>
      </c>
      <c r="L115" s="31" t="s">
        <v>160</v>
      </c>
      <c r="M115" s="73" t="str">
        <f>CONCATENATE(O115,P115,Q115,R115)</f>
        <v>請確認是否符合 鋼筋比上限 規定</v>
      </c>
      <c r="O115" s="1" t="s">
        <v>383</v>
      </c>
      <c r="P115" s="1" t="str">
        <f>I115</f>
        <v>鋼筋比</v>
      </c>
      <c r="Q115" s="1" t="s">
        <v>390</v>
      </c>
      <c r="R115" s="1" t="s">
        <v>384</v>
      </c>
    </row>
    <row r="116" spans="2:18" x14ac:dyDescent="0.25">
      <c r="B116" s="14"/>
      <c r="C116" s="3" t="s">
        <v>87</v>
      </c>
      <c r="D116" s="8"/>
      <c r="E116" s="6"/>
      <c r="F116" s="11"/>
      <c r="G116" s="17"/>
      <c r="H116" s="4"/>
      <c r="I116" s="4"/>
      <c r="J116" s="4"/>
      <c r="K116" s="21"/>
      <c r="L116" s="31"/>
      <c r="M116" s="73"/>
    </row>
    <row r="117" spans="2:18" x14ac:dyDescent="0.25">
      <c r="B117" s="14"/>
      <c r="C117" s="3" t="s">
        <v>88</v>
      </c>
      <c r="D117" s="8"/>
      <c r="E117" s="6">
        <v>1</v>
      </c>
      <c r="F117" s="11"/>
      <c r="G117" s="17" t="s">
        <v>396</v>
      </c>
      <c r="H117" s="4"/>
      <c r="I117" s="4" t="s">
        <v>5</v>
      </c>
      <c r="J117" s="4"/>
      <c r="K117" s="21" t="s">
        <v>394</v>
      </c>
      <c r="L117" s="31" t="s">
        <v>395</v>
      </c>
      <c r="M117" s="73" t="str">
        <f>CONCATENATE(O117,P117)</f>
        <v>請確認 尺寸是否過大</v>
      </c>
      <c r="O117" s="1" t="s">
        <v>402</v>
      </c>
      <c r="P117" s="1" t="str">
        <f>K117</f>
        <v>尺寸是否過大</v>
      </c>
    </row>
    <row r="118" spans="2:18" x14ac:dyDescent="0.25">
      <c r="B118" s="14"/>
      <c r="C118" s="3" t="s">
        <v>88</v>
      </c>
      <c r="D118" s="8">
        <v>1</v>
      </c>
      <c r="E118" s="6"/>
      <c r="F118" s="11"/>
      <c r="G118" s="17" t="s">
        <v>397</v>
      </c>
      <c r="H118" s="4"/>
      <c r="I118" s="4" t="s">
        <v>5</v>
      </c>
      <c r="J118" s="4"/>
      <c r="K118" s="21" t="s">
        <v>3</v>
      </c>
      <c r="L118" s="31" t="s">
        <v>392</v>
      </c>
      <c r="M118" s="73" t="str">
        <f>CONCATENATE(O118,P118,Q118,R118)</f>
        <v>請確認是否符合 鋼筋比下限 規定</v>
      </c>
      <c r="O118" s="1" t="s">
        <v>383</v>
      </c>
      <c r="P118" s="1" t="str">
        <f>I118</f>
        <v>鋼筋比</v>
      </c>
      <c r="Q118" s="1" t="s">
        <v>142</v>
      </c>
      <c r="R118" s="1" t="s">
        <v>384</v>
      </c>
    </row>
    <row r="119" spans="2:18" x14ac:dyDescent="0.25">
      <c r="B119" s="14"/>
      <c r="C119" s="3" t="s">
        <v>89</v>
      </c>
      <c r="D119" s="8"/>
      <c r="E119" s="6">
        <v>1</v>
      </c>
      <c r="F119" s="11"/>
      <c r="G119" s="17" t="s">
        <v>398</v>
      </c>
      <c r="H119" s="4"/>
      <c r="I119" s="4" t="s">
        <v>5</v>
      </c>
      <c r="J119" s="4"/>
      <c r="K119" s="21" t="s">
        <v>4</v>
      </c>
      <c r="L119" s="31" t="s">
        <v>160</v>
      </c>
      <c r="M119" s="73" t="str">
        <f>CONCATENATE(O119,P119,Q119,R119)</f>
        <v>請確認是否符合 鋼筋比上限 規定</v>
      </c>
      <c r="O119" s="1" t="s">
        <v>383</v>
      </c>
      <c r="P119" s="1" t="str">
        <f>I119</f>
        <v>鋼筋比</v>
      </c>
      <c r="Q119" s="1" t="s">
        <v>144</v>
      </c>
      <c r="R119" s="1" t="s">
        <v>384</v>
      </c>
    </row>
    <row r="120" spans="2:18" x14ac:dyDescent="0.25">
      <c r="B120" s="14"/>
      <c r="C120" s="3" t="s">
        <v>90</v>
      </c>
      <c r="D120" s="8"/>
      <c r="E120" s="6"/>
      <c r="F120" s="11"/>
      <c r="G120" s="17"/>
      <c r="H120" s="4"/>
      <c r="I120" s="4"/>
      <c r="J120" s="4"/>
      <c r="K120" s="21"/>
      <c r="L120" s="31"/>
      <c r="M120" s="72"/>
    </row>
    <row r="121" spans="2:18" x14ac:dyDescent="0.25">
      <c r="B121" s="14"/>
      <c r="C121" s="3" t="s">
        <v>91</v>
      </c>
      <c r="D121" s="8">
        <v>1</v>
      </c>
      <c r="E121" s="6">
        <v>1</v>
      </c>
      <c r="F121" s="11"/>
      <c r="G121" s="17" t="s">
        <v>36</v>
      </c>
      <c r="H121" s="4"/>
      <c r="I121" s="4" t="s">
        <v>5</v>
      </c>
      <c r="J121" s="4"/>
      <c r="K121" s="21" t="s">
        <v>399</v>
      </c>
      <c r="L121" s="31" t="s">
        <v>164</v>
      </c>
      <c r="M121" s="73" t="str">
        <f>CONCATENATE(O121,P121)</f>
        <v>請確認 上層柱主筋量漸縮是否過大</v>
      </c>
      <c r="O121" s="1" t="s">
        <v>402</v>
      </c>
      <c r="P121" s="1" t="s">
        <v>403</v>
      </c>
    </row>
    <row r="122" spans="2:18" x14ac:dyDescent="0.25">
      <c r="B122" s="14"/>
      <c r="C122" s="3" t="s">
        <v>92</v>
      </c>
      <c r="D122" s="8">
        <v>1</v>
      </c>
      <c r="E122" s="6">
        <v>1</v>
      </c>
      <c r="F122" s="11"/>
      <c r="G122" s="17" t="s">
        <v>167</v>
      </c>
      <c r="H122" s="4"/>
      <c r="I122" s="4" t="s">
        <v>5</v>
      </c>
      <c r="J122" s="4"/>
      <c r="K122" s="21" t="s">
        <v>400</v>
      </c>
      <c r="L122" s="31" t="s">
        <v>165</v>
      </c>
      <c r="M122" s="73" t="str">
        <f>CONCATENATE(O122,P122)</f>
        <v>請確認 本層柱主筋量漸縮是否過大</v>
      </c>
      <c r="O122" s="1" t="s">
        <v>402</v>
      </c>
      <c r="P122" s="1" t="s">
        <v>404</v>
      </c>
    </row>
    <row r="123" spans="2:18" x14ac:dyDescent="0.25">
      <c r="B123" s="14"/>
      <c r="C123" s="3" t="s">
        <v>93</v>
      </c>
      <c r="D123" s="8"/>
      <c r="E123" s="6">
        <v>1</v>
      </c>
      <c r="F123" s="11"/>
      <c r="G123" s="17" t="s">
        <v>401</v>
      </c>
      <c r="H123" s="4"/>
      <c r="I123" s="4" t="s">
        <v>5</v>
      </c>
      <c r="J123" s="4"/>
      <c r="K123" s="21" t="s">
        <v>166</v>
      </c>
      <c r="L123" s="31" t="s">
        <v>168</v>
      </c>
      <c r="M123" s="73" t="str">
        <f>CONCATENATE(O123,P123)</f>
        <v>請確認 下層柱主筋量是否配置過多</v>
      </c>
      <c r="O123" s="1" t="s">
        <v>402</v>
      </c>
      <c r="P123" s="1" t="s">
        <v>405</v>
      </c>
    </row>
    <row r="124" spans="2:18" x14ac:dyDescent="0.25">
      <c r="B124" s="14"/>
      <c r="C124" s="3" t="s">
        <v>94</v>
      </c>
      <c r="D124" s="8"/>
      <c r="E124" s="6"/>
      <c r="F124" s="11"/>
      <c r="G124" s="17"/>
      <c r="H124" s="4"/>
      <c r="I124" s="4"/>
      <c r="J124" s="4"/>
      <c r="K124" s="21"/>
      <c r="L124" s="31"/>
      <c r="M124" s="72"/>
    </row>
    <row r="125" spans="2:18" x14ac:dyDescent="0.25">
      <c r="B125" s="14"/>
      <c r="C125" s="3" t="s">
        <v>95</v>
      </c>
      <c r="D125" s="8">
        <v>1</v>
      </c>
      <c r="E125" s="6">
        <v>1</v>
      </c>
      <c r="F125" s="11"/>
      <c r="G125" s="17" t="s">
        <v>36</v>
      </c>
      <c r="H125" s="4"/>
      <c r="I125" s="4" t="s">
        <v>12</v>
      </c>
      <c r="J125" s="4"/>
      <c r="K125" s="21" t="s">
        <v>14</v>
      </c>
      <c r="L125" s="31"/>
      <c r="M125" s="73" t="str">
        <f>CONCATENATE(O125,P125,Q125,R125)</f>
        <v>請確認是否符合 圍束段柱箍筋間距 規定</v>
      </c>
      <c r="O125" s="1" t="s">
        <v>383</v>
      </c>
      <c r="P125" s="1" t="str">
        <f>K125</f>
        <v>圍束段</v>
      </c>
      <c r="Q125" s="1" t="s">
        <v>406</v>
      </c>
      <c r="R125" s="1" t="s">
        <v>384</v>
      </c>
    </row>
    <row r="126" spans="2:18" x14ac:dyDescent="0.25">
      <c r="B126" s="14"/>
      <c r="C126" s="3" t="s">
        <v>96</v>
      </c>
      <c r="D126" s="8">
        <v>1</v>
      </c>
      <c r="E126" s="6">
        <v>1</v>
      </c>
      <c r="F126" s="11"/>
      <c r="G126" s="17" t="s">
        <v>36</v>
      </c>
      <c r="H126" s="4"/>
      <c r="I126" s="4" t="s">
        <v>12</v>
      </c>
      <c r="J126" s="4"/>
      <c r="K126" s="21" t="s">
        <v>15</v>
      </c>
      <c r="L126" s="31"/>
      <c r="M126" s="73" t="str">
        <f>CONCATENATE(O126,P126,Q126,R126)</f>
        <v>請確認是否符合 非圍束段柱箍筋間距 規定</v>
      </c>
      <c r="O126" s="1" t="s">
        <v>383</v>
      </c>
      <c r="P126" s="1" t="str">
        <f>K126</f>
        <v>非圍束段</v>
      </c>
      <c r="Q126" s="1" t="s">
        <v>406</v>
      </c>
      <c r="R126" s="1" t="s">
        <v>384</v>
      </c>
    </row>
    <row r="127" spans="2:18" x14ac:dyDescent="0.25">
      <c r="B127" s="14"/>
      <c r="C127" s="3" t="s">
        <v>97</v>
      </c>
      <c r="D127" s="8">
        <v>1</v>
      </c>
      <c r="E127" s="6">
        <v>1</v>
      </c>
      <c r="F127" s="11"/>
      <c r="G127" s="17" t="s">
        <v>36</v>
      </c>
      <c r="H127" s="4"/>
      <c r="I127" s="4" t="s">
        <v>12</v>
      </c>
      <c r="J127" s="4"/>
      <c r="K127" s="21" t="s">
        <v>16</v>
      </c>
      <c r="L127" s="31" t="s">
        <v>163</v>
      </c>
      <c r="M127" s="73" t="str">
        <f>CONCATENATE(O127,P127,Q127,R127)</f>
        <v>請確認是否符合 1F柱箍筋間距 規定</v>
      </c>
      <c r="O127" s="1" t="s">
        <v>383</v>
      </c>
      <c r="P127" s="1" t="str">
        <f>K127</f>
        <v>1F</v>
      </c>
      <c r="Q127" s="1" t="s">
        <v>406</v>
      </c>
      <c r="R127" s="1" t="s">
        <v>384</v>
      </c>
    </row>
    <row r="128" spans="2:18" x14ac:dyDescent="0.25">
      <c r="B128" s="14"/>
      <c r="C128" s="3" t="s">
        <v>98</v>
      </c>
      <c r="D128" s="8"/>
      <c r="E128" s="6"/>
      <c r="F128" s="11"/>
      <c r="G128" s="17"/>
      <c r="H128" s="4"/>
      <c r="I128" s="4"/>
      <c r="J128" s="4"/>
      <c r="K128" s="21"/>
      <c r="L128" s="31"/>
      <c r="M128" s="72"/>
    </row>
    <row r="129" spans="2:18" x14ac:dyDescent="0.25">
      <c r="B129" s="14"/>
      <c r="C129" s="3" t="s">
        <v>205</v>
      </c>
      <c r="D129" s="8">
        <v>1</v>
      </c>
      <c r="E129" s="6"/>
      <c r="F129" s="11"/>
      <c r="G129" s="17" t="s">
        <v>36</v>
      </c>
      <c r="H129" s="4"/>
      <c r="I129" s="4" t="s">
        <v>11</v>
      </c>
      <c r="J129" s="4"/>
      <c r="K129" s="21" t="s">
        <v>203</v>
      </c>
      <c r="L129" s="31" t="s">
        <v>204</v>
      </c>
      <c r="M129" s="73" t="str">
        <f>CONCATENATE(O129,P129,Q129,R129)</f>
        <v>請確認是否符合 繫筋隔根勾 規定</v>
      </c>
      <c r="O129" s="1" t="s">
        <v>383</v>
      </c>
      <c r="P129" s="1" t="str">
        <f>I129</f>
        <v>繫筋</v>
      </c>
      <c r="Q129" s="1" t="str">
        <f>K129</f>
        <v>隔根勾</v>
      </c>
      <c r="R129" s="1" t="s">
        <v>384</v>
      </c>
    </row>
    <row r="130" spans="2:18" x14ac:dyDescent="0.25">
      <c r="B130" s="14"/>
      <c r="C130" s="3" t="s">
        <v>206</v>
      </c>
      <c r="D130" s="8"/>
      <c r="E130" s="6"/>
      <c r="F130" s="11"/>
      <c r="G130" s="17"/>
      <c r="H130" s="4"/>
      <c r="I130" s="4"/>
      <c r="J130" s="4"/>
      <c r="K130" s="21"/>
      <c r="L130" s="31"/>
      <c r="M130" s="72"/>
    </row>
    <row r="131" spans="2:18" x14ac:dyDescent="0.25">
      <c r="B131" s="14"/>
      <c r="C131" s="3" t="s">
        <v>391</v>
      </c>
      <c r="D131" s="8">
        <v>1</v>
      </c>
      <c r="E131" s="6"/>
      <c r="F131" s="11">
        <v>1</v>
      </c>
      <c r="G131" s="17" t="s">
        <v>35</v>
      </c>
      <c r="H131" s="4"/>
      <c r="I131" s="4"/>
      <c r="J131" s="4"/>
      <c r="K131" s="21"/>
      <c r="L131" s="31"/>
      <c r="M131" s="72"/>
    </row>
    <row r="132" spans="2:18" x14ac:dyDescent="0.25">
      <c r="B132" s="14"/>
      <c r="C132" s="4"/>
      <c r="D132" s="8"/>
      <c r="E132" s="6"/>
      <c r="F132" s="11"/>
      <c r="G132" s="17"/>
      <c r="H132" s="4"/>
      <c r="I132" s="4"/>
      <c r="J132" s="4"/>
      <c r="K132" s="21"/>
      <c r="L132" s="31"/>
      <c r="M132" s="72"/>
    </row>
    <row r="133" spans="2:18" ht="19.5" thickBot="1" x14ac:dyDescent="0.3">
      <c r="B133" s="14"/>
      <c r="C133" s="4"/>
      <c r="D133" s="8"/>
      <c r="E133" s="6"/>
      <c r="F133" s="11"/>
      <c r="G133" s="17"/>
      <c r="H133" s="4"/>
      <c r="I133" s="4"/>
      <c r="J133" s="4"/>
      <c r="K133" s="21"/>
      <c r="L133" s="31"/>
      <c r="M133" s="72"/>
    </row>
    <row r="134" spans="2:18" x14ac:dyDescent="0.25">
      <c r="B134" s="50" t="s">
        <v>367</v>
      </c>
      <c r="C134" s="51" t="s">
        <v>368</v>
      </c>
      <c r="D134" s="52" t="s">
        <v>369</v>
      </c>
      <c r="E134" s="53" t="s">
        <v>370</v>
      </c>
      <c r="F134" s="54" t="s">
        <v>371</v>
      </c>
      <c r="G134" s="55" t="s">
        <v>372</v>
      </c>
      <c r="H134" s="51" t="s">
        <v>373</v>
      </c>
      <c r="I134" s="51" t="s">
        <v>373</v>
      </c>
      <c r="J134" s="51" t="s">
        <v>373</v>
      </c>
      <c r="K134" s="56" t="s">
        <v>374</v>
      </c>
      <c r="L134" s="57" t="s">
        <v>375</v>
      </c>
      <c r="M134" s="68" t="s">
        <v>366</v>
      </c>
    </row>
    <row r="135" spans="2:18" ht="19.5" thickBot="1" x14ac:dyDescent="0.3">
      <c r="B135" s="58" t="s">
        <v>376</v>
      </c>
      <c r="C135" s="59" t="s">
        <v>377</v>
      </c>
      <c r="D135" s="60" t="s">
        <v>378</v>
      </c>
      <c r="E135" s="61" t="s">
        <v>379</v>
      </c>
      <c r="F135" s="62" t="s">
        <v>380</v>
      </c>
      <c r="G135" s="63"/>
      <c r="H135" s="64"/>
      <c r="I135" s="64"/>
      <c r="J135" s="64"/>
      <c r="K135" s="65"/>
      <c r="L135" s="66"/>
      <c r="M135" s="69"/>
    </row>
    <row r="136" spans="2:18" x14ac:dyDescent="0.25">
      <c r="B136" s="14"/>
      <c r="C136" s="3" t="s">
        <v>100</v>
      </c>
      <c r="D136" s="8"/>
      <c r="E136" s="6"/>
      <c r="F136" s="11"/>
      <c r="G136" s="17"/>
      <c r="H136" s="4"/>
      <c r="I136" s="4"/>
      <c r="J136" s="4"/>
      <c r="K136" s="21"/>
      <c r="L136" s="31"/>
      <c r="M136" s="72"/>
    </row>
    <row r="137" spans="2:18" x14ac:dyDescent="0.25">
      <c r="B137" s="14"/>
      <c r="C137" s="3" t="s">
        <v>101</v>
      </c>
      <c r="D137" s="8">
        <v>1</v>
      </c>
      <c r="E137" s="6">
        <v>1</v>
      </c>
      <c r="F137" s="11"/>
      <c r="G137" s="17" t="s">
        <v>36</v>
      </c>
      <c r="H137" s="4"/>
      <c r="I137" s="4" t="s">
        <v>5</v>
      </c>
      <c r="J137" s="4"/>
      <c r="K137" s="21" t="s">
        <v>3</v>
      </c>
      <c r="L137" s="31" t="s">
        <v>386</v>
      </c>
      <c r="M137" s="73" t="str">
        <f>CONCATENATE(O137,P137,Q137,R137)</f>
        <v>請確認是否符合 鋼筋比下限 規定</v>
      </c>
      <c r="O137" s="1" t="s">
        <v>383</v>
      </c>
      <c r="P137" s="1" t="str">
        <f>I137</f>
        <v>鋼筋比</v>
      </c>
      <c r="Q137" s="1" t="s">
        <v>142</v>
      </c>
      <c r="R137" s="1" t="s">
        <v>384</v>
      </c>
    </row>
    <row r="138" spans="2:18" x14ac:dyDescent="0.25">
      <c r="B138" s="14"/>
      <c r="C138" s="3" t="s">
        <v>102</v>
      </c>
      <c r="D138" s="8"/>
      <c r="E138" s="6">
        <v>1</v>
      </c>
      <c r="F138" s="11">
        <v>1</v>
      </c>
      <c r="G138" s="17" t="s">
        <v>36</v>
      </c>
      <c r="H138" s="4"/>
      <c r="I138" s="4" t="s">
        <v>5</v>
      </c>
      <c r="J138" s="4"/>
      <c r="K138" s="21" t="s">
        <v>4</v>
      </c>
      <c r="L138" s="31" t="s">
        <v>385</v>
      </c>
      <c r="M138" s="73" t="str">
        <f>CONCATENATE(O138,P138,Q138,R138)</f>
        <v>請確認是否符合 鋼筋比上限 規定</v>
      </c>
      <c r="O138" s="1" t="s">
        <v>383</v>
      </c>
      <c r="P138" s="1" t="str">
        <f>I138</f>
        <v>鋼筋比</v>
      </c>
      <c r="Q138" s="1" t="s">
        <v>144</v>
      </c>
      <c r="R138" s="1" t="s">
        <v>384</v>
      </c>
    </row>
    <row r="139" spans="2:18" x14ac:dyDescent="0.25">
      <c r="B139" s="14"/>
      <c r="C139" s="3" t="s">
        <v>103</v>
      </c>
      <c r="D139" s="8"/>
      <c r="E139" s="6"/>
      <c r="F139" s="11"/>
      <c r="G139" s="17"/>
      <c r="H139" s="4"/>
      <c r="I139" s="4"/>
      <c r="J139" s="4"/>
      <c r="K139" s="21"/>
      <c r="L139" s="31"/>
      <c r="M139" s="72"/>
    </row>
    <row r="140" spans="2:18" x14ac:dyDescent="0.25">
      <c r="B140" s="14"/>
      <c r="C140" s="3" t="s">
        <v>104</v>
      </c>
      <c r="D140" s="8">
        <v>1</v>
      </c>
      <c r="E140" s="6">
        <v>1</v>
      </c>
      <c r="F140" s="11"/>
      <c r="G140" s="17" t="s">
        <v>80</v>
      </c>
      <c r="H140" s="4"/>
      <c r="I140" s="4" t="s">
        <v>5</v>
      </c>
      <c r="J140" s="4"/>
      <c r="K140" s="21" t="s">
        <v>3</v>
      </c>
      <c r="L140" s="31" t="s">
        <v>386</v>
      </c>
      <c r="M140" s="73" t="str">
        <f>CONCATENATE(O140,P140,Q140,R140)</f>
        <v>請確認是否符合 鋼筋比下限 規定</v>
      </c>
      <c r="O140" s="1" t="s">
        <v>383</v>
      </c>
      <c r="P140" s="1" t="str">
        <f>I140</f>
        <v>鋼筋比</v>
      </c>
      <c r="Q140" s="1" t="s">
        <v>142</v>
      </c>
      <c r="R140" s="1" t="s">
        <v>384</v>
      </c>
    </row>
    <row r="141" spans="2:18" x14ac:dyDescent="0.25">
      <c r="B141" s="14"/>
      <c r="C141" s="3" t="s">
        <v>105</v>
      </c>
      <c r="D141" s="8"/>
      <c r="E141" s="6">
        <v>1</v>
      </c>
      <c r="F141" s="11">
        <v>1</v>
      </c>
      <c r="G141" s="17" t="s">
        <v>80</v>
      </c>
      <c r="H141" s="4"/>
      <c r="I141" s="4" t="s">
        <v>5</v>
      </c>
      <c r="J141" s="4"/>
      <c r="K141" s="21" t="s">
        <v>4</v>
      </c>
      <c r="L141" s="31" t="s">
        <v>385</v>
      </c>
      <c r="M141" s="73" t="str">
        <f>CONCATENATE(O141,P141,Q141,R141)</f>
        <v>請確認是否符合 鋼筋比上限 規定</v>
      </c>
      <c r="O141" s="1" t="s">
        <v>383</v>
      </c>
      <c r="P141" s="1" t="str">
        <f>I141</f>
        <v>鋼筋比</v>
      </c>
      <c r="Q141" s="1" t="s">
        <v>144</v>
      </c>
      <c r="R141" s="1" t="s">
        <v>384</v>
      </c>
    </row>
    <row r="142" spans="2:18" x14ac:dyDescent="0.25">
      <c r="B142" s="14"/>
      <c r="C142" s="3" t="s">
        <v>106</v>
      </c>
      <c r="D142" s="8"/>
      <c r="E142" s="6"/>
      <c r="F142" s="11"/>
      <c r="G142" s="17"/>
      <c r="H142" s="4"/>
      <c r="I142" s="4"/>
      <c r="J142" s="4"/>
      <c r="K142" s="21"/>
      <c r="L142" s="31"/>
      <c r="M142" s="72"/>
    </row>
    <row r="143" spans="2:18" x14ac:dyDescent="0.25">
      <c r="B143" s="14"/>
      <c r="C143" s="3" t="s">
        <v>107</v>
      </c>
      <c r="D143" s="8">
        <v>1</v>
      </c>
      <c r="E143" s="6">
        <v>1</v>
      </c>
      <c r="F143" s="11"/>
      <c r="G143" s="17" t="s">
        <v>36</v>
      </c>
      <c r="H143" s="4"/>
      <c r="I143" s="4" t="s">
        <v>12</v>
      </c>
      <c r="J143" s="4"/>
      <c r="K143" s="21"/>
      <c r="L143" s="31"/>
      <c r="M143" s="72"/>
    </row>
    <row r="144" spans="2:18" x14ac:dyDescent="0.25">
      <c r="B144" s="14"/>
      <c r="C144" s="3" t="s">
        <v>108</v>
      </c>
      <c r="D144" s="8"/>
      <c r="E144" s="6"/>
      <c r="F144" s="11"/>
      <c r="G144" s="17"/>
      <c r="H144" s="4"/>
      <c r="I144" s="4"/>
      <c r="J144" s="4"/>
      <c r="K144" s="21"/>
      <c r="L144" s="31"/>
      <c r="M144" s="72"/>
    </row>
    <row r="145" spans="2:18" x14ac:dyDescent="0.25">
      <c r="B145" s="14"/>
      <c r="C145" s="3" t="s">
        <v>109</v>
      </c>
      <c r="D145" s="8">
        <v>1</v>
      </c>
      <c r="E145" s="6">
        <v>1</v>
      </c>
      <c r="F145" s="11"/>
      <c r="G145" s="17" t="s">
        <v>80</v>
      </c>
      <c r="H145" s="4"/>
      <c r="I145" s="4" t="s">
        <v>12</v>
      </c>
      <c r="J145" s="4"/>
      <c r="K145" s="21"/>
      <c r="L145" s="31"/>
      <c r="M145" s="72"/>
    </row>
    <row r="146" spans="2:18" x14ac:dyDescent="0.25">
      <c r="B146" s="14"/>
      <c r="C146" s="3" t="s">
        <v>110</v>
      </c>
      <c r="D146" s="8"/>
      <c r="E146" s="6"/>
      <c r="F146" s="11"/>
      <c r="G146" s="17"/>
      <c r="H146" s="4"/>
      <c r="I146" s="4"/>
      <c r="J146" s="4"/>
      <c r="K146" s="21"/>
      <c r="L146" s="31"/>
      <c r="M146" s="72"/>
    </row>
    <row r="147" spans="2:18" ht="19.5" thickBot="1" x14ac:dyDescent="0.3">
      <c r="B147" s="33"/>
      <c r="C147" s="34"/>
      <c r="D147" s="35"/>
      <c r="E147" s="36"/>
      <c r="F147" s="37"/>
      <c r="G147" s="38"/>
      <c r="H147" s="34"/>
      <c r="I147" s="34"/>
      <c r="J147" s="34"/>
      <c r="K147" s="39"/>
      <c r="L147" s="40"/>
      <c r="M147" s="74"/>
    </row>
    <row r="148" spans="2:18" x14ac:dyDescent="0.25">
      <c r="B148" s="50" t="s">
        <v>24</v>
      </c>
      <c r="C148" s="51" t="s">
        <v>22</v>
      </c>
      <c r="D148" s="52" t="s">
        <v>138</v>
      </c>
      <c r="E148" s="53" t="s">
        <v>139</v>
      </c>
      <c r="F148" s="54" t="s">
        <v>140</v>
      </c>
      <c r="G148" s="55" t="s">
        <v>137</v>
      </c>
      <c r="H148" s="51" t="s">
        <v>23</v>
      </c>
      <c r="I148" s="51" t="s">
        <v>23</v>
      </c>
      <c r="J148" s="51" t="s">
        <v>23</v>
      </c>
      <c r="K148" s="56" t="s">
        <v>21</v>
      </c>
      <c r="L148" s="57" t="s">
        <v>25</v>
      </c>
      <c r="M148" s="68" t="s">
        <v>366</v>
      </c>
    </row>
    <row r="149" spans="2:18" ht="19.5" thickBot="1" x14ac:dyDescent="0.3">
      <c r="B149" s="58" t="s">
        <v>31</v>
      </c>
      <c r="C149" s="59" t="s">
        <v>114</v>
      </c>
      <c r="D149" s="60" t="s">
        <v>127</v>
      </c>
      <c r="E149" s="61" t="s">
        <v>128</v>
      </c>
      <c r="F149" s="62" t="s">
        <v>129</v>
      </c>
      <c r="G149" s="63"/>
      <c r="H149" s="64"/>
      <c r="I149" s="64"/>
      <c r="J149" s="64"/>
      <c r="K149" s="65"/>
      <c r="L149" s="66"/>
      <c r="M149" s="69"/>
    </row>
    <row r="150" spans="2:18" ht="17.25" customHeight="1" x14ac:dyDescent="0.25">
      <c r="B150" s="41"/>
      <c r="C150" s="42" t="s">
        <v>115</v>
      </c>
      <c r="D150" s="43"/>
      <c r="E150" s="44">
        <v>1</v>
      </c>
      <c r="F150" s="45"/>
      <c r="G150" s="46" t="s">
        <v>123</v>
      </c>
      <c r="H150" s="47"/>
      <c r="I150" s="47" t="s">
        <v>2</v>
      </c>
      <c r="J150" s="47"/>
      <c r="K150" s="48" t="s">
        <v>3</v>
      </c>
      <c r="L150" s="49" t="s">
        <v>125</v>
      </c>
      <c r="M150" s="73" t="str">
        <f>CONCATENATE(O150,P150,Q150,R150)</f>
        <v>請確認是否符合 間距下限 規定</v>
      </c>
      <c r="O150" s="1" t="s">
        <v>383</v>
      </c>
      <c r="P150" s="1" t="str">
        <f>I150</f>
        <v>間距</v>
      </c>
      <c r="Q150" s="1" t="s">
        <v>389</v>
      </c>
      <c r="R150" s="1" t="s">
        <v>384</v>
      </c>
    </row>
    <row r="151" spans="2:18" ht="17.25" customHeight="1" x14ac:dyDescent="0.25">
      <c r="B151" s="14"/>
      <c r="C151" s="3" t="s">
        <v>116</v>
      </c>
      <c r="D151" s="8">
        <v>1</v>
      </c>
      <c r="E151" s="6"/>
      <c r="F151" s="11"/>
      <c r="G151" s="17" t="s">
        <v>123</v>
      </c>
      <c r="H151" s="4"/>
      <c r="I151" s="4" t="s">
        <v>2</v>
      </c>
      <c r="J151" s="4"/>
      <c r="K151" s="21" t="s">
        <v>4</v>
      </c>
      <c r="L151" s="31" t="s">
        <v>130</v>
      </c>
      <c r="M151" s="73" t="str">
        <f>CONCATENATE(O151,P151,Q151,R151)</f>
        <v>請確認是否符合 間距上限 規定</v>
      </c>
      <c r="O151" s="1" t="s">
        <v>383</v>
      </c>
      <c r="P151" s="1" t="str">
        <f>I151</f>
        <v>間距</v>
      </c>
      <c r="Q151" s="1" t="s">
        <v>390</v>
      </c>
      <c r="R151" s="1" t="s">
        <v>384</v>
      </c>
    </row>
    <row r="152" spans="2:18" ht="17.25" customHeight="1" x14ac:dyDescent="0.25">
      <c r="B152" s="14"/>
      <c r="C152" s="3" t="s">
        <v>117</v>
      </c>
      <c r="D152" s="8"/>
      <c r="E152" s="6">
        <v>1</v>
      </c>
      <c r="F152" s="11"/>
      <c r="G152" s="17" t="s">
        <v>123</v>
      </c>
      <c r="H152" s="4"/>
      <c r="I152" s="4" t="s">
        <v>133</v>
      </c>
      <c r="J152" s="4"/>
      <c r="K152" s="21" t="s">
        <v>99</v>
      </c>
      <c r="L152" s="31" t="s">
        <v>124</v>
      </c>
      <c r="M152" s="73" t="str">
        <f>CONCATENATE(O152,P152,Q152)</f>
        <v>請確認 上層筋是否有斷筋</v>
      </c>
      <c r="O152" s="1" t="s">
        <v>410</v>
      </c>
      <c r="P152" s="1" t="str">
        <f>I152</f>
        <v>上層筋</v>
      </c>
      <c r="Q152" s="1" t="str">
        <f>K152</f>
        <v>是否有斷筋</v>
      </c>
    </row>
    <row r="153" spans="2:18" ht="17.25" customHeight="1" x14ac:dyDescent="0.25">
      <c r="B153" s="14"/>
      <c r="C153" s="3" t="s">
        <v>118</v>
      </c>
      <c r="D153" s="8"/>
      <c r="E153" s="6">
        <v>1</v>
      </c>
      <c r="F153" s="11"/>
      <c r="G153" s="17" t="s">
        <v>334</v>
      </c>
      <c r="H153" s="4"/>
      <c r="I153" s="4" t="s">
        <v>134</v>
      </c>
      <c r="J153" s="4"/>
      <c r="K153" s="21" t="s">
        <v>99</v>
      </c>
      <c r="L153" s="31" t="s">
        <v>124</v>
      </c>
      <c r="M153" s="73" t="str">
        <f>CONCATENATE(O153,P153,Q153)</f>
        <v>請確認 下層筋是否有斷筋</v>
      </c>
      <c r="O153" s="1" t="s">
        <v>410</v>
      </c>
      <c r="P153" s="1" t="str">
        <f>I153</f>
        <v>下層筋</v>
      </c>
      <c r="Q153" s="1" t="str">
        <f>K153</f>
        <v>是否有斷筋</v>
      </c>
    </row>
    <row r="154" spans="2:18" ht="17.25" customHeight="1" x14ac:dyDescent="0.25">
      <c r="B154" s="14"/>
      <c r="C154" s="3" t="s">
        <v>119</v>
      </c>
      <c r="D154" s="8"/>
      <c r="E154" s="6"/>
      <c r="F154" s="11"/>
      <c r="G154" s="17"/>
      <c r="H154" s="4"/>
      <c r="I154" s="4"/>
      <c r="J154" s="4"/>
      <c r="K154" s="21"/>
      <c r="L154" s="31"/>
      <c r="M154" s="72"/>
    </row>
    <row r="155" spans="2:18" ht="17.25" customHeight="1" x14ac:dyDescent="0.25">
      <c r="B155" s="14"/>
      <c r="C155" s="3" t="s">
        <v>120</v>
      </c>
      <c r="D155" s="8"/>
      <c r="E155" s="6"/>
      <c r="F155" s="11"/>
      <c r="G155" s="17" t="s">
        <v>33</v>
      </c>
      <c r="H155" s="4"/>
      <c r="I155" s="4" t="s">
        <v>132</v>
      </c>
      <c r="J155" s="4"/>
      <c r="K155" s="21" t="s">
        <v>3</v>
      </c>
      <c r="L155" s="31" t="s">
        <v>407</v>
      </c>
      <c r="M155" s="73" t="str">
        <f>CONCATENATE(O155,P155,Q155,R155)</f>
        <v>請確認 最小號數 規定</v>
      </c>
      <c r="O155" s="1" t="s">
        <v>410</v>
      </c>
      <c r="P155" s="1" t="str">
        <f>K155</f>
        <v>最小</v>
      </c>
      <c r="Q155" s="1" t="str">
        <f>I155</f>
        <v>號數</v>
      </c>
      <c r="R155" s="1" t="s">
        <v>384</v>
      </c>
    </row>
    <row r="156" spans="2:18" ht="17.25" customHeight="1" x14ac:dyDescent="0.25">
      <c r="B156" s="14"/>
      <c r="C156" s="3" t="s">
        <v>120</v>
      </c>
      <c r="D156" s="8"/>
      <c r="E156" s="6"/>
      <c r="F156" s="11"/>
      <c r="G156" s="17" t="s">
        <v>33</v>
      </c>
      <c r="H156" s="4"/>
      <c r="I156" s="4" t="s">
        <v>132</v>
      </c>
      <c r="J156" s="4"/>
      <c r="K156" s="21" t="s">
        <v>409</v>
      </c>
      <c r="L156" s="31" t="s">
        <v>408</v>
      </c>
      <c r="M156" s="73" t="str">
        <f>CONCATENATE(O156,P156,Q156,R156)</f>
        <v>請確認 最大號數 規定</v>
      </c>
      <c r="O156" s="1" t="s">
        <v>410</v>
      </c>
      <c r="P156" s="1" t="str">
        <f>K156</f>
        <v>最大</v>
      </c>
      <c r="Q156" s="1" t="str">
        <f>I156</f>
        <v>號數</v>
      </c>
      <c r="R156" s="1" t="s">
        <v>384</v>
      </c>
    </row>
    <row r="157" spans="2:18" ht="17.25" customHeight="1" x14ac:dyDescent="0.25">
      <c r="B157" s="14"/>
      <c r="C157" s="3" t="s">
        <v>121</v>
      </c>
      <c r="D157" s="8"/>
      <c r="E157" s="6">
        <v>1</v>
      </c>
      <c r="F157" s="11"/>
      <c r="G157" s="17" t="s">
        <v>33</v>
      </c>
      <c r="H157" s="4"/>
      <c r="I157" s="4" t="s">
        <v>2</v>
      </c>
      <c r="J157" s="4"/>
      <c r="K157" s="21" t="s">
        <v>3</v>
      </c>
      <c r="L157" s="31" t="s">
        <v>125</v>
      </c>
      <c r="M157" s="73" t="str">
        <f>CONCATENATE(O157,P157,Q157,R157)</f>
        <v>請確認是否符合 間距下限 規定</v>
      </c>
      <c r="O157" s="1" t="s">
        <v>383</v>
      </c>
      <c r="P157" s="1" t="str">
        <f>I157</f>
        <v>間距</v>
      </c>
      <c r="Q157" s="1" t="s">
        <v>142</v>
      </c>
      <c r="R157" s="1" t="s">
        <v>384</v>
      </c>
    </row>
    <row r="158" spans="2:18" ht="17.25" customHeight="1" x14ac:dyDescent="0.25">
      <c r="B158" s="14"/>
      <c r="C158" s="3" t="s">
        <v>135</v>
      </c>
      <c r="D158" s="8">
        <v>1</v>
      </c>
      <c r="E158" s="6"/>
      <c r="F158" s="11"/>
      <c r="G158" s="17" t="s">
        <v>33</v>
      </c>
      <c r="H158" s="4"/>
      <c r="I158" s="4" t="s">
        <v>2</v>
      </c>
      <c r="J158" s="4"/>
      <c r="K158" s="21" t="s">
        <v>4</v>
      </c>
      <c r="L158" s="31" t="s">
        <v>131</v>
      </c>
      <c r="M158" s="73" t="str">
        <f>CONCATENATE(O158,P158,Q158,R158)</f>
        <v>請確認是否符合 間距上限 規定</v>
      </c>
      <c r="O158" s="1" t="s">
        <v>383</v>
      </c>
      <c r="P158" s="1" t="str">
        <f>I158</f>
        <v>間距</v>
      </c>
      <c r="Q158" s="1" t="s">
        <v>144</v>
      </c>
      <c r="R158" s="1" t="s">
        <v>384</v>
      </c>
    </row>
    <row r="159" spans="2:18" ht="17.25" customHeight="1" x14ac:dyDescent="0.25">
      <c r="B159" s="14"/>
      <c r="C159" s="3" t="s">
        <v>136</v>
      </c>
      <c r="D159" s="8"/>
      <c r="E159" s="6">
        <v>1</v>
      </c>
      <c r="F159" s="11"/>
      <c r="G159" s="17" t="s">
        <v>33</v>
      </c>
      <c r="H159" s="4"/>
      <c r="I159" s="4" t="s">
        <v>133</v>
      </c>
      <c r="J159" s="4"/>
      <c r="K159" s="21" t="s">
        <v>99</v>
      </c>
      <c r="L159" s="31" t="s">
        <v>122</v>
      </c>
      <c r="M159" s="73" t="str">
        <f>CONCATENATE(O159,P159,Q159)</f>
        <v>請確認 上層筋是否有斷筋</v>
      </c>
      <c r="O159" s="1" t="s">
        <v>410</v>
      </c>
      <c r="P159" s="1" t="str">
        <f>I159</f>
        <v>上層筋</v>
      </c>
      <c r="Q159" s="1" t="str">
        <f>K159</f>
        <v>是否有斷筋</v>
      </c>
    </row>
    <row r="160" spans="2:18" ht="17.25" customHeight="1" x14ac:dyDescent="0.25">
      <c r="B160" s="14"/>
      <c r="C160" s="3" t="s">
        <v>121</v>
      </c>
      <c r="D160" s="8"/>
      <c r="E160" s="6">
        <v>1</v>
      </c>
      <c r="F160" s="11"/>
      <c r="G160" s="17" t="s">
        <v>33</v>
      </c>
      <c r="H160" s="4"/>
      <c r="I160" s="4" t="s">
        <v>134</v>
      </c>
      <c r="J160" s="4"/>
      <c r="K160" s="21" t="s">
        <v>99</v>
      </c>
      <c r="L160" s="31" t="s">
        <v>122</v>
      </c>
      <c r="M160" s="73" t="str">
        <f>CONCATENATE(O160,P160,Q160)</f>
        <v>請確認 下層筋是否有斷筋</v>
      </c>
      <c r="O160" s="1" t="s">
        <v>410</v>
      </c>
      <c r="P160" s="1" t="str">
        <f>I160</f>
        <v>下層筋</v>
      </c>
      <c r="Q160" s="1" t="str">
        <f>K160</f>
        <v>是否有斷筋</v>
      </c>
    </row>
    <row r="161" spans="2:18" ht="17.25" customHeight="1" thickBot="1" x14ac:dyDescent="0.3">
      <c r="B161" s="14"/>
      <c r="C161" s="4"/>
      <c r="D161" s="8"/>
      <c r="E161" s="6"/>
      <c r="F161" s="11"/>
      <c r="G161" s="17"/>
      <c r="H161" s="4"/>
      <c r="I161" s="4"/>
      <c r="J161" s="4"/>
      <c r="K161" s="21"/>
      <c r="L161" s="31"/>
      <c r="M161" s="72"/>
    </row>
    <row r="162" spans="2:18" x14ac:dyDescent="0.25">
      <c r="B162" s="50" t="s">
        <v>335</v>
      </c>
      <c r="C162" s="51" t="s">
        <v>336</v>
      </c>
      <c r="D162" s="52" t="s">
        <v>337</v>
      </c>
      <c r="E162" s="53" t="s">
        <v>338</v>
      </c>
      <c r="F162" s="54" t="s">
        <v>339</v>
      </c>
      <c r="G162" s="55" t="s">
        <v>340</v>
      </c>
      <c r="H162" s="51" t="s">
        <v>341</v>
      </c>
      <c r="I162" s="51" t="s">
        <v>341</v>
      </c>
      <c r="J162" s="51" t="s">
        <v>341</v>
      </c>
      <c r="K162" s="56" t="s">
        <v>342</v>
      </c>
      <c r="L162" s="57" t="s">
        <v>343</v>
      </c>
      <c r="M162" s="68" t="s">
        <v>366</v>
      </c>
    </row>
    <row r="163" spans="2:18" ht="19.5" thickBot="1" x14ac:dyDescent="0.3">
      <c r="B163" s="58" t="s">
        <v>344</v>
      </c>
      <c r="C163" s="59" t="s">
        <v>345</v>
      </c>
      <c r="D163" s="60" t="s">
        <v>346</v>
      </c>
      <c r="E163" s="61" t="s">
        <v>347</v>
      </c>
      <c r="F163" s="62" t="s">
        <v>348</v>
      </c>
      <c r="G163" s="63"/>
      <c r="H163" s="64"/>
      <c r="I163" s="64"/>
      <c r="J163" s="64"/>
      <c r="K163" s="65"/>
      <c r="L163" s="66"/>
      <c r="M163" s="69"/>
    </row>
    <row r="164" spans="2:18" x14ac:dyDescent="0.25">
      <c r="B164" s="14"/>
      <c r="C164" s="3" t="s">
        <v>151</v>
      </c>
      <c r="D164" s="8"/>
      <c r="E164" s="6"/>
      <c r="F164" s="11">
        <v>1</v>
      </c>
      <c r="G164" s="17" t="s">
        <v>37</v>
      </c>
      <c r="H164" s="4"/>
      <c r="I164" s="4" t="s">
        <v>2</v>
      </c>
      <c r="J164" s="4"/>
      <c r="K164" s="21" t="s">
        <v>3</v>
      </c>
      <c r="L164" s="30" t="s">
        <v>175</v>
      </c>
      <c r="M164" s="73" t="str">
        <f>CONCATENATE(O164,P164,Q164,R164)</f>
        <v>請確認是否符合 間距下限 規定</v>
      </c>
      <c r="O164" s="1" t="s">
        <v>383</v>
      </c>
      <c r="P164" s="1" t="str">
        <f>I164</f>
        <v>間距</v>
      </c>
      <c r="Q164" s="1" t="s">
        <v>142</v>
      </c>
      <c r="R164" s="1" t="s">
        <v>384</v>
      </c>
    </row>
    <row r="165" spans="2:18" x14ac:dyDescent="0.25">
      <c r="B165" s="14"/>
      <c r="C165" s="3" t="s">
        <v>171</v>
      </c>
      <c r="D165" s="8">
        <v>1</v>
      </c>
      <c r="E165" s="6"/>
      <c r="F165" s="11"/>
      <c r="G165" s="17" t="s">
        <v>37</v>
      </c>
      <c r="H165" s="4"/>
      <c r="I165" s="4" t="s">
        <v>2</v>
      </c>
      <c r="J165" s="4"/>
      <c r="K165" s="21" t="s">
        <v>4</v>
      </c>
      <c r="L165" s="30" t="s">
        <v>176</v>
      </c>
      <c r="M165" s="73" t="str">
        <f>CONCATENATE(O165,P165,Q165,R165)</f>
        <v>請確認是否符合 間距上限 規定</v>
      </c>
      <c r="O165" s="1" t="s">
        <v>383</v>
      </c>
      <c r="P165" s="1" t="str">
        <f>I165</f>
        <v>間距</v>
      </c>
      <c r="Q165" s="1" t="s">
        <v>144</v>
      </c>
      <c r="R165" s="1" t="s">
        <v>384</v>
      </c>
    </row>
    <row r="166" spans="2:18" x14ac:dyDescent="0.25">
      <c r="B166" s="14"/>
      <c r="C166" s="3" t="s">
        <v>172</v>
      </c>
      <c r="D166" s="8"/>
      <c r="E166" s="6"/>
      <c r="F166" s="11">
        <v>1</v>
      </c>
      <c r="G166" s="19" t="s">
        <v>38</v>
      </c>
      <c r="H166" s="4"/>
      <c r="I166" s="4" t="s">
        <v>2</v>
      </c>
      <c r="J166" s="4"/>
      <c r="K166" s="21" t="s">
        <v>3</v>
      </c>
      <c r="L166" s="30" t="s">
        <v>175</v>
      </c>
      <c r="M166" s="73" t="str">
        <f>CONCATENATE(O166,P166,Q166,R166)</f>
        <v>請確認是否符合 間距下限 規定</v>
      </c>
      <c r="O166" s="1" t="s">
        <v>383</v>
      </c>
      <c r="P166" s="1" t="str">
        <f>I166</f>
        <v>間距</v>
      </c>
      <c r="Q166" s="1" t="s">
        <v>142</v>
      </c>
      <c r="R166" s="1" t="s">
        <v>384</v>
      </c>
    </row>
    <row r="167" spans="2:18" x14ac:dyDescent="0.25">
      <c r="B167" s="14"/>
      <c r="C167" s="3" t="s">
        <v>173</v>
      </c>
      <c r="D167" s="8">
        <v>1</v>
      </c>
      <c r="E167" s="6"/>
      <c r="F167" s="11"/>
      <c r="G167" s="19" t="s">
        <v>38</v>
      </c>
      <c r="H167" s="4"/>
      <c r="I167" s="4" t="s">
        <v>2</v>
      </c>
      <c r="J167" s="4"/>
      <c r="K167" s="21" t="s">
        <v>4</v>
      </c>
      <c r="L167" s="30" t="s">
        <v>176</v>
      </c>
      <c r="M167" s="73" t="str">
        <f>CONCATENATE(O167,P167,Q167,R167)</f>
        <v>請確認是否符合 間距上限 規定</v>
      </c>
      <c r="O167" s="1" t="s">
        <v>383</v>
      </c>
      <c r="P167" s="1" t="str">
        <f>I167</f>
        <v>間距</v>
      </c>
      <c r="Q167" s="1" t="s">
        <v>144</v>
      </c>
      <c r="R167" s="1" t="s">
        <v>384</v>
      </c>
    </row>
    <row r="168" spans="2:18" x14ac:dyDescent="0.25">
      <c r="B168" s="14"/>
      <c r="C168" s="3" t="s">
        <v>174</v>
      </c>
      <c r="D168" s="8"/>
      <c r="E168" s="6">
        <v>1</v>
      </c>
      <c r="F168" s="11"/>
      <c r="G168" s="17" t="s">
        <v>37</v>
      </c>
      <c r="H168" s="4"/>
      <c r="I168" s="4" t="s">
        <v>6</v>
      </c>
      <c r="J168" s="4"/>
      <c r="K168" s="21" t="s">
        <v>169</v>
      </c>
      <c r="L168" s="30" t="s">
        <v>177</v>
      </c>
      <c r="M168" s="73" t="str">
        <f>CONCATENATE(O168,P168,Q168)</f>
        <v>請確認 上層筋是否有斷筋</v>
      </c>
      <c r="O168" s="1" t="s">
        <v>410</v>
      </c>
      <c r="P168" s="1" t="s">
        <v>326</v>
      </c>
      <c r="Q168" s="1" t="s">
        <v>411</v>
      </c>
    </row>
    <row r="169" spans="2:18" x14ac:dyDescent="0.25">
      <c r="B169" s="14"/>
      <c r="C169" s="3" t="s">
        <v>173</v>
      </c>
      <c r="D169" s="8"/>
      <c r="E169" s="6">
        <v>1</v>
      </c>
      <c r="F169" s="11"/>
      <c r="G169" s="19" t="s">
        <v>38</v>
      </c>
      <c r="H169" s="4"/>
      <c r="I169" s="4" t="s">
        <v>6</v>
      </c>
      <c r="J169" s="4"/>
      <c r="K169" s="21" t="s">
        <v>169</v>
      </c>
      <c r="L169" s="31" t="s">
        <v>170</v>
      </c>
      <c r="M169" s="73" t="str">
        <f>CONCATENATE(O169,P169,Q169)</f>
        <v>請確認 下層筋是否有斷筋</v>
      </c>
      <c r="O169" s="1" t="s">
        <v>410</v>
      </c>
      <c r="P169" s="1" t="s">
        <v>323</v>
      </c>
      <c r="Q169" s="1" t="s">
        <v>411</v>
      </c>
    </row>
    <row r="170" spans="2:18" ht="19.5" thickBot="1" x14ac:dyDescent="0.3">
      <c r="B170" s="14"/>
      <c r="C170" s="4"/>
      <c r="D170" s="8"/>
      <c r="E170" s="6"/>
      <c r="F170" s="11"/>
      <c r="G170" s="17"/>
      <c r="H170" s="4"/>
      <c r="I170" s="4"/>
      <c r="J170" s="4"/>
      <c r="K170" s="21"/>
      <c r="L170" s="31"/>
      <c r="M170" s="72"/>
    </row>
    <row r="171" spans="2:18" x14ac:dyDescent="0.25">
      <c r="B171" s="50" t="s">
        <v>335</v>
      </c>
      <c r="C171" s="51" t="s">
        <v>336</v>
      </c>
      <c r="D171" s="52" t="s">
        <v>337</v>
      </c>
      <c r="E171" s="53" t="s">
        <v>338</v>
      </c>
      <c r="F171" s="54" t="s">
        <v>339</v>
      </c>
      <c r="G171" s="55" t="s">
        <v>340</v>
      </c>
      <c r="H171" s="51" t="s">
        <v>341</v>
      </c>
      <c r="I171" s="51" t="s">
        <v>341</v>
      </c>
      <c r="J171" s="51" t="s">
        <v>341</v>
      </c>
      <c r="K171" s="56" t="s">
        <v>342</v>
      </c>
      <c r="L171" s="57" t="s">
        <v>343</v>
      </c>
      <c r="M171" s="68" t="s">
        <v>366</v>
      </c>
    </row>
    <row r="172" spans="2:18" ht="19.5" thickBot="1" x14ac:dyDescent="0.3">
      <c r="B172" s="58" t="s">
        <v>349</v>
      </c>
      <c r="C172" s="59" t="s">
        <v>350</v>
      </c>
      <c r="D172" s="60" t="s">
        <v>346</v>
      </c>
      <c r="E172" s="61" t="s">
        <v>347</v>
      </c>
      <c r="F172" s="62" t="s">
        <v>348</v>
      </c>
      <c r="G172" s="63"/>
      <c r="H172" s="64"/>
      <c r="I172" s="64"/>
      <c r="J172" s="64"/>
      <c r="K172" s="65"/>
      <c r="L172" s="66"/>
      <c r="M172" s="69"/>
    </row>
    <row r="173" spans="2:18" x14ac:dyDescent="0.25">
      <c r="B173" s="14"/>
      <c r="C173" s="3" t="s">
        <v>179</v>
      </c>
      <c r="D173" s="8"/>
      <c r="E173" s="6"/>
      <c r="F173" s="11">
        <v>1</v>
      </c>
      <c r="G173" s="17" t="s">
        <v>37</v>
      </c>
      <c r="H173" s="4"/>
      <c r="I173" s="4" t="s">
        <v>2</v>
      </c>
      <c r="J173" s="4"/>
      <c r="K173" s="21" t="s">
        <v>3</v>
      </c>
      <c r="L173" s="30" t="s">
        <v>189</v>
      </c>
      <c r="M173" s="73" t="str">
        <f>CONCATENATE(O173,P173,Q173,R173)</f>
        <v>請確認是否符合 間距下限 規定</v>
      </c>
      <c r="O173" s="1" t="s">
        <v>383</v>
      </c>
      <c r="P173" s="1" t="str">
        <f>I173</f>
        <v>間距</v>
      </c>
      <c r="Q173" s="1" t="s">
        <v>142</v>
      </c>
      <c r="R173" s="1" t="s">
        <v>384</v>
      </c>
    </row>
    <row r="174" spans="2:18" x14ac:dyDescent="0.25">
      <c r="B174" s="14"/>
      <c r="C174" s="3" t="s">
        <v>180</v>
      </c>
      <c r="D174" s="8">
        <v>1</v>
      </c>
      <c r="E174" s="6"/>
      <c r="F174" s="11"/>
      <c r="G174" s="17" t="s">
        <v>37</v>
      </c>
      <c r="H174" s="4"/>
      <c r="I174" s="4" t="s">
        <v>2</v>
      </c>
      <c r="J174" s="4"/>
      <c r="K174" s="21" t="s">
        <v>4</v>
      </c>
      <c r="L174" s="30" t="s">
        <v>176</v>
      </c>
      <c r="M174" s="73" t="str">
        <f>CONCATENATE(O174,P174,Q174,R174)</f>
        <v>請確認是否符合 間距上限 規定</v>
      </c>
      <c r="O174" s="1" t="s">
        <v>383</v>
      </c>
      <c r="P174" s="1" t="str">
        <f>I174</f>
        <v>間距</v>
      </c>
      <c r="Q174" s="1" t="s">
        <v>144</v>
      </c>
      <c r="R174" s="1" t="s">
        <v>384</v>
      </c>
    </row>
    <row r="175" spans="2:18" x14ac:dyDescent="0.25">
      <c r="B175" s="14"/>
      <c r="C175" s="3" t="s">
        <v>181</v>
      </c>
      <c r="D175" s="8"/>
      <c r="E175" s="6"/>
      <c r="F175" s="11"/>
      <c r="G175" s="17"/>
      <c r="H175" s="4"/>
      <c r="I175" s="4"/>
      <c r="J175" s="4"/>
      <c r="K175" s="21"/>
      <c r="L175" s="30"/>
      <c r="M175" s="71"/>
    </row>
    <row r="176" spans="2:18" x14ac:dyDescent="0.25">
      <c r="B176" s="14"/>
      <c r="C176" s="3" t="s">
        <v>182</v>
      </c>
      <c r="D176" s="8"/>
      <c r="E176" s="6"/>
      <c r="F176" s="11">
        <v>1</v>
      </c>
      <c r="G176" s="19" t="s">
        <v>38</v>
      </c>
      <c r="H176" s="4"/>
      <c r="I176" s="4" t="s">
        <v>2</v>
      </c>
      <c r="J176" s="4"/>
      <c r="K176" s="21" t="s">
        <v>3</v>
      </c>
      <c r="L176" s="30" t="s">
        <v>175</v>
      </c>
      <c r="M176" s="73" t="str">
        <f>CONCATENATE(O176,P176,Q176,R176)</f>
        <v>請確認是否符合 間距下限 規定</v>
      </c>
      <c r="O176" s="1" t="s">
        <v>383</v>
      </c>
      <c r="P176" s="1" t="str">
        <f>I176</f>
        <v>間距</v>
      </c>
      <c r="Q176" s="1" t="s">
        <v>142</v>
      </c>
      <c r="R176" s="1" t="s">
        <v>384</v>
      </c>
    </row>
    <row r="177" spans="2:19" x14ac:dyDescent="0.25">
      <c r="B177" s="14"/>
      <c r="C177" s="3" t="s">
        <v>183</v>
      </c>
      <c r="D177" s="8">
        <v>1</v>
      </c>
      <c r="E177" s="6"/>
      <c r="F177" s="11"/>
      <c r="G177" s="19" t="s">
        <v>38</v>
      </c>
      <c r="H177" s="4"/>
      <c r="I177" s="4" t="s">
        <v>2</v>
      </c>
      <c r="J177" s="4"/>
      <c r="K177" s="21" t="s">
        <v>4</v>
      </c>
      <c r="L177" s="30" t="s">
        <v>176</v>
      </c>
      <c r="M177" s="73" t="str">
        <f>CONCATENATE(O177,P177,Q177,R177)</f>
        <v>請確認是否符合 間距上限 規定</v>
      </c>
      <c r="O177" s="1" t="s">
        <v>383</v>
      </c>
      <c r="P177" s="1" t="str">
        <f>I177</f>
        <v>間距</v>
      </c>
      <c r="Q177" s="1" t="s">
        <v>144</v>
      </c>
      <c r="R177" s="1" t="s">
        <v>384</v>
      </c>
    </row>
    <row r="178" spans="2:19" x14ac:dyDescent="0.25">
      <c r="B178" s="14"/>
      <c r="C178" s="3" t="s">
        <v>184</v>
      </c>
      <c r="D178" s="8"/>
      <c r="E178" s="6"/>
      <c r="F178" s="11"/>
      <c r="G178" s="19"/>
      <c r="H178" s="4"/>
      <c r="I178" s="4"/>
      <c r="J178" s="4"/>
      <c r="K178" s="21"/>
      <c r="L178" s="30"/>
      <c r="M178" s="71"/>
    </row>
    <row r="179" spans="2:19" x14ac:dyDescent="0.25">
      <c r="B179" s="14"/>
      <c r="C179" s="3" t="s">
        <v>185</v>
      </c>
      <c r="D179" s="8"/>
      <c r="E179" s="6"/>
      <c r="F179" s="11">
        <v>1</v>
      </c>
      <c r="G179" s="19" t="s">
        <v>38</v>
      </c>
      <c r="H179" s="4"/>
      <c r="I179" s="4" t="s">
        <v>6</v>
      </c>
      <c r="J179" s="4"/>
      <c r="K179" s="21" t="s">
        <v>169</v>
      </c>
      <c r="L179" s="30" t="s">
        <v>178</v>
      </c>
      <c r="M179" s="73" t="str">
        <f>CONCATENATE(O179,P179,Q179)</f>
        <v>請確認 上層筋是否有斷筋</v>
      </c>
      <c r="O179" s="1" t="s">
        <v>410</v>
      </c>
      <c r="P179" s="1" t="s">
        <v>326</v>
      </c>
      <c r="Q179" s="1" t="s">
        <v>411</v>
      </c>
    </row>
    <row r="180" spans="2:19" x14ac:dyDescent="0.25">
      <c r="B180" s="14"/>
      <c r="C180" s="3" t="s">
        <v>186</v>
      </c>
      <c r="D180" s="8"/>
      <c r="E180" s="6"/>
      <c r="F180" s="11"/>
      <c r="G180" s="19"/>
      <c r="H180" s="4"/>
      <c r="I180" s="4"/>
      <c r="J180" s="4"/>
      <c r="K180" s="21"/>
      <c r="L180" s="30"/>
      <c r="M180" s="71"/>
    </row>
    <row r="181" spans="2:19" x14ac:dyDescent="0.25">
      <c r="B181" s="14"/>
      <c r="C181" s="3" t="s">
        <v>187</v>
      </c>
      <c r="D181" s="8"/>
      <c r="E181" s="6">
        <v>1</v>
      </c>
      <c r="F181" s="11">
        <v>1</v>
      </c>
      <c r="G181" s="17" t="s">
        <v>37</v>
      </c>
      <c r="H181" s="4"/>
      <c r="I181" s="4" t="s">
        <v>190</v>
      </c>
      <c r="J181" s="4"/>
      <c r="K181" s="21" t="s">
        <v>191</v>
      </c>
      <c r="L181" s="30" t="s">
        <v>189</v>
      </c>
      <c r="M181" s="71"/>
    </row>
    <row r="182" spans="2:19" x14ac:dyDescent="0.25">
      <c r="B182" s="14"/>
      <c r="C182" s="3" t="s">
        <v>188</v>
      </c>
      <c r="D182" s="8"/>
      <c r="E182" s="6"/>
      <c r="F182" s="11"/>
      <c r="G182" s="17"/>
      <c r="H182" s="4"/>
      <c r="I182" s="4"/>
      <c r="J182" s="4"/>
      <c r="K182" s="21"/>
      <c r="L182" s="30"/>
      <c r="M182" s="71"/>
    </row>
    <row r="183" spans="2:19" ht="19.5" thickBot="1" x14ac:dyDescent="0.3">
      <c r="B183" s="14"/>
      <c r="C183" s="4"/>
      <c r="D183" s="8"/>
      <c r="E183" s="6"/>
      <c r="F183" s="11"/>
      <c r="G183" s="17"/>
      <c r="H183" s="4"/>
      <c r="I183" s="4"/>
      <c r="J183" s="4"/>
      <c r="K183" s="21"/>
      <c r="L183" s="31"/>
      <c r="M183" s="72"/>
    </row>
    <row r="184" spans="2:19" x14ac:dyDescent="0.25">
      <c r="B184" s="50" t="s">
        <v>335</v>
      </c>
      <c r="C184" s="51" t="s">
        <v>336</v>
      </c>
      <c r="D184" s="52" t="s">
        <v>351</v>
      </c>
      <c r="E184" s="53" t="s">
        <v>351</v>
      </c>
      <c r="F184" s="54" t="s">
        <v>351</v>
      </c>
      <c r="G184" s="55" t="s">
        <v>340</v>
      </c>
      <c r="H184" s="51" t="s">
        <v>341</v>
      </c>
      <c r="I184" s="51" t="s">
        <v>341</v>
      </c>
      <c r="J184" s="51" t="s">
        <v>341</v>
      </c>
      <c r="K184" s="56" t="s">
        <v>342</v>
      </c>
      <c r="L184" s="57" t="s">
        <v>343</v>
      </c>
      <c r="M184" s="68" t="s">
        <v>366</v>
      </c>
    </row>
    <row r="185" spans="2:19" ht="19.5" thickBot="1" x14ac:dyDescent="0.3">
      <c r="B185" s="58" t="s">
        <v>352</v>
      </c>
      <c r="C185" s="59" t="s">
        <v>353</v>
      </c>
      <c r="D185" s="60" t="s">
        <v>346</v>
      </c>
      <c r="E185" s="61" t="s">
        <v>347</v>
      </c>
      <c r="F185" s="62" t="s">
        <v>348</v>
      </c>
      <c r="G185" s="63"/>
      <c r="H185" s="64"/>
      <c r="I185" s="64"/>
      <c r="J185" s="64"/>
      <c r="K185" s="65"/>
      <c r="L185" s="66"/>
      <c r="M185" s="69"/>
    </row>
    <row r="186" spans="2:19" x14ac:dyDescent="0.25">
      <c r="B186" s="14"/>
      <c r="C186" s="3" t="s">
        <v>234</v>
      </c>
      <c r="D186" s="8">
        <v>1</v>
      </c>
      <c r="E186" s="6"/>
      <c r="F186" s="11"/>
      <c r="G186" s="17" t="s">
        <v>243</v>
      </c>
      <c r="H186" s="4" t="s">
        <v>233</v>
      </c>
      <c r="I186" s="4" t="s">
        <v>232</v>
      </c>
      <c r="J186" s="4" t="s">
        <v>240</v>
      </c>
      <c r="K186" s="21" t="s">
        <v>3</v>
      </c>
      <c r="L186" s="30" t="s">
        <v>241</v>
      </c>
      <c r="M186" s="73" t="str">
        <f>CONCATENATE(O186,P186,Q186,R186,S186)</f>
        <v>請確認是否符合 水平筋間距下限 規定</v>
      </c>
      <c r="O186" s="1" t="s">
        <v>383</v>
      </c>
      <c r="P186" s="1" t="str">
        <f>I186</f>
        <v>水平筋</v>
      </c>
      <c r="Q186" s="1" t="s">
        <v>412</v>
      </c>
      <c r="R186" s="1" t="s">
        <v>142</v>
      </c>
      <c r="S186" s="1" t="s">
        <v>384</v>
      </c>
    </row>
    <row r="187" spans="2:19" x14ac:dyDescent="0.25">
      <c r="B187" s="14"/>
      <c r="C187" s="3" t="s">
        <v>235</v>
      </c>
      <c r="D187" s="8">
        <v>1</v>
      </c>
      <c r="E187" s="6"/>
      <c r="F187" s="11"/>
      <c r="G187" s="17" t="s">
        <v>243</v>
      </c>
      <c r="H187" s="15" t="s">
        <v>239</v>
      </c>
      <c r="I187" s="4" t="s">
        <v>0</v>
      </c>
      <c r="J187" s="4" t="s">
        <v>240</v>
      </c>
      <c r="K187" s="21" t="s">
        <v>3</v>
      </c>
      <c r="L187" s="30" t="s">
        <v>241</v>
      </c>
      <c r="M187" s="73" t="str">
        <f>CONCATENATE(O187,P187,Q187,R187,S187)</f>
        <v>請確認是否符合 水平筋間距下限 規定</v>
      </c>
      <c r="O187" s="1" t="s">
        <v>383</v>
      </c>
      <c r="P187" s="1" t="str">
        <f>I187</f>
        <v>水平筋</v>
      </c>
      <c r="Q187" s="1" t="s">
        <v>412</v>
      </c>
      <c r="R187" s="1" t="s">
        <v>142</v>
      </c>
      <c r="S187" s="1" t="s">
        <v>384</v>
      </c>
    </row>
    <row r="188" spans="2:19" x14ac:dyDescent="0.25">
      <c r="B188" s="14"/>
      <c r="C188" s="3" t="s">
        <v>236</v>
      </c>
      <c r="D188" s="8"/>
      <c r="E188" s="6">
        <v>1</v>
      </c>
      <c r="F188" s="11">
        <v>1</v>
      </c>
      <c r="G188" s="17" t="s">
        <v>243</v>
      </c>
      <c r="H188" s="4" t="s">
        <v>242</v>
      </c>
      <c r="I188" s="4" t="s">
        <v>232</v>
      </c>
      <c r="J188" s="4" t="s">
        <v>240</v>
      </c>
      <c r="K188" s="21" t="s">
        <v>4</v>
      </c>
      <c r="L188" s="31" t="s">
        <v>150</v>
      </c>
      <c r="M188" s="73" t="str">
        <f>CONCATENATE(O188,P188,Q188,R188,S188)</f>
        <v>請確認是否符合 水平筋間距上限 規定</v>
      </c>
      <c r="O188" s="1" t="s">
        <v>383</v>
      </c>
      <c r="P188" s="1" t="str">
        <f>I188</f>
        <v>水平筋</v>
      </c>
      <c r="Q188" s="1" t="s">
        <v>412</v>
      </c>
      <c r="R188" s="1" t="s">
        <v>144</v>
      </c>
      <c r="S188" s="1" t="s">
        <v>384</v>
      </c>
    </row>
    <row r="189" spans="2:19" x14ac:dyDescent="0.25">
      <c r="B189" s="14"/>
      <c r="C189" s="3" t="s">
        <v>237</v>
      </c>
      <c r="D189" s="8"/>
      <c r="E189" s="6">
        <v>1</v>
      </c>
      <c r="F189" s="11">
        <v>1</v>
      </c>
      <c r="G189" s="17" t="s">
        <v>243</v>
      </c>
      <c r="H189" s="15" t="s">
        <v>239</v>
      </c>
      <c r="I189" s="4" t="s">
        <v>0</v>
      </c>
      <c r="J189" s="4" t="s">
        <v>240</v>
      </c>
      <c r="K189" s="21" t="s">
        <v>4</v>
      </c>
      <c r="L189" s="31" t="s">
        <v>150</v>
      </c>
      <c r="M189" s="73" t="str">
        <f>CONCATENATE(O189,P189,Q189,R189,S189)</f>
        <v>請確認是否符合 水平筋間距上限 規定</v>
      </c>
      <c r="O189" s="1" t="s">
        <v>383</v>
      </c>
      <c r="P189" s="1" t="str">
        <f>I189</f>
        <v>水平筋</v>
      </c>
      <c r="Q189" s="1" t="s">
        <v>412</v>
      </c>
      <c r="R189" s="1" t="s">
        <v>144</v>
      </c>
      <c r="S189" s="1" t="s">
        <v>384</v>
      </c>
    </row>
    <row r="190" spans="2:19" x14ac:dyDescent="0.25">
      <c r="B190" s="14"/>
      <c r="C190" s="3" t="s">
        <v>238</v>
      </c>
      <c r="D190" s="8"/>
      <c r="E190" s="6">
        <v>1</v>
      </c>
      <c r="F190" s="11"/>
      <c r="G190" s="17" t="s">
        <v>243</v>
      </c>
      <c r="H190" s="4" t="s">
        <v>233</v>
      </c>
      <c r="I190" s="4" t="s">
        <v>1</v>
      </c>
      <c r="J190" s="4" t="s">
        <v>240</v>
      </c>
      <c r="K190" s="21" t="s">
        <v>99</v>
      </c>
      <c r="L190" s="31" t="s">
        <v>276</v>
      </c>
      <c r="M190" s="73" t="str">
        <f>CONCATENATE(O190,P190,Q190,R190)</f>
        <v>請確認 外側垂直筋是否有斷筋</v>
      </c>
      <c r="O190" s="1" t="s">
        <v>410</v>
      </c>
      <c r="P190" s="1" t="str">
        <f>H190</f>
        <v>外側</v>
      </c>
      <c r="Q190" s="1" t="str">
        <f>I190</f>
        <v>垂直筋</v>
      </c>
      <c r="R190" s="1" t="s">
        <v>411</v>
      </c>
    </row>
    <row r="191" spans="2:19" x14ac:dyDescent="0.25">
      <c r="B191" s="14"/>
      <c r="C191" s="3" t="s">
        <v>244</v>
      </c>
      <c r="D191" s="8"/>
      <c r="E191" s="6">
        <v>1</v>
      </c>
      <c r="F191" s="11"/>
      <c r="G191" s="17" t="s">
        <v>243</v>
      </c>
      <c r="H191" s="15" t="s">
        <v>239</v>
      </c>
      <c r="I191" s="4" t="s">
        <v>1</v>
      </c>
      <c r="J191" s="4" t="s">
        <v>240</v>
      </c>
      <c r="K191" s="21" t="s">
        <v>99</v>
      </c>
      <c r="L191" s="31" t="s">
        <v>276</v>
      </c>
      <c r="M191" s="73" t="str">
        <f>CONCATENATE(O191,P191,Q191,R191)</f>
        <v>請確認 內側垂直筋是否有斷筋</v>
      </c>
      <c r="O191" s="1" t="s">
        <v>410</v>
      </c>
      <c r="P191" s="1" t="str">
        <f>H191</f>
        <v>內側</v>
      </c>
      <c r="Q191" s="1" t="str">
        <f>I191</f>
        <v>垂直筋</v>
      </c>
      <c r="R191" s="1" t="s">
        <v>411</v>
      </c>
    </row>
    <row r="192" spans="2:19" ht="19.5" thickBot="1" x14ac:dyDescent="0.3">
      <c r="B192" s="14"/>
      <c r="C192" s="4"/>
      <c r="D192" s="8"/>
      <c r="E192" s="6"/>
      <c r="F192" s="11"/>
      <c r="G192" s="17"/>
      <c r="H192" s="4"/>
      <c r="I192" s="4"/>
      <c r="J192" s="4"/>
      <c r="K192" s="21"/>
      <c r="L192" s="31"/>
      <c r="M192" s="72"/>
    </row>
    <row r="193" spans="2:19" x14ac:dyDescent="0.25">
      <c r="B193" s="50" t="s">
        <v>335</v>
      </c>
      <c r="C193" s="51" t="s">
        <v>336</v>
      </c>
      <c r="D193" s="52" t="s">
        <v>351</v>
      </c>
      <c r="E193" s="53" t="s">
        <v>351</v>
      </c>
      <c r="F193" s="54" t="s">
        <v>351</v>
      </c>
      <c r="G193" s="55" t="s">
        <v>340</v>
      </c>
      <c r="H193" s="51" t="s">
        <v>341</v>
      </c>
      <c r="I193" s="51" t="s">
        <v>341</v>
      </c>
      <c r="J193" s="51" t="s">
        <v>341</v>
      </c>
      <c r="K193" s="56" t="s">
        <v>342</v>
      </c>
      <c r="L193" s="57" t="s">
        <v>343</v>
      </c>
      <c r="M193" s="68" t="s">
        <v>366</v>
      </c>
    </row>
    <row r="194" spans="2:19" ht="19.5" thickBot="1" x14ac:dyDescent="0.3">
      <c r="B194" s="58" t="s">
        <v>354</v>
      </c>
      <c r="C194" s="59" t="s">
        <v>355</v>
      </c>
      <c r="D194" s="60" t="s">
        <v>346</v>
      </c>
      <c r="E194" s="61" t="s">
        <v>347</v>
      </c>
      <c r="F194" s="62" t="s">
        <v>348</v>
      </c>
      <c r="G194" s="63"/>
      <c r="H194" s="64"/>
      <c r="I194" s="64"/>
      <c r="J194" s="64"/>
      <c r="K194" s="65"/>
      <c r="L194" s="66"/>
      <c r="M194" s="69"/>
    </row>
    <row r="195" spans="2:19" x14ac:dyDescent="0.25">
      <c r="B195" s="14"/>
      <c r="C195" s="3" t="s">
        <v>251</v>
      </c>
      <c r="D195" s="8">
        <v>1</v>
      </c>
      <c r="E195" s="6"/>
      <c r="F195" s="11"/>
      <c r="G195" s="17" t="s">
        <v>232</v>
      </c>
      <c r="H195" s="4"/>
      <c r="I195" s="4" t="s">
        <v>232</v>
      </c>
      <c r="J195" s="4" t="s">
        <v>240</v>
      </c>
      <c r="K195" s="21" t="s">
        <v>3</v>
      </c>
      <c r="L195" s="30" t="s">
        <v>249</v>
      </c>
      <c r="M195" s="73" t="str">
        <f>CONCATENATE(O195,P195,Q195,R195,S195)</f>
        <v>請確認是否符合 水平筋間距下限 規定</v>
      </c>
      <c r="O195" s="1" t="s">
        <v>383</v>
      </c>
      <c r="P195" s="1" t="str">
        <f>I195</f>
        <v>水平筋</v>
      </c>
      <c r="Q195" s="1" t="s">
        <v>412</v>
      </c>
      <c r="R195" s="1" t="s">
        <v>142</v>
      </c>
      <c r="S195" s="1" t="s">
        <v>384</v>
      </c>
    </row>
    <row r="196" spans="2:19" x14ac:dyDescent="0.25">
      <c r="B196" s="14"/>
      <c r="C196" s="3" t="s">
        <v>252</v>
      </c>
      <c r="D196" s="8"/>
      <c r="E196" s="6">
        <v>1</v>
      </c>
      <c r="F196" s="11">
        <v>1</v>
      </c>
      <c r="G196" s="17" t="s">
        <v>1</v>
      </c>
      <c r="H196" s="4"/>
      <c r="I196" s="4" t="s">
        <v>232</v>
      </c>
      <c r="J196" s="4" t="s">
        <v>240</v>
      </c>
      <c r="K196" s="21" t="s">
        <v>4</v>
      </c>
      <c r="L196" s="31" t="s">
        <v>150</v>
      </c>
      <c r="M196" s="73" t="str">
        <f>CONCATENATE(O196,P196,Q196,R196,S196)</f>
        <v>請確認是否符合 水平筋間距下限 規定</v>
      </c>
      <c r="O196" s="1" t="s">
        <v>383</v>
      </c>
      <c r="P196" s="1" t="str">
        <f>I196</f>
        <v>水平筋</v>
      </c>
      <c r="Q196" s="1" t="s">
        <v>412</v>
      </c>
      <c r="R196" s="1" t="s">
        <v>142</v>
      </c>
      <c r="S196" s="1" t="s">
        <v>384</v>
      </c>
    </row>
    <row r="197" spans="2:19" x14ac:dyDescent="0.25">
      <c r="B197" s="14"/>
      <c r="C197" s="3" t="s">
        <v>245</v>
      </c>
      <c r="D197" s="8">
        <v>1</v>
      </c>
      <c r="E197" s="6"/>
      <c r="F197" s="11"/>
      <c r="G197" s="17" t="s">
        <v>0</v>
      </c>
      <c r="H197" s="4"/>
      <c r="I197" s="4" t="s">
        <v>1</v>
      </c>
      <c r="J197" s="4" t="s">
        <v>240</v>
      </c>
      <c r="K197" s="21" t="s">
        <v>3</v>
      </c>
      <c r="L197" s="30" t="s">
        <v>249</v>
      </c>
      <c r="M197" s="73" t="str">
        <f>CONCATENATE(O197,P197,Q197,R197,S197)</f>
        <v>請確認是否符合 垂直筋間距下限 規定</v>
      </c>
      <c r="O197" s="1" t="s">
        <v>383</v>
      </c>
      <c r="P197" s="1" t="str">
        <f>I197</f>
        <v>垂直筋</v>
      </c>
      <c r="Q197" s="1" t="s">
        <v>412</v>
      </c>
      <c r="R197" s="1" t="s">
        <v>142</v>
      </c>
      <c r="S197" s="1" t="s">
        <v>384</v>
      </c>
    </row>
    <row r="198" spans="2:19" x14ac:dyDescent="0.25">
      <c r="B198" s="14"/>
      <c r="C198" s="3" t="s">
        <v>246</v>
      </c>
      <c r="D198" s="8"/>
      <c r="E198" s="6">
        <v>1</v>
      </c>
      <c r="F198" s="11">
        <v>1</v>
      </c>
      <c r="G198" s="17" t="s">
        <v>1</v>
      </c>
      <c r="H198" s="4"/>
      <c r="I198" s="4" t="s">
        <v>1</v>
      </c>
      <c r="J198" s="4" t="s">
        <v>240</v>
      </c>
      <c r="K198" s="21" t="s">
        <v>4</v>
      </c>
      <c r="L198" s="31" t="s">
        <v>150</v>
      </c>
      <c r="M198" s="73" t="str">
        <f>CONCATENATE(O198,P198,Q198,R198,S198)</f>
        <v>請確認是否符合 垂直筋間距下限 規定</v>
      </c>
      <c r="O198" s="1" t="s">
        <v>383</v>
      </c>
      <c r="P198" s="1" t="str">
        <f>I198</f>
        <v>垂直筋</v>
      </c>
      <c r="Q198" s="1" t="s">
        <v>412</v>
      </c>
      <c r="R198" s="1" t="s">
        <v>142</v>
      </c>
      <c r="S198" s="1" t="s">
        <v>384</v>
      </c>
    </row>
    <row r="199" spans="2:19" x14ac:dyDescent="0.25">
      <c r="B199" s="14"/>
      <c r="C199" s="3" t="s">
        <v>247</v>
      </c>
      <c r="D199" s="8"/>
      <c r="E199" s="6"/>
      <c r="F199" s="11"/>
      <c r="G199" s="17"/>
      <c r="H199" s="4"/>
      <c r="I199" s="4"/>
      <c r="J199" s="4"/>
      <c r="K199" s="21"/>
      <c r="L199" s="31"/>
      <c r="M199" s="72"/>
    </row>
    <row r="200" spans="2:19" x14ac:dyDescent="0.25">
      <c r="B200" s="14"/>
      <c r="C200" s="3" t="s">
        <v>248</v>
      </c>
      <c r="D200" s="8">
        <v>1</v>
      </c>
      <c r="E200" s="6"/>
      <c r="F200" s="11"/>
      <c r="G200" s="17" t="s">
        <v>261</v>
      </c>
      <c r="H200" s="4" t="s">
        <v>266</v>
      </c>
      <c r="I200" s="4"/>
      <c r="J200" s="4"/>
      <c r="K200" s="21" t="s">
        <v>3</v>
      </c>
      <c r="L200" s="30" t="s">
        <v>267</v>
      </c>
      <c r="M200" s="73" t="str">
        <f>CONCATENATE(O200,P200,Q200,R200,S200)</f>
        <v>請確認 拐頭主筋量下限 規定</v>
      </c>
      <c r="O200" s="1" t="s">
        <v>410</v>
      </c>
      <c r="P200" s="1" t="str">
        <f>G200</f>
        <v>拐頭</v>
      </c>
      <c r="Q200" s="1" t="str">
        <f>H200</f>
        <v>主筋量</v>
      </c>
      <c r="R200" s="1" t="s">
        <v>142</v>
      </c>
      <c r="S200" s="1" t="s">
        <v>384</v>
      </c>
    </row>
    <row r="201" spans="2:19" x14ac:dyDescent="0.25">
      <c r="B201" s="14"/>
      <c r="C201" s="3" t="s">
        <v>262</v>
      </c>
      <c r="D201" s="8"/>
      <c r="E201" s="6">
        <v>1</v>
      </c>
      <c r="F201" s="11">
        <v>1</v>
      </c>
      <c r="G201" s="17" t="s">
        <v>261</v>
      </c>
      <c r="H201" s="4" t="s">
        <v>266</v>
      </c>
      <c r="I201" s="4"/>
      <c r="J201" s="4"/>
      <c r="K201" s="21" t="s">
        <v>4</v>
      </c>
      <c r="L201" s="30" t="s">
        <v>268</v>
      </c>
      <c r="M201" s="73" t="str">
        <f>CONCATENATE(O201,P201,Q201,R201,S201)</f>
        <v>請確認 拐頭主筋量上限 規定</v>
      </c>
      <c r="O201" s="1" t="s">
        <v>410</v>
      </c>
      <c r="P201" s="1" t="str">
        <f>G201</f>
        <v>拐頭</v>
      </c>
      <c r="Q201" s="1" t="str">
        <f>H201</f>
        <v>主筋量</v>
      </c>
      <c r="R201" s="1" t="s">
        <v>144</v>
      </c>
      <c r="S201" s="1" t="s">
        <v>384</v>
      </c>
    </row>
    <row r="202" spans="2:19" x14ac:dyDescent="0.25">
      <c r="B202" s="14"/>
      <c r="C202" s="3" t="s">
        <v>263</v>
      </c>
      <c r="D202" s="8"/>
      <c r="E202" s="6"/>
      <c r="F202" s="11"/>
      <c r="G202" s="17"/>
      <c r="H202" s="4"/>
      <c r="I202" s="4"/>
      <c r="J202" s="4"/>
      <c r="K202" s="21"/>
      <c r="L202" s="31"/>
      <c r="M202" s="72"/>
    </row>
    <row r="203" spans="2:19" x14ac:dyDescent="0.25">
      <c r="B203" s="14"/>
      <c r="C203" s="3" t="s">
        <v>264</v>
      </c>
      <c r="D203" s="8"/>
      <c r="E203" s="6"/>
      <c r="F203" s="11"/>
      <c r="G203" s="17"/>
      <c r="H203" s="4"/>
      <c r="I203" s="4"/>
      <c r="J203" s="4"/>
      <c r="K203" s="21"/>
      <c r="L203" s="31"/>
      <c r="M203" s="72"/>
    </row>
    <row r="204" spans="2:19" x14ac:dyDescent="0.25">
      <c r="B204" s="14"/>
      <c r="C204" s="3" t="s">
        <v>265</v>
      </c>
      <c r="D204" s="8"/>
      <c r="E204" s="6"/>
      <c r="F204" s="11"/>
      <c r="G204" s="17"/>
      <c r="H204" s="4"/>
      <c r="I204" s="4"/>
      <c r="J204" s="4"/>
      <c r="K204" s="21"/>
      <c r="L204" s="31"/>
      <c r="M204" s="72"/>
    </row>
    <row r="205" spans="2:19" ht="19.5" thickBot="1" x14ac:dyDescent="0.3">
      <c r="B205" s="14"/>
      <c r="C205" s="3"/>
      <c r="D205" s="8"/>
      <c r="E205" s="6"/>
      <c r="F205" s="11"/>
      <c r="G205" s="17"/>
      <c r="H205" s="4"/>
      <c r="I205" s="4"/>
      <c r="J205" s="4"/>
      <c r="K205" s="21"/>
      <c r="L205" s="31"/>
      <c r="M205" s="72"/>
    </row>
    <row r="206" spans="2:19" x14ac:dyDescent="0.25">
      <c r="B206" s="50" t="s">
        <v>335</v>
      </c>
      <c r="C206" s="51" t="s">
        <v>336</v>
      </c>
      <c r="D206" s="52" t="s">
        <v>351</v>
      </c>
      <c r="E206" s="53" t="s">
        <v>351</v>
      </c>
      <c r="F206" s="54" t="s">
        <v>351</v>
      </c>
      <c r="G206" s="55" t="s">
        <v>340</v>
      </c>
      <c r="H206" s="51" t="s">
        <v>341</v>
      </c>
      <c r="I206" s="51" t="s">
        <v>341</v>
      </c>
      <c r="J206" s="51" t="s">
        <v>341</v>
      </c>
      <c r="K206" s="56" t="s">
        <v>342</v>
      </c>
      <c r="L206" s="57" t="s">
        <v>343</v>
      </c>
      <c r="M206" s="68" t="s">
        <v>366</v>
      </c>
    </row>
    <row r="207" spans="2:19" ht="19.5" thickBot="1" x14ac:dyDescent="0.3">
      <c r="B207" s="58" t="s">
        <v>356</v>
      </c>
      <c r="C207" s="59" t="s">
        <v>357</v>
      </c>
      <c r="D207" s="60" t="s">
        <v>346</v>
      </c>
      <c r="E207" s="61" t="s">
        <v>347</v>
      </c>
      <c r="F207" s="62" t="s">
        <v>348</v>
      </c>
      <c r="G207" s="63"/>
      <c r="H207" s="64"/>
      <c r="I207" s="64"/>
      <c r="J207" s="64"/>
      <c r="K207" s="65"/>
      <c r="L207" s="66"/>
      <c r="M207" s="69"/>
    </row>
    <row r="208" spans="2:19" x14ac:dyDescent="0.25">
      <c r="B208" s="14"/>
      <c r="C208" s="3" t="s">
        <v>250</v>
      </c>
      <c r="D208" s="8">
        <v>1</v>
      </c>
      <c r="E208" s="6"/>
      <c r="F208" s="11"/>
      <c r="G208" s="17" t="s">
        <v>111</v>
      </c>
      <c r="H208" s="4"/>
      <c r="I208" s="4"/>
      <c r="J208" s="4"/>
      <c r="K208" s="21" t="s">
        <v>112</v>
      </c>
      <c r="L208" s="31" t="s">
        <v>260</v>
      </c>
      <c r="M208" s="73" t="str">
        <f>CONCATENATE(O208,P208,Q208,R208)</f>
        <v>請確認 厚度與開挖深度比例 規定</v>
      </c>
      <c r="O208" s="1" t="s">
        <v>410</v>
      </c>
      <c r="P208" s="1" t="str">
        <f>G208</f>
        <v>厚度</v>
      </c>
      <c r="Q208" s="1" t="str">
        <f>K208</f>
        <v>與開挖深度比例</v>
      </c>
      <c r="R208" s="1" t="s">
        <v>384</v>
      </c>
    </row>
    <row r="209" spans="2:20" x14ac:dyDescent="0.25">
      <c r="B209" s="14"/>
      <c r="C209" s="3" t="s">
        <v>253</v>
      </c>
      <c r="D209" s="8"/>
      <c r="E209" s="6"/>
      <c r="F209" s="11"/>
      <c r="G209" s="17"/>
      <c r="H209" s="4"/>
      <c r="I209" s="4"/>
      <c r="J209" s="4"/>
      <c r="K209" s="21"/>
      <c r="L209" s="31"/>
      <c r="M209" s="72"/>
    </row>
    <row r="210" spans="2:20" x14ac:dyDescent="0.25">
      <c r="B210" s="14"/>
      <c r="C210" s="3" t="s">
        <v>254</v>
      </c>
      <c r="D210" s="8">
        <v>1</v>
      </c>
      <c r="E210" s="6"/>
      <c r="F210" s="11"/>
      <c r="G210" s="17" t="s">
        <v>1</v>
      </c>
      <c r="H210" s="4" t="s">
        <v>233</v>
      </c>
      <c r="I210" s="4"/>
      <c r="J210" s="4"/>
      <c r="K210" s="21" t="s">
        <v>162</v>
      </c>
      <c r="L210" s="30" t="s">
        <v>274</v>
      </c>
      <c r="M210" s="73" t="str">
        <f>CONCATENATE(O210,P210,Q210,R210,S210,T210)</f>
        <v>請確認是否符合 外側垂直筋鋼筋量下限 規定</v>
      </c>
      <c r="O210" s="1" t="s">
        <v>383</v>
      </c>
      <c r="P210" s="1" t="str">
        <f>H210</f>
        <v>外側</v>
      </c>
      <c r="Q210" s="1" t="str">
        <f>G210</f>
        <v>垂直筋</v>
      </c>
      <c r="R210" s="1" t="s">
        <v>414</v>
      </c>
      <c r="S210" s="1" t="s">
        <v>413</v>
      </c>
      <c r="T210" s="1" t="s">
        <v>384</v>
      </c>
    </row>
    <row r="211" spans="2:20" x14ac:dyDescent="0.25">
      <c r="B211" s="14"/>
      <c r="C211" s="3" t="s">
        <v>255</v>
      </c>
      <c r="D211" s="8"/>
      <c r="E211" s="6">
        <v>1</v>
      </c>
      <c r="F211" s="11">
        <v>1</v>
      </c>
      <c r="G211" s="17" t="s">
        <v>1</v>
      </c>
      <c r="H211" s="4" t="s">
        <v>233</v>
      </c>
      <c r="I211" s="4"/>
      <c r="J211" s="4"/>
      <c r="K211" s="21" t="s">
        <v>4</v>
      </c>
      <c r="L211" s="30" t="s">
        <v>275</v>
      </c>
      <c r="M211" s="73" t="str">
        <f>CONCATENATE(O211,P211,Q211,R211,S211,T211)</f>
        <v>請確認是否符合 外側垂直筋鋼筋量上限 規定</v>
      </c>
      <c r="O211" s="1" t="s">
        <v>383</v>
      </c>
      <c r="P211" s="1" t="str">
        <f>H211</f>
        <v>外側</v>
      </c>
      <c r="Q211" s="1" t="str">
        <f>G211</f>
        <v>垂直筋</v>
      </c>
      <c r="R211" s="1" t="s">
        <v>414</v>
      </c>
      <c r="S211" s="1" t="s">
        <v>144</v>
      </c>
      <c r="T211" s="1" t="s">
        <v>384</v>
      </c>
    </row>
    <row r="212" spans="2:20" x14ac:dyDescent="0.25">
      <c r="B212" s="14"/>
      <c r="C212" s="3" t="s">
        <v>256</v>
      </c>
      <c r="D212" s="8"/>
      <c r="E212" s="6">
        <v>1</v>
      </c>
      <c r="F212" s="11"/>
      <c r="G212" s="17" t="s">
        <v>1</v>
      </c>
      <c r="H212" s="4" t="s">
        <v>233</v>
      </c>
      <c r="I212" s="4"/>
      <c r="J212" s="4"/>
      <c r="K212" s="21" t="s">
        <v>99</v>
      </c>
      <c r="L212" s="31" t="s">
        <v>276</v>
      </c>
      <c r="M212" s="73" t="str">
        <f>CONCATENATE(O212,P212,Q212,R212)</f>
        <v>請確認 外側垂直筋是否有斷筋</v>
      </c>
      <c r="O212" s="1" t="s">
        <v>410</v>
      </c>
      <c r="P212" s="1" t="str">
        <f>H212</f>
        <v>外側</v>
      </c>
      <c r="Q212" s="1" t="str">
        <f>G212</f>
        <v>垂直筋</v>
      </c>
      <c r="R212" s="1" t="s">
        <v>411</v>
      </c>
    </row>
    <row r="213" spans="2:20" x14ac:dyDescent="0.25">
      <c r="B213" s="14"/>
      <c r="C213" s="3" t="s">
        <v>257</v>
      </c>
      <c r="D213" s="8"/>
      <c r="E213" s="6"/>
      <c r="F213" s="11"/>
      <c r="G213" s="17"/>
      <c r="H213" s="4"/>
      <c r="I213" s="4"/>
      <c r="J213" s="4"/>
      <c r="K213" s="21"/>
      <c r="L213" s="31"/>
      <c r="M213" s="72"/>
    </row>
    <row r="214" spans="2:20" x14ac:dyDescent="0.25">
      <c r="B214" s="14"/>
      <c r="C214" s="3" t="s">
        <v>258</v>
      </c>
      <c r="D214" s="8">
        <v>1</v>
      </c>
      <c r="E214" s="6"/>
      <c r="F214" s="11"/>
      <c r="G214" s="17" t="s">
        <v>1</v>
      </c>
      <c r="H214" s="15" t="s">
        <v>239</v>
      </c>
      <c r="I214" s="4"/>
      <c r="J214" s="4"/>
      <c r="K214" s="21" t="s">
        <v>3</v>
      </c>
      <c r="L214" s="30" t="s">
        <v>241</v>
      </c>
      <c r="M214" s="73" t="str">
        <f>CONCATENATE(O214,P214,Q214,R214,S214,T214)</f>
        <v>請確認是否符合 內側垂直筋鋼筋量下限 規定</v>
      </c>
      <c r="O214" s="1" t="s">
        <v>383</v>
      </c>
      <c r="P214" s="1" t="str">
        <f>H214</f>
        <v>內側</v>
      </c>
      <c r="Q214" s="1" t="str">
        <f>G214</f>
        <v>垂直筋</v>
      </c>
      <c r="R214" s="1" t="s">
        <v>414</v>
      </c>
      <c r="S214" s="1" t="s">
        <v>413</v>
      </c>
      <c r="T214" s="1" t="s">
        <v>384</v>
      </c>
    </row>
    <row r="215" spans="2:20" x14ac:dyDescent="0.25">
      <c r="B215" s="14"/>
      <c r="C215" s="3" t="s">
        <v>259</v>
      </c>
      <c r="D215" s="8"/>
      <c r="E215" s="6">
        <v>1</v>
      </c>
      <c r="F215" s="11">
        <v>1</v>
      </c>
      <c r="G215" s="17" t="s">
        <v>1</v>
      </c>
      <c r="H215" s="15" t="s">
        <v>239</v>
      </c>
      <c r="I215" s="4"/>
      <c r="J215" s="4"/>
      <c r="K215" s="21" t="s">
        <v>4</v>
      </c>
      <c r="L215" s="30" t="s">
        <v>271</v>
      </c>
      <c r="M215" s="73" t="str">
        <f>CONCATENATE(O215,P215,Q215,R215,S215,T215)</f>
        <v>請確認是否符合 內側垂直筋鋼筋量上限 規定</v>
      </c>
      <c r="O215" s="1" t="s">
        <v>383</v>
      </c>
      <c r="P215" s="1" t="str">
        <f>H215</f>
        <v>內側</v>
      </c>
      <c r="Q215" s="1" t="str">
        <f>G215</f>
        <v>垂直筋</v>
      </c>
      <c r="R215" s="1" t="s">
        <v>414</v>
      </c>
      <c r="S215" s="1" t="s">
        <v>144</v>
      </c>
      <c r="T215" s="1" t="s">
        <v>384</v>
      </c>
    </row>
    <row r="216" spans="2:20" x14ac:dyDescent="0.25">
      <c r="B216" s="14"/>
      <c r="C216" s="3" t="s">
        <v>269</v>
      </c>
      <c r="D216" s="8"/>
      <c r="E216" s="6">
        <v>1</v>
      </c>
      <c r="F216" s="11"/>
      <c r="G216" s="17" t="s">
        <v>1</v>
      </c>
      <c r="H216" s="15" t="s">
        <v>239</v>
      </c>
      <c r="I216" s="4"/>
      <c r="J216" s="4"/>
      <c r="K216" s="21" t="s">
        <v>99</v>
      </c>
      <c r="L216" s="31" t="s">
        <v>276</v>
      </c>
      <c r="M216" s="73" t="str">
        <f>CONCATENATE(O216,P216,Q216,R216)</f>
        <v>請確認 內側垂直筋是否有斷筋</v>
      </c>
      <c r="O216" s="1" t="s">
        <v>410</v>
      </c>
      <c r="P216" s="1" t="str">
        <f>H216</f>
        <v>內側</v>
      </c>
      <c r="Q216" s="1" t="str">
        <f>G216</f>
        <v>垂直筋</v>
      </c>
      <c r="R216" s="1" t="s">
        <v>411</v>
      </c>
    </row>
    <row r="217" spans="2:20" x14ac:dyDescent="0.25">
      <c r="B217" s="14"/>
      <c r="C217" s="3" t="s">
        <v>270</v>
      </c>
      <c r="D217" s="8"/>
      <c r="E217" s="6"/>
      <c r="F217" s="11"/>
      <c r="G217" s="17"/>
      <c r="H217" s="4"/>
      <c r="I217" s="4"/>
      <c r="J217" s="4"/>
      <c r="K217" s="21"/>
      <c r="L217" s="31"/>
      <c r="M217" s="72"/>
    </row>
    <row r="218" spans="2:20" ht="21" customHeight="1" x14ac:dyDescent="0.25">
      <c r="B218" s="14"/>
      <c r="C218" s="3" t="s">
        <v>272</v>
      </c>
      <c r="D218" s="8"/>
      <c r="E218" s="6"/>
      <c r="F218" s="11">
        <v>1</v>
      </c>
      <c r="G218" s="17" t="s">
        <v>76</v>
      </c>
      <c r="H218" s="4"/>
      <c r="I218" s="4"/>
      <c r="J218" s="4"/>
      <c r="K218" s="21" t="s">
        <v>81</v>
      </c>
      <c r="L218" s="31"/>
      <c r="M218" s="73" t="str">
        <f>CONCATENATE(O218,P218,Q218)</f>
        <v>請確認 水平剪力筋間距是否垂直筋間距相符</v>
      </c>
      <c r="O218" s="1" t="s">
        <v>410</v>
      </c>
      <c r="P218" s="1" t="str">
        <f>G218</f>
        <v>水平剪力筋</v>
      </c>
      <c r="Q218" s="1" t="str">
        <f>K218</f>
        <v>間距是否垂直筋間距相符</v>
      </c>
    </row>
    <row r="219" spans="2:20" x14ac:dyDescent="0.25">
      <c r="B219" s="14"/>
      <c r="C219" s="3" t="s">
        <v>273</v>
      </c>
      <c r="D219" s="8"/>
      <c r="E219" s="6">
        <v>1</v>
      </c>
      <c r="F219" s="11"/>
      <c r="G219" s="17" t="s">
        <v>76</v>
      </c>
      <c r="H219" s="4"/>
      <c r="I219" s="4"/>
      <c r="J219" s="4"/>
      <c r="K219" s="21" t="s">
        <v>20</v>
      </c>
      <c r="L219" s="31" t="s">
        <v>276</v>
      </c>
      <c r="M219" s="73" t="str">
        <f>CONCATENATE(O219,P219,Q219)</f>
        <v>請確認 水平剪力筋是否有斷筋</v>
      </c>
      <c r="O219" s="1" t="s">
        <v>410</v>
      </c>
      <c r="P219" s="1" t="str">
        <f>G219</f>
        <v>水平剪力筋</v>
      </c>
      <c r="Q219" s="1" t="s">
        <v>411</v>
      </c>
    </row>
    <row r="220" spans="2:20" x14ac:dyDescent="0.25">
      <c r="B220" s="14"/>
      <c r="C220" s="3" t="s">
        <v>277</v>
      </c>
      <c r="D220" s="8"/>
      <c r="E220" s="6"/>
      <c r="F220" s="11">
        <v>1</v>
      </c>
      <c r="G220" s="17" t="s">
        <v>77</v>
      </c>
      <c r="H220" s="4"/>
      <c r="I220" s="4"/>
      <c r="J220" s="4"/>
      <c r="K220" s="21" t="s">
        <v>81</v>
      </c>
      <c r="L220" s="31"/>
      <c r="M220" s="73" t="str">
        <f>CONCATENATE(O220,P220,Q220)</f>
        <v>請確認 垂直剪力筋間距是否垂直筋間距相符</v>
      </c>
      <c r="O220" s="1" t="s">
        <v>410</v>
      </c>
      <c r="P220" s="1" t="str">
        <f>G220</f>
        <v>垂直剪力筋</v>
      </c>
      <c r="Q220" s="1" t="str">
        <f>K220</f>
        <v>間距是否垂直筋間距相符</v>
      </c>
    </row>
    <row r="221" spans="2:20" x14ac:dyDescent="0.25">
      <c r="B221" s="14"/>
      <c r="C221" s="3" t="s">
        <v>278</v>
      </c>
      <c r="D221" s="8"/>
      <c r="E221" s="6">
        <v>1</v>
      </c>
      <c r="F221" s="11"/>
      <c r="G221" s="17" t="s">
        <v>77</v>
      </c>
      <c r="H221" s="4"/>
      <c r="I221" s="4"/>
      <c r="J221" s="4"/>
      <c r="K221" s="21" t="s">
        <v>20</v>
      </c>
      <c r="L221" s="31" t="s">
        <v>276</v>
      </c>
      <c r="M221" s="73" t="str">
        <f>CONCATENATE(O221,P221,Q221)</f>
        <v>請確認 垂直剪力筋是否有斷筋</v>
      </c>
      <c r="O221" s="1" t="s">
        <v>410</v>
      </c>
      <c r="P221" s="1" t="str">
        <f>G221</f>
        <v>垂直剪力筋</v>
      </c>
      <c r="Q221" s="1" t="s">
        <v>411</v>
      </c>
    </row>
    <row r="222" spans="2:20" ht="19.5" thickBot="1" x14ac:dyDescent="0.3">
      <c r="B222" s="33"/>
      <c r="C222" s="76"/>
      <c r="D222" s="35"/>
      <c r="E222" s="36"/>
      <c r="F222" s="37"/>
      <c r="G222" s="38"/>
      <c r="H222" s="34"/>
      <c r="I222" s="34"/>
      <c r="J222" s="34"/>
      <c r="K222" s="39"/>
      <c r="L222" s="40"/>
      <c r="M222" s="74"/>
    </row>
    <row r="223" spans="2:20" x14ac:dyDescent="0.25">
      <c r="B223" s="50" t="s">
        <v>24</v>
      </c>
      <c r="C223" s="51" t="s">
        <v>22</v>
      </c>
      <c r="D223" s="52" t="s">
        <v>126</v>
      </c>
      <c r="E223" s="53" t="s">
        <v>126</v>
      </c>
      <c r="F223" s="54" t="s">
        <v>126</v>
      </c>
      <c r="G223" s="55" t="s">
        <v>137</v>
      </c>
      <c r="H223" s="51" t="s">
        <v>23</v>
      </c>
      <c r="I223" s="51" t="s">
        <v>23</v>
      </c>
      <c r="J223" s="51" t="s">
        <v>23</v>
      </c>
      <c r="K223" s="56" t="s">
        <v>21</v>
      </c>
      <c r="L223" s="77" t="s">
        <v>25</v>
      </c>
      <c r="M223" s="68" t="s">
        <v>366</v>
      </c>
    </row>
    <row r="224" spans="2:20" ht="19.5" thickBot="1" x14ac:dyDescent="0.3">
      <c r="B224" s="58" t="s">
        <v>113</v>
      </c>
      <c r="C224" s="59" t="s">
        <v>280</v>
      </c>
      <c r="D224" s="60" t="s">
        <v>127</v>
      </c>
      <c r="E224" s="61" t="s">
        <v>128</v>
      </c>
      <c r="F224" s="62" t="s">
        <v>129</v>
      </c>
      <c r="G224" s="63"/>
      <c r="H224" s="64"/>
      <c r="I224" s="64"/>
      <c r="J224" s="64"/>
      <c r="K224" s="65"/>
      <c r="L224" s="78"/>
      <c r="M224" s="69"/>
    </row>
    <row r="225" spans="2:17" x14ac:dyDescent="0.25">
      <c r="B225" s="41"/>
      <c r="C225" s="42" t="s">
        <v>281</v>
      </c>
      <c r="D225" s="43">
        <v>1</v>
      </c>
      <c r="E225" s="44">
        <v>1</v>
      </c>
      <c r="F225" s="45"/>
      <c r="G225" s="46" t="s">
        <v>111</v>
      </c>
      <c r="H225" s="47"/>
      <c r="I225" s="47"/>
      <c r="J225" s="47"/>
      <c r="K225" s="48" t="s">
        <v>112</v>
      </c>
      <c r="L225" s="31" t="s">
        <v>381</v>
      </c>
      <c r="M225" s="75" t="s">
        <v>382</v>
      </c>
    </row>
    <row r="226" spans="2:17" x14ac:dyDescent="0.25">
      <c r="B226" s="14"/>
      <c r="C226" s="3" t="s">
        <v>282</v>
      </c>
      <c r="D226" s="8"/>
      <c r="E226" s="6"/>
      <c r="F226" s="11"/>
      <c r="G226" s="17"/>
      <c r="H226" s="4"/>
      <c r="I226" s="4"/>
      <c r="J226" s="4"/>
      <c r="K226" s="21"/>
      <c r="L226" s="31"/>
      <c r="M226" s="72"/>
    </row>
    <row r="227" spans="2:17" x14ac:dyDescent="0.25">
      <c r="B227" s="14"/>
      <c r="C227" s="3" t="s">
        <v>283</v>
      </c>
      <c r="D227" s="8"/>
      <c r="E227" s="6"/>
      <c r="F227" s="11">
        <v>1</v>
      </c>
      <c r="G227" s="17" t="s">
        <v>76</v>
      </c>
      <c r="H227" s="4"/>
      <c r="I227" s="4"/>
      <c r="J227" s="4"/>
      <c r="K227" s="21" t="s">
        <v>81</v>
      </c>
      <c r="L227" s="31"/>
      <c r="M227" s="73" t="str">
        <f>CONCATENATE(O227,P227,Q227)</f>
        <v>請確認 水平剪力筋間距是否垂直筋間距相符</v>
      </c>
      <c r="O227" s="1" t="s">
        <v>410</v>
      </c>
      <c r="P227" s="1" t="str">
        <f>G227</f>
        <v>水平剪力筋</v>
      </c>
      <c r="Q227" s="1" t="str">
        <f>K227</f>
        <v>間距是否垂直筋間距相符</v>
      </c>
    </row>
    <row r="228" spans="2:17" x14ac:dyDescent="0.25">
      <c r="B228" s="14"/>
      <c r="C228" s="3" t="s">
        <v>284</v>
      </c>
      <c r="D228" s="8"/>
      <c r="E228" s="6">
        <v>1</v>
      </c>
      <c r="F228" s="11"/>
      <c r="G228" s="17" t="s">
        <v>76</v>
      </c>
      <c r="H228" s="4"/>
      <c r="I228" s="4"/>
      <c r="J228" s="4"/>
      <c r="K228" s="21" t="s">
        <v>20</v>
      </c>
      <c r="L228" s="31" t="s">
        <v>276</v>
      </c>
      <c r="M228" s="73" t="str">
        <f>CONCATENATE(O228,P228,Q228)</f>
        <v>請確認 水平剪力筋是否有斷筋</v>
      </c>
      <c r="O228" s="1" t="s">
        <v>410</v>
      </c>
      <c r="P228" s="1" t="str">
        <f>G228</f>
        <v>水平剪力筋</v>
      </c>
      <c r="Q228" s="1" t="s">
        <v>411</v>
      </c>
    </row>
    <row r="229" spans="2:17" ht="21" customHeight="1" x14ac:dyDescent="0.25">
      <c r="B229" s="14"/>
      <c r="C229" s="3" t="s">
        <v>285</v>
      </c>
      <c r="D229" s="8"/>
      <c r="E229" s="6"/>
      <c r="F229" s="11">
        <v>1</v>
      </c>
      <c r="G229" s="17" t="s">
        <v>77</v>
      </c>
      <c r="H229" s="4"/>
      <c r="I229" s="4"/>
      <c r="J229" s="4"/>
      <c r="K229" s="21" t="s">
        <v>81</v>
      </c>
      <c r="L229" s="31"/>
      <c r="M229" s="73" t="str">
        <f>CONCATENATE(O229,P229,Q229)</f>
        <v>請確認 垂直剪力筋間距是否垂直筋間距相符</v>
      </c>
      <c r="O229" s="1" t="s">
        <v>410</v>
      </c>
      <c r="P229" s="1" t="str">
        <f>G229</f>
        <v>垂直剪力筋</v>
      </c>
      <c r="Q229" s="1" t="str">
        <f>K229</f>
        <v>間距是否垂直筋間距相符</v>
      </c>
    </row>
    <row r="230" spans="2:17" x14ac:dyDescent="0.25">
      <c r="B230" s="14"/>
      <c r="C230" s="3" t="s">
        <v>286</v>
      </c>
      <c r="D230" s="8"/>
      <c r="E230" s="6">
        <v>1</v>
      </c>
      <c r="F230" s="11"/>
      <c r="G230" s="17" t="s">
        <v>77</v>
      </c>
      <c r="H230" s="4"/>
      <c r="I230" s="4"/>
      <c r="J230" s="4"/>
      <c r="K230" s="21" t="s">
        <v>20</v>
      </c>
      <c r="L230" s="31" t="s">
        <v>276</v>
      </c>
      <c r="M230" s="73" t="str">
        <f>CONCATENATE(O230,P230,Q230)</f>
        <v>請確認 垂直剪力筋是否有斷筋</v>
      </c>
      <c r="O230" s="1" t="s">
        <v>410</v>
      </c>
      <c r="P230" s="1" t="str">
        <f>G230</f>
        <v>垂直剪力筋</v>
      </c>
      <c r="Q230" s="1" t="s">
        <v>411</v>
      </c>
    </row>
    <row r="231" spans="2:17" x14ac:dyDescent="0.25">
      <c r="B231" s="14"/>
      <c r="C231" s="3" t="s">
        <v>287</v>
      </c>
      <c r="D231" s="8"/>
      <c r="E231" s="6"/>
      <c r="F231" s="11"/>
      <c r="G231" s="17"/>
      <c r="H231" s="4"/>
      <c r="I231" s="4"/>
      <c r="J231" s="4"/>
      <c r="K231" s="21"/>
      <c r="L231" s="31"/>
      <c r="M231" s="72"/>
    </row>
    <row r="232" spans="2:17" x14ac:dyDescent="0.25">
      <c r="B232" s="14"/>
      <c r="C232" s="3" t="s">
        <v>288</v>
      </c>
      <c r="D232" s="8"/>
      <c r="E232" s="6"/>
      <c r="F232" s="11"/>
      <c r="G232" s="17"/>
      <c r="H232" s="4"/>
      <c r="I232" s="4"/>
      <c r="J232" s="4"/>
      <c r="K232" s="21"/>
      <c r="L232" s="31"/>
      <c r="M232" s="72"/>
    </row>
    <row r="233" spans="2:17" ht="15.6" customHeight="1" thickBot="1" x14ac:dyDescent="0.3">
      <c r="B233" s="33"/>
      <c r="C233" s="34"/>
      <c r="D233" s="35"/>
      <c r="E233" s="36"/>
      <c r="F233" s="37"/>
      <c r="G233" s="38"/>
      <c r="H233" s="34"/>
      <c r="I233" s="34"/>
      <c r="J233" s="34"/>
      <c r="K233" s="39"/>
      <c r="L233" s="40"/>
      <c r="M233" s="74"/>
    </row>
    <row r="234" spans="2:17" x14ac:dyDescent="0.25">
      <c r="B234" s="50" t="s">
        <v>24</v>
      </c>
      <c r="C234" s="51" t="s">
        <v>22</v>
      </c>
      <c r="D234" s="52" t="s">
        <v>126</v>
      </c>
      <c r="E234" s="53" t="s">
        <v>126</v>
      </c>
      <c r="F234" s="54" t="s">
        <v>126</v>
      </c>
      <c r="G234" s="55" t="s">
        <v>137</v>
      </c>
      <c r="H234" s="51" t="s">
        <v>23</v>
      </c>
      <c r="I234" s="51" t="s">
        <v>23</v>
      </c>
      <c r="J234" s="51" t="s">
        <v>23</v>
      </c>
      <c r="K234" s="56" t="s">
        <v>21</v>
      </c>
      <c r="L234" s="77" t="s">
        <v>25</v>
      </c>
      <c r="M234" s="68" t="s">
        <v>366</v>
      </c>
    </row>
    <row r="235" spans="2:17" ht="19.5" thickBot="1" x14ac:dyDescent="0.3">
      <c r="B235" s="58" t="s">
        <v>279</v>
      </c>
      <c r="C235" s="59" t="s">
        <v>295</v>
      </c>
      <c r="D235" s="60" t="s">
        <v>127</v>
      </c>
      <c r="E235" s="61" t="s">
        <v>128</v>
      </c>
      <c r="F235" s="62" t="s">
        <v>129</v>
      </c>
      <c r="G235" s="63"/>
      <c r="H235" s="64"/>
      <c r="I235" s="64"/>
      <c r="J235" s="64"/>
      <c r="K235" s="65"/>
      <c r="L235" s="78"/>
      <c r="M235" s="69"/>
    </row>
    <row r="236" spans="2:17" x14ac:dyDescent="0.25">
      <c r="B236" s="41"/>
      <c r="C236" s="42" t="s">
        <v>289</v>
      </c>
      <c r="D236" s="43"/>
      <c r="E236" s="44"/>
      <c r="F236" s="45"/>
      <c r="G236" s="46"/>
      <c r="H236" s="47"/>
      <c r="I236" s="47"/>
      <c r="J236" s="47"/>
      <c r="K236" s="48"/>
      <c r="L236" s="49"/>
      <c r="M236" s="75"/>
    </row>
    <row r="237" spans="2:17" x14ac:dyDescent="0.25">
      <c r="B237" s="14"/>
      <c r="C237" s="3" t="s">
        <v>290</v>
      </c>
      <c r="D237" s="8"/>
      <c r="E237" s="6">
        <v>1</v>
      </c>
      <c r="F237" s="11"/>
      <c r="G237" s="17" t="s">
        <v>1</v>
      </c>
      <c r="H237" s="4"/>
      <c r="I237" s="4"/>
      <c r="J237" s="4"/>
      <c r="K237" s="21" t="s">
        <v>20</v>
      </c>
      <c r="L237" s="31"/>
      <c r="M237" s="73" t="str">
        <f>CONCATENATE(O237,P237,Q237)</f>
        <v>請確認 垂直筋是否有斷筋</v>
      </c>
      <c r="O237" s="1" t="s">
        <v>410</v>
      </c>
      <c r="P237" s="1" t="str">
        <f>G237</f>
        <v>垂直筋</v>
      </c>
      <c r="Q237" s="1" t="s">
        <v>411</v>
      </c>
    </row>
    <row r="238" spans="2:17" x14ac:dyDescent="0.25">
      <c r="B238" s="14"/>
      <c r="C238" s="3" t="s">
        <v>291</v>
      </c>
      <c r="D238" s="8"/>
      <c r="E238" s="6"/>
      <c r="F238" s="11"/>
      <c r="G238" s="17"/>
      <c r="H238" s="4"/>
      <c r="I238" s="4"/>
      <c r="J238" s="4"/>
      <c r="K238" s="21"/>
      <c r="L238" s="31"/>
      <c r="M238" s="72"/>
    </row>
    <row r="239" spans="2:17" x14ac:dyDescent="0.25">
      <c r="B239" s="14"/>
      <c r="C239" s="3" t="s">
        <v>292</v>
      </c>
      <c r="D239" s="8"/>
      <c r="E239" s="6">
        <v>1</v>
      </c>
      <c r="F239" s="11"/>
      <c r="G239" s="17" t="s">
        <v>296</v>
      </c>
      <c r="H239" s="4"/>
      <c r="I239" s="4"/>
      <c r="J239" s="4"/>
      <c r="K239" s="21" t="s">
        <v>20</v>
      </c>
      <c r="L239" s="31"/>
      <c r="M239" s="73"/>
    </row>
    <row r="240" spans="2:17" x14ac:dyDescent="0.25">
      <c r="B240" s="14"/>
      <c r="C240" s="3" t="s">
        <v>293</v>
      </c>
      <c r="D240" s="8"/>
      <c r="E240" s="6"/>
      <c r="F240" s="11"/>
      <c r="G240" s="17"/>
      <c r="H240" s="4"/>
      <c r="I240" s="4"/>
      <c r="J240" s="4"/>
      <c r="K240" s="21"/>
      <c r="L240" s="31"/>
      <c r="M240" s="72"/>
    </row>
    <row r="241" spans="2:13" x14ac:dyDescent="0.25">
      <c r="B241" s="14"/>
      <c r="C241" s="3" t="s">
        <v>294</v>
      </c>
      <c r="D241" s="8"/>
      <c r="E241" s="6"/>
      <c r="F241" s="11"/>
      <c r="G241" s="17"/>
      <c r="H241" s="4"/>
      <c r="I241" s="4"/>
      <c r="J241" s="4"/>
      <c r="K241" s="21"/>
      <c r="L241" s="31"/>
      <c r="M241" s="72"/>
    </row>
    <row r="242" spans="2:13" x14ac:dyDescent="0.25">
      <c r="B242" s="14"/>
      <c r="C242" s="4"/>
      <c r="D242" s="8"/>
      <c r="E242" s="6"/>
      <c r="F242" s="11"/>
      <c r="G242" s="17"/>
      <c r="H242" s="4"/>
      <c r="I242" s="4"/>
      <c r="J242" s="4"/>
      <c r="K242" s="21"/>
      <c r="L242" s="31"/>
      <c r="M242" s="72"/>
    </row>
    <row r="243" spans="2:13" x14ac:dyDescent="0.25">
      <c r="B243" s="14"/>
      <c r="C243" s="4"/>
      <c r="D243" s="8"/>
      <c r="E243" s="6"/>
      <c r="F243" s="11"/>
      <c r="G243" s="17"/>
      <c r="H243" s="4"/>
      <c r="I243" s="4"/>
      <c r="J243" s="4"/>
      <c r="K243" s="21"/>
      <c r="L243" s="31"/>
      <c r="M243" s="72"/>
    </row>
    <row r="244" spans="2:13" x14ac:dyDescent="0.25">
      <c r="B244" s="14"/>
      <c r="C244" s="4"/>
      <c r="D244" s="8"/>
      <c r="E244" s="6"/>
      <c r="F244" s="11"/>
      <c r="G244" s="17"/>
      <c r="H244" s="4"/>
      <c r="I244" s="4"/>
      <c r="J244" s="4"/>
      <c r="K244" s="21"/>
      <c r="L244" s="31"/>
      <c r="M244" s="72"/>
    </row>
    <row r="245" spans="2:13" x14ac:dyDescent="0.25">
      <c r="B245" s="14"/>
      <c r="C245" s="4"/>
      <c r="D245" s="8"/>
      <c r="E245" s="6"/>
      <c r="F245" s="11"/>
      <c r="G245" s="17"/>
      <c r="H245" s="4"/>
      <c r="I245" s="4"/>
      <c r="J245" s="4"/>
      <c r="K245" s="21"/>
      <c r="L245" s="31"/>
      <c r="M245" s="72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4"/>
  <sheetViews>
    <sheetView workbookViewId="0">
      <selection activeCell="M15" sqref="M15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3" width="11.5" style="79" customWidth="1"/>
    <col min="4" max="4" width="9" style="81"/>
    <col min="5" max="11" width="9" style="82"/>
    <col min="12" max="12" width="9" style="83"/>
    <col min="13" max="16384" width="9" style="79"/>
  </cols>
  <sheetData>
    <row r="1" spans="1:12" ht="16.5" thickBot="1" x14ac:dyDescent="0.3">
      <c r="A1" s="79" t="s">
        <v>415</v>
      </c>
      <c r="B1" s="80">
        <f ca="1">NOW()</f>
        <v>42893.693455787034</v>
      </c>
      <c r="C1" s="80"/>
      <c r="D1" s="84" t="s">
        <v>419</v>
      </c>
      <c r="E1" s="85" t="s">
        <v>425</v>
      </c>
      <c r="F1" s="85" t="s">
        <v>616</v>
      </c>
      <c r="G1" s="85" t="s">
        <v>618</v>
      </c>
      <c r="H1" s="85" t="s">
        <v>619</v>
      </c>
      <c r="I1" s="85" t="s">
        <v>427</v>
      </c>
      <c r="J1" s="85" t="s">
        <v>428</v>
      </c>
      <c r="K1" s="85" t="s">
        <v>434</v>
      </c>
      <c r="L1" s="86" t="s">
        <v>435</v>
      </c>
    </row>
    <row r="2" spans="1:12" ht="16.5" thickTop="1" x14ac:dyDescent="0.25">
      <c r="A2" s="79" t="s">
        <v>416</v>
      </c>
      <c r="D2" s="81" t="s">
        <v>429</v>
      </c>
      <c r="E2" s="82">
        <v>4200</v>
      </c>
      <c r="F2" s="82">
        <v>4200</v>
      </c>
      <c r="G2" s="82">
        <v>280</v>
      </c>
      <c r="H2" s="82">
        <v>280</v>
      </c>
      <c r="I2" s="82">
        <v>0.1</v>
      </c>
      <c r="J2" s="82">
        <v>0.5</v>
      </c>
      <c r="K2" s="82">
        <v>8</v>
      </c>
      <c r="L2" s="83">
        <v>8</v>
      </c>
    </row>
    <row r="3" spans="1:12" x14ac:dyDescent="0.25">
      <c r="A3" s="79" t="s">
        <v>417</v>
      </c>
      <c r="D3" s="81" t="s">
        <v>431</v>
      </c>
      <c r="E3" s="82">
        <v>4200</v>
      </c>
      <c r="F3" s="82">
        <v>4200</v>
      </c>
      <c r="G3" s="82">
        <v>280</v>
      </c>
      <c r="H3" s="82">
        <v>280</v>
      </c>
      <c r="I3" s="82">
        <v>0.1</v>
      </c>
      <c r="J3" s="82">
        <v>0.5</v>
      </c>
      <c r="K3" s="82">
        <v>8</v>
      </c>
      <c r="L3" s="83">
        <v>8</v>
      </c>
    </row>
    <row r="4" spans="1:12" x14ac:dyDescent="0.25">
      <c r="D4" s="81" t="s">
        <v>432</v>
      </c>
      <c r="E4" s="82">
        <v>4200</v>
      </c>
      <c r="F4" s="82">
        <v>4200</v>
      </c>
      <c r="G4" s="82">
        <v>280</v>
      </c>
      <c r="H4" s="82">
        <v>280</v>
      </c>
      <c r="I4" s="82">
        <v>0.1</v>
      </c>
      <c r="J4" s="82">
        <v>0.5</v>
      </c>
      <c r="K4" s="82">
        <v>8</v>
      </c>
      <c r="L4" s="83">
        <v>8</v>
      </c>
    </row>
    <row r="5" spans="1:12" x14ac:dyDescent="0.25">
      <c r="D5" s="81" t="s">
        <v>433</v>
      </c>
      <c r="E5" s="82">
        <v>4200</v>
      </c>
      <c r="F5" s="82">
        <v>4200</v>
      </c>
      <c r="G5" s="82">
        <v>280</v>
      </c>
      <c r="H5" s="82">
        <v>280</v>
      </c>
      <c r="I5" s="82">
        <v>0.1</v>
      </c>
      <c r="J5" s="82">
        <v>0.5</v>
      </c>
      <c r="K5" s="82">
        <v>8</v>
      </c>
      <c r="L5" s="83">
        <v>8</v>
      </c>
    </row>
    <row r="6" spans="1:12" x14ac:dyDescent="0.25">
      <c r="D6" s="81" t="s">
        <v>426</v>
      </c>
      <c r="E6" s="82">
        <v>4200</v>
      </c>
      <c r="F6" s="82">
        <v>4200</v>
      </c>
      <c r="G6" s="82">
        <v>280</v>
      </c>
      <c r="H6" s="82">
        <v>280</v>
      </c>
      <c r="I6" s="82">
        <v>0.1</v>
      </c>
      <c r="J6" s="82">
        <v>0.5</v>
      </c>
      <c r="K6" s="82">
        <v>8</v>
      </c>
      <c r="L6" s="83">
        <v>8</v>
      </c>
    </row>
    <row r="7" spans="1:12" x14ac:dyDescent="0.25">
      <c r="D7" s="81" t="s">
        <v>424</v>
      </c>
      <c r="E7" s="82">
        <v>4200</v>
      </c>
      <c r="F7" s="82">
        <v>4200</v>
      </c>
      <c r="G7" s="82">
        <v>280</v>
      </c>
      <c r="H7" s="82">
        <v>280</v>
      </c>
      <c r="I7" s="82">
        <v>0.1</v>
      </c>
      <c r="J7" s="82">
        <v>0.5</v>
      </c>
      <c r="K7" s="82">
        <v>8</v>
      </c>
      <c r="L7" s="83">
        <v>8</v>
      </c>
    </row>
    <row r="8" spans="1:12" x14ac:dyDescent="0.25">
      <c r="D8" s="81" t="s">
        <v>423</v>
      </c>
      <c r="E8" s="82">
        <v>4200</v>
      </c>
      <c r="F8" s="82">
        <v>4200</v>
      </c>
      <c r="G8" s="82">
        <v>280</v>
      </c>
      <c r="H8" s="82">
        <v>280</v>
      </c>
      <c r="I8" s="82">
        <v>0.1</v>
      </c>
      <c r="J8" s="82">
        <v>0.5</v>
      </c>
      <c r="K8" s="82">
        <v>8</v>
      </c>
      <c r="L8" s="83">
        <v>8</v>
      </c>
    </row>
    <row r="9" spans="1:12" x14ac:dyDescent="0.25">
      <c r="D9" s="81" t="s">
        <v>422</v>
      </c>
      <c r="E9" s="82">
        <v>4200</v>
      </c>
      <c r="F9" s="82">
        <v>4200</v>
      </c>
      <c r="G9" s="82">
        <v>280</v>
      </c>
      <c r="H9" s="82">
        <v>280</v>
      </c>
      <c r="I9" s="82">
        <v>0.1</v>
      </c>
      <c r="J9" s="82">
        <v>0.5</v>
      </c>
      <c r="K9" s="82">
        <v>8</v>
      </c>
      <c r="L9" s="83">
        <v>8</v>
      </c>
    </row>
    <row r="10" spans="1:12" x14ac:dyDescent="0.25">
      <c r="D10" s="81" t="s">
        <v>421</v>
      </c>
      <c r="E10" s="82">
        <v>4200</v>
      </c>
      <c r="F10" s="82">
        <v>4200</v>
      </c>
      <c r="G10" s="82">
        <v>280</v>
      </c>
      <c r="H10" s="82">
        <v>280</v>
      </c>
      <c r="I10" s="82">
        <v>0.1</v>
      </c>
      <c r="J10" s="82">
        <v>0.5</v>
      </c>
      <c r="K10" s="82">
        <v>8</v>
      </c>
      <c r="L10" s="83">
        <v>8</v>
      </c>
    </row>
    <row r="11" spans="1:12" x14ac:dyDescent="0.25">
      <c r="D11" s="81" t="s">
        <v>420</v>
      </c>
      <c r="E11" s="82">
        <v>4200</v>
      </c>
      <c r="F11" s="82">
        <v>4200</v>
      </c>
      <c r="G11" s="82">
        <v>280</v>
      </c>
      <c r="H11" s="82">
        <v>280</v>
      </c>
      <c r="I11" s="82">
        <v>0.1</v>
      </c>
      <c r="J11" s="82">
        <v>0.5</v>
      </c>
      <c r="K11" s="82">
        <v>8</v>
      </c>
      <c r="L11" s="83">
        <v>8</v>
      </c>
    </row>
    <row r="12" spans="1:12" x14ac:dyDescent="0.25">
      <c r="D12" s="81" t="s">
        <v>653</v>
      </c>
    </row>
    <row r="13" spans="1:12" x14ac:dyDescent="0.25">
      <c r="D13" s="81" t="s">
        <v>654</v>
      </c>
    </row>
    <row r="14" spans="1:12" x14ac:dyDescent="0.25">
      <c r="D14" s="81" t="s">
        <v>655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I17" sqref="I17"/>
    </sheetView>
  </sheetViews>
  <sheetFormatPr defaultRowHeight="15.75" x14ac:dyDescent="0.25"/>
  <cols>
    <col min="1" max="1" width="9.75" style="92" bestFit="1" customWidth="1"/>
    <col min="2" max="2" width="15.75" style="94" bestFit="1" customWidth="1"/>
    <col min="3" max="3" width="14.125" style="94" bestFit="1" customWidth="1"/>
    <col min="4" max="4" width="15.375" style="94" bestFit="1" customWidth="1"/>
    <col min="5" max="5" width="12.625" style="94" bestFit="1" customWidth="1"/>
    <col min="6" max="6" width="13.875" style="94" bestFit="1" customWidth="1"/>
    <col min="7" max="7" width="13.875" style="92" bestFit="1" customWidth="1"/>
    <col min="8" max="8" width="14.625" style="94" bestFit="1" customWidth="1"/>
    <col min="9" max="9" width="16.875" style="94" bestFit="1" customWidth="1"/>
    <col min="10" max="10" width="19.75" style="92" bestFit="1" customWidth="1"/>
    <col min="11" max="16384" width="9" style="94"/>
  </cols>
  <sheetData>
    <row r="1" spans="1:10" x14ac:dyDescent="0.25">
      <c r="A1" s="92" t="s">
        <v>626</v>
      </c>
      <c r="B1" s="93" t="s">
        <v>627</v>
      </c>
      <c r="C1" s="94" t="s">
        <v>628</v>
      </c>
      <c r="D1" s="94" t="s">
        <v>629</v>
      </c>
      <c r="E1" s="94" t="s">
        <v>630</v>
      </c>
      <c r="F1" s="94" t="s">
        <v>631</v>
      </c>
      <c r="G1" s="92" t="s">
        <v>632</v>
      </c>
      <c r="H1" s="94" t="s">
        <v>633</v>
      </c>
      <c r="I1" s="94" t="s">
        <v>634</v>
      </c>
      <c r="J1" s="92" t="s">
        <v>635</v>
      </c>
    </row>
    <row r="2" spans="1:10" x14ac:dyDescent="0.25">
      <c r="A2" s="92" t="s">
        <v>571</v>
      </c>
      <c r="B2" s="94" t="s">
        <v>572</v>
      </c>
      <c r="C2" s="94">
        <v>0.376</v>
      </c>
      <c r="D2" s="94">
        <v>0.56100000000000005</v>
      </c>
      <c r="E2" s="94" t="s">
        <v>573</v>
      </c>
      <c r="F2" s="94">
        <v>9.5250000000000004</v>
      </c>
      <c r="G2" s="92">
        <f>F2/10</f>
        <v>0.95250000000000001</v>
      </c>
      <c r="H2" s="94">
        <v>0.11</v>
      </c>
      <c r="I2" s="94">
        <v>71</v>
      </c>
      <c r="J2" s="92">
        <f>I2/100</f>
        <v>0.71</v>
      </c>
    </row>
    <row r="3" spans="1:10" x14ac:dyDescent="0.25">
      <c r="A3" s="92" t="s">
        <v>574</v>
      </c>
      <c r="B3" s="94" t="s">
        <v>575</v>
      </c>
      <c r="C3" s="94">
        <v>0.66800000000000004</v>
      </c>
      <c r="D3" s="94">
        <v>0.996</v>
      </c>
      <c r="E3" s="94" t="s">
        <v>576</v>
      </c>
      <c r="F3" s="94">
        <v>12.7</v>
      </c>
      <c r="G3" s="92">
        <f t="shared" ref="G3:G13" si="0">F3/10</f>
        <v>1.27</v>
      </c>
      <c r="H3" s="94">
        <v>0.2</v>
      </c>
      <c r="I3" s="94">
        <v>127</v>
      </c>
      <c r="J3" s="92">
        <f t="shared" ref="J3:J13" si="1">I3/100</f>
        <v>1.27</v>
      </c>
    </row>
    <row r="4" spans="1:10" x14ac:dyDescent="0.25">
      <c r="A4" s="92" t="s">
        <v>577</v>
      </c>
      <c r="B4" s="94" t="s">
        <v>578</v>
      </c>
      <c r="C4" s="94">
        <v>1.0429999999999999</v>
      </c>
      <c r="D4" s="94">
        <v>1.556</v>
      </c>
      <c r="E4" s="94" t="s">
        <v>579</v>
      </c>
      <c r="F4" s="94">
        <v>15.875</v>
      </c>
      <c r="G4" s="92">
        <f t="shared" si="0"/>
        <v>1.5874999999999999</v>
      </c>
      <c r="H4" s="94">
        <v>0.31</v>
      </c>
      <c r="I4" s="94">
        <v>200</v>
      </c>
      <c r="J4" s="92">
        <f t="shared" si="1"/>
        <v>2</v>
      </c>
    </row>
    <row r="5" spans="1:10" x14ac:dyDescent="0.25">
      <c r="A5" s="92" t="s">
        <v>580</v>
      </c>
      <c r="B5" s="94" t="s">
        <v>581</v>
      </c>
      <c r="C5" s="94">
        <v>1.502</v>
      </c>
      <c r="D5" s="94">
        <v>2.2400000000000002</v>
      </c>
      <c r="E5" s="94" t="s">
        <v>582</v>
      </c>
      <c r="F5" s="94">
        <v>19.05</v>
      </c>
      <c r="G5" s="92">
        <f t="shared" si="0"/>
        <v>1.905</v>
      </c>
      <c r="H5" s="94">
        <v>0.44</v>
      </c>
      <c r="I5" s="94">
        <v>284</v>
      </c>
      <c r="J5" s="92">
        <f t="shared" si="1"/>
        <v>2.84</v>
      </c>
    </row>
    <row r="6" spans="1:10" x14ac:dyDescent="0.25">
      <c r="A6" s="92" t="s">
        <v>583</v>
      </c>
      <c r="B6" s="94" t="s">
        <v>584</v>
      </c>
      <c r="C6" s="94">
        <v>2.044</v>
      </c>
      <c r="D6" s="94">
        <v>3.0489999999999999</v>
      </c>
      <c r="E6" s="94" t="s">
        <v>585</v>
      </c>
      <c r="F6" s="94">
        <v>22.225000000000001</v>
      </c>
      <c r="G6" s="92">
        <f t="shared" si="0"/>
        <v>2.2225000000000001</v>
      </c>
      <c r="H6" s="94">
        <v>0.6</v>
      </c>
      <c r="I6" s="94">
        <v>387</v>
      </c>
      <c r="J6" s="92">
        <f t="shared" si="1"/>
        <v>3.87</v>
      </c>
    </row>
    <row r="7" spans="1:10" x14ac:dyDescent="0.25">
      <c r="A7" s="92" t="s">
        <v>586</v>
      </c>
      <c r="B7" s="94" t="s">
        <v>587</v>
      </c>
      <c r="C7" s="94">
        <v>2.67</v>
      </c>
      <c r="D7" s="94">
        <v>3.9820000000000002</v>
      </c>
      <c r="E7" s="94" t="s">
        <v>588</v>
      </c>
      <c r="F7" s="94">
        <v>25.4</v>
      </c>
      <c r="G7" s="92">
        <f t="shared" si="0"/>
        <v>2.54</v>
      </c>
      <c r="H7" s="94">
        <v>0.79</v>
      </c>
      <c r="I7" s="94">
        <v>509</v>
      </c>
      <c r="J7" s="92">
        <f t="shared" si="1"/>
        <v>5.09</v>
      </c>
    </row>
    <row r="8" spans="1:10" x14ac:dyDescent="0.25">
      <c r="A8" s="92" t="s">
        <v>589</v>
      </c>
      <c r="B8" s="94" t="s">
        <v>590</v>
      </c>
      <c r="C8" s="94">
        <v>3.4</v>
      </c>
      <c r="D8" s="94">
        <v>5.0709999999999997</v>
      </c>
      <c r="E8" s="94">
        <v>1.1279999999999999</v>
      </c>
      <c r="F8" s="94">
        <v>28.65</v>
      </c>
      <c r="G8" s="92">
        <f t="shared" si="0"/>
        <v>2.8649999999999998</v>
      </c>
      <c r="H8" s="94">
        <v>1</v>
      </c>
      <c r="I8" s="94">
        <v>645</v>
      </c>
      <c r="J8" s="92">
        <f t="shared" si="1"/>
        <v>6.45</v>
      </c>
    </row>
    <row r="9" spans="1:10" x14ac:dyDescent="0.25">
      <c r="A9" s="92" t="s">
        <v>572</v>
      </c>
      <c r="B9" s="94" t="s">
        <v>591</v>
      </c>
      <c r="C9" s="94">
        <v>4.3029999999999999</v>
      </c>
      <c r="D9" s="94">
        <v>6.4180000000000001</v>
      </c>
      <c r="E9" s="94">
        <v>1.27</v>
      </c>
      <c r="F9" s="94">
        <v>32.26</v>
      </c>
      <c r="G9" s="92">
        <f t="shared" si="0"/>
        <v>3.226</v>
      </c>
      <c r="H9" s="94">
        <v>1.27</v>
      </c>
      <c r="I9" s="94">
        <v>819</v>
      </c>
      <c r="J9" s="92">
        <f t="shared" si="1"/>
        <v>8.19</v>
      </c>
    </row>
    <row r="10" spans="1:10" x14ac:dyDescent="0.25">
      <c r="A10" s="92" t="s">
        <v>592</v>
      </c>
      <c r="B10" s="94" t="s">
        <v>593</v>
      </c>
      <c r="C10" s="94">
        <v>5.3129999999999997</v>
      </c>
      <c r="D10" s="94">
        <v>7.9240000000000004</v>
      </c>
      <c r="E10" s="94">
        <v>1.41</v>
      </c>
      <c r="F10" s="94">
        <v>35.81</v>
      </c>
      <c r="G10" s="92">
        <f t="shared" si="0"/>
        <v>3.5810000000000004</v>
      </c>
      <c r="H10" s="94">
        <v>1.56</v>
      </c>
      <c r="I10" s="94">
        <v>1006</v>
      </c>
      <c r="J10" s="92">
        <f t="shared" si="1"/>
        <v>10.06</v>
      </c>
    </row>
    <row r="11" spans="1:10" x14ac:dyDescent="0.25">
      <c r="A11" s="92" t="s">
        <v>594</v>
      </c>
      <c r="B11" s="94" t="s">
        <v>595</v>
      </c>
      <c r="C11" s="94">
        <v>6.4240000000000004</v>
      </c>
      <c r="D11" s="94">
        <v>9.6189999999999998</v>
      </c>
      <c r="E11" s="94">
        <v>1.5</v>
      </c>
      <c r="F11" s="94">
        <v>38.1</v>
      </c>
      <c r="G11" s="92">
        <f t="shared" si="0"/>
        <v>3.81</v>
      </c>
      <c r="H11" s="94">
        <v>1.76</v>
      </c>
      <c r="I11" s="94">
        <v>1140</v>
      </c>
      <c r="J11" s="92">
        <f t="shared" si="1"/>
        <v>11.4</v>
      </c>
    </row>
    <row r="12" spans="1:10" x14ac:dyDescent="0.25">
      <c r="A12" s="92" t="s">
        <v>596</v>
      </c>
      <c r="B12" s="94" t="s">
        <v>597</v>
      </c>
      <c r="C12" s="94">
        <v>7.65</v>
      </c>
      <c r="D12" s="94">
        <v>11.41</v>
      </c>
      <c r="E12" s="94">
        <v>1.6930000000000001</v>
      </c>
      <c r="F12" s="94">
        <v>43</v>
      </c>
      <c r="G12" s="92">
        <f t="shared" si="0"/>
        <v>4.3</v>
      </c>
      <c r="H12" s="94">
        <v>2.25</v>
      </c>
      <c r="I12" s="94">
        <v>1452</v>
      </c>
      <c r="J12" s="92">
        <f t="shared" si="1"/>
        <v>14.52</v>
      </c>
    </row>
    <row r="13" spans="1:10" x14ac:dyDescent="0.25">
      <c r="A13" s="92" t="s">
        <v>598</v>
      </c>
      <c r="B13" s="94" t="s">
        <v>599</v>
      </c>
      <c r="C13" s="94">
        <v>13.6</v>
      </c>
      <c r="D13" s="94">
        <v>20.283999999999999</v>
      </c>
      <c r="E13" s="94">
        <v>2.2570000000000001</v>
      </c>
      <c r="F13" s="94">
        <v>57.33</v>
      </c>
      <c r="G13" s="92">
        <f t="shared" si="0"/>
        <v>5.7329999999999997</v>
      </c>
      <c r="H13" s="94">
        <v>4</v>
      </c>
      <c r="I13" s="94">
        <v>2581</v>
      </c>
      <c r="J13" s="92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K53"/>
  <sheetViews>
    <sheetView workbookViewId="0">
      <pane ySplit="2" topLeftCell="A3" activePane="bottomLeft" state="frozen"/>
      <selection activeCell="B4" sqref="B4"/>
      <selection pane="bottomLeft" activeCell="C35" sqref="C35"/>
    </sheetView>
  </sheetViews>
  <sheetFormatPr defaultRowHeight="16.5" x14ac:dyDescent="0.25"/>
  <cols>
    <col min="1" max="1" width="9" style="90"/>
    <col min="2" max="2" width="9" style="87"/>
    <col min="3" max="4" width="9.625" style="87" customWidth="1"/>
    <col min="5" max="11" width="10.625" style="87" customWidth="1"/>
    <col min="12" max="12" width="10.125" style="87" customWidth="1"/>
    <col min="13" max="16384" width="9" style="87"/>
  </cols>
  <sheetData>
    <row r="1" spans="1:11" x14ac:dyDescent="0.25">
      <c r="A1" s="100" t="s">
        <v>651</v>
      </c>
      <c r="B1" s="101" t="s">
        <v>519</v>
      </c>
      <c r="C1" s="88" t="s">
        <v>520</v>
      </c>
      <c r="D1" s="88" t="s">
        <v>521</v>
      </c>
      <c r="E1" s="102" t="s">
        <v>522</v>
      </c>
      <c r="F1" s="103"/>
      <c r="G1" s="104"/>
      <c r="H1" s="101" t="s">
        <v>523</v>
      </c>
      <c r="I1" s="101"/>
      <c r="J1" s="101"/>
      <c r="K1" s="101"/>
    </row>
    <row r="2" spans="1:11" x14ac:dyDescent="0.25">
      <c r="A2" s="100"/>
      <c r="B2" s="101"/>
      <c r="C2" s="88" t="s">
        <v>524</v>
      </c>
      <c r="D2" s="88" t="s">
        <v>525</v>
      </c>
      <c r="E2" s="88" t="s">
        <v>439</v>
      </c>
      <c r="F2" s="88" t="s">
        <v>526</v>
      </c>
      <c r="G2" s="88" t="s">
        <v>527</v>
      </c>
      <c r="H2" s="88" t="s">
        <v>528</v>
      </c>
      <c r="I2" s="88" t="s">
        <v>529</v>
      </c>
      <c r="J2" s="88" t="s">
        <v>530</v>
      </c>
      <c r="K2" s="88" t="s">
        <v>531</v>
      </c>
    </row>
    <row r="3" spans="1:11" x14ac:dyDescent="0.25">
      <c r="A3" s="90" t="s">
        <v>620</v>
      </c>
      <c r="B3" s="88" t="s">
        <v>532</v>
      </c>
      <c r="C3" s="89" t="s">
        <v>533</v>
      </c>
      <c r="D3" s="89" t="s">
        <v>534</v>
      </c>
      <c r="E3" s="89" t="s">
        <v>533</v>
      </c>
      <c r="F3" s="89" t="s">
        <v>534</v>
      </c>
      <c r="G3" s="89" t="s">
        <v>460</v>
      </c>
      <c r="H3" s="89" t="s">
        <v>534</v>
      </c>
      <c r="I3" s="89" t="s">
        <v>461</v>
      </c>
      <c r="J3" s="89" t="s">
        <v>534</v>
      </c>
      <c r="K3" s="89" t="s">
        <v>534</v>
      </c>
    </row>
    <row r="4" spans="1:11" x14ac:dyDescent="0.25">
      <c r="A4" s="98" t="s">
        <v>648</v>
      </c>
      <c r="B4" s="88" t="s">
        <v>536</v>
      </c>
      <c r="C4" s="89" t="s">
        <v>460</v>
      </c>
      <c r="D4" s="89" t="s">
        <v>533</v>
      </c>
      <c r="E4" s="89" t="s">
        <v>461</v>
      </c>
      <c r="F4" s="89" t="s">
        <v>461</v>
      </c>
      <c r="G4" s="89" t="s">
        <v>534</v>
      </c>
      <c r="H4" s="89" t="s">
        <v>460</v>
      </c>
      <c r="I4" s="89" t="s">
        <v>533</v>
      </c>
      <c r="J4" s="89" t="s">
        <v>461</v>
      </c>
      <c r="K4" s="89" t="s">
        <v>461</v>
      </c>
    </row>
    <row r="5" spans="1:11" x14ac:dyDescent="0.25">
      <c r="A5" s="98" t="s">
        <v>649</v>
      </c>
      <c r="B5" s="88" t="s">
        <v>537</v>
      </c>
      <c r="C5" s="89" t="s">
        <v>533</v>
      </c>
      <c r="D5" s="89" t="s">
        <v>460</v>
      </c>
      <c r="E5" s="89" t="s">
        <v>534</v>
      </c>
      <c r="F5" s="89" t="s">
        <v>461</v>
      </c>
      <c r="G5" s="89" t="s">
        <v>533</v>
      </c>
      <c r="H5" s="89" t="s">
        <v>460</v>
      </c>
      <c r="I5" s="89" t="s">
        <v>461</v>
      </c>
      <c r="J5" s="89" t="s">
        <v>534</v>
      </c>
      <c r="K5" s="89" t="s">
        <v>461</v>
      </c>
    </row>
    <row r="6" spans="1:11" x14ac:dyDescent="0.25">
      <c r="A6" s="98" t="s">
        <v>650</v>
      </c>
      <c r="B6" s="88" t="s">
        <v>538</v>
      </c>
      <c r="C6" s="89" t="s">
        <v>461</v>
      </c>
      <c r="D6" s="89" t="s">
        <v>533</v>
      </c>
      <c r="E6" s="89" t="s">
        <v>461</v>
      </c>
      <c r="F6" s="89" t="s">
        <v>460</v>
      </c>
      <c r="G6" s="89" t="s">
        <v>461</v>
      </c>
      <c r="H6" s="89" t="s">
        <v>461</v>
      </c>
      <c r="I6" s="89" t="s">
        <v>461</v>
      </c>
      <c r="J6" s="89" t="s">
        <v>461</v>
      </c>
      <c r="K6" s="89" t="s">
        <v>534</v>
      </c>
    </row>
    <row r="7" spans="1:11" x14ac:dyDescent="0.25">
      <c r="A7" s="90" t="s">
        <v>640</v>
      </c>
      <c r="B7" s="88" t="s">
        <v>539</v>
      </c>
      <c r="C7" s="89" t="s">
        <v>461</v>
      </c>
      <c r="D7" s="89" t="s">
        <v>461</v>
      </c>
      <c r="E7" s="89" t="s">
        <v>461</v>
      </c>
      <c r="F7" s="89" t="s">
        <v>461</v>
      </c>
      <c r="G7" s="89" t="s">
        <v>461</v>
      </c>
      <c r="H7" s="89" t="s">
        <v>461</v>
      </c>
      <c r="I7" s="89" t="s">
        <v>461</v>
      </c>
      <c r="J7" s="89" t="s">
        <v>461</v>
      </c>
      <c r="K7" s="89" t="s">
        <v>534</v>
      </c>
    </row>
    <row r="8" spans="1:11" x14ac:dyDescent="0.25">
      <c r="A8" s="90" t="s">
        <v>641</v>
      </c>
      <c r="B8" s="88" t="s">
        <v>540</v>
      </c>
      <c r="C8" s="89">
        <v>55</v>
      </c>
      <c r="D8" s="89">
        <v>55</v>
      </c>
      <c r="E8" s="88" t="s">
        <v>541</v>
      </c>
      <c r="F8" s="88">
        <v>3</v>
      </c>
      <c r="G8" s="88">
        <v>3</v>
      </c>
      <c r="H8" s="88" t="s">
        <v>543</v>
      </c>
      <c r="I8" s="88" t="s">
        <v>544</v>
      </c>
      <c r="J8" s="88">
        <v>1</v>
      </c>
      <c r="K8" s="88">
        <v>1</v>
      </c>
    </row>
    <row r="9" spans="1:11" x14ac:dyDescent="0.25">
      <c r="A9" s="98" t="s">
        <v>642</v>
      </c>
      <c r="B9" s="88" t="s">
        <v>545</v>
      </c>
      <c r="C9" s="89">
        <v>55</v>
      </c>
      <c r="D9" s="89">
        <v>55</v>
      </c>
      <c r="E9" s="88" t="s">
        <v>546</v>
      </c>
      <c r="F9" s="88">
        <v>4</v>
      </c>
      <c r="G9" s="88">
        <v>4</v>
      </c>
      <c r="H9" s="88" t="s">
        <v>543</v>
      </c>
      <c r="I9" s="88" t="s">
        <v>547</v>
      </c>
      <c r="J9" s="88">
        <v>1</v>
      </c>
      <c r="K9" s="88">
        <v>1</v>
      </c>
    </row>
    <row r="10" spans="1:11" x14ac:dyDescent="0.25">
      <c r="A10" s="98" t="s">
        <v>643</v>
      </c>
      <c r="B10" s="88" t="s">
        <v>548</v>
      </c>
      <c r="C10" s="89" t="s">
        <v>461</v>
      </c>
      <c r="D10" s="89" t="s">
        <v>461</v>
      </c>
      <c r="E10" s="89" t="s">
        <v>461</v>
      </c>
      <c r="F10" s="89" t="s">
        <v>461</v>
      </c>
      <c r="G10" s="89" t="s">
        <v>534</v>
      </c>
      <c r="H10" s="89" t="s">
        <v>461</v>
      </c>
      <c r="I10" s="89" t="s">
        <v>461</v>
      </c>
      <c r="J10" s="89" t="s">
        <v>460</v>
      </c>
      <c r="K10" s="89" t="s">
        <v>461</v>
      </c>
    </row>
    <row r="11" spans="1:11" x14ac:dyDescent="0.25">
      <c r="A11" s="98" t="s">
        <v>644</v>
      </c>
      <c r="B11" s="88" t="s">
        <v>549</v>
      </c>
      <c r="C11" s="89">
        <v>55</v>
      </c>
      <c r="D11" s="89">
        <v>55</v>
      </c>
      <c r="E11" s="88" t="s">
        <v>546</v>
      </c>
      <c r="F11" s="88">
        <v>4</v>
      </c>
      <c r="G11" s="88">
        <v>4</v>
      </c>
      <c r="H11" s="88" t="s">
        <v>543</v>
      </c>
      <c r="I11" s="88" t="s">
        <v>544</v>
      </c>
      <c r="J11" s="88">
        <v>1</v>
      </c>
      <c r="K11" s="88">
        <v>1</v>
      </c>
    </row>
    <row r="12" spans="1:11" x14ac:dyDescent="0.25">
      <c r="A12" s="98" t="s">
        <v>645</v>
      </c>
      <c r="B12" s="88" t="s">
        <v>550</v>
      </c>
      <c r="C12" s="89">
        <v>55</v>
      </c>
      <c r="D12" s="89">
        <v>55</v>
      </c>
      <c r="E12" s="88" t="s">
        <v>488</v>
      </c>
      <c r="F12" s="88">
        <v>3</v>
      </c>
      <c r="G12" s="88">
        <v>3</v>
      </c>
      <c r="H12" s="88" t="s">
        <v>543</v>
      </c>
      <c r="I12" s="88" t="s">
        <v>544</v>
      </c>
      <c r="J12" s="88">
        <v>1</v>
      </c>
      <c r="K12" s="88">
        <v>1</v>
      </c>
    </row>
    <row r="13" spans="1:11" x14ac:dyDescent="0.25">
      <c r="A13" s="98" t="s">
        <v>646</v>
      </c>
      <c r="B13" s="88" t="s">
        <v>551</v>
      </c>
      <c r="C13" s="89" t="s">
        <v>461</v>
      </c>
      <c r="D13" s="89" t="s">
        <v>533</v>
      </c>
      <c r="E13" s="89" t="s">
        <v>461</v>
      </c>
      <c r="F13" s="89" t="s">
        <v>461</v>
      </c>
      <c r="G13" s="89" t="s">
        <v>461</v>
      </c>
      <c r="H13" s="89" t="s">
        <v>461</v>
      </c>
      <c r="I13" s="89" t="s">
        <v>461</v>
      </c>
      <c r="J13" s="89" t="s">
        <v>461</v>
      </c>
      <c r="K13" s="89" t="s">
        <v>461</v>
      </c>
    </row>
    <row r="14" spans="1:11" x14ac:dyDescent="0.25">
      <c r="A14" s="98" t="s">
        <v>420</v>
      </c>
      <c r="B14" s="88" t="s">
        <v>552</v>
      </c>
      <c r="C14" s="89" t="s">
        <v>461</v>
      </c>
      <c r="D14" s="89" t="s">
        <v>461</v>
      </c>
      <c r="E14" s="89" t="s">
        <v>461</v>
      </c>
      <c r="F14" s="89" t="s">
        <v>461</v>
      </c>
      <c r="G14" s="89" t="s">
        <v>461</v>
      </c>
      <c r="H14" s="89" t="s">
        <v>461</v>
      </c>
      <c r="I14" s="89" t="s">
        <v>461</v>
      </c>
      <c r="J14" s="89" t="s">
        <v>461</v>
      </c>
      <c r="K14" s="89" t="s">
        <v>461</v>
      </c>
    </row>
    <row r="15" spans="1:11" x14ac:dyDescent="0.25">
      <c r="A15" s="98" t="s">
        <v>421</v>
      </c>
      <c r="B15" s="88" t="s">
        <v>553</v>
      </c>
      <c r="C15" s="89" t="s">
        <v>461</v>
      </c>
      <c r="D15" s="89" t="s">
        <v>461</v>
      </c>
      <c r="E15" s="89" t="s">
        <v>460</v>
      </c>
      <c r="F15" s="89" t="s">
        <v>461</v>
      </c>
      <c r="G15" s="89" t="s">
        <v>461</v>
      </c>
      <c r="H15" s="89" t="s">
        <v>461</v>
      </c>
      <c r="I15" s="89" t="s">
        <v>461</v>
      </c>
      <c r="J15" s="89" t="s">
        <v>461</v>
      </c>
      <c r="K15" s="89" t="s">
        <v>461</v>
      </c>
    </row>
    <row r="16" spans="1:11" x14ac:dyDescent="0.25">
      <c r="A16" s="98" t="s">
        <v>422</v>
      </c>
      <c r="B16" s="88" t="s">
        <v>554</v>
      </c>
      <c r="C16" s="89" t="s">
        <v>461</v>
      </c>
      <c r="D16" s="89" t="s">
        <v>461</v>
      </c>
      <c r="E16" s="89" t="s">
        <v>461</v>
      </c>
      <c r="F16" s="89" t="s">
        <v>461</v>
      </c>
      <c r="G16" s="89" t="s">
        <v>461</v>
      </c>
      <c r="H16" s="89" t="s">
        <v>461</v>
      </c>
      <c r="I16" s="89" t="s">
        <v>461</v>
      </c>
      <c r="J16" s="89" t="s">
        <v>461</v>
      </c>
      <c r="K16" s="89" t="s">
        <v>461</v>
      </c>
    </row>
    <row r="17" spans="1:11" x14ac:dyDescent="0.25">
      <c r="A17" s="98" t="s">
        <v>423</v>
      </c>
      <c r="B17" s="88" t="s">
        <v>555</v>
      </c>
      <c r="C17" s="89" t="s">
        <v>461</v>
      </c>
      <c r="D17" s="89" t="s">
        <v>461</v>
      </c>
      <c r="E17" s="89" t="s">
        <v>461</v>
      </c>
      <c r="F17" s="89" t="s">
        <v>461</v>
      </c>
      <c r="G17" s="89" t="s">
        <v>461</v>
      </c>
      <c r="H17" s="89" t="s">
        <v>461</v>
      </c>
      <c r="I17" s="89" t="s">
        <v>461</v>
      </c>
      <c r="J17" s="89" t="s">
        <v>461</v>
      </c>
      <c r="K17" s="89" t="s">
        <v>461</v>
      </c>
    </row>
    <row r="18" spans="1:11" x14ac:dyDescent="0.25">
      <c r="A18" s="98" t="s">
        <v>424</v>
      </c>
      <c r="B18" s="88" t="s">
        <v>556</v>
      </c>
      <c r="C18" s="89" t="s">
        <v>535</v>
      </c>
      <c r="D18" s="89" t="s">
        <v>461</v>
      </c>
      <c r="E18" s="89" t="s">
        <v>461</v>
      </c>
      <c r="F18" s="89" t="s">
        <v>461</v>
      </c>
      <c r="G18" s="89" t="s">
        <v>461</v>
      </c>
      <c r="H18" s="89" t="s">
        <v>461</v>
      </c>
      <c r="I18" s="89" t="s">
        <v>461</v>
      </c>
      <c r="J18" s="89" t="s">
        <v>461</v>
      </c>
      <c r="K18" s="89" t="s">
        <v>461</v>
      </c>
    </row>
    <row r="19" spans="1:11" x14ac:dyDescent="0.25">
      <c r="A19" s="98" t="s">
        <v>647</v>
      </c>
      <c r="B19" s="88" t="s">
        <v>557</v>
      </c>
      <c r="C19" s="89" t="s">
        <v>461</v>
      </c>
      <c r="D19" s="89" t="s">
        <v>461</v>
      </c>
      <c r="E19" s="89" t="s">
        <v>461</v>
      </c>
      <c r="F19" s="89" t="s">
        <v>461</v>
      </c>
      <c r="G19" s="89" t="s">
        <v>461</v>
      </c>
      <c r="H19" s="89" t="s">
        <v>461</v>
      </c>
      <c r="I19" s="89" t="s">
        <v>461</v>
      </c>
      <c r="J19" s="89" t="s">
        <v>461</v>
      </c>
      <c r="K19" s="89" t="s">
        <v>534</v>
      </c>
    </row>
    <row r="20" spans="1:11" x14ac:dyDescent="0.25">
      <c r="A20" s="98" t="s">
        <v>620</v>
      </c>
      <c r="B20" s="88" t="s">
        <v>558</v>
      </c>
      <c r="C20" s="89">
        <v>55</v>
      </c>
      <c r="D20" s="89">
        <v>55</v>
      </c>
      <c r="E20" s="88" t="s">
        <v>488</v>
      </c>
      <c r="F20" s="88">
        <v>3</v>
      </c>
      <c r="G20" s="88">
        <v>3</v>
      </c>
      <c r="H20" s="88" t="s">
        <v>543</v>
      </c>
      <c r="I20" s="88" t="s">
        <v>544</v>
      </c>
      <c r="J20" s="88">
        <v>1</v>
      </c>
      <c r="K20" s="88">
        <v>1</v>
      </c>
    </row>
    <row r="21" spans="1:11" x14ac:dyDescent="0.25">
      <c r="A21" s="98" t="s">
        <v>648</v>
      </c>
      <c r="B21" s="88" t="s">
        <v>559</v>
      </c>
      <c r="C21" s="89">
        <v>55</v>
      </c>
      <c r="D21" s="89">
        <v>55</v>
      </c>
      <c r="E21" s="88" t="s">
        <v>488</v>
      </c>
      <c r="F21" s="88">
        <v>3</v>
      </c>
      <c r="G21" s="88">
        <v>3</v>
      </c>
      <c r="H21" s="88" t="s">
        <v>543</v>
      </c>
      <c r="I21" s="88" t="s">
        <v>544</v>
      </c>
      <c r="J21" s="88">
        <v>1</v>
      </c>
      <c r="K21" s="88">
        <v>1</v>
      </c>
    </row>
    <row r="22" spans="1:11" x14ac:dyDescent="0.25">
      <c r="A22" s="98" t="s">
        <v>649</v>
      </c>
      <c r="B22" s="88" t="s">
        <v>560</v>
      </c>
      <c r="C22" s="89">
        <v>55</v>
      </c>
      <c r="D22" s="89">
        <v>55</v>
      </c>
      <c r="E22" s="88" t="s">
        <v>546</v>
      </c>
      <c r="F22" s="88">
        <v>4</v>
      </c>
      <c r="G22" s="88">
        <v>4</v>
      </c>
      <c r="H22" s="88" t="s">
        <v>543</v>
      </c>
      <c r="I22" s="88" t="s">
        <v>544</v>
      </c>
      <c r="J22" s="88">
        <v>1</v>
      </c>
      <c r="K22" s="88">
        <v>1</v>
      </c>
    </row>
    <row r="23" spans="1:11" x14ac:dyDescent="0.25">
      <c r="A23" s="98" t="s">
        <v>650</v>
      </c>
      <c r="B23" s="88" t="s">
        <v>561</v>
      </c>
      <c r="C23" s="89">
        <v>55</v>
      </c>
      <c r="D23" s="89">
        <v>55</v>
      </c>
      <c r="E23" s="88" t="s">
        <v>488</v>
      </c>
      <c r="F23" s="88">
        <v>3</v>
      </c>
      <c r="G23" s="88">
        <v>3</v>
      </c>
      <c r="H23" s="88" t="s">
        <v>543</v>
      </c>
      <c r="I23" s="88" t="s">
        <v>544</v>
      </c>
      <c r="J23" s="88">
        <v>1</v>
      </c>
      <c r="K23" s="88">
        <v>1</v>
      </c>
    </row>
    <row r="24" spans="1:11" x14ac:dyDescent="0.25">
      <c r="A24" s="98" t="s">
        <v>640</v>
      </c>
      <c r="B24" s="88" t="s">
        <v>539</v>
      </c>
      <c r="C24" s="89">
        <v>55</v>
      </c>
      <c r="D24" s="89">
        <v>55</v>
      </c>
      <c r="E24" s="88" t="s">
        <v>488</v>
      </c>
      <c r="F24" s="88">
        <v>3</v>
      </c>
      <c r="G24" s="88">
        <v>3</v>
      </c>
      <c r="H24" s="88" t="s">
        <v>543</v>
      </c>
      <c r="I24" s="88" t="s">
        <v>544</v>
      </c>
      <c r="J24" s="88">
        <v>1</v>
      </c>
      <c r="K24" s="88">
        <v>1</v>
      </c>
    </row>
    <row r="25" spans="1:11" x14ac:dyDescent="0.25">
      <c r="A25" s="98" t="s">
        <v>641</v>
      </c>
      <c r="B25" s="88" t="s">
        <v>540</v>
      </c>
      <c r="C25" s="89">
        <v>55</v>
      </c>
      <c r="D25" s="89">
        <v>55</v>
      </c>
      <c r="E25" s="88" t="s">
        <v>546</v>
      </c>
      <c r="F25" s="88">
        <v>4</v>
      </c>
      <c r="G25" s="88">
        <v>4</v>
      </c>
      <c r="H25" s="88" t="s">
        <v>543</v>
      </c>
      <c r="I25" s="88" t="s">
        <v>544</v>
      </c>
      <c r="J25" s="88">
        <v>1</v>
      </c>
      <c r="K25" s="88">
        <v>1</v>
      </c>
    </row>
    <row r="26" spans="1:11" x14ac:dyDescent="0.25">
      <c r="A26" s="98" t="s">
        <v>642</v>
      </c>
      <c r="B26" s="88" t="s">
        <v>545</v>
      </c>
      <c r="C26" s="89">
        <v>55</v>
      </c>
      <c r="D26" s="89">
        <v>55</v>
      </c>
      <c r="E26" s="88" t="s">
        <v>546</v>
      </c>
      <c r="F26" s="88">
        <v>4</v>
      </c>
      <c r="G26" s="88">
        <v>4</v>
      </c>
      <c r="H26" s="88" t="s">
        <v>543</v>
      </c>
      <c r="I26" s="88" t="s">
        <v>544</v>
      </c>
      <c r="J26" s="88">
        <v>1</v>
      </c>
      <c r="K26" s="88">
        <v>1</v>
      </c>
    </row>
    <row r="27" spans="1:11" x14ac:dyDescent="0.25">
      <c r="A27" s="98" t="s">
        <v>643</v>
      </c>
      <c r="B27" s="88" t="s">
        <v>562</v>
      </c>
      <c r="C27" s="89">
        <v>55</v>
      </c>
      <c r="D27" s="89">
        <v>55</v>
      </c>
      <c r="E27" s="88" t="s">
        <v>488</v>
      </c>
      <c r="F27" s="88">
        <v>3</v>
      </c>
      <c r="G27" s="88">
        <v>3</v>
      </c>
      <c r="H27" s="88" t="s">
        <v>543</v>
      </c>
      <c r="I27" s="88" t="s">
        <v>544</v>
      </c>
      <c r="J27" s="88">
        <v>1</v>
      </c>
      <c r="K27" s="88">
        <v>1</v>
      </c>
    </row>
    <row r="28" spans="1:11" x14ac:dyDescent="0.25">
      <c r="A28" s="98" t="s">
        <v>644</v>
      </c>
      <c r="B28" s="88" t="s">
        <v>563</v>
      </c>
      <c r="C28" s="89">
        <v>55</v>
      </c>
      <c r="D28" s="89">
        <v>55</v>
      </c>
      <c r="E28" s="88" t="s">
        <v>546</v>
      </c>
      <c r="F28" s="88">
        <v>4</v>
      </c>
      <c r="G28" s="88">
        <v>4</v>
      </c>
      <c r="H28" s="88" t="s">
        <v>543</v>
      </c>
      <c r="I28" s="88" t="s">
        <v>544</v>
      </c>
      <c r="J28" s="88">
        <v>1</v>
      </c>
      <c r="K28" s="88">
        <v>1</v>
      </c>
    </row>
    <row r="29" spans="1:11" x14ac:dyDescent="0.25">
      <c r="A29" s="98" t="s">
        <v>645</v>
      </c>
      <c r="B29" s="88" t="s">
        <v>550</v>
      </c>
      <c r="C29" s="89">
        <v>55</v>
      </c>
      <c r="D29" s="89">
        <v>55</v>
      </c>
      <c r="E29" s="88" t="s">
        <v>564</v>
      </c>
      <c r="F29" s="88">
        <v>5</v>
      </c>
      <c r="G29" s="88">
        <v>5</v>
      </c>
      <c r="H29" s="88" t="s">
        <v>543</v>
      </c>
      <c r="I29" s="88" t="s">
        <v>544</v>
      </c>
      <c r="J29" s="88">
        <v>1</v>
      </c>
      <c r="K29" s="88">
        <v>1</v>
      </c>
    </row>
    <row r="30" spans="1:11" x14ac:dyDescent="0.25">
      <c r="A30" s="98" t="s">
        <v>646</v>
      </c>
      <c r="B30" s="88" t="s">
        <v>551</v>
      </c>
      <c r="C30" s="89">
        <v>55</v>
      </c>
      <c r="D30" s="89">
        <v>55</v>
      </c>
      <c r="E30" s="88" t="s">
        <v>546</v>
      </c>
      <c r="F30" s="88">
        <v>4</v>
      </c>
      <c r="G30" s="88">
        <v>4</v>
      </c>
      <c r="H30" s="88" t="s">
        <v>543</v>
      </c>
      <c r="I30" s="88" t="s">
        <v>544</v>
      </c>
      <c r="J30" s="88">
        <v>1</v>
      </c>
      <c r="K30" s="88">
        <v>1</v>
      </c>
    </row>
    <row r="31" spans="1:11" x14ac:dyDescent="0.25">
      <c r="A31" s="98" t="s">
        <v>420</v>
      </c>
      <c r="B31" s="88" t="s">
        <v>552</v>
      </c>
      <c r="C31" s="89">
        <v>55</v>
      </c>
      <c r="D31" s="89">
        <v>55</v>
      </c>
      <c r="E31" s="88" t="s">
        <v>546</v>
      </c>
      <c r="F31" s="88">
        <v>4</v>
      </c>
      <c r="G31" s="88">
        <v>4</v>
      </c>
      <c r="H31" s="88" t="s">
        <v>543</v>
      </c>
      <c r="I31" s="88" t="s">
        <v>544</v>
      </c>
      <c r="J31" s="88">
        <v>1</v>
      </c>
      <c r="K31" s="88">
        <v>1</v>
      </c>
    </row>
    <row r="32" spans="1:11" x14ac:dyDescent="0.25">
      <c r="A32" s="98" t="s">
        <v>421</v>
      </c>
      <c r="B32" s="88" t="s">
        <v>553</v>
      </c>
      <c r="C32" s="89">
        <v>55</v>
      </c>
      <c r="D32" s="89">
        <v>55</v>
      </c>
      <c r="E32" s="88" t="s">
        <v>488</v>
      </c>
      <c r="F32" s="88">
        <v>3</v>
      </c>
      <c r="G32" s="88">
        <v>3</v>
      </c>
      <c r="H32" s="88" t="s">
        <v>543</v>
      </c>
      <c r="I32" s="88" t="s">
        <v>544</v>
      </c>
      <c r="J32" s="88">
        <v>1</v>
      </c>
      <c r="K32" s="88">
        <v>1</v>
      </c>
    </row>
    <row r="33" spans="1:11" x14ac:dyDescent="0.25">
      <c r="A33" s="98" t="s">
        <v>422</v>
      </c>
      <c r="B33" s="88" t="s">
        <v>554</v>
      </c>
      <c r="C33" s="89">
        <v>55</v>
      </c>
      <c r="D33" s="89">
        <v>55</v>
      </c>
      <c r="E33" s="88" t="s">
        <v>565</v>
      </c>
      <c r="F33" s="88">
        <v>6</v>
      </c>
      <c r="G33" s="88">
        <v>6</v>
      </c>
      <c r="H33" s="88" t="s">
        <v>543</v>
      </c>
      <c r="I33" s="88" t="s">
        <v>544</v>
      </c>
      <c r="J33" s="88">
        <v>2</v>
      </c>
      <c r="K33" s="88">
        <v>2</v>
      </c>
    </row>
    <row r="34" spans="1:11" x14ac:dyDescent="0.25">
      <c r="A34" s="98" t="s">
        <v>423</v>
      </c>
      <c r="B34" s="88" t="s">
        <v>555</v>
      </c>
      <c r="C34" s="89">
        <v>55</v>
      </c>
      <c r="D34" s="89">
        <v>55</v>
      </c>
      <c r="E34" s="88" t="s">
        <v>564</v>
      </c>
      <c r="F34" s="88">
        <v>5</v>
      </c>
      <c r="G34" s="88">
        <v>5</v>
      </c>
      <c r="H34" s="88" t="s">
        <v>543</v>
      </c>
      <c r="I34" s="88" t="s">
        <v>544</v>
      </c>
      <c r="J34" s="88">
        <v>1</v>
      </c>
      <c r="K34" s="88">
        <v>1</v>
      </c>
    </row>
    <row r="35" spans="1:11" x14ac:dyDescent="0.25">
      <c r="A35" s="98" t="s">
        <v>424</v>
      </c>
      <c r="B35" s="88" t="s">
        <v>556</v>
      </c>
      <c r="C35" s="89">
        <v>55</v>
      </c>
      <c r="D35" s="89">
        <v>55</v>
      </c>
      <c r="E35" s="88" t="s">
        <v>488</v>
      </c>
      <c r="F35" s="88">
        <v>3</v>
      </c>
      <c r="G35" s="88">
        <v>3</v>
      </c>
      <c r="H35" s="88" t="s">
        <v>543</v>
      </c>
      <c r="I35" s="88" t="s">
        <v>544</v>
      </c>
      <c r="J35" s="88">
        <v>1</v>
      </c>
      <c r="K35" s="88">
        <v>1</v>
      </c>
    </row>
    <row r="36" spans="1:11" x14ac:dyDescent="0.25">
      <c r="A36" s="98" t="s">
        <v>647</v>
      </c>
      <c r="B36" s="88" t="s">
        <v>557</v>
      </c>
      <c r="C36" s="89">
        <v>50</v>
      </c>
      <c r="D36" s="89">
        <v>50</v>
      </c>
      <c r="E36" s="88" t="s">
        <v>488</v>
      </c>
      <c r="F36" s="88">
        <v>3</v>
      </c>
      <c r="G36" s="88">
        <v>3</v>
      </c>
      <c r="H36" s="88" t="s">
        <v>543</v>
      </c>
      <c r="I36" s="88" t="s">
        <v>544</v>
      </c>
      <c r="J36" s="88">
        <v>1</v>
      </c>
      <c r="K36" s="88">
        <v>1</v>
      </c>
    </row>
    <row r="37" spans="1:11" x14ac:dyDescent="0.25">
      <c r="A37" s="98" t="s">
        <v>620</v>
      </c>
      <c r="B37" s="88" t="s">
        <v>558</v>
      </c>
      <c r="C37" s="89">
        <v>55</v>
      </c>
      <c r="D37" s="89">
        <v>55</v>
      </c>
      <c r="E37" s="88" t="s">
        <v>564</v>
      </c>
      <c r="F37" s="88">
        <v>5</v>
      </c>
      <c r="G37" s="88">
        <v>5</v>
      </c>
      <c r="H37" s="88" t="s">
        <v>543</v>
      </c>
      <c r="I37" s="88" t="s">
        <v>543</v>
      </c>
      <c r="J37" s="88">
        <v>1</v>
      </c>
      <c r="K37" s="88">
        <v>1</v>
      </c>
    </row>
    <row r="38" spans="1:11" x14ac:dyDescent="0.25">
      <c r="A38" s="98" t="s">
        <v>648</v>
      </c>
      <c r="B38" s="88" t="s">
        <v>559</v>
      </c>
      <c r="C38" s="89">
        <v>55</v>
      </c>
      <c r="D38" s="89">
        <v>55</v>
      </c>
      <c r="E38" s="88" t="s">
        <v>564</v>
      </c>
      <c r="F38" s="88">
        <v>5</v>
      </c>
      <c r="G38" s="88">
        <v>5</v>
      </c>
      <c r="H38" s="88" t="s">
        <v>543</v>
      </c>
      <c r="I38" s="88" t="s">
        <v>543</v>
      </c>
      <c r="J38" s="88">
        <v>1</v>
      </c>
      <c r="K38" s="88">
        <v>1</v>
      </c>
    </row>
    <row r="39" spans="1:11" x14ac:dyDescent="0.25">
      <c r="A39" s="98" t="s">
        <v>649</v>
      </c>
      <c r="B39" s="88" t="s">
        <v>560</v>
      </c>
      <c r="C39" s="89">
        <v>55</v>
      </c>
      <c r="D39" s="89">
        <v>55</v>
      </c>
      <c r="E39" s="88" t="s">
        <v>564</v>
      </c>
      <c r="F39" s="88">
        <v>5</v>
      </c>
      <c r="G39" s="88">
        <v>5</v>
      </c>
      <c r="H39" s="88" t="s">
        <v>543</v>
      </c>
      <c r="I39" s="88" t="s">
        <v>543</v>
      </c>
      <c r="J39" s="88">
        <v>1</v>
      </c>
      <c r="K39" s="88">
        <v>1</v>
      </c>
    </row>
    <row r="40" spans="1:11" x14ac:dyDescent="0.25">
      <c r="A40" s="98" t="s">
        <v>650</v>
      </c>
      <c r="B40" s="88" t="s">
        <v>561</v>
      </c>
      <c r="C40" s="89">
        <v>55</v>
      </c>
      <c r="D40" s="89">
        <v>55</v>
      </c>
      <c r="E40" s="88" t="s">
        <v>564</v>
      </c>
      <c r="F40" s="88">
        <v>5</v>
      </c>
      <c r="G40" s="88">
        <v>5</v>
      </c>
      <c r="H40" s="88" t="s">
        <v>543</v>
      </c>
      <c r="I40" s="88" t="s">
        <v>543</v>
      </c>
      <c r="J40" s="88">
        <v>1</v>
      </c>
      <c r="K40" s="88">
        <v>1</v>
      </c>
    </row>
    <row r="41" spans="1:11" x14ac:dyDescent="0.25">
      <c r="A41" s="98" t="s">
        <v>640</v>
      </c>
      <c r="B41" s="88" t="s">
        <v>539</v>
      </c>
      <c r="C41" s="89">
        <v>55</v>
      </c>
      <c r="D41" s="89">
        <v>55</v>
      </c>
      <c r="E41" s="88" t="s">
        <v>564</v>
      </c>
      <c r="F41" s="88">
        <v>5</v>
      </c>
      <c r="G41" s="88">
        <v>5</v>
      </c>
      <c r="H41" s="88" t="s">
        <v>543</v>
      </c>
      <c r="I41" s="88" t="s">
        <v>543</v>
      </c>
      <c r="J41" s="88">
        <v>1</v>
      </c>
      <c r="K41" s="88">
        <v>1</v>
      </c>
    </row>
    <row r="42" spans="1:11" x14ac:dyDescent="0.25">
      <c r="A42" s="98" t="s">
        <v>641</v>
      </c>
      <c r="B42" s="88" t="s">
        <v>540</v>
      </c>
      <c r="C42" s="89">
        <v>55</v>
      </c>
      <c r="D42" s="89">
        <v>55</v>
      </c>
      <c r="E42" s="88" t="s">
        <v>566</v>
      </c>
      <c r="F42" s="88">
        <v>7</v>
      </c>
      <c r="G42" s="88">
        <v>7</v>
      </c>
      <c r="H42" s="88" t="s">
        <v>542</v>
      </c>
      <c r="I42" s="88" t="s">
        <v>543</v>
      </c>
      <c r="J42" s="88">
        <v>2</v>
      </c>
      <c r="K42" s="88">
        <v>2</v>
      </c>
    </row>
    <row r="43" spans="1:11" x14ac:dyDescent="0.25">
      <c r="A43" s="98" t="s">
        <v>642</v>
      </c>
      <c r="B43" s="88" t="s">
        <v>545</v>
      </c>
      <c r="C43" s="89">
        <v>55</v>
      </c>
      <c r="D43" s="89">
        <v>55</v>
      </c>
      <c r="E43" s="88" t="s">
        <v>566</v>
      </c>
      <c r="F43" s="88">
        <v>7</v>
      </c>
      <c r="G43" s="88">
        <v>7</v>
      </c>
      <c r="H43" s="88" t="s">
        <v>543</v>
      </c>
      <c r="I43" s="88" t="s">
        <v>543</v>
      </c>
      <c r="J43" s="88">
        <v>2</v>
      </c>
      <c r="K43" s="88">
        <v>2</v>
      </c>
    </row>
    <row r="44" spans="1:11" x14ac:dyDescent="0.25">
      <c r="A44" s="98" t="s">
        <v>643</v>
      </c>
      <c r="B44" s="88" t="s">
        <v>562</v>
      </c>
      <c r="C44" s="89">
        <v>55</v>
      </c>
      <c r="D44" s="89">
        <v>55</v>
      </c>
      <c r="E44" s="88" t="s">
        <v>564</v>
      </c>
      <c r="F44" s="88">
        <v>5</v>
      </c>
      <c r="G44" s="88">
        <v>5</v>
      </c>
      <c r="H44" s="88" t="s">
        <v>543</v>
      </c>
      <c r="I44" s="88" t="s">
        <v>543</v>
      </c>
      <c r="J44" s="88">
        <v>1</v>
      </c>
      <c r="K44" s="88">
        <v>1</v>
      </c>
    </row>
    <row r="45" spans="1:11" x14ac:dyDescent="0.25">
      <c r="A45" s="98" t="s">
        <v>644</v>
      </c>
      <c r="B45" s="88" t="s">
        <v>563</v>
      </c>
      <c r="C45" s="89">
        <v>55</v>
      </c>
      <c r="D45" s="89">
        <v>55</v>
      </c>
      <c r="E45" s="88" t="s">
        <v>565</v>
      </c>
      <c r="F45" s="88">
        <v>6</v>
      </c>
      <c r="G45" s="88">
        <v>6</v>
      </c>
      <c r="H45" s="88" t="s">
        <v>543</v>
      </c>
      <c r="I45" s="88" t="s">
        <v>543</v>
      </c>
      <c r="J45" s="88">
        <v>2</v>
      </c>
      <c r="K45" s="88">
        <v>2</v>
      </c>
    </row>
    <row r="46" spans="1:11" x14ac:dyDescent="0.25">
      <c r="A46" s="98" t="s">
        <v>645</v>
      </c>
      <c r="B46" s="88" t="s">
        <v>550</v>
      </c>
      <c r="C46" s="89">
        <v>55</v>
      </c>
      <c r="D46" s="89">
        <v>55</v>
      </c>
      <c r="E46" s="88" t="s">
        <v>567</v>
      </c>
      <c r="F46" s="88">
        <v>8</v>
      </c>
      <c r="G46" s="88">
        <v>8</v>
      </c>
      <c r="H46" s="88" t="s">
        <v>543</v>
      </c>
      <c r="I46" s="88" t="s">
        <v>543</v>
      </c>
      <c r="J46" s="88">
        <v>3</v>
      </c>
      <c r="K46" s="88">
        <v>3</v>
      </c>
    </row>
    <row r="47" spans="1:11" x14ac:dyDescent="0.25">
      <c r="A47" s="98" t="s">
        <v>646</v>
      </c>
      <c r="B47" s="88" t="s">
        <v>551</v>
      </c>
      <c r="C47" s="89">
        <v>55</v>
      </c>
      <c r="D47" s="89">
        <v>55</v>
      </c>
      <c r="E47" s="88" t="s">
        <v>564</v>
      </c>
      <c r="F47" s="88">
        <v>5</v>
      </c>
      <c r="G47" s="88">
        <v>5</v>
      </c>
      <c r="H47" s="88" t="s">
        <v>543</v>
      </c>
      <c r="I47" s="88" t="s">
        <v>543</v>
      </c>
      <c r="J47" s="88">
        <v>1</v>
      </c>
      <c r="K47" s="88">
        <v>1</v>
      </c>
    </row>
    <row r="48" spans="1:11" x14ac:dyDescent="0.25">
      <c r="A48" s="98" t="s">
        <v>420</v>
      </c>
      <c r="B48" s="88" t="s">
        <v>552</v>
      </c>
      <c r="C48" s="89">
        <v>55</v>
      </c>
      <c r="D48" s="89">
        <v>55</v>
      </c>
      <c r="E48" s="88" t="s">
        <v>564</v>
      </c>
      <c r="F48" s="88">
        <v>5</v>
      </c>
      <c r="G48" s="88">
        <v>5</v>
      </c>
      <c r="H48" s="88" t="s">
        <v>543</v>
      </c>
      <c r="I48" s="88" t="s">
        <v>568</v>
      </c>
      <c r="J48" s="88">
        <v>1</v>
      </c>
      <c r="K48" s="88">
        <v>1</v>
      </c>
    </row>
    <row r="49" spans="1:11" x14ac:dyDescent="0.25">
      <c r="A49" s="98" t="s">
        <v>421</v>
      </c>
      <c r="B49" s="88" t="s">
        <v>553</v>
      </c>
      <c r="C49" s="89">
        <v>55</v>
      </c>
      <c r="D49" s="89">
        <v>55</v>
      </c>
      <c r="E49" s="88" t="s">
        <v>564</v>
      </c>
      <c r="F49" s="88">
        <v>5</v>
      </c>
      <c r="G49" s="88">
        <v>5</v>
      </c>
      <c r="H49" s="88" t="s">
        <v>543</v>
      </c>
      <c r="I49" s="88" t="s">
        <v>543</v>
      </c>
      <c r="J49" s="88">
        <v>1</v>
      </c>
      <c r="K49" s="88">
        <v>1</v>
      </c>
    </row>
    <row r="50" spans="1:11" x14ac:dyDescent="0.25">
      <c r="A50" s="98" t="s">
        <v>422</v>
      </c>
      <c r="B50" s="88" t="s">
        <v>554</v>
      </c>
      <c r="C50" s="89">
        <v>55</v>
      </c>
      <c r="D50" s="89">
        <v>55</v>
      </c>
      <c r="E50" s="88" t="s">
        <v>566</v>
      </c>
      <c r="F50" s="88">
        <v>7</v>
      </c>
      <c r="G50" s="88">
        <v>7</v>
      </c>
      <c r="H50" s="88" t="s">
        <v>543</v>
      </c>
      <c r="I50" s="88" t="s">
        <v>543</v>
      </c>
      <c r="J50" s="88">
        <v>2</v>
      </c>
      <c r="K50" s="88">
        <v>2</v>
      </c>
    </row>
    <row r="51" spans="1:11" x14ac:dyDescent="0.25">
      <c r="A51" s="98" t="s">
        <v>423</v>
      </c>
      <c r="B51" s="88" t="s">
        <v>555</v>
      </c>
      <c r="C51" s="89">
        <v>55</v>
      </c>
      <c r="D51" s="89">
        <v>55</v>
      </c>
      <c r="E51" s="88" t="s">
        <v>565</v>
      </c>
      <c r="F51" s="88">
        <v>6</v>
      </c>
      <c r="G51" s="88">
        <v>6</v>
      </c>
      <c r="H51" s="88" t="s">
        <v>543</v>
      </c>
      <c r="I51" s="88" t="s">
        <v>543</v>
      </c>
      <c r="J51" s="88">
        <v>2</v>
      </c>
      <c r="K51" s="88">
        <v>2</v>
      </c>
    </row>
    <row r="52" spans="1:11" x14ac:dyDescent="0.25">
      <c r="A52" s="98" t="s">
        <v>424</v>
      </c>
      <c r="B52" s="88" t="s">
        <v>556</v>
      </c>
      <c r="C52" s="89">
        <v>55</v>
      </c>
      <c r="D52" s="89">
        <v>55</v>
      </c>
      <c r="E52" s="88" t="s">
        <v>564</v>
      </c>
      <c r="F52" s="88">
        <v>5</v>
      </c>
      <c r="G52" s="88">
        <v>5</v>
      </c>
      <c r="H52" s="88" t="s">
        <v>543</v>
      </c>
      <c r="I52" s="88" t="s">
        <v>543</v>
      </c>
      <c r="J52" s="88">
        <v>1</v>
      </c>
      <c r="K52" s="88">
        <v>1</v>
      </c>
    </row>
    <row r="53" spans="1:11" x14ac:dyDescent="0.25">
      <c r="A53" s="98" t="s">
        <v>647</v>
      </c>
      <c r="B53" s="88" t="s">
        <v>557</v>
      </c>
      <c r="C53" s="89">
        <v>50</v>
      </c>
      <c r="D53" s="89">
        <v>50</v>
      </c>
      <c r="E53" s="88" t="s">
        <v>488</v>
      </c>
      <c r="F53" s="88">
        <v>3</v>
      </c>
      <c r="G53" s="88">
        <v>3</v>
      </c>
      <c r="H53" s="88" t="s">
        <v>543</v>
      </c>
      <c r="I53" s="88" t="s">
        <v>543</v>
      </c>
      <c r="J53" s="88">
        <v>1</v>
      </c>
      <c r="K53" s="88">
        <v>1</v>
      </c>
    </row>
  </sheetData>
  <mergeCells count="4">
    <mergeCell ref="A1:A2"/>
    <mergeCell ref="B1:B2"/>
    <mergeCell ref="E1:G1"/>
    <mergeCell ref="H1:K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0070C0"/>
  </sheetPr>
  <dimension ref="A1:Y118"/>
  <sheetViews>
    <sheetView tabSelected="1" topLeftCell="H1" zoomScaleNormal="100" workbookViewId="0">
      <selection activeCell="R17" sqref="R17"/>
    </sheetView>
  </sheetViews>
  <sheetFormatPr defaultRowHeight="16.5" x14ac:dyDescent="0.25"/>
  <cols>
    <col min="1" max="1" width="5.5" style="91" bestFit="1" customWidth="1"/>
    <col min="2" max="2" width="5.875" style="91" bestFit="1" customWidth="1"/>
    <col min="3" max="4" width="8" style="91" bestFit="1" customWidth="1"/>
    <col min="5" max="5" width="12.25" style="91" bestFit="1" customWidth="1"/>
    <col min="6" max="8" width="5.5" style="91" bestFit="1" customWidth="1"/>
    <col min="9" max="9" width="6.625" style="91" bestFit="1" customWidth="1"/>
    <col min="10" max="12" width="7.25" style="91" bestFit="1" customWidth="1"/>
    <col min="13" max="13" width="5.5" style="91" bestFit="1" customWidth="1"/>
    <col min="14" max="14" width="7.5" style="91" bestFit="1" customWidth="1"/>
    <col min="15" max="15" width="8.375" style="95" bestFit="1" customWidth="1"/>
    <col min="16" max="16" width="36.375" style="96" customWidth="1"/>
    <col min="26" max="34" width="9" style="87"/>
    <col min="35" max="35" width="13.5" style="87" bestFit="1" customWidth="1"/>
    <col min="36" max="36" width="9" style="87" customWidth="1"/>
    <col min="37" max="16384" width="9" style="87"/>
  </cols>
  <sheetData>
    <row r="1" spans="1:16" x14ac:dyDescent="0.25">
      <c r="A1" s="101" t="s">
        <v>418</v>
      </c>
      <c r="B1" s="101" t="s">
        <v>436</v>
      </c>
      <c r="C1" s="101" t="s">
        <v>437</v>
      </c>
      <c r="D1" s="101" t="s">
        <v>438</v>
      </c>
      <c r="E1" s="101" t="s">
        <v>439</v>
      </c>
      <c r="F1" s="101" t="s">
        <v>439</v>
      </c>
      <c r="G1" s="101"/>
      <c r="H1" s="101"/>
      <c r="I1" s="101" t="s">
        <v>441</v>
      </c>
      <c r="J1" s="101" t="s">
        <v>442</v>
      </c>
      <c r="K1" s="101"/>
      <c r="L1" s="101"/>
      <c r="M1" s="101" t="s">
        <v>443</v>
      </c>
      <c r="N1" s="101" t="s">
        <v>444</v>
      </c>
      <c r="O1" s="102" t="s">
        <v>652</v>
      </c>
      <c r="P1" s="106" t="s">
        <v>622</v>
      </c>
    </row>
    <row r="2" spans="1:16" ht="17.25" thickBot="1" x14ac:dyDescent="0.3">
      <c r="A2" s="101"/>
      <c r="B2" s="101"/>
      <c r="C2" s="101"/>
      <c r="D2" s="101"/>
      <c r="E2" s="101"/>
      <c r="F2" s="91" t="s">
        <v>445</v>
      </c>
      <c r="G2" s="91" t="s">
        <v>446</v>
      </c>
      <c r="H2" s="91" t="s">
        <v>447</v>
      </c>
      <c r="I2" s="101"/>
      <c r="J2" s="91" t="s">
        <v>600</v>
      </c>
      <c r="K2" s="91" t="s">
        <v>446</v>
      </c>
      <c r="L2" s="91" t="s">
        <v>447</v>
      </c>
      <c r="M2" s="101"/>
      <c r="N2" s="101"/>
      <c r="O2" s="102"/>
      <c r="P2" s="107"/>
    </row>
    <row r="3" spans="1:16" ht="17.25" thickTop="1" x14ac:dyDescent="0.25">
      <c r="A3" s="101" t="s">
        <v>449</v>
      </c>
      <c r="B3" s="101" t="s">
        <v>450</v>
      </c>
      <c r="C3" s="101">
        <v>30</v>
      </c>
      <c r="D3" s="101">
        <v>60</v>
      </c>
      <c r="E3" s="91" t="s">
        <v>451</v>
      </c>
      <c r="F3" s="91" t="s">
        <v>624</v>
      </c>
      <c r="G3" s="91" t="s">
        <v>625</v>
      </c>
      <c r="H3" s="91" t="s">
        <v>454</v>
      </c>
      <c r="I3" s="101" t="s">
        <v>455</v>
      </c>
      <c r="J3" s="105" t="s">
        <v>457</v>
      </c>
      <c r="K3" s="105" t="s">
        <v>458</v>
      </c>
      <c r="L3" s="105" t="s">
        <v>457</v>
      </c>
      <c r="M3" s="101"/>
      <c r="N3" s="101"/>
      <c r="O3" s="102" t="s">
        <v>569</v>
      </c>
      <c r="P3" s="108" t="s">
        <v>758</v>
      </c>
    </row>
    <row r="4" spans="1:16" x14ac:dyDescent="0.25">
      <c r="A4" s="101"/>
      <c r="B4" s="101"/>
      <c r="C4" s="101"/>
      <c r="D4" s="101"/>
      <c r="E4" s="91" t="s">
        <v>459</v>
      </c>
      <c r="F4" s="91" t="s">
        <v>460</v>
      </c>
      <c r="G4" s="91" t="s">
        <v>461</v>
      </c>
      <c r="H4" s="91" t="s">
        <v>462</v>
      </c>
      <c r="I4" s="101"/>
      <c r="J4" s="101"/>
      <c r="K4" s="101"/>
      <c r="L4" s="101"/>
      <c r="M4" s="101"/>
      <c r="N4" s="101"/>
      <c r="O4" s="102"/>
      <c r="P4" s="109"/>
    </row>
    <row r="5" spans="1:16" x14ac:dyDescent="0.25">
      <c r="A5" s="101"/>
      <c r="B5" s="101"/>
      <c r="C5" s="101"/>
      <c r="D5" s="101"/>
      <c r="E5" s="91" t="s">
        <v>463</v>
      </c>
      <c r="F5" s="91" t="s">
        <v>462</v>
      </c>
      <c r="G5" s="91" t="s">
        <v>461</v>
      </c>
      <c r="H5" s="91" t="s">
        <v>460</v>
      </c>
      <c r="I5" s="101"/>
      <c r="J5" s="101"/>
      <c r="K5" s="101"/>
      <c r="L5" s="101"/>
      <c r="M5" s="101"/>
      <c r="N5" s="101"/>
      <c r="O5" s="102"/>
      <c r="P5" s="109"/>
    </row>
    <row r="6" spans="1:16" x14ac:dyDescent="0.25">
      <c r="A6" s="101"/>
      <c r="B6" s="101"/>
      <c r="C6" s="101"/>
      <c r="D6" s="101"/>
      <c r="E6" s="91" t="s">
        <v>464</v>
      </c>
      <c r="F6" s="91" t="s">
        <v>466</v>
      </c>
      <c r="G6" s="91" t="s">
        <v>467</v>
      </c>
      <c r="H6" s="91" t="s">
        <v>468</v>
      </c>
      <c r="I6" s="101"/>
      <c r="J6" s="101"/>
      <c r="K6" s="101"/>
      <c r="L6" s="101"/>
      <c r="M6" s="101"/>
      <c r="N6" s="101"/>
      <c r="O6" s="102"/>
      <c r="P6" s="109"/>
    </row>
    <row r="7" spans="1:16" x14ac:dyDescent="0.25">
      <c r="A7" s="101" t="s">
        <v>469</v>
      </c>
      <c r="B7" s="101" t="s">
        <v>470</v>
      </c>
      <c r="C7" s="101">
        <v>30</v>
      </c>
      <c r="D7" s="101">
        <v>60</v>
      </c>
      <c r="E7" s="91" t="s">
        <v>471</v>
      </c>
      <c r="F7" s="91" t="s">
        <v>467</v>
      </c>
      <c r="G7" s="91" t="s">
        <v>472</v>
      </c>
      <c r="H7" s="91" t="s">
        <v>465</v>
      </c>
      <c r="I7" s="101" t="s">
        <v>473</v>
      </c>
      <c r="J7" s="105" t="s">
        <v>474</v>
      </c>
      <c r="K7" s="105" t="s">
        <v>475</v>
      </c>
      <c r="L7" s="105" t="s">
        <v>637</v>
      </c>
      <c r="M7" s="101"/>
      <c r="N7" s="101"/>
      <c r="O7" s="102" t="s">
        <v>570</v>
      </c>
      <c r="P7" s="110" t="s">
        <v>659</v>
      </c>
    </row>
    <row r="8" spans="1:16" x14ac:dyDescent="0.25">
      <c r="A8" s="101"/>
      <c r="B8" s="101"/>
      <c r="C8" s="101"/>
      <c r="D8" s="101"/>
      <c r="E8" s="91" t="s">
        <v>459</v>
      </c>
      <c r="F8" s="91" t="s">
        <v>460</v>
      </c>
      <c r="G8" s="91" t="s">
        <v>460</v>
      </c>
      <c r="H8" s="91" t="s">
        <v>461</v>
      </c>
      <c r="I8" s="101"/>
      <c r="J8" s="101"/>
      <c r="K8" s="101"/>
      <c r="L8" s="101"/>
      <c r="M8" s="101"/>
      <c r="N8" s="101"/>
      <c r="O8" s="102"/>
      <c r="P8" s="109"/>
    </row>
    <row r="9" spans="1:16" x14ac:dyDescent="0.25">
      <c r="A9" s="101"/>
      <c r="B9" s="101"/>
      <c r="C9" s="101"/>
      <c r="D9" s="101"/>
      <c r="E9" s="91" t="s">
        <v>476</v>
      </c>
      <c r="F9" s="91" t="s">
        <v>461</v>
      </c>
      <c r="G9" s="91" t="s">
        <v>461</v>
      </c>
      <c r="H9" s="91" t="s">
        <v>461</v>
      </c>
      <c r="I9" s="101"/>
      <c r="J9" s="101"/>
      <c r="K9" s="101"/>
      <c r="L9" s="101"/>
      <c r="M9" s="101"/>
      <c r="N9" s="101"/>
      <c r="O9" s="102"/>
      <c r="P9" s="109"/>
    </row>
    <row r="10" spans="1:16" x14ac:dyDescent="0.25">
      <c r="A10" s="101"/>
      <c r="B10" s="101"/>
      <c r="C10" s="101"/>
      <c r="D10" s="101"/>
      <c r="E10" s="91" t="s">
        <v>464</v>
      </c>
      <c r="F10" s="91" t="s">
        <v>638</v>
      </c>
      <c r="G10" s="91" t="s">
        <v>623</v>
      </c>
      <c r="H10" s="91" t="s">
        <v>636</v>
      </c>
      <c r="I10" s="101"/>
      <c r="J10" s="101"/>
      <c r="K10" s="101"/>
      <c r="L10" s="101"/>
      <c r="M10" s="101"/>
      <c r="N10" s="101"/>
      <c r="O10" s="102"/>
      <c r="P10" s="109"/>
    </row>
    <row r="11" spans="1:16" x14ac:dyDescent="0.25">
      <c r="A11" s="101" t="s">
        <v>469</v>
      </c>
      <c r="B11" s="101" t="s">
        <v>477</v>
      </c>
      <c r="C11" s="101">
        <v>30</v>
      </c>
      <c r="D11" s="101">
        <v>60</v>
      </c>
      <c r="E11" s="91" t="s">
        <v>451</v>
      </c>
      <c r="F11" s="91" t="s">
        <v>468</v>
      </c>
      <c r="G11" s="91" t="s">
        <v>658</v>
      </c>
      <c r="H11" s="91" t="s">
        <v>468</v>
      </c>
      <c r="I11" s="101" t="s">
        <v>473</v>
      </c>
      <c r="J11" s="105" t="s">
        <v>474</v>
      </c>
      <c r="K11" s="105" t="s">
        <v>475</v>
      </c>
      <c r="L11" s="105" t="s">
        <v>474</v>
      </c>
      <c r="M11" s="101"/>
      <c r="N11" s="101"/>
      <c r="O11" s="102"/>
      <c r="P11" s="110" t="s">
        <v>739</v>
      </c>
    </row>
    <row r="12" spans="1:16" x14ac:dyDescent="0.25">
      <c r="A12" s="101"/>
      <c r="B12" s="101"/>
      <c r="C12" s="101"/>
      <c r="D12" s="101"/>
      <c r="E12" s="91" t="s">
        <v>478</v>
      </c>
      <c r="F12" s="91" t="s">
        <v>461</v>
      </c>
      <c r="G12" s="91" t="s">
        <v>461</v>
      </c>
      <c r="H12" s="91" t="s">
        <v>461</v>
      </c>
      <c r="I12" s="101"/>
      <c r="J12" s="101"/>
      <c r="K12" s="101"/>
      <c r="L12" s="101"/>
      <c r="M12" s="101"/>
      <c r="N12" s="101"/>
      <c r="O12" s="102"/>
      <c r="P12" s="109"/>
    </row>
    <row r="13" spans="1:16" x14ac:dyDescent="0.25">
      <c r="A13" s="101"/>
      <c r="B13" s="101"/>
      <c r="C13" s="101"/>
      <c r="D13" s="101"/>
      <c r="E13" s="91" t="s">
        <v>463</v>
      </c>
      <c r="F13" s="91" t="s">
        <v>460</v>
      </c>
      <c r="G13" s="91" t="s">
        <v>460</v>
      </c>
      <c r="H13" s="91" t="s">
        <v>462</v>
      </c>
      <c r="I13" s="101"/>
      <c r="J13" s="101"/>
      <c r="K13" s="101"/>
      <c r="L13" s="101"/>
      <c r="M13" s="101"/>
      <c r="N13" s="101"/>
      <c r="O13" s="102"/>
      <c r="P13" s="109"/>
    </row>
    <row r="14" spans="1:16" x14ac:dyDescent="0.25">
      <c r="A14" s="101"/>
      <c r="B14" s="101"/>
      <c r="C14" s="101"/>
      <c r="D14" s="101"/>
      <c r="E14" s="91" t="s">
        <v>464</v>
      </c>
      <c r="F14" s="91" t="s">
        <v>472</v>
      </c>
      <c r="G14" s="91" t="s">
        <v>453</v>
      </c>
      <c r="H14" s="91" t="s">
        <v>472</v>
      </c>
      <c r="I14" s="101"/>
      <c r="J14" s="101"/>
      <c r="K14" s="101"/>
      <c r="L14" s="101"/>
      <c r="M14" s="101"/>
      <c r="N14" s="101"/>
      <c r="O14" s="102"/>
      <c r="P14" s="109"/>
    </row>
    <row r="15" spans="1:16" x14ac:dyDescent="0.25">
      <c r="A15" s="101" t="s">
        <v>469</v>
      </c>
      <c r="B15" s="101" t="s">
        <v>479</v>
      </c>
      <c r="C15" s="101">
        <v>30</v>
      </c>
      <c r="D15" s="101">
        <v>60</v>
      </c>
      <c r="E15" s="91" t="s">
        <v>471</v>
      </c>
      <c r="F15" s="91" t="s">
        <v>468</v>
      </c>
      <c r="G15" s="91" t="s">
        <v>453</v>
      </c>
      <c r="H15" s="91" t="s">
        <v>623</v>
      </c>
      <c r="I15" s="101" t="s">
        <v>473</v>
      </c>
      <c r="J15" s="105" t="s">
        <v>474</v>
      </c>
      <c r="K15" s="105" t="s">
        <v>475</v>
      </c>
      <c r="L15" s="105" t="s">
        <v>474</v>
      </c>
      <c r="M15" s="101"/>
      <c r="N15" s="101"/>
      <c r="O15" s="102"/>
      <c r="P15" s="110" t="s">
        <v>737</v>
      </c>
    </row>
    <row r="16" spans="1:16" x14ac:dyDescent="0.25">
      <c r="A16" s="101"/>
      <c r="B16" s="101"/>
      <c r="C16" s="101"/>
      <c r="D16" s="101"/>
      <c r="E16" s="91" t="s">
        <v>459</v>
      </c>
      <c r="F16" s="91" t="s">
        <v>461</v>
      </c>
      <c r="G16" s="91" t="s">
        <v>461</v>
      </c>
      <c r="H16" s="91" t="s">
        <v>462</v>
      </c>
      <c r="I16" s="101"/>
      <c r="J16" s="101"/>
      <c r="K16" s="101"/>
      <c r="L16" s="101"/>
      <c r="M16" s="101"/>
      <c r="N16" s="101"/>
      <c r="O16" s="102"/>
      <c r="P16" s="109"/>
    </row>
    <row r="17" spans="1:16" x14ac:dyDescent="0.25">
      <c r="A17" s="101"/>
      <c r="B17" s="101"/>
      <c r="C17" s="101"/>
      <c r="D17" s="101"/>
      <c r="E17" s="91" t="s">
        <v>463</v>
      </c>
      <c r="F17" s="91" t="s">
        <v>461</v>
      </c>
      <c r="G17" s="91" t="s">
        <v>461</v>
      </c>
      <c r="H17" s="91" t="s">
        <v>461</v>
      </c>
      <c r="I17" s="101"/>
      <c r="J17" s="101"/>
      <c r="K17" s="101"/>
      <c r="L17" s="101"/>
      <c r="M17" s="101"/>
      <c r="N17" s="101"/>
      <c r="O17" s="102"/>
      <c r="P17" s="109"/>
    </row>
    <row r="18" spans="1:16" x14ac:dyDescent="0.25">
      <c r="A18" s="101"/>
      <c r="B18" s="101"/>
      <c r="C18" s="101"/>
      <c r="D18" s="101"/>
      <c r="E18" s="91" t="s">
        <v>464</v>
      </c>
      <c r="F18" s="91" t="s">
        <v>472</v>
      </c>
      <c r="G18" s="91" t="s">
        <v>472</v>
      </c>
      <c r="H18" s="91" t="s">
        <v>472</v>
      </c>
      <c r="I18" s="101"/>
      <c r="J18" s="101"/>
      <c r="K18" s="101"/>
      <c r="L18" s="101"/>
      <c r="M18" s="101"/>
      <c r="N18" s="101"/>
      <c r="O18" s="102"/>
      <c r="P18" s="109"/>
    </row>
    <row r="19" spans="1:16" x14ac:dyDescent="0.25">
      <c r="A19" s="101" t="s">
        <v>469</v>
      </c>
      <c r="B19" s="101" t="s">
        <v>480</v>
      </c>
      <c r="C19" s="101">
        <v>30</v>
      </c>
      <c r="D19" s="101">
        <v>60</v>
      </c>
      <c r="E19" s="91" t="s">
        <v>471</v>
      </c>
      <c r="F19" s="91" t="s">
        <v>467</v>
      </c>
      <c r="G19" s="91" t="s">
        <v>472</v>
      </c>
      <c r="H19" s="91" t="s">
        <v>744</v>
      </c>
      <c r="I19" s="101" t="s">
        <v>473</v>
      </c>
      <c r="J19" s="105" t="s">
        <v>474</v>
      </c>
      <c r="K19" s="105" t="s">
        <v>475</v>
      </c>
      <c r="L19" s="105" t="s">
        <v>474</v>
      </c>
      <c r="M19" s="101"/>
      <c r="N19" s="101"/>
      <c r="O19" s="102"/>
      <c r="P19" s="110" t="s">
        <v>745</v>
      </c>
    </row>
    <row r="20" spans="1:16" x14ac:dyDescent="0.25">
      <c r="A20" s="101"/>
      <c r="B20" s="101"/>
      <c r="C20" s="101"/>
      <c r="D20" s="101"/>
      <c r="E20" s="91" t="s">
        <v>478</v>
      </c>
      <c r="F20" s="91" t="s">
        <v>461</v>
      </c>
      <c r="G20" s="91" t="s">
        <v>461</v>
      </c>
      <c r="H20" s="91" t="s">
        <v>461</v>
      </c>
      <c r="I20" s="101"/>
      <c r="J20" s="101"/>
      <c r="K20" s="101"/>
      <c r="L20" s="101"/>
      <c r="M20" s="101"/>
      <c r="N20" s="101"/>
      <c r="O20" s="102"/>
      <c r="P20" s="109"/>
    </row>
    <row r="21" spans="1:16" x14ac:dyDescent="0.25">
      <c r="A21" s="101"/>
      <c r="B21" s="101"/>
      <c r="C21" s="101"/>
      <c r="D21" s="101"/>
      <c r="E21" s="91" t="s">
        <v>463</v>
      </c>
      <c r="F21" s="91" t="s">
        <v>461</v>
      </c>
      <c r="G21" s="91" t="s">
        <v>461</v>
      </c>
      <c r="H21" s="91" t="s">
        <v>461</v>
      </c>
      <c r="I21" s="101"/>
      <c r="J21" s="101"/>
      <c r="K21" s="101"/>
      <c r="L21" s="101"/>
      <c r="M21" s="101"/>
      <c r="N21" s="101"/>
      <c r="O21" s="102"/>
      <c r="P21" s="109"/>
    </row>
    <row r="22" spans="1:16" x14ac:dyDescent="0.25">
      <c r="A22" s="101"/>
      <c r="B22" s="101"/>
      <c r="C22" s="101"/>
      <c r="D22" s="101"/>
      <c r="E22" s="91" t="s">
        <v>464</v>
      </c>
      <c r="F22" s="91" t="s">
        <v>472</v>
      </c>
      <c r="G22" s="91" t="s">
        <v>472</v>
      </c>
      <c r="H22" s="91" t="s">
        <v>472</v>
      </c>
      <c r="I22" s="101"/>
      <c r="J22" s="101"/>
      <c r="K22" s="101"/>
      <c r="L22" s="101"/>
      <c r="M22" s="101"/>
      <c r="N22" s="101"/>
      <c r="O22" s="102"/>
      <c r="P22" s="109"/>
    </row>
    <row r="23" spans="1:16" x14ac:dyDescent="0.25">
      <c r="A23" s="101" t="s">
        <v>469</v>
      </c>
      <c r="B23" s="101" t="s">
        <v>481</v>
      </c>
      <c r="C23" s="101">
        <v>30</v>
      </c>
      <c r="D23" s="101">
        <v>60</v>
      </c>
      <c r="E23" s="91" t="s">
        <v>471</v>
      </c>
      <c r="F23" s="91" t="s">
        <v>467</v>
      </c>
      <c r="G23" s="91" t="s">
        <v>472</v>
      </c>
      <c r="H23" s="91" t="s">
        <v>747</v>
      </c>
      <c r="I23" s="101" t="s">
        <v>473</v>
      </c>
      <c r="J23" s="105" t="s">
        <v>474</v>
      </c>
      <c r="K23" s="105" t="s">
        <v>475</v>
      </c>
      <c r="L23" s="105" t="s">
        <v>474</v>
      </c>
      <c r="M23" s="101"/>
      <c r="N23" s="101"/>
      <c r="O23" s="102"/>
      <c r="P23" s="110" t="s">
        <v>748</v>
      </c>
    </row>
    <row r="24" spans="1:16" x14ac:dyDescent="0.25">
      <c r="A24" s="101"/>
      <c r="B24" s="101"/>
      <c r="C24" s="101"/>
      <c r="D24" s="101"/>
      <c r="E24" s="91" t="s">
        <v>478</v>
      </c>
      <c r="F24" s="91" t="s">
        <v>461</v>
      </c>
      <c r="G24" s="91" t="s">
        <v>460</v>
      </c>
      <c r="H24" s="91" t="s">
        <v>461</v>
      </c>
      <c r="I24" s="101"/>
      <c r="J24" s="101"/>
      <c r="K24" s="101"/>
      <c r="L24" s="101"/>
      <c r="M24" s="101"/>
      <c r="N24" s="101"/>
      <c r="O24" s="102"/>
      <c r="P24" s="109"/>
    </row>
    <row r="25" spans="1:16" x14ac:dyDescent="0.25">
      <c r="A25" s="101"/>
      <c r="B25" s="101"/>
      <c r="C25" s="101"/>
      <c r="D25" s="101"/>
      <c r="E25" s="91" t="s">
        <v>463</v>
      </c>
      <c r="F25" s="91" t="s">
        <v>461</v>
      </c>
      <c r="G25" s="91" t="s">
        <v>461</v>
      </c>
      <c r="H25" s="91" t="s">
        <v>461</v>
      </c>
      <c r="I25" s="101"/>
      <c r="J25" s="101"/>
      <c r="K25" s="101"/>
      <c r="L25" s="101"/>
      <c r="M25" s="101"/>
      <c r="N25" s="101"/>
      <c r="O25" s="102"/>
      <c r="P25" s="109"/>
    </row>
    <row r="26" spans="1:16" x14ac:dyDescent="0.25">
      <c r="A26" s="101"/>
      <c r="B26" s="101"/>
      <c r="C26" s="101"/>
      <c r="D26" s="101"/>
      <c r="E26" s="91" t="s">
        <v>464</v>
      </c>
      <c r="F26" s="91" t="s">
        <v>468</v>
      </c>
      <c r="G26" s="91" t="s">
        <v>467</v>
      </c>
      <c r="H26" s="91" t="s">
        <v>468</v>
      </c>
      <c r="I26" s="101"/>
      <c r="J26" s="101"/>
      <c r="K26" s="101"/>
      <c r="L26" s="101"/>
      <c r="M26" s="101"/>
      <c r="N26" s="101"/>
      <c r="O26" s="102"/>
      <c r="P26" s="109"/>
    </row>
    <row r="27" spans="1:16" x14ac:dyDescent="0.25">
      <c r="A27" s="101" t="s">
        <v>469</v>
      </c>
      <c r="B27" s="101" t="s">
        <v>482</v>
      </c>
      <c r="C27" s="101">
        <v>50</v>
      </c>
      <c r="D27" s="101">
        <v>70</v>
      </c>
      <c r="E27" s="91" t="s">
        <v>471</v>
      </c>
      <c r="F27" s="91" t="s">
        <v>483</v>
      </c>
      <c r="G27" s="91" t="s">
        <v>484</v>
      </c>
      <c r="H27" s="91" t="s">
        <v>749</v>
      </c>
      <c r="I27" s="101" t="s">
        <v>460</v>
      </c>
      <c r="J27" s="105" t="s">
        <v>474</v>
      </c>
      <c r="K27" s="105" t="s">
        <v>475</v>
      </c>
      <c r="L27" s="105" t="s">
        <v>474</v>
      </c>
      <c r="M27" s="101"/>
      <c r="N27" s="101"/>
      <c r="O27" s="102"/>
      <c r="P27" s="110" t="s">
        <v>750</v>
      </c>
    </row>
    <row r="28" spans="1:16" x14ac:dyDescent="0.25">
      <c r="A28" s="101"/>
      <c r="B28" s="101"/>
      <c r="C28" s="101"/>
      <c r="D28" s="101"/>
      <c r="E28" s="91" t="s">
        <v>478</v>
      </c>
      <c r="F28" s="91" t="s">
        <v>461</v>
      </c>
      <c r="G28" s="91" t="s">
        <v>461</v>
      </c>
      <c r="H28" s="91" t="s">
        <v>485</v>
      </c>
      <c r="I28" s="101"/>
      <c r="J28" s="101"/>
      <c r="K28" s="101"/>
      <c r="L28" s="101"/>
      <c r="M28" s="101"/>
      <c r="N28" s="101"/>
      <c r="O28" s="102"/>
      <c r="P28" s="109"/>
    </row>
    <row r="29" spans="1:16" x14ac:dyDescent="0.25">
      <c r="A29" s="101"/>
      <c r="B29" s="101"/>
      <c r="C29" s="101"/>
      <c r="D29" s="101"/>
      <c r="E29" s="91" t="s">
        <v>463</v>
      </c>
      <c r="F29" s="91" t="s">
        <v>461</v>
      </c>
      <c r="G29" s="91" t="s">
        <v>484</v>
      </c>
      <c r="H29" s="91" t="s">
        <v>461</v>
      </c>
      <c r="I29" s="101"/>
      <c r="J29" s="101"/>
      <c r="K29" s="101"/>
      <c r="L29" s="101"/>
      <c r="M29" s="101"/>
      <c r="N29" s="101"/>
      <c r="O29" s="102"/>
      <c r="P29" s="109"/>
    </row>
    <row r="30" spans="1:16" x14ac:dyDescent="0.25">
      <c r="A30" s="101"/>
      <c r="B30" s="101"/>
      <c r="C30" s="101"/>
      <c r="D30" s="101"/>
      <c r="E30" s="91" t="s">
        <v>464</v>
      </c>
      <c r="F30" s="91" t="s">
        <v>486</v>
      </c>
      <c r="G30" s="91" t="s">
        <v>483</v>
      </c>
      <c r="H30" s="91" t="s">
        <v>486</v>
      </c>
      <c r="I30" s="101"/>
      <c r="J30" s="101"/>
      <c r="K30" s="101"/>
      <c r="L30" s="101"/>
      <c r="M30" s="101"/>
      <c r="N30" s="101"/>
      <c r="O30" s="102"/>
      <c r="P30" s="109"/>
    </row>
    <row r="31" spans="1:16" x14ac:dyDescent="0.25">
      <c r="A31" s="101" t="s">
        <v>430</v>
      </c>
      <c r="B31" s="101" t="s">
        <v>487</v>
      </c>
      <c r="C31" s="101">
        <v>50</v>
      </c>
      <c r="D31" s="101">
        <v>70</v>
      </c>
      <c r="E31" s="91" t="s">
        <v>471</v>
      </c>
      <c r="F31" s="91" t="s">
        <v>488</v>
      </c>
      <c r="G31" s="91" t="s">
        <v>484</v>
      </c>
      <c r="H31" s="91" t="s">
        <v>483</v>
      </c>
      <c r="I31" s="101" t="s">
        <v>461</v>
      </c>
      <c r="J31" s="105" t="s">
        <v>474</v>
      </c>
      <c r="K31" s="105" t="s">
        <v>475</v>
      </c>
      <c r="L31" s="105" t="s">
        <v>474</v>
      </c>
      <c r="M31" s="101"/>
      <c r="N31" s="101"/>
      <c r="O31" s="102"/>
      <c r="P31" s="109" t="s">
        <v>656</v>
      </c>
    </row>
    <row r="32" spans="1:16" x14ac:dyDescent="0.25">
      <c r="A32" s="101"/>
      <c r="B32" s="101"/>
      <c r="C32" s="101"/>
      <c r="D32" s="101"/>
      <c r="E32" s="91" t="s">
        <v>478</v>
      </c>
      <c r="F32" s="91" t="s">
        <v>461</v>
      </c>
      <c r="G32" s="91" t="s">
        <v>461</v>
      </c>
      <c r="H32" s="91" t="s">
        <v>461</v>
      </c>
      <c r="I32" s="101"/>
      <c r="J32" s="101"/>
      <c r="K32" s="101"/>
      <c r="L32" s="101"/>
      <c r="M32" s="101"/>
      <c r="N32" s="101"/>
      <c r="O32" s="102"/>
      <c r="P32" s="109"/>
    </row>
    <row r="33" spans="1:16" x14ac:dyDescent="0.25">
      <c r="A33" s="101"/>
      <c r="B33" s="101"/>
      <c r="C33" s="101"/>
      <c r="D33" s="101"/>
      <c r="E33" s="91" t="s">
        <v>463</v>
      </c>
      <c r="F33" s="91" t="s">
        <v>461</v>
      </c>
      <c r="G33" s="91" t="s">
        <v>461</v>
      </c>
      <c r="H33" s="91" t="s">
        <v>461</v>
      </c>
      <c r="I33" s="101"/>
      <c r="J33" s="101"/>
      <c r="K33" s="101"/>
      <c r="L33" s="101"/>
      <c r="M33" s="101"/>
      <c r="N33" s="101"/>
      <c r="O33" s="102"/>
      <c r="P33" s="109"/>
    </row>
    <row r="34" spans="1:16" x14ac:dyDescent="0.25">
      <c r="A34" s="101"/>
      <c r="B34" s="101"/>
      <c r="C34" s="101"/>
      <c r="D34" s="101"/>
      <c r="E34" s="91" t="s">
        <v>464</v>
      </c>
      <c r="F34" s="91" t="s">
        <v>486</v>
      </c>
      <c r="G34" s="91" t="s">
        <v>483</v>
      </c>
      <c r="H34" s="91" t="s">
        <v>486</v>
      </c>
      <c r="I34" s="101"/>
      <c r="J34" s="101"/>
      <c r="K34" s="101"/>
      <c r="L34" s="101"/>
      <c r="M34" s="101"/>
      <c r="N34" s="101"/>
      <c r="O34" s="102"/>
      <c r="P34" s="109"/>
    </row>
    <row r="35" spans="1:16" x14ac:dyDescent="0.25">
      <c r="A35" s="101" t="s">
        <v>469</v>
      </c>
      <c r="B35" s="101" t="s">
        <v>489</v>
      </c>
      <c r="C35" s="101">
        <v>50</v>
      </c>
      <c r="D35" s="101">
        <v>70</v>
      </c>
      <c r="E35" s="91" t="s">
        <v>471</v>
      </c>
      <c r="F35" s="91" t="s">
        <v>490</v>
      </c>
      <c r="G35" s="91" t="s">
        <v>484</v>
      </c>
      <c r="H35" s="91" t="s">
        <v>483</v>
      </c>
      <c r="I35" s="101" t="s">
        <v>461</v>
      </c>
      <c r="J35" s="105" t="s">
        <v>474</v>
      </c>
      <c r="K35" s="105" t="s">
        <v>475</v>
      </c>
      <c r="L35" s="105" t="s">
        <v>474</v>
      </c>
      <c r="M35" s="101"/>
      <c r="N35" s="101"/>
      <c r="O35" s="102"/>
      <c r="P35" s="109" t="s">
        <v>621</v>
      </c>
    </row>
    <row r="36" spans="1:16" x14ac:dyDescent="0.25">
      <c r="A36" s="101"/>
      <c r="B36" s="101"/>
      <c r="C36" s="101"/>
      <c r="D36" s="101"/>
      <c r="E36" s="91" t="s">
        <v>478</v>
      </c>
      <c r="F36" s="91" t="s">
        <v>491</v>
      </c>
      <c r="G36" s="91" t="s">
        <v>461</v>
      </c>
      <c r="H36" s="91" t="s">
        <v>461</v>
      </c>
      <c r="I36" s="101"/>
      <c r="J36" s="101"/>
      <c r="K36" s="101"/>
      <c r="L36" s="101"/>
      <c r="M36" s="101"/>
      <c r="N36" s="101"/>
      <c r="O36" s="102"/>
      <c r="P36" s="109"/>
    </row>
    <row r="37" spans="1:16" x14ac:dyDescent="0.25">
      <c r="A37" s="101"/>
      <c r="B37" s="101"/>
      <c r="C37" s="101"/>
      <c r="D37" s="101"/>
      <c r="E37" s="91" t="s">
        <v>463</v>
      </c>
      <c r="F37" s="91" t="s">
        <v>461</v>
      </c>
      <c r="G37" s="91" t="s">
        <v>461</v>
      </c>
      <c r="H37" s="91" t="s">
        <v>461</v>
      </c>
      <c r="I37" s="101"/>
      <c r="J37" s="101"/>
      <c r="K37" s="101"/>
      <c r="L37" s="101"/>
      <c r="M37" s="101"/>
      <c r="N37" s="101"/>
      <c r="O37" s="102"/>
      <c r="P37" s="109"/>
    </row>
    <row r="38" spans="1:16" x14ac:dyDescent="0.25">
      <c r="A38" s="101"/>
      <c r="B38" s="101"/>
      <c r="C38" s="101"/>
      <c r="D38" s="101"/>
      <c r="E38" s="91" t="s">
        <v>464</v>
      </c>
      <c r="F38" s="91" t="s">
        <v>486</v>
      </c>
      <c r="G38" s="91" t="s">
        <v>483</v>
      </c>
      <c r="H38" s="91" t="s">
        <v>486</v>
      </c>
      <c r="I38" s="101"/>
      <c r="J38" s="101"/>
      <c r="K38" s="101"/>
      <c r="L38" s="101"/>
      <c r="M38" s="101"/>
      <c r="N38" s="101"/>
      <c r="O38" s="102"/>
      <c r="P38" s="109"/>
    </row>
    <row r="39" spans="1:16" x14ac:dyDescent="0.25">
      <c r="A39" s="101" t="s">
        <v>469</v>
      </c>
      <c r="B39" s="101" t="s">
        <v>492</v>
      </c>
      <c r="C39" s="101">
        <v>50</v>
      </c>
      <c r="D39" s="101">
        <v>70</v>
      </c>
      <c r="E39" s="91" t="s">
        <v>451</v>
      </c>
      <c r="F39" s="91" t="s">
        <v>483</v>
      </c>
      <c r="G39" s="91" t="s">
        <v>484</v>
      </c>
      <c r="H39" s="91" t="s">
        <v>483</v>
      </c>
      <c r="I39" s="101" t="s">
        <v>461</v>
      </c>
      <c r="J39" s="105" t="s">
        <v>474</v>
      </c>
      <c r="K39" s="105" t="s">
        <v>475</v>
      </c>
      <c r="L39" s="105" t="s">
        <v>474</v>
      </c>
      <c r="M39" s="101"/>
      <c r="N39" s="101"/>
      <c r="O39" s="102"/>
      <c r="P39" s="109" t="s">
        <v>656</v>
      </c>
    </row>
    <row r="40" spans="1:16" x14ac:dyDescent="0.25">
      <c r="A40" s="101"/>
      <c r="B40" s="101"/>
      <c r="C40" s="101"/>
      <c r="D40" s="101"/>
      <c r="E40" s="91" t="s">
        <v>478</v>
      </c>
      <c r="F40" s="91" t="s">
        <v>485</v>
      </c>
      <c r="G40" s="91" t="s">
        <v>461</v>
      </c>
      <c r="H40" s="91" t="s">
        <v>461</v>
      </c>
      <c r="I40" s="101"/>
      <c r="J40" s="101"/>
      <c r="K40" s="101"/>
      <c r="L40" s="101"/>
      <c r="M40" s="101"/>
      <c r="N40" s="101"/>
      <c r="O40" s="102"/>
      <c r="P40" s="109"/>
    </row>
    <row r="41" spans="1:16" x14ac:dyDescent="0.25">
      <c r="A41" s="101"/>
      <c r="B41" s="101"/>
      <c r="C41" s="101"/>
      <c r="D41" s="101"/>
      <c r="E41" s="91" t="s">
        <v>463</v>
      </c>
      <c r="F41" s="91" t="s">
        <v>461</v>
      </c>
      <c r="G41" s="91" t="s">
        <v>485</v>
      </c>
      <c r="H41" s="91" t="s">
        <v>461</v>
      </c>
      <c r="I41" s="101"/>
      <c r="J41" s="101"/>
      <c r="K41" s="101"/>
      <c r="L41" s="101"/>
      <c r="M41" s="101"/>
      <c r="N41" s="101"/>
      <c r="O41" s="102"/>
      <c r="P41" s="109"/>
    </row>
    <row r="42" spans="1:16" x14ac:dyDescent="0.25">
      <c r="A42" s="101"/>
      <c r="B42" s="101"/>
      <c r="C42" s="101"/>
      <c r="D42" s="101"/>
      <c r="E42" s="91" t="s">
        <v>464</v>
      </c>
      <c r="F42" s="91" t="s">
        <v>486</v>
      </c>
      <c r="G42" s="91" t="s">
        <v>488</v>
      </c>
      <c r="H42" s="91" t="s">
        <v>486</v>
      </c>
      <c r="I42" s="101"/>
      <c r="J42" s="101"/>
      <c r="K42" s="101"/>
      <c r="L42" s="101"/>
      <c r="M42" s="101"/>
      <c r="N42" s="101"/>
      <c r="O42" s="102"/>
      <c r="P42" s="109"/>
    </row>
    <row r="43" spans="1:16" x14ac:dyDescent="0.25">
      <c r="A43" s="101" t="s">
        <v>469</v>
      </c>
      <c r="B43" s="101" t="s">
        <v>493</v>
      </c>
      <c r="C43" s="101">
        <v>30</v>
      </c>
      <c r="D43" s="101">
        <v>60</v>
      </c>
      <c r="E43" s="91" t="s">
        <v>471</v>
      </c>
      <c r="F43" s="91" t="s">
        <v>467</v>
      </c>
      <c r="G43" s="91" t="s">
        <v>472</v>
      </c>
      <c r="H43" s="91" t="s">
        <v>467</v>
      </c>
      <c r="I43" s="101" t="s">
        <v>473</v>
      </c>
      <c r="J43" s="105" t="s">
        <v>474</v>
      </c>
      <c r="K43" s="105" t="s">
        <v>475</v>
      </c>
      <c r="L43" s="105" t="s">
        <v>474</v>
      </c>
      <c r="M43" s="101"/>
      <c r="N43" s="101"/>
      <c r="O43" s="102"/>
      <c r="P43" s="109" t="s">
        <v>657</v>
      </c>
    </row>
    <row r="44" spans="1:16" x14ac:dyDescent="0.25">
      <c r="A44" s="101"/>
      <c r="B44" s="101"/>
      <c r="C44" s="101"/>
      <c r="D44" s="101"/>
      <c r="E44" s="91" t="s">
        <v>478</v>
      </c>
      <c r="F44" s="91" t="s">
        <v>461</v>
      </c>
      <c r="G44" s="91" t="s">
        <v>461</v>
      </c>
      <c r="H44" s="91" t="s">
        <v>461</v>
      </c>
      <c r="I44" s="101"/>
      <c r="J44" s="101"/>
      <c r="K44" s="101"/>
      <c r="L44" s="101"/>
      <c r="M44" s="101"/>
      <c r="N44" s="101"/>
      <c r="O44" s="102"/>
      <c r="P44" s="109"/>
    </row>
    <row r="45" spans="1:16" x14ac:dyDescent="0.25">
      <c r="A45" s="101"/>
      <c r="B45" s="101"/>
      <c r="C45" s="101"/>
      <c r="D45" s="101"/>
      <c r="E45" s="91" t="s">
        <v>463</v>
      </c>
      <c r="F45" s="91" t="s">
        <v>461</v>
      </c>
      <c r="G45" s="91" t="s">
        <v>461</v>
      </c>
      <c r="H45" s="91" t="s">
        <v>461</v>
      </c>
      <c r="I45" s="101"/>
      <c r="J45" s="101"/>
      <c r="K45" s="101"/>
      <c r="L45" s="101"/>
      <c r="M45" s="101"/>
      <c r="N45" s="101"/>
      <c r="O45" s="102"/>
      <c r="P45" s="109"/>
    </row>
    <row r="46" spans="1:16" x14ac:dyDescent="0.25">
      <c r="A46" s="101"/>
      <c r="B46" s="101"/>
      <c r="C46" s="101"/>
      <c r="D46" s="101"/>
      <c r="E46" s="91" t="s">
        <v>464</v>
      </c>
      <c r="F46" s="91" t="s">
        <v>468</v>
      </c>
      <c r="G46" s="91" t="s">
        <v>467</v>
      </c>
      <c r="H46" s="91" t="s">
        <v>468</v>
      </c>
      <c r="I46" s="101"/>
      <c r="J46" s="101"/>
      <c r="K46" s="101"/>
      <c r="L46" s="101"/>
      <c r="M46" s="101"/>
      <c r="N46" s="101"/>
      <c r="O46" s="102"/>
      <c r="P46" s="109"/>
    </row>
    <row r="47" spans="1:16" x14ac:dyDescent="0.25">
      <c r="A47" s="101" t="s">
        <v>469</v>
      </c>
      <c r="B47" s="101" t="s">
        <v>494</v>
      </c>
      <c r="C47" s="101">
        <v>30</v>
      </c>
      <c r="D47" s="101">
        <v>60</v>
      </c>
      <c r="E47" s="91" t="s">
        <v>471</v>
      </c>
      <c r="F47" s="91" t="s">
        <v>467</v>
      </c>
      <c r="G47" s="91" t="s">
        <v>472</v>
      </c>
      <c r="H47" s="91" t="s">
        <v>467</v>
      </c>
      <c r="I47" s="101" t="s">
        <v>473</v>
      </c>
      <c r="J47" s="105" t="s">
        <v>474</v>
      </c>
      <c r="K47" s="105" t="s">
        <v>475</v>
      </c>
      <c r="L47" s="105" t="s">
        <v>474</v>
      </c>
      <c r="M47" s="101"/>
      <c r="N47" s="101"/>
      <c r="O47" s="102"/>
      <c r="P47" s="109" t="s">
        <v>759</v>
      </c>
    </row>
    <row r="48" spans="1:16" x14ac:dyDescent="0.25">
      <c r="A48" s="101"/>
      <c r="B48" s="101"/>
      <c r="C48" s="101"/>
      <c r="D48" s="101"/>
      <c r="E48" s="91" t="s">
        <v>478</v>
      </c>
      <c r="F48" s="91" t="s">
        <v>461</v>
      </c>
      <c r="G48" s="91" t="s">
        <v>461</v>
      </c>
      <c r="H48" s="91" t="s">
        <v>461</v>
      </c>
      <c r="I48" s="101"/>
      <c r="J48" s="101"/>
      <c r="K48" s="101"/>
      <c r="L48" s="101"/>
      <c r="M48" s="101"/>
      <c r="N48" s="101"/>
      <c r="O48" s="102"/>
      <c r="P48" s="109"/>
    </row>
    <row r="49" spans="1:16" x14ac:dyDescent="0.25">
      <c r="A49" s="101"/>
      <c r="B49" s="101"/>
      <c r="C49" s="101"/>
      <c r="D49" s="101"/>
      <c r="E49" s="91" t="s">
        <v>463</v>
      </c>
      <c r="F49" s="91" t="s">
        <v>461</v>
      </c>
      <c r="G49" s="91" t="s">
        <v>461</v>
      </c>
      <c r="H49" s="91" t="s">
        <v>461</v>
      </c>
      <c r="I49" s="101"/>
      <c r="J49" s="101"/>
      <c r="K49" s="101"/>
      <c r="L49" s="101"/>
      <c r="M49" s="101"/>
      <c r="N49" s="101"/>
      <c r="O49" s="102"/>
      <c r="P49" s="109"/>
    </row>
    <row r="50" spans="1:16" x14ac:dyDescent="0.25">
      <c r="A50" s="101"/>
      <c r="B50" s="101"/>
      <c r="C50" s="101"/>
      <c r="D50" s="101"/>
      <c r="E50" s="91" t="s">
        <v>464</v>
      </c>
      <c r="F50" s="91" t="s">
        <v>472</v>
      </c>
      <c r="G50" s="91" t="s">
        <v>472</v>
      </c>
      <c r="H50" s="91" t="s">
        <v>472</v>
      </c>
      <c r="I50" s="101"/>
      <c r="J50" s="101"/>
      <c r="K50" s="101"/>
      <c r="L50" s="101"/>
      <c r="M50" s="101"/>
      <c r="N50" s="101"/>
      <c r="O50" s="102"/>
      <c r="P50" s="109"/>
    </row>
    <row r="51" spans="1:16" x14ac:dyDescent="0.25">
      <c r="A51" s="101" t="s">
        <v>469</v>
      </c>
      <c r="B51" s="101" t="s">
        <v>495</v>
      </c>
      <c r="C51" s="101">
        <v>30</v>
      </c>
      <c r="D51" s="101">
        <v>60</v>
      </c>
      <c r="E51" s="91" t="s">
        <v>471</v>
      </c>
      <c r="F51" s="91" t="s">
        <v>468</v>
      </c>
      <c r="G51" s="91" t="s">
        <v>472</v>
      </c>
      <c r="H51" s="91" t="s">
        <v>468</v>
      </c>
      <c r="I51" s="101" t="s">
        <v>473</v>
      </c>
      <c r="J51" s="105" t="s">
        <v>474</v>
      </c>
      <c r="K51" s="105" t="s">
        <v>475</v>
      </c>
      <c r="L51" s="105" t="s">
        <v>474</v>
      </c>
      <c r="M51" s="101"/>
      <c r="N51" s="101"/>
      <c r="O51" s="102"/>
      <c r="P51" s="109" t="s">
        <v>759</v>
      </c>
    </row>
    <row r="52" spans="1:16" x14ac:dyDescent="0.25">
      <c r="A52" s="101"/>
      <c r="B52" s="101"/>
      <c r="C52" s="101"/>
      <c r="D52" s="101"/>
      <c r="E52" s="91" t="s">
        <v>478</v>
      </c>
      <c r="F52" s="91" t="s">
        <v>461</v>
      </c>
      <c r="G52" s="91" t="s">
        <v>461</v>
      </c>
      <c r="H52" s="91" t="s">
        <v>461</v>
      </c>
      <c r="I52" s="101"/>
      <c r="J52" s="101"/>
      <c r="K52" s="101"/>
      <c r="L52" s="101"/>
      <c r="M52" s="101"/>
      <c r="N52" s="101"/>
      <c r="O52" s="102"/>
      <c r="P52" s="109"/>
    </row>
    <row r="53" spans="1:16" x14ac:dyDescent="0.25">
      <c r="A53" s="101"/>
      <c r="B53" s="101"/>
      <c r="C53" s="101"/>
      <c r="D53" s="101"/>
      <c r="E53" s="91" t="s">
        <v>463</v>
      </c>
      <c r="F53" s="91" t="s">
        <v>461</v>
      </c>
      <c r="G53" s="91" t="s">
        <v>461</v>
      </c>
      <c r="H53" s="91" t="s">
        <v>461</v>
      </c>
      <c r="I53" s="101"/>
      <c r="J53" s="101"/>
      <c r="K53" s="101"/>
      <c r="L53" s="101"/>
      <c r="M53" s="101"/>
      <c r="N53" s="101"/>
      <c r="O53" s="102"/>
      <c r="P53" s="109"/>
    </row>
    <row r="54" spans="1:16" x14ac:dyDescent="0.25">
      <c r="A54" s="101"/>
      <c r="B54" s="101"/>
      <c r="C54" s="101"/>
      <c r="D54" s="101"/>
      <c r="E54" s="91" t="s">
        <v>464</v>
      </c>
      <c r="F54" s="91" t="s">
        <v>472</v>
      </c>
      <c r="G54" s="91" t="s">
        <v>472</v>
      </c>
      <c r="H54" s="91" t="s">
        <v>472</v>
      </c>
      <c r="I54" s="101"/>
      <c r="J54" s="101"/>
      <c r="K54" s="101"/>
      <c r="L54" s="101"/>
      <c r="M54" s="101"/>
      <c r="N54" s="101"/>
      <c r="O54" s="102"/>
      <c r="P54" s="109"/>
    </row>
    <row r="55" spans="1:16" x14ac:dyDescent="0.25">
      <c r="A55" s="101" t="s">
        <v>469</v>
      </c>
      <c r="B55" s="101" t="s">
        <v>496</v>
      </c>
      <c r="C55" s="101">
        <v>30</v>
      </c>
      <c r="D55" s="101">
        <v>60</v>
      </c>
      <c r="E55" s="91" t="s">
        <v>471</v>
      </c>
      <c r="F55" s="91" t="s">
        <v>468</v>
      </c>
      <c r="G55" s="91" t="s">
        <v>472</v>
      </c>
      <c r="H55" s="91" t="s">
        <v>468</v>
      </c>
      <c r="I55" s="101" t="s">
        <v>473</v>
      </c>
      <c r="J55" s="105" t="s">
        <v>474</v>
      </c>
      <c r="K55" s="105" t="s">
        <v>475</v>
      </c>
      <c r="L55" s="105" t="s">
        <v>474</v>
      </c>
      <c r="M55" s="101"/>
      <c r="N55" s="101"/>
      <c r="O55" s="102"/>
      <c r="P55" s="109" t="s">
        <v>621</v>
      </c>
    </row>
    <row r="56" spans="1:16" x14ac:dyDescent="0.25">
      <c r="A56" s="101"/>
      <c r="B56" s="101"/>
      <c r="C56" s="101"/>
      <c r="D56" s="101"/>
      <c r="E56" s="91" t="s">
        <v>478</v>
      </c>
      <c r="F56" s="91" t="s">
        <v>461</v>
      </c>
      <c r="G56" s="91" t="s">
        <v>461</v>
      </c>
      <c r="H56" s="91" t="s">
        <v>461</v>
      </c>
      <c r="I56" s="101"/>
      <c r="J56" s="101"/>
      <c r="K56" s="101"/>
      <c r="L56" s="101"/>
      <c r="M56" s="101"/>
      <c r="N56" s="101"/>
      <c r="O56" s="102"/>
      <c r="P56" s="109"/>
    </row>
    <row r="57" spans="1:16" x14ac:dyDescent="0.25">
      <c r="A57" s="101"/>
      <c r="B57" s="101"/>
      <c r="C57" s="101"/>
      <c r="D57" s="101"/>
      <c r="E57" s="91" t="s">
        <v>463</v>
      </c>
      <c r="F57" s="91" t="s">
        <v>461</v>
      </c>
      <c r="G57" s="91" t="s">
        <v>461</v>
      </c>
      <c r="H57" s="91" t="s">
        <v>461</v>
      </c>
      <c r="I57" s="101"/>
      <c r="J57" s="101"/>
      <c r="K57" s="101"/>
      <c r="L57" s="101"/>
      <c r="M57" s="101"/>
      <c r="N57" s="101"/>
      <c r="O57" s="102"/>
      <c r="P57" s="109"/>
    </row>
    <row r="58" spans="1:16" x14ac:dyDescent="0.25">
      <c r="A58" s="101"/>
      <c r="B58" s="101"/>
      <c r="C58" s="101"/>
      <c r="D58" s="101"/>
      <c r="E58" s="91" t="s">
        <v>464</v>
      </c>
      <c r="F58" s="91" t="s">
        <v>472</v>
      </c>
      <c r="G58" s="91" t="s">
        <v>472</v>
      </c>
      <c r="H58" s="91" t="s">
        <v>472</v>
      </c>
      <c r="I58" s="101"/>
      <c r="J58" s="101"/>
      <c r="K58" s="101"/>
      <c r="L58" s="101"/>
      <c r="M58" s="101"/>
      <c r="N58" s="101"/>
      <c r="O58" s="102"/>
      <c r="P58" s="109"/>
    </row>
    <row r="59" spans="1:16" x14ac:dyDescent="0.25">
      <c r="A59" s="101" t="s">
        <v>469</v>
      </c>
      <c r="B59" s="101" t="s">
        <v>497</v>
      </c>
      <c r="C59" s="101">
        <v>30</v>
      </c>
      <c r="D59" s="101">
        <v>60</v>
      </c>
      <c r="E59" s="91" t="s">
        <v>471</v>
      </c>
      <c r="F59" s="91" t="s">
        <v>468</v>
      </c>
      <c r="G59" s="91" t="s">
        <v>472</v>
      </c>
      <c r="H59" s="91" t="s">
        <v>467</v>
      </c>
      <c r="I59" s="101" t="s">
        <v>473</v>
      </c>
      <c r="J59" s="105" t="s">
        <v>474</v>
      </c>
      <c r="K59" s="105" t="s">
        <v>475</v>
      </c>
      <c r="L59" s="105" t="s">
        <v>474</v>
      </c>
      <c r="M59" s="101"/>
      <c r="N59" s="101"/>
      <c r="O59" s="102"/>
      <c r="P59" s="109" t="s">
        <v>746</v>
      </c>
    </row>
    <row r="60" spans="1:16" x14ac:dyDescent="0.25">
      <c r="A60" s="101"/>
      <c r="B60" s="101"/>
      <c r="C60" s="101"/>
      <c r="D60" s="101"/>
      <c r="E60" s="91" t="s">
        <v>478</v>
      </c>
      <c r="F60" s="91" t="s">
        <v>461</v>
      </c>
      <c r="G60" s="91" t="s">
        <v>461</v>
      </c>
      <c r="H60" s="91" t="s">
        <v>461</v>
      </c>
      <c r="I60" s="101"/>
      <c r="J60" s="101"/>
      <c r="K60" s="101"/>
      <c r="L60" s="101"/>
      <c r="M60" s="101"/>
      <c r="N60" s="101"/>
      <c r="O60" s="102"/>
      <c r="P60" s="109"/>
    </row>
    <row r="61" spans="1:16" x14ac:dyDescent="0.25">
      <c r="A61" s="101"/>
      <c r="B61" s="101"/>
      <c r="C61" s="101"/>
      <c r="D61" s="101"/>
      <c r="E61" s="91" t="s">
        <v>463</v>
      </c>
      <c r="F61" s="91" t="s">
        <v>461</v>
      </c>
      <c r="G61" s="91" t="s">
        <v>461</v>
      </c>
      <c r="H61" s="91" t="s">
        <v>461</v>
      </c>
      <c r="I61" s="101"/>
      <c r="J61" s="101"/>
      <c r="K61" s="101"/>
      <c r="L61" s="101"/>
      <c r="M61" s="101"/>
      <c r="N61" s="101"/>
      <c r="O61" s="102"/>
      <c r="P61" s="109"/>
    </row>
    <row r="62" spans="1:16" x14ac:dyDescent="0.25">
      <c r="A62" s="101"/>
      <c r="B62" s="101"/>
      <c r="C62" s="101"/>
      <c r="D62" s="101"/>
      <c r="E62" s="91" t="s">
        <v>464</v>
      </c>
      <c r="F62" s="91" t="s">
        <v>472</v>
      </c>
      <c r="G62" s="91" t="s">
        <v>472</v>
      </c>
      <c r="H62" s="91" t="s">
        <v>472</v>
      </c>
      <c r="I62" s="101"/>
      <c r="J62" s="101"/>
      <c r="K62" s="101"/>
      <c r="L62" s="101"/>
      <c r="M62" s="101"/>
      <c r="N62" s="101"/>
      <c r="O62" s="102"/>
      <c r="P62" s="109"/>
    </row>
    <row r="63" spans="1:16" x14ac:dyDescent="0.25">
      <c r="A63" s="101" t="s">
        <v>469</v>
      </c>
      <c r="B63" s="101" t="s">
        <v>498</v>
      </c>
      <c r="C63" s="101">
        <v>30</v>
      </c>
      <c r="D63" s="101">
        <v>60</v>
      </c>
      <c r="E63" s="91" t="s">
        <v>471</v>
      </c>
      <c r="F63" s="91" t="s">
        <v>467</v>
      </c>
      <c r="G63" s="91" t="s">
        <v>472</v>
      </c>
      <c r="H63" s="91" t="s">
        <v>467</v>
      </c>
      <c r="I63" s="101" t="s">
        <v>473</v>
      </c>
      <c r="J63" s="105" t="s">
        <v>474</v>
      </c>
      <c r="K63" s="105" t="s">
        <v>475</v>
      </c>
      <c r="L63" s="105" t="s">
        <v>474</v>
      </c>
      <c r="M63" s="101"/>
      <c r="N63" s="101"/>
      <c r="O63" s="102"/>
      <c r="P63" s="109" t="s">
        <v>746</v>
      </c>
    </row>
    <row r="64" spans="1:16" x14ac:dyDescent="0.25">
      <c r="A64" s="101"/>
      <c r="B64" s="101"/>
      <c r="C64" s="101"/>
      <c r="D64" s="101"/>
      <c r="E64" s="91" t="s">
        <v>478</v>
      </c>
      <c r="F64" s="91" t="s">
        <v>461</v>
      </c>
      <c r="G64" s="91" t="s">
        <v>461</v>
      </c>
      <c r="H64" s="91" t="s">
        <v>461</v>
      </c>
      <c r="I64" s="101"/>
      <c r="J64" s="101"/>
      <c r="K64" s="101"/>
      <c r="L64" s="101"/>
      <c r="M64" s="101"/>
      <c r="N64" s="101"/>
      <c r="O64" s="102"/>
      <c r="P64" s="109"/>
    </row>
    <row r="65" spans="1:16" x14ac:dyDescent="0.25">
      <c r="A65" s="101"/>
      <c r="B65" s="101"/>
      <c r="C65" s="101"/>
      <c r="D65" s="101"/>
      <c r="E65" s="91" t="s">
        <v>463</v>
      </c>
      <c r="F65" s="91" t="s">
        <v>461</v>
      </c>
      <c r="G65" s="91" t="s">
        <v>461</v>
      </c>
      <c r="H65" s="91" t="s">
        <v>461</v>
      </c>
      <c r="I65" s="101"/>
      <c r="J65" s="101"/>
      <c r="K65" s="101"/>
      <c r="L65" s="101"/>
      <c r="M65" s="101"/>
      <c r="N65" s="101"/>
      <c r="O65" s="102"/>
      <c r="P65" s="109"/>
    </row>
    <row r="66" spans="1:16" x14ac:dyDescent="0.25">
      <c r="A66" s="101"/>
      <c r="B66" s="101"/>
      <c r="C66" s="101"/>
      <c r="D66" s="101"/>
      <c r="E66" s="91" t="s">
        <v>464</v>
      </c>
      <c r="F66" s="91" t="s">
        <v>468</v>
      </c>
      <c r="G66" s="91" t="s">
        <v>467</v>
      </c>
      <c r="H66" s="91" t="s">
        <v>468</v>
      </c>
      <c r="I66" s="101"/>
      <c r="J66" s="101"/>
      <c r="K66" s="101"/>
      <c r="L66" s="101"/>
      <c r="M66" s="101"/>
      <c r="N66" s="101"/>
      <c r="O66" s="102"/>
      <c r="P66" s="109"/>
    </row>
    <row r="67" spans="1:16" x14ac:dyDescent="0.25">
      <c r="A67" s="101" t="s">
        <v>469</v>
      </c>
      <c r="B67" s="101" t="s">
        <v>499</v>
      </c>
      <c r="C67" s="101">
        <v>30</v>
      </c>
      <c r="D67" s="101">
        <v>60</v>
      </c>
      <c r="E67" s="91" t="s">
        <v>471</v>
      </c>
      <c r="F67" s="91" t="s">
        <v>468</v>
      </c>
      <c r="G67" s="91" t="s">
        <v>472</v>
      </c>
      <c r="H67" s="91" t="s">
        <v>468</v>
      </c>
      <c r="I67" s="101" t="s">
        <v>473</v>
      </c>
      <c r="J67" s="105" t="s">
        <v>474</v>
      </c>
      <c r="K67" s="105" t="s">
        <v>475</v>
      </c>
      <c r="L67" s="105" t="s">
        <v>474</v>
      </c>
      <c r="M67" s="101"/>
      <c r="N67" s="101"/>
      <c r="O67" s="102"/>
      <c r="P67" s="109" t="s">
        <v>621</v>
      </c>
    </row>
    <row r="68" spans="1:16" x14ac:dyDescent="0.25">
      <c r="A68" s="101"/>
      <c r="B68" s="101"/>
      <c r="C68" s="101"/>
      <c r="D68" s="101"/>
      <c r="E68" s="91" t="s">
        <v>478</v>
      </c>
      <c r="F68" s="91" t="s">
        <v>461</v>
      </c>
      <c r="G68" s="91" t="s">
        <v>461</v>
      </c>
      <c r="H68" s="91" t="s">
        <v>461</v>
      </c>
      <c r="I68" s="101"/>
      <c r="J68" s="101"/>
      <c r="K68" s="101"/>
      <c r="L68" s="101"/>
      <c r="M68" s="101"/>
      <c r="N68" s="101"/>
      <c r="O68" s="102"/>
      <c r="P68" s="109"/>
    </row>
    <row r="69" spans="1:16" x14ac:dyDescent="0.25">
      <c r="A69" s="101"/>
      <c r="B69" s="101"/>
      <c r="C69" s="101"/>
      <c r="D69" s="101"/>
      <c r="E69" s="91" t="s">
        <v>463</v>
      </c>
      <c r="F69" s="91" t="s">
        <v>461</v>
      </c>
      <c r="G69" s="91" t="s">
        <v>461</v>
      </c>
      <c r="H69" s="91" t="s">
        <v>461</v>
      </c>
      <c r="I69" s="101"/>
      <c r="J69" s="101"/>
      <c r="K69" s="101"/>
      <c r="L69" s="101"/>
      <c r="M69" s="101"/>
      <c r="N69" s="101"/>
      <c r="O69" s="102"/>
      <c r="P69" s="109"/>
    </row>
    <row r="70" spans="1:16" x14ac:dyDescent="0.25">
      <c r="A70" s="101"/>
      <c r="B70" s="101"/>
      <c r="C70" s="101"/>
      <c r="D70" s="101"/>
      <c r="E70" s="91" t="s">
        <v>464</v>
      </c>
      <c r="F70" s="91" t="s">
        <v>472</v>
      </c>
      <c r="G70" s="91" t="s">
        <v>472</v>
      </c>
      <c r="H70" s="91" t="s">
        <v>472</v>
      </c>
      <c r="I70" s="101"/>
      <c r="J70" s="101"/>
      <c r="K70" s="101"/>
      <c r="L70" s="101"/>
      <c r="M70" s="101"/>
      <c r="N70" s="101"/>
      <c r="O70" s="102"/>
      <c r="P70" s="109"/>
    </row>
    <row r="71" spans="1:16" x14ac:dyDescent="0.25">
      <c r="A71" s="101" t="s">
        <v>469</v>
      </c>
      <c r="B71" s="101" t="s">
        <v>500</v>
      </c>
      <c r="C71" s="101">
        <v>30</v>
      </c>
      <c r="D71" s="101">
        <v>60</v>
      </c>
      <c r="E71" s="91" t="s">
        <v>471</v>
      </c>
      <c r="F71" s="91" t="s">
        <v>468</v>
      </c>
      <c r="G71" s="91" t="s">
        <v>472</v>
      </c>
      <c r="H71" s="91" t="s">
        <v>468</v>
      </c>
      <c r="I71" s="101" t="s">
        <v>473</v>
      </c>
      <c r="J71" s="105" t="s">
        <v>474</v>
      </c>
      <c r="K71" s="105" t="s">
        <v>475</v>
      </c>
      <c r="L71" s="105" t="s">
        <v>474</v>
      </c>
      <c r="M71" s="101"/>
      <c r="N71" s="101"/>
      <c r="O71" s="102"/>
      <c r="P71" s="109" t="s">
        <v>759</v>
      </c>
    </row>
    <row r="72" spans="1:16" x14ac:dyDescent="0.25">
      <c r="A72" s="101"/>
      <c r="B72" s="101"/>
      <c r="C72" s="101"/>
      <c r="D72" s="101"/>
      <c r="E72" s="91" t="s">
        <v>478</v>
      </c>
      <c r="F72" s="91" t="s">
        <v>461</v>
      </c>
      <c r="G72" s="91" t="s">
        <v>461</v>
      </c>
      <c r="H72" s="91" t="s">
        <v>461</v>
      </c>
      <c r="I72" s="101"/>
      <c r="J72" s="101"/>
      <c r="K72" s="101"/>
      <c r="L72" s="101"/>
      <c r="M72" s="101"/>
      <c r="N72" s="101"/>
      <c r="O72" s="102"/>
      <c r="P72" s="109"/>
    </row>
    <row r="73" spans="1:16" x14ac:dyDescent="0.25">
      <c r="A73" s="101"/>
      <c r="B73" s="101"/>
      <c r="C73" s="101"/>
      <c r="D73" s="101"/>
      <c r="E73" s="91" t="s">
        <v>463</v>
      </c>
      <c r="F73" s="91" t="s">
        <v>461</v>
      </c>
      <c r="G73" s="91" t="s">
        <v>461</v>
      </c>
      <c r="H73" s="91" t="s">
        <v>461</v>
      </c>
      <c r="I73" s="101"/>
      <c r="J73" s="101"/>
      <c r="K73" s="101"/>
      <c r="L73" s="101"/>
      <c r="M73" s="101"/>
      <c r="N73" s="101"/>
      <c r="O73" s="102"/>
      <c r="P73" s="109"/>
    </row>
    <row r="74" spans="1:16" x14ac:dyDescent="0.25">
      <c r="A74" s="101"/>
      <c r="B74" s="101"/>
      <c r="C74" s="101"/>
      <c r="D74" s="101"/>
      <c r="E74" s="91" t="s">
        <v>464</v>
      </c>
      <c r="F74" s="91" t="s">
        <v>472</v>
      </c>
      <c r="G74" s="91" t="s">
        <v>472</v>
      </c>
      <c r="H74" s="91" t="s">
        <v>472</v>
      </c>
      <c r="I74" s="101"/>
      <c r="J74" s="101"/>
      <c r="K74" s="101"/>
      <c r="L74" s="101"/>
      <c r="M74" s="101"/>
      <c r="N74" s="101"/>
      <c r="O74" s="102"/>
      <c r="P74" s="109"/>
    </row>
    <row r="75" spans="1:16" x14ac:dyDescent="0.25">
      <c r="A75" s="101" t="s">
        <v>469</v>
      </c>
      <c r="B75" s="101" t="s">
        <v>501</v>
      </c>
      <c r="C75" s="101">
        <v>30</v>
      </c>
      <c r="D75" s="101">
        <v>60</v>
      </c>
      <c r="E75" s="91" t="s">
        <v>471</v>
      </c>
      <c r="F75" s="91" t="s">
        <v>468</v>
      </c>
      <c r="G75" s="91" t="s">
        <v>472</v>
      </c>
      <c r="H75" s="91" t="s">
        <v>468</v>
      </c>
      <c r="I75" s="101" t="s">
        <v>461</v>
      </c>
      <c r="J75" s="105" t="s">
        <v>474</v>
      </c>
      <c r="K75" s="105" t="s">
        <v>475</v>
      </c>
      <c r="L75" s="105" t="s">
        <v>474</v>
      </c>
      <c r="M75" s="101"/>
      <c r="N75" s="101"/>
      <c r="O75" s="102"/>
      <c r="P75" s="109" t="s">
        <v>657</v>
      </c>
    </row>
    <row r="76" spans="1:16" x14ac:dyDescent="0.25">
      <c r="A76" s="101"/>
      <c r="B76" s="101"/>
      <c r="C76" s="101"/>
      <c r="D76" s="101"/>
      <c r="E76" s="91" t="s">
        <v>478</v>
      </c>
      <c r="F76" s="91" t="s">
        <v>461</v>
      </c>
      <c r="G76" s="91" t="s">
        <v>461</v>
      </c>
      <c r="H76" s="91" t="s">
        <v>461</v>
      </c>
      <c r="I76" s="101"/>
      <c r="J76" s="101"/>
      <c r="K76" s="101"/>
      <c r="L76" s="101"/>
      <c r="M76" s="101"/>
      <c r="N76" s="101"/>
      <c r="O76" s="102"/>
      <c r="P76" s="109"/>
    </row>
    <row r="77" spans="1:16" x14ac:dyDescent="0.25">
      <c r="A77" s="101"/>
      <c r="B77" s="101"/>
      <c r="C77" s="101"/>
      <c r="D77" s="101"/>
      <c r="E77" s="91" t="s">
        <v>463</v>
      </c>
      <c r="F77" s="91" t="s">
        <v>461</v>
      </c>
      <c r="G77" s="91" t="s">
        <v>461</v>
      </c>
      <c r="H77" s="91" t="s">
        <v>461</v>
      </c>
      <c r="I77" s="101"/>
      <c r="J77" s="101"/>
      <c r="K77" s="101"/>
      <c r="L77" s="101"/>
      <c r="M77" s="101"/>
      <c r="N77" s="101"/>
      <c r="O77" s="102"/>
      <c r="P77" s="109"/>
    </row>
    <row r="78" spans="1:16" x14ac:dyDescent="0.25">
      <c r="A78" s="101"/>
      <c r="B78" s="101"/>
      <c r="C78" s="101"/>
      <c r="D78" s="101"/>
      <c r="E78" s="91" t="s">
        <v>464</v>
      </c>
      <c r="F78" s="91" t="s">
        <v>472</v>
      </c>
      <c r="G78" s="91" t="s">
        <v>468</v>
      </c>
      <c r="H78" s="91" t="s">
        <v>472</v>
      </c>
      <c r="I78" s="101"/>
      <c r="J78" s="101"/>
      <c r="K78" s="101"/>
      <c r="L78" s="101"/>
      <c r="M78" s="101"/>
      <c r="N78" s="101"/>
      <c r="O78" s="102"/>
      <c r="P78" s="109"/>
    </row>
    <row r="79" spans="1:16" x14ac:dyDescent="0.25">
      <c r="A79" s="101" t="s">
        <v>469</v>
      </c>
      <c r="B79" s="101" t="s">
        <v>502</v>
      </c>
      <c r="C79" s="101">
        <v>30</v>
      </c>
      <c r="D79" s="101">
        <v>60</v>
      </c>
      <c r="E79" s="91" t="s">
        <v>471</v>
      </c>
      <c r="F79" s="91" t="s">
        <v>468</v>
      </c>
      <c r="G79" s="91" t="s">
        <v>472</v>
      </c>
      <c r="H79" s="91" t="s">
        <v>468</v>
      </c>
      <c r="I79" s="101" t="s">
        <v>461</v>
      </c>
      <c r="J79" s="105" t="s">
        <v>474</v>
      </c>
      <c r="K79" s="105" t="s">
        <v>475</v>
      </c>
      <c r="L79" s="105" t="s">
        <v>474</v>
      </c>
      <c r="M79" s="101"/>
      <c r="N79" s="101"/>
      <c r="O79" s="102"/>
      <c r="P79" s="109" t="s">
        <v>657</v>
      </c>
    </row>
    <row r="80" spans="1:16" x14ac:dyDescent="0.25">
      <c r="A80" s="101"/>
      <c r="B80" s="101"/>
      <c r="C80" s="101"/>
      <c r="D80" s="101"/>
      <c r="E80" s="91" t="s">
        <v>478</v>
      </c>
      <c r="F80" s="91" t="s">
        <v>461</v>
      </c>
      <c r="G80" s="91" t="s">
        <v>461</v>
      </c>
      <c r="H80" s="91" t="s">
        <v>461</v>
      </c>
      <c r="I80" s="101"/>
      <c r="J80" s="101"/>
      <c r="K80" s="101"/>
      <c r="L80" s="101"/>
      <c r="M80" s="101"/>
      <c r="N80" s="101"/>
      <c r="O80" s="102"/>
      <c r="P80" s="109"/>
    </row>
    <row r="81" spans="1:16" x14ac:dyDescent="0.25">
      <c r="A81" s="101"/>
      <c r="B81" s="101"/>
      <c r="C81" s="101"/>
      <c r="D81" s="101"/>
      <c r="E81" s="91" t="s">
        <v>463</v>
      </c>
      <c r="F81" s="91" t="s">
        <v>461</v>
      </c>
      <c r="G81" s="91" t="s">
        <v>461</v>
      </c>
      <c r="H81" s="91" t="s">
        <v>461</v>
      </c>
      <c r="I81" s="101"/>
      <c r="J81" s="101"/>
      <c r="K81" s="101"/>
      <c r="L81" s="101"/>
      <c r="M81" s="101"/>
      <c r="N81" s="101"/>
      <c r="O81" s="102"/>
      <c r="P81" s="109"/>
    </row>
    <row r="82" spans="1:16" x14ac:dyDescent="0.25">
      <c r="A82" s="101"/>
      <c r="B82" s="101"/>
      <c r="C82" s="101"/>
      <c r="D82" s="101"/>
      <c r="E82" s="91" t="s">
        <v>464</v>
      </c>
      <c r="F82" s="91" t="s">
        <v>472</v>
      </c>
      <c r="G82" s="91" t="s">
        <v>468</v>
      </c>
      <c r="H82" s="91" t="s">
        <v>472</v>
      </c>
      <c r="I82" s="101"/>
      <c r="J82" s="101"/>
      <c r="K82" s="101"/>
      <c r="L82" s="101"/>
      <c r="M82" s="101"/>
      <c r="N82" s="101"/>
      <c r="O82" s="102"/>
      <c r="P82" s="109"/>
    </row>
    <row r="83" spans="1:16" x14ac:dyDescent="0.25">
      <c r="A83" s="101" t="s">
        <v>469</v>
      </c>
      <c r="B83" s="101" t="s">
        <v>503</v>
      </c>
      <c r="C83" s="101">
        <v>30</v>
      </c>
      <c r="D83" s="101">
        <v>60</v>
      </c>
      <c r="E83" s="91" t="s">
        <v>471</v>
      </c>
      <c r="F83" s="91" t="s">
        <v>468</v>
      </c>
      <c r="G83" s="91" t="s">
        <v>472</v>
      </c>
      <c r="H83" s="91" t="s">
        <v>468</v>
      </c>
      <c r="I83" s="101" t="s">
        <v>461</v>
      </c>
      <c r="J83" s="105" t="s">
        <v>474</v>
      </c>
      <c r="K83" s="105" t="s">
        <v>475</v>
      </c>
      <c r="L83" s="105" t="s">
        <v>474</v>
      </c>
      <c r="M83" s="101"/>
      <c r="N83" s="101"/>
      <c r="O83" s="102"/>
      <c r="P83" s="109" t="s">
        <v>657</v>
      </c>
    </row>
    <row r="84" spans="1:16" x14ac:dyDescent="0.25">
      <c r="A84" s="101"/>
      <c r="B84" s="101"/>
      <c r="C84" s="101"/>
      <c r="D84" s="101"/>
      <c r="E84" s="91" t="s">
        <v>478</v>
      </c>
      <c r="F84" s="91" t="s">
        <v>461</v>
      </c>
      <c r="G84" s="91" t="s">
        <v>461</v>
      </c>
      <c r="H84" s="91" t="s">
        <v>461</v>
      </c>
      <c r="I84" s="101"/>
      <c r="J84" s="101"/>
      <c r="K84" s="101"/>
      <c r="L84" s="101"/>
      <c r="M84" s="101"/>
      <c r="N84" s="101"/>
      <c r="O84" s="102"/>
      <c r="P84" s="109"/>
    </row>
    <row r="85" spans="1:16" x14ac:dyDescent="0.25">
      <c r="A85" s="101"/>
      <c r="B85" s="101"/>
      <c r="C85" s="101"/>
      <c r="D85" s="101"/>
      <c r="E85" s="91" t="s">
        <v>463</v>
      </c>
      <c r="F85" s="91" t="s">
        <v>461</v>
      </c>
      <c r="G85" s="91" t="s">
        <v>461</v>
      </c>
      <c r="H85" s="91" t="s">
        <v>461</v>
      </c>
      <c r="I85" s="101"/>
      <c r="J85" s="101"/>
      <c r="K85" s="101"/>
      <c r="L85" s="101"/>
      <c r="M85" s="101"/>
      <c r="N85" s="101"/>
      <c r="O85" s="102"/>
      <c r="P85" s="109"/>
    </row>
    <row r="86" spans="1:16" x14ac:dyDescent="0.25">
      <c r="A86" s="101"/>
      <c r="B86" s="101"/>
      <c r="C86" s="101"/>
      <c r="D86" s="101"/>
      <c r="E86" s="91" t="s">
        <v>464</v>
      </c>
      <c r="F86" s="91" t="s">
        <v>472</v>
      </c>
      <c r="G86" s="91" t="s">
        <v>468</v>
      </c>
      <c r="H86" s="91" t="s">
        <v>472</v>
      </c>
      <c r="I86" s="101"/>
      <c r="J86" s="101"/>
      <c r="K86" s="101"/>
      <c r="L86" s="101"/>
      <c r="M86" s="101"/>
      <c r="N86" s="101"/>
      <c r="O86" s="102"/>
      <c r="P86" s="109"/>
    </row>
    <row r="87" spans="1:16" x14ac:dyDescent="0.25">
      <c r="A87" s="101" t="s">
        <v>469</v>
      </c>
      <c r="B87" s="101" t="s">
        <v>504</v>
      </c>
      <c r="C87" s="101">
        <v>30</v>
      </c>
      <c r="D87" s="101">
        <v>60</v>
      </c>
      <c r="E87" s="91" t="s">
        <v>471</v>
      </c>
      <c r="F87" s="91" t="s">
        <v>468</v>
      </c>
      <c r="G87" s="91" t="s">
        <v>472</v>
      </c>
      <c r="H87" s="91" t="s">
        <v>468</v>
      </c>
      <c r="I87" s="101" t="s">
        <v>461</v>
      </c>
      <c r="J87" s="105" t="s">
        <v>474</v>
      </c>
      <c r="K87" s="105" t="s">
        <v>475</v>
      </c>
      <c r="L87" s="105" t="s">
        <v>474</v>
      </c>
      <c r="M87" s="101"/>
      <c r="N87" s="101"/>
      <c r="O87" s="102"/>
      <c r="P87" s="109" t="s">
        <v>746</v>
      </c>
    </row>
    <row r="88" spans="1:16" x14ac:dyDescent="0.25">
      <c r="A88" s="101"/>
      <c r="B88" s="101"/>
      <c r="C88" s="101"/>
      <c r="D88" s="101"/>
      <c r="E88" s="91" t="s">
        <v>478</v>
      </c>
      <c r="F88" s="91" t="s">
        <v>461</v>
      </c>
      <c r="G88" s="91" t="s">
        <v>461</v>
      </c>
      <c r="H88" s="91" t="s">
        <v>461</v>
      </c>
      <c r="I88" s="101"/>
      <c r="J88" s="101"/>
      <c r="K88" s="101"/>
      <c r="L88" s="101"/>
      <c r="M88" s="101"/>
      <c r="N88" s="101"/>
      <c r="O88" s="102"/>
      <c r="P88" s="109"/>
    </row>
    <row r="89" spans="1:16" x14ac:dyDescent="0.25">
      <c r="A89" s="101"/>
      <c r="B89" s="101"/>
      <c r="C89" s="101"/>
      <c r="D89" s="101"/>
      <c r="E89" s="91" t="s">
        <v>463</v>
      </c>
      <c r="F89" s="91" t="s">
        <v>461</v>
      </c>
      <c r="G89" s="91" t="s">
        <v>461</v>
      </c>
      <c r="H89" s="91" t="s">
        <v>461</v>
      </c>
      <c r="I89" s="101"/>
      <c r="J89" s="101"/>
      <c r="K89" s="101"/>
      <c r="L89" s="101"/>
      <c r="M89" s="101"/>
      <c r="N89" s="101"/>
      <c r="O89" s="102"/>
      <c r="P89" s="109"/>
    </row>
    <row r="90" spans="1:16" x14ac:dyDescent="0.25">
      <c r="A90" s="101"/>
      <c r="B90" s="101"/>
      <c r="C90" s="101"/>
      <c r="D90" s="101"/>
      <c r="E90" s="91" t="s">
        <v>464</v>
      </c>
      <c r="F90" s="91" t="s">
        <v>472</v>
      </c>
      <c r="G90" s="91" t="s">
        <v>468</v>
      </c>
      <c r="H90" s="91" t="s">
        <v>472</v>
      </c>
      <c r="I90" s="101"/>
      <c r="J90" s="101"/>
      <c r="K90" s="101"/>
      <c r="L90" s="101"/>
      <c r="M90" s="101"/>
      <c r="N90" s="101"/>
      <c r="O90" s="102"/>
      <c r="P90" s="109"/>
    </row>
    <row r="91" spans="1:16" x14ac:dyDescent="0.25">
      <c r="A91" s="101" t="s">
        <v>469</v>
      </c>
      <c r="B91" s="101" t="s">
        <v>505</v>
      </c>
      <c r="C91" s="101">
        <v>30</v>
      </c>
      <c r="D91" s="101">
        <v>60</v>
      </c>
      <c r="E91" s="91" t="s">
        <v>471</v>
      </c>
      <c r="F91" s="91" t="s">
        <v>468</v>
      </c>
      <c r="G91" s="91" t="s">
        <v>472</v>
      </c>
      <c r="H91" s="91" t="s">
        <v>468</v>
      </c>
      <c r="I91" s="101" t="s">
        <v>461</v>
      </c>
      <c r="J91" s="105" t="s">
        <v>474</v>
      </c>
      <c r="K91" s="105" t="s">
        <v>475</v>
      </c>
      <c r="L91" s="105" t="s">
        <v>474</v>
      </c>
      <c r="M91" s="101"/>
      <c r="N91" s="101"/>
      <c r="O91" s="102"/>
      <c r="P91" s="109" t="s">
        <v>738</v>
      </c>
    </row>
    <row r="92" spans="1:16" x14ac:dyDescent="0.25">
      <c r="A92" s="101"/>
      <c r="B92" s="101"/>
      <c r="C92" s="101"/>
      <c r="D92" s="101"/>
      <c r="E92" s="91" t="s">
        <v>478</v>
      </c>
      <c r="F92" s="91" t="s">
        <v>461</v>
      </c>
      <c r="G92" s="91" t="s">
        <v>461</v>
      </c>
      <c r="H92" s="91" t="s">
        <v>461</v>
      </c>
      <c r="I92" s="101"/>
      <c r="J92" s="101"/>
      <c r="K92" s="101"/>
      <c r="L92" s="101"/>
      <c r="M92" s="101"/>
      <c r="N92" s="101"/>
      <c r="O92" s="102"/>
      <c r="P92" s="109"/>
    </row>
    <row r="93" spans="1:16" x14ac:dyDescent="0.25">
      <c r="A93" s="101"/>
      <c r="B93" s="101"/>
      <c r="C93" s="101"/>
      <c r="D93" s="101"/>
      <c r="E93" s="91" t="s">
        <v>463</v>
      </c>
      <c r="F93" s="91" t="s">
        <v>461</v>
      </c>
      <c r="G93" s="91" t="s">
        <v>461</v>
      </c>
      <c r="H93" s="91" t="s">
        <v>461</v>
      </c>
      <c r="I93" s="101"/>
      <c r="J93" s="101"/>
      <c r="K93" s="101"/>
      <c r="L93" s="101"/>
      <c r="M93" s="101"/>
      <c r="N93" s="101"/>
      <c r="O93" s="102"/>
      <c r="P93" s="109"/>
    </row>
    <row r="94" spans="1:16" x14ac:dyDescent="0.25">
      <c r="A94" s="101"/>
      <c r="B94" s="101"/>
      <c r="C94" s="101"/>
      <c r="D94" s="101"/>
      <c r="E94" s="91" t="s">
        <v>464</v>
      </c>
      <c r="F94" s="91" t="s">
        <v>472</v>
      </c>
      <c r="G94" s="91" t="s">
        <v>468</v>
      </c>
      <c r="H94" s="91" t="s">
        <v>472</v>
      </c>
      <c r="I94" s="101"/>
      <c r="J94" s="101"/>
      <c r="K94" s="101"/>
      <c r="L94" s="101"/>
      <c r="M94" s="101"/>
      <c r="N94" s="101"/>
      <c r="O94" s="102"/>
      <c r="P94" s="109"/>
    </row>
    <row r="95" spans="1:16" x14ac:dyDescent="0.25">
      <c r="A95" s="101" t="s">
        <v>469</v>
      </c>
      <c r="B95" s="101" t="s">
        <v>506</v>
      </c>
      <c r="C95" s="101">
        <v>30</v>
      </c>
      <c r="D95" s="101">
        <v>60</v>
      </c>
      <c r="E95" s="91" t="s">
        <v>471</v>
      </c>
      <c r="F95" s="91" t="s">
        <v>468</v>
      </c>
      <c r="G95" s="91" t="s">
        <v>472</v>
      </c>
      <c r="H95" s="91" t="s">
        <v>468</v>
      </c>
      <c r="I95" s="101" t="s">
        <v>461</v>
      </c>
      <c r="J95" s="105" t="s">
        <v>474</v>
      </c>
      <c r="K95" s="105" t="s">
        <v>475</v>
      </c>
      <c r="L95" s="105" t="s">
        <v>474</v>
      </c>
      <c r="M95" s="101"/>
      <c r="N95" s="101"/>
      <c r="O95" s="102"/>
      <c r="P95" s="109" t="s">
        <v>621</v>
      </c>
    </row>
    <row r="96" spans="1:16" x14ac:dyDescent="0.25">
      <c r="A96" s="101"/>
      <c r="B96" s="101"/>
      <c r="C96" s="101"/>
      <c r="D96" s="101"/>
      <c r="E96" s="91" t="s">
        <v>478</v>
      </c>
      <c r="F96" s="91" t="s">
        <v>461</v>
      </c>
      <c r="G96" s="91" t="s">
        <v>461</v>
      </c>
      <c r="H96" s="91" t="s">
        <v>461</v>
      </c>
      <c r="I96" s="101"/>
      <c r="J96" s="101"/>
      <c r="K96" s="101"/>
      <c r="L96" s="101"/>
      <c r="M96" s="101"/>
      <c r="N96" s="101"/>
      <c r="O96" s="102"/>
      <c r="P96" s="109"/>
    </row>
    <row r="97" spans="1:16" x14ac:dyDescent="0.25">
      <c r="A97" s="101"/>
      <c r="B97" s="101"/>
      <c r="C97" s="101"/>
      <c r="D97" s="101"/>
      <c r="E97" s="91" t="s">
        <v>463</v>
      </c>
      <c r="F97" s="91" t="s">
        <v>461</v>
      </c>
      <c r="G97" s="91" t="s">
        <v>461</v>
      </c>
      <c r="H97" s="91" t="s">
        <v>461</v>
      </c>
      <c r="I97" s="101"/>
      <c r="J97" s="101"/>
      <c r="K97" s="101"/>
      <c r="L97" s="101"/>
      <c r="M97" s="101"/>
      <c r="N97" s="101"/>
      <c r="O97" s="102"/>
      <c r="P97" s="109"/>
    </row>
    <row r="98" spans="1:16" x14ac:dyDescent="0.25">
      <c r="A98" s="101"/>
      <c r="B98" s="101"/>
      <c r="C98" s="101"/>
      <c r="D98" s="101"/>
      <c r="E98" s="91" t="s">
        <v>464</v>
      </c>
      <c r="F98" s="91" t="s">
        <v>472</v>
      </c>
      <c r="G98" s="91" t="s">
        <v>468</v>
      </c>
      <c r="H98" s="91" t="s">
        <v>472</v>
      </c>
      <c r="I98" s="101"/>
      <c r="J98" s="101"/>
      <c r="K98" s="101"/>
      <c r="L98" s="101"/>
      <c r="M98" s="101"/>
      <c r="N98" s="101"/>
      <c r="O98" s="102"/>
      <c r="P98" s="109"/>
    </row>
    <row r="99" spans="1:16" x14ac:dyDescent="0.25">
      <c r="A99" s="101" t="s">
        <v>469</v>
      </c>
      <c r="B99" s="101" t="s">
        <v>507</v>
      </c>
      <c r="C99" s="101">
        <v>30</v>
      </c>
      <c r="D99" s="101">
        <v>60</v>
      </c>
      <c r="E99" s="91" t="s">
        <v>471</v>
      </c>
      <c r="F99" s="91" t="s">
        <v>468</v>
      </c>
      <c r="G99" s="91" t="s">
        <v>472</v>
      </c>
      <c r="H99" s="91" t="s">
        <v>468</v>
      </c>
      <c r="I99" s="101" t="s">
        <v>473</v>
      </c>
      <c r="J99" s="105" t="s">
        <v>474</v>
      </c>
      <c r="K99" s="105" t="s">
        <v>475</v>
      </c>
      <c r="L99" s="105" t="s">
        <v>474</v>
      </c>
      <c r="M99" s="101"/>
      <c r="N99" s="101"/>
      <c r="O99" s="102"/>
      <c r="P99" s="109" t="s">
        <v>657</v>
      </c>
    </row>
    <row r="100" spans="1:16" x14ac:dyDescent="0.25">
      <c r="A100" s="101"/>
      <c r="B100" s="101"/>
      <c r="C100" s="101"/>
      <c r="D100" s="101"/>
      <c r="E100" s="91" t="s">
        <v>478</v>
      </c>
      <c r="F100" s="91" t="s">
        <v>461</v>
      </c>
      <c r="G100" s="91" t="s">
        <v>461</v>
      </c>
      <c r="H100" s="91" t="s">
        <v>461</v>
      </c>
      <c r="I100" s="101"/>
      <c r="J100" s="101"/>
      <c r="K100" s="101"/>
      <c r="L100" s="101"/>
      <c r="M100" s="101"/>
      <c r="N100" s="101"/>
      <c r="O100" s="102"/>
      <c r="P100" s="109"/>
    </row>
    <row r="101" spans="1:16" x14ac:dyDescent="0.25">
      <c r="A101" s="101"/>
      <c r="B101" s="101"/>
      <c r="C101" s="101"/>
      <c r="D101" s="101"/>
      <c r="E101" s="91" t="s">
        <v>463</v>
      </c>
      <c r="F101" s="91" t="s">
        <v>461</v>
      </c>
      <c r="G101" s="91" t="s">
        <v>461</v>
      </c>
      <c r="H101" s="91" t="s">
        <v>461</v>
      </c>
      <c r="I101" s="101"/>
      <c r="J101" s="101"/>
      <c r="K101" s="101"/>
      <c r="L101" s="101"/>
      <c r="M101" s="101"/>
      <c r="N101" s="101"/>
      <c r="O101" s="102"/>
      <c r="P101" s="109"/>
    </row>
    <row r="102" spans="1:16" x14ac:dyDescent="0.25">
      <c r="A102" s="101"/>
      <c r="B102" s="101"/>
      <c r="C102" s="101"/>
      <c r="D102" s="101"/>
      <c r="E102" s="91" t="s">
        <v>464</v>
      </c>
      <c r="F102" s="91" t="s">
        <v>472</v>
      </c>
      <c r="G102" s="91" t="s">
        <v>472</v>
      </c>
      <c r="H102" s="91" t="s">
        <v>472</v>
      </c>
      <c r="I102" s="101"/>
      <c r="J102" s="101"/>
      <c r="K102" s="101"/>
      <c r="L102" s="101"/>
      <c r="M102" s="101"/>
      <c r="N102" s="101"/>
      <c r="O102" s="102"/>
      <c r="P102" s="109"/>
    </row>
    <row r="103" spans="1:16" x14ac:dyDescent="0.25">
      <c r="A103" s="101" t="s">
        <v>469</v>
      </c>
      <c r="B103" s="101" t="s">
        <v>508</v>
      </c>
      <c r="C103" s="101">
        <v>30</v>
      </c>
      <c r="D103" s="101">
        <v>60</v>
      </c>
      <c r="E103" s="91" t="s">
        <v>471</v>
      </c>
      <c r="F103" s="91" t="s">
        <v>468</v>
      </c>
      <c r="G103" s="91" t="s">
        <v>472</v>
      </c>
      <c r="H103" s="91" t="s">
        <v>468</v>
      </c>
      <c r="I103" s="101" t="s">
        <v>473</v>
      </c>
      <c r="J103" s="105" t="s">
        <v>474</v>
      </c>
      <c r="K103" s="105" t="s">
        <v>475</v>
      </c>
      <c r="L103" s="105" t="s">
        <v>474</v>
      </c>
      <c r="M103" s="101"/>
      <c r="N103" s="101"/>
      <c r="O103" s="102"/>
      <c r="P103" s="109" t="s">
        <v>738</v>
      </c>
    </row>
    <row r="104" spans="1:16" x14ac:dyDescent="0.25">
      <c r="A104" s="101"/>
      <c r="B104" s="101"/>
      <c r="C104" s="101"/>
      <c r="D104" s="101"/>
      <c r="E104" s="91" t="s">
        <v>478</v>
      </c>
      <c r="F104" s="91" t="s">
        <v>461</v>
      </c>
      <c r="G104" s="91" t="s">
        <v>461</v>
      </c>
      <c r="H104" s="91" t="s">
        <v>461</v>
      </c>
      <c r="I104" s="101"/>
      <c r="J104" s="101"/>
      <c r="K104" s="101"/>
      <c r="L104" s="101"/>
      <c r="M104" s="101"/>
      <c r="N104" s="101"/>
      <c r="O104" s="102"/>
      <c r="P104" s="109"/>
    </row>
    <row r="105" spans="1:16" x14ac:dyDescent="0.25">
      <c r="A105" s="101"/>
      <c r="B105" s="101"/>
      <c r="C105" s="101"/>
      <c r="D105" s="101"/>
      <c r="E105" s="91" t="s">
        <v>463</v>
      </c>
      <c r="F105" s="91" t="s">
        <v>461</v>
      </c>
      <c r="G105" s="91" t="s">
        <v>461</v>
      </c>
      <c r="H105" s="91" t="s">
        <v>461</v>
      </c>
      <c r="I105" s="101"/>
      <c r="J105" s="101"/>
      <c r="K105" s="101"/>
      <c r="L105" s="101"/>
      <c r="M105" s="101"/>
      <c r="N105" s="101"/>
      <c r="O105" s="102"/>
      <c r="P105" s="109"/>
    </row>
    <row r="106" spans="1:16" x14ac:dyDescent="0.25">
      <c r="A106" s="101"/>
      <c r="B106" s="101"/>
      <c r="C106" s="101"/>
      <c r="D106" s="101"/>
      <c r="E106" s="91" t="s">
        <v>464</v>
      </c>
      <c r="F106" s="91" t="s">
        <v>472</v>
      </c>
      <c r="G106" s="91" t="s">
        <v>472</v>
      </c>
      <c r="H106" s="91" t="s">
        <v>472</v>
      </c>
      <c r="I106" s="101"/>
      <c r="J106" s="101"/>
      <c r="K106" s="101"/>
      <c r="L106" s="101"/>
      <c r="M106" s="101"/>
      <c r="N106" s="101"/>
      <c r="O106" s="102"/>
      <c r="P106" s="109"/>
    </row>
    <row r="107" spans="1:16" x14ac:dyDescent="0.25">
      <c r="M107" s="101"/>
      <c r="N107" s="101"/>
      <c r="O107" s="102"/>
    </row>
    <row r="108" spans="1:16" x14ac:dyDescent="0.25">
      <c r="M108" s="101"/>
      <c r="N108" s="101"/>
      <c r="O108" s="102"/>
    </row>
    <row r="109" spans="1:16" x14ac:dyDescent="0.25">
      <c r="M109" s="101"/>
      <c r="N109" s="101"/>
      <c r="O109" s="102"/>
    </row>
    <row r="110" spans="1:16" x14ac:dyDescent="0.25">
      <c r="M110" s="101"/>
      <c r="N110" s="101"/>
      <c r="O110" s="102"/>
    </row>
    <row r="111" spans="1:16" x14ac:dyDescent="0.25">
      <c r="M111" s="101"/>
      <c r="N111" s="101"/>
      <c r="O111" s="102"/>
    </row>
    <row r="112" spans="1:16" x14ac:dyDescent="0.25">
      <c r="M112" s="101"/>
      <c r="N112" s="101"/>
      <c r="O112" s="102"/>
    </row>
    <row r="113" spans="13:15" x14ac:dyDescent="0.25">
      <c r="M113" s="101"/>
      <c r="N113" s="101"/>
      <c r="O113" s="102"/>
    </row>
    <row r="114" spans="13:15" x14ac:dyDescent="0.25">
      <c r="M114" s="101"/>
      <c r="N114" s="101"/>
      <c r="O114" s="102"/>
    </row>
    <row r="115" spans="13:15" x14ac:dyDescent="0.25">
      <c r="M115" s="101"/>
      <c r="N115" s="101"/>
      <c r="O115" s="102"/>
    </row>
    <row r="116" spans="13:15" x14ac:dyDescent="0.25">
      <c r="M116" s="101"/>
      <c r="N116" s="101"/>
      <c r="O116" s="102"/>
    </row>
    <row r="117" spans="13:15" x14ac:dyDescent="0.25">
      <c r="M117" s="101"/>
      <c r="N117" s="101"/>
      <c r="O117" s="102"/>
    </row>
    <row r="118" spans="13:15" x14ac:dyDescent="0.25">
      <c r="M118" s="101"/>
      <c r="N118" s="101"/>
      <c r="O118" s="102"/>
    </row>
  </sheetData>
  <mergeCells count="333">
    <mergeCell ref="P71:P74"/>
    <mergeCell ref="P75:P78"/>
    <mergeCell ref="P79:P82"/>
    <mergeCell ref="P83:P86"/>
    <mergeCell ref="P87:P90"/>
    <mergeCell ref="P91:P94"/>
    <mergeCell ref="P95:P98"/>
    <mergeCell ref="P99:P102"/>
    <mergeCell ref="P103:P106"/>
    <mergeCell ref="P35:P38"/>
    <mergeCell ref="P39:P42"/>
    <mergeCell ref="P43:P46"/>
    <mergeCell ref="P47:P50"/>
    <mergeCell ref="P51:P54"/>
    <mergeCell ref="P55:P58"/>
    <mergeCell ref="P59:P62"/>
    <mergeCell ref="P63:P66"/>
    <mergeCell ref="P67:P70"/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L95:L98"/>
    <mergeCell ref="L99:L102"/>
    <mergeCell ref="L103:L106"/>
    <mergeCell ref="L71:L74"/>
    <mergeCell ref="L75:L78"/>
    <mergeCell ref="L79:L82"/>
    <mergeCell ref="L83:L86"/>
    <mergeCell ref="L87:L90"/>
    <mergeCell ref="L91:L94"/>
    <mergeCell ref="L47:L50"/>
    <mergeCell ref="L51:L54"/>
    <mergeCell ref="L55:L58"/>
    <mergeCell ref="L59:L62"/>
    <mergeCell ref="L63:L66"/>
    <mergeCell ref="L67:L70"/>
    <mergeCell ref="L23:L26"/>
    <mergeCell ref="L27:L30"/>
    <mergeCell ref="L31:L34"/>
    <mergeCell ref="L35:L38"/>
    <mergeCell ref="L39:L42"/>
    <mergeCell ref="L43:L46"/>
    <mergeCell ref="K103:K106"/>
    <mergeCell ref="O3:O6"/>
    <mergeCell ref="J1:L1"/>
    <mergeCell ref="L3:L6"/>
    <mergeCell ref="L7:L10"/>
    <mergeCell ref="L11:L14"/>
    <mergeCell ref="L15:L18"/>
    <mergeCell ref="L19:L22"/>
    <mergeCell ref="A103:A106"/>
    <mergeCell ref="B103:B106"/>
    <mergeCell ref="C103:C106"/>
    <mergeCell ref="D103:D106"/>
    <mergeCell ref="I103:I106"/>
    <mergeCell ref="J103:J106"/>
    <mergeCell ref="K95:K98"/>
    <mergeCell ref="A99:A102"/>
    <mergeCell ref="B99:B102"/>
    <mergeCell ref="C99:C102"/>
    <mergeCell ref="D99:D102"/>
    <mergeCell ref="I99:I102"/>
    <mergeCell ref="J99:J102"/>
    <mergeCell ref="K99:K102"/>
    <mergeCell ref="A95:A98"/>
    <mergeCell ref="B95:B98"/>
    <mergeCell ref="C95:C98"/>
    <mergeCell ref="D95:D98"/>
    <mergeCell ref="I95:I98"/>
    <mergeCell ref="J95:J98"/>
    <mergeCell ref="K87:K90"/>
    <mergeCell ref="A91:A94"/>
    <mergeCell ref="B91:B94"/>
    <mergeCell ref="C91:C94"/>
    <mergeCell ref="D91:D94"/>
    <mergeCell ref="I91:I94"/>
    <mergeCell ref="J91:J94"/>
    <mergeCell ref="K91:K94"/>
    <mergeCell ref="A87:A90"/>
    <mergeCell ref="B87:B90"/>
    <mergeCell ref="C87:C90"/>
    <mergeCell ref="D87:D90"/>
    <mergeCell ref="I87:I90"/>
    <mergeCell ref="J87:J90"/>
    <mergeCell ref="K79:K82"/>
    <mergeCell ref="A83:A86"/>
    <mergeCell ref="B83:B86"/>
    <mergeCell ref="C83:C86"/>
    <mergeCell ref="D83:D86"/>
    <mergeCell ref="I83:I86"/>
    <mergeCell ref="J83:J86"/>
    <mergeCell ref="K83:K86"/>
    <mergeCell ref="A79:A82"/>
    <mergeCell ref="B79:B82"/>
    <mergeCell ref="C79:C82"/>
    <mergeCell ref="D79:D82"/>
    <mergeCell ref="I79:I82"/>
    <mergeCell ref="J79:J82"/>
    <mergeCell ref="K71:K74"/>
    <mergeCell ref="A75:A78"/>
    <mergeCell ref="B75:B78"/>
    <mergeCell ref="C75:C78"/>
    <mergeCell ref="D75:D78"/>
    <mergeCell ref="I75:I78"/>
    <mergeCell ref="J75:J78"/>
    <mergeCell ref="K75:K78"/>
    <mergeCell ref="A71:A74"/>
    <mergeCell ref="B71:B74"/>
    <mergeCell ref="C71:C74"/>
    <mergeCell ref="D71:D74"/>
    <mergeCell ref="I71:I74"/>
    <mergeCell ref="J71:J74"/>
    <mergeCell ref="K63:K66"/>
    <mergeCell ref="A67:A70"/>
    <mergeCell ref="B67:B70"/>
    <mergeCell ref="C67:C70"/>
    <mergeCell ref="D67:D70"/>
    <mergeCell ref="I67:I70"/>
    <mergeCell ref="J67:J70"/>
    <mergeCell ref="K67:K70"/>
    <mergeCell ref="A63:A66"/>
    <mergeCell ref="B63:B66"/>
    <mergeCell ref="C63:C66"/>
    <mergeCell ref="D63:D66"/>
    <mergeCell ref="I63:I66"/>
    <mergeCell ref="J63:J66"/>
    <mergeCell ref="K55:K58"/>
    <mergeCell ref="A59:A62"/>
    <mergeCell ref="B59:B62"/>
    <mergeCell ref="C59:C62"/>
    <mergeCell ref="D59:D62"/>
    <mergeCell ref="I59:I62"/>
    <mergeCell ref="J59:J62"/>
    <mergeCell ref="K59:K62"/>
    <mergeCell ref="A55:A58"/>
    <mergeCell ref="B55:B58"/>
    <mergeCell ref="C55:C58"/>
    <mergeCell ref="D55:D58"/>
    <mergeCell ref="I55:I58"/>
    <mergeCell ref="J55:J58"/>
    <mergeCell ref="K47:K50"/>
    <mergeCell ref="A51:A54"/>
    <mergeCell ref="B51:B54"/>
    <mergeCell ref="C51:C54"/>
    <mergeCell ref="D51:D54"/>
    <mergeCell ref="I51:I54"/>
    <mergeCell ref="J51:J54"/>
    <mergeCell ref="K51:K54"/>
    <mergeCell ref="A47:A50"/>
    <mergeCell ref="B47:B50"/>
    <mergeCell ref="C47:C50"/>
    <mergeCell ref="D47:D50"/>
    <mergeCell ref="I47:I50"/>
    <mergeCell ref="J47:J50"/>
    <mergeCell ref="K39:K42"/>
    <mergeCell ref="A43:A46"/>
    <mergeCell ref="B43:B46"/>
    <mergeCell ref="C43:C46"/>
    <mergeCell ref="D43:D46"/>
    <mergeCell ref="I43:I46"/>
    <mergeCell ref="J43:J46"/>
    <mergeCell ref="K43:K46"/>
    <mergeCell ref="A39:A42"/>
    <mergeCell ref="B39:B42"/>
    <mergeCell ref="C39:C42"/>
    <mergeCell ref="D39:D42"/>
    <mergeCell ref="I39:I42"/>
    <mergeCell ref="J39:J42"/>
    <mergeCell ref="K31:K34"/>
    <mergeCell ref="A35:A38"/>
    <mergeCell ref="B35:B38"/>
    <mergeCell ref="C35:C38"/>
    <mergeCell ref="D35:D38"/>
    <mergeCell ref="I35:I38"/>
    <mergeCell ref="J35:J38"/>
    <mergeCell ref="K35:K38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A15:A18"/>
    <mergeCell ref="B15:B18"/>
    <mergeCell ref="C15:C18"/>
    <mergeCell ref="D15:D18"/>
    <mergeCell ref="I15:I18"/>
    <mergeCell ref="J15:J18"/>
    <mergeCell ref="K15:K18"/>
    <mergeCell ref="A19:A22"/>
    <mergeCell ref="B19:B22"/>
    <mergeCell ref="C19:C22"/>
    <mergeCell ref="D19:D22"/>
    <mergeCell ref="I19:I22"/>
    <mergeCell ref="J19:J22"/>
    <mergeCell ref="K19:K22"/>
    <mergeCell ref="O7:O10"/>
    <mergeCell ref="A11:A14"/>
    <mergeCell ref="B11:B14"/>
    <mergeCell ref="C11:C14"/>
    <mergeCell ref="D11:D14"/>
    <mergeCell ref="I11:I14"/>
    <mergeCell ref="J11:J14"/>
    <mergeCell ref="K11:K14"/>
    <mergeCell ref="M11:M14"/>
    <mergeCell ref="N11:N14"/>
    <mergeCell ref="O11:O14"/>
    <mergeCell ref="A7:A10"/>
    <mergeCell ref="B7:B10"/>
    <mergeCell ref="C7:C10"/>
    <mergeCell ref="D7:D10"/>
    <mergeCell ref="I7:I10"/>
    <mergeCell ref="J7:J10"/>
    <mergeCell ref="K7:K10"/>
    <mergeCell ref="M7:M10"/>
    <mergeCell ref="N7:N10"/>
    <mergeCell ref="I1:I2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M3:M6"/>
    <mergeCell ref="N3:N6"/>
    <mergeCell ref="M15:M18"/>
    <mergeCell ref="N15:N18"/>
    <mergeCell ref="O15:O18"/>
    <mergeCell ref="M19:M22"/>
    <mergeCell ref="N19:N22"/>
    <mergeCell ref="O19:O22"/>
    <mergeCell ref="M23:M26"/>
    <mergeCell ref="N23:N26"/>
    <mergeCell ref="O23:O26"/>
    <mergeCell ref="M27:M30"/>
    <mergeCell ref="N27:N30"/>
    <mergeCell ref="O27:O30"/>
    <mergeCell ref="M31:M34"/>
    <mergeCell ref="N31:N34"/>
    <mergeCell ref="O31:O34"/>
    <mergeCell ref="M35:M38"/>
    <mergeCell ref="N35:N38"/>
    <mergeCell ref="O35:O38"/>
    <mergeCell ref="M39:M42"/>
    <mergeCell ref="N39:N42"/>
    <mergeCell ref="O39:O42"/>
    <mergeCell ref="M43:M46"/>
    <mergeCell ref="N43:N46"/>
    <mergeCell ref="O43:O46"/>
    <mergeCell ref="M47:M50"/>
    <mergeCell ref="N47:N50"/>
    <mergeCell ref="O47:O50"/>
    <mergeCell ref="M51:M54"/>
    <mergeCell ref="N51:N54"/>
    <mergeCell ref="O51:O54"/>
    <mergeCell ref="M55:M58"/>
    <mergeCell ref="N55:N58"/>
    <mergeCell ref="O55:O58"/>
    <mergeCell ref="M59:M62"/>
    <mergeCell ref="N59:N62"/>
    <mergeCell ref="O59:O62"/>
    <mergeCell ref="M63:M66"/>
    <mergeCell ref="N63:N66"/>
    <mergeCell ref="O63:O66"/>
    <mergeCell ref="M67:M70"/>
    <mergeCell ref="N67:N70"/>
    <mergeCell ref="O67:O70"/>
    <mergeCell ref="M71:M74"/>
    <mergeCell ref="N71:N74"/>
    <mergeCell ref="O71:O74"/>
    <mergeCell ref="M75:M78"/>
    <mergeCell ref="N75:N78"/>
    <mergeCell ref="O75:O78"/>
    <mergeCell ref="M79:M82"/>
    <mergeCell ref="N79:N82"/>
    <mergeCell ref="O79:O82"/>
    <mergeCell ref="M83:M86"/>
    <mergeCell ref="N83:N86"/>
    <mergeCell ref="O83:O86"/>
    <mergeCell ref="M87:M90"/>
    <mergeCell ref="N87:N90"/>
    <mergeCell ref="O87:O90"/>
    <mergeCell ref="M91:M94"/>
    <mergeCell ref="N91:N94"/>
    <mergeCell ref="O91:O94"/>
    <mergeCell ref="M95:M98"/>
    <mergeCell ref="N95:N98"/>
    <mergeCell ref="O95:O98"/>
    <mergeCell ref="M111:M114"/>
    <mergeCell ref="N111:N114"/>
    <mergeCell ref="O111:O114"/>
    <mergeCell ref="M115:M118"/>
    <mergeCell ref="N115:N118"/>
    <mergeCell ref="O115:O118"/>
    <mergeCell ref="M99:M102"/>
    <mergeCell ref="N99:N102"/>
    <mergeCell ref="O99:O102"/>
    <mergeCell ref="M103:M106"/>
    <mergeCell ref="N103:N106"/>
    <mergeCell ref="O103:O106"/>
    <mergeCell ref="M107:M110"/>
    <mergeCell ref="N107:N110"/>
    <mergeCell ref="O107:O110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79"/>
  <drawing r:id="rId80"/>
  <legacyDrawing r:id="rId8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rgb="FF0070C0"/>
  </sheetPr>
  <dimension ref="A1:Y118"/>
  <sheetViews>
    <sheetView workbookViewId="0">
      <selection activeCell="O7" sqref="O7:O10"/>
    </sheetView>
  </sheetViews>
  <sheetFormatPr defaultRowHeight="16.5" x14ac:dyDescent="0.25"/>
  <cols>
    <col min="1" max="1" width="8.5" style="97" bestFit="1" customWidth="1"/>
    <col min="2" max="2" width="5.5" style="97" bestFit="1" customWidth="1"/>
    <col min="3" max="4" width="8" style="97" bestFit="1" customWidth="1"/>
    <col min="5" max="5" width="12.25" style="97" bestFit="1" customWidth="1"/>
    <col min="6" max="9" width="5.5" style="97" bestFit="1" customWidth="1"/>
    <col min="10" max="11" width="7.25" style="97" bestFit="1" customWidth="1"/>
    <col min="12" max="12" width="7.625" style="97" bestFit="1" customWidth="1"/>
    <col min="13" max="13" width="5.5" style="97" bestFit="1" customWidth="1"/>
    <col min="14" max="14" width="7.5" style="97" bestFit="1" customWidth="1"/>
    <col min="15" max="15" width="8.375" style="95" bestFit="1" customWidth="1"/>
    <col min="16" max="16" width="36.375" style="96" customWidth="1"/>
    <col min="26" max="34" width="9" style="98"/>
    <col min="35" max="35" width="13.5" style="98" bestFit="1" customWidth="1"/>
    <col min="36" max="16384" width="9" style="98"/>
  </cols>
  <sheetData>
    <row r="1" spans="1:16" x14ac:dyDescent="0.25">
      <c r="A1" s="101" t="s">
        <v>418</v>
      </c>
      <c r="B1" s="101" t="s">
        <v>436</v>
      </c>
      <c r="C1" s="101" t="s">
        <v>509</v>
      </c>
      <c r="D1" s="101" t="s">
        <v>438</v>
      </c>
      <c r="E1" s="101" t="s">
        <v>216</v>
      </c>
      <c r="F1" s="101" t="s">
        <v>216</v>
      </c>
      <c r="G1" s="101"/>
      <c r="H1" s="101"/>
      <c r="I1" s="101" t="s">
        <v>440</v>
      </c>
      <c r="J1" s="101" t="s">
        <v>217</v>
      </c>
      <c r="K1" s="101"/>
      <c r="L1" s="99"/>
      <c r="M1" s="101" t="s">
        <v>443</v>
      </c>
      <c r="N1" s="111" t="s">
        <v>444</v>
      </c>
      <c r="O1" s="114" t="s">
        <v>652</v>
      </c>
      <c r="P1" s="106" t="s">
        <v>622</v>
      </c>
    </row>
    <row r="2" spans="1:16" ht="17.25" thickBot="1" x14ac:dyDescent="0.3">
      <c r="A2" s="101"/>
      <c r="B2" s="101"/>
      <c r="C2" s="101"/>
      <c r="D2" s="101"/>
      <c r="E2" s="101"/>
      <c r="F2" s="97" t="s">
        <v>445</v>
      </c>
      <c r="G2" s="97" t="s">
        <v>446</v>
      </c>
      <c r="H2" s="97" t="s">
        <v>447</v>
      </c>
      <c r="I2" s="101"/>
      <c r="J2" s="97" t="s">
        <v>448</v>
      </c>
      <c r="K2" s="97" t="s">
        <v>446</v>
      </c>
      <c r="L2" s="97" t="s">
        <v>447</v>
      </c>
      <c r="M2" s="101"/>
      <c r="N2" s="113"/>
      <c r="O2" s="116"/>
      <c r="P2" s="107"/>
    </row>
    <row r="3" spans="1:16" ht="17.25" thickTop="1" x14ac:dyDescent="0.25">
      <c r="A3" s="101" t="s">
        <v>16</v>
      </c>
      <c r="B3" s="101" t="s">
        <v>510</v>
      </c>
      <c r="C3" s="101">
        <v>30</v>
      </c>
      <c r="D3" s="101">
        <v>55</v>
      </c>
      <c r="E3" s="97" t="s">
        <v>451</v>
      </c>
      <c r="F3" s="97" t="s">
        <v>453</v>
      </c>
      <c r="G3" s="97" t="s">
        <v>453</v>
      </c>
      <c r="H3" s="97" t="s">
        <v>511</v>
      </c>
      <c r="I3" s="101" t="s">
        <v>460</v>
      </c>
      <c r="J3" s="105" t="s">
        <v>456</v>
      </c>
      <c r="K3" s="105" t="s">
        <v>458</v>
      </c>
      <c r="L3" s="105" t="s">
        <v>456</v>
      </c>
      <c r="M3" s="101"/>
      <c r="N3" s="111"/>
      <c r="O3" s="114" t="s">
        <v>569</v>
      </c>
      <c r="P3" s="108" t="s">
        <v>621</v>
      </c>
    </row>
    <row r="4" spans="1:16" x14ac:dyDescent="0.25">
      <c r="A4" s="101"/>
      <c r="B4" s="101"/>
      <c r="C4" s="101"/>
      <c r="D4" s="101"/>
      <c r="E4" s="97" t="s">
        <v>459</v>
      </c>
      <c r="F4" s="97" t="s">
        <v>460</v>
      </c>
      <c r="G4" s="97" t="s">
        <v>460</v>
      </c>
      <c r="H4" s="97" t="s">
        <v>453</v>
      </c>
      <c r="I4" s="101"/>
      <c r="J4" s="101"/>
      <c r="K4" s="101"/>
      <c r="L4" s="101"/>
      <c r="M4" s="101"/>
      <c r="N4" s="112"/>
      <c r="O4" s="115"/>
      <c r="P4" s="109"/>
    </row>
    <row r="5" spans="1:16" x14ac:dyDescent="0.25">
      <c r="A5" s="101"/>
      <c r="B5" s="101"/>
      <c r="C5" s="101"/>
      <c r="D5" s="101"/>
      <c r="E5" s="97" t="s">
        <v>463</v>
      </c>
      <c r="F5" s="97" t="s">
        <v>460</v>
      </c>
      <c r="G5" s="97" t="s">
        <v>460</v>
      </c>
      <c r="H5" s="97" t="s">
        <v>460</v>
      </c>
      <c r="I5" s="101"/>
      <c r="J5" s="101"/>
      <c r="K5" s="101"/>
      <c r="L5" s="101"/>
      <c r="M5" s="101"/>
      <c r="N5" s="112"/>
      <c r="O5" s="115"/>
      <c r="P5" s="109"/>
    </row>
    <row r="6" spans="1:16" x14ac:dyDescent="0.25">
      <c r="A6" s="101"/>
      <c r="B6" s="101"/>
      <c r="C6" s="101"/>
      <c r="D6" s="101"/>
      <c r="E6" s="97" t="s">
        <v>464</v>
      </c>
      <c r="F6" s="97" t="s">
        <v>453</v>
      </c>
      <c r="G6" s="97" t="s">
        <v>511</v>
      </c>
      <c r="H6" s="97" t="s">
        <v>453</v>
      </c>
      <c r="I6" s="101"/>
      <c r="J6" s="101"/>
      <c r="K6" s="101"/>
      <c r="L6" s="101"/>
      <c r="M6" s="101"/>
      <c r="N6" s="113"/>
      <c r="O6" s="116"/>
      <c r="P6" s="109"/>
    </row>
    <row r="7" spans="1:16" x14ac:dyDescent="0.25">
      <c r="A7" s="101" t="s">
        <v>16</v>
      </c>
      <c r="B7" s="101" t="s">
        <v>512</v>
      </c>
      <c r="C7" s="101">
        <v>30</v>
      </c>
      <c r="D7" s="101">
        <v>55</v>
      </c>
      <c r="E7" s="97" t="s">
        <v>451</v>
      </c>
      <c r="F7" s="97" t="s">
        <v>511</v>
      </c>
      <c r="G7" s="97" t="s">
        <v>453</v>
      </c>
      <c r="H7" s="97" t="s">
        <v>453</v>
      </c>
      <c r="I7" s="101" t="s">
        <v>460</v>
      </c>
      <c r="J7" s="105" t="s">
        <v>456</v>
      </c>
      <c r="K7" s="105" t="s">
        <v>458</v>
      </c>
      <c r="L7" s="105" t="s">
        <v>456</v>
      </c>
      <c r="M7" s="101"/>
      <c r="N7" s="111"/>
      <c r="O7" s="114" t="s">
        <v>570</v>
      </c>
      <c r="P7" s="110" t="s">
        <v>639</v>
      </c>
    </row>
    <row r="8" spans="1:16" x14ac:dyDescent="0.25">
      <c r="A8" s="101"/>
      <c r="B8" s="101"/>
      <c r="C8" s="101"/>
      <c r="D8" s="101"/>
      <c r="E8" s="97" t="s">
        <v>459</v>
      </c>
      <c r="F8" s="97" t="s">
        <v>453</v>
      </c>
      <c r="G8" s="97" t="s">
        <v>460</v>
      </c>
      <c r="H8" s="97" t="s">
        <v>460</v>
      </c>
      <c r="I8" s="101"/>
      <c r="J8" s="101"/>
      <c r="K8" s="101"/>
      <c r="L8" s="101"/>
      <c r="M8" s="101"/>
      <c r="N8" s="112"/>
      <c r="O8" s="115"/>
      <c r="P8" s="109"/>
    </row>
    <row r="9" spans="1:16" x14ac:dyDescent="0.25">
      <c r="A9" s="101"/>
      <c r="B9" s="101"/>
      <c r="C9" s="101"/>
      <c r="D9" s="101"/>
      <c r="E9" s="97" t="s">
        <v>463</v>
      </c>
      <c r="F9" s="97" t="s">
        <v>460</v>
      </c>
      <c r="G9" s="97" t="s">
        <v>460</v>
      </c>
      <c r="H9" s="97" t="s">
        <v>460</v>
      </c>
      <c r="I9" s="101"/>
      <c r="J9" s="101"/>
      <c r="K9" s="101"/>
      <c r="L9" s="101"/>
      <c r="M9" s="101"/>
      <c r="N9" s="112"/>
      <c r="O9" s="115"/>
      <c r="P9" s="109"/>
    </row>
    <row r="10" spans="1:16" x14ac:dyDescent="0.25">
      <c r="A10" s="101"/>
      <c r="B10" s="101"/>
      <c r="C10" s="101"/>
      <c r="D10" s="101"/>
      <c r="E10" s="97" t="s">
        <v>464</v>
      </c>
      <c r="F10" s="97" t="s">
        <v>453</v>
      </c>
      <c r="G10" s="97" t="s">
        <v>511</v>
      </c>
      <c r="H10" s="97" t="s">
        <v>453</v>
      </c>
      <c r="I10" s="101"/>
      <c r="J10" s="101"/>
      <c r="K10" s="101"/>
      <c r="L10" s="101"/>
      <c r="M10" s="101"/>
      <c r="N10" s="113"/>
      <c r="O10" s="116"/>
      <c r="P10" s="109"/>
    </row>
    <row r="11" spans="1:16" x14ac:dyDescent="0.25">
      <c r="A11" s="101" t="s">
        <v>16</v>
      </c>
      <c r="B11" s="101" t="s">
        <v>513</v>
      </c>
      <c r="C11" s="101">
        <v>30</v>
      </c>
      <c r="D11" s="101">
        <v>55</v>
      </c>
      <c r="E11" s="97" t="s">
        <v>451</v>
      </c>
      <c r="F11" s="97" t="s">
        <v>511</v>
      </c>
      <c r="G11" s="97" t="s">
        <v>453</v>
      </c>
      <c r="H11" s="97" t="s">
        <v>465</v>
      </c>
      <c r="I11" s="101" t="s">
        <v>460</v>
      </c>
      <c r="J11" s="105" t="s">
        <v>456</v>
      </c>
      <c r="K11" s="105" t="s">
        <v>458</v>
      </c>
      <c r="L11" s="105" t="s">
        <v>456</v>
      </c>
      <c r="M11" s="101"/>
      <c r="N11" s="111"/>
      <c r="O11" s="114"/>
      <c r="P11" s="109" t="s">
        <v>621</v>
      </c>
    </row>
    <row r="12" spans="1:16" x14ac:dyDescent="0.25">
      <c r="A12" s="101"/>
      <c r="B12" s="101"/>
      <c r="C12" s="101"/>
      <c r="D12" s="101"/>
      <c r="E12" s="97" t="s">
        <v>459</v>
      </c>
      <c r="F12" s="97" t="s">
        <v>460</v>
      </c>
      <c r="G12" s="97" t="s">
        <v>460</v>
      </c>
      <c r="H12" s="97" t="s">
        <v>460</v>
      </c>
      <c r="I12" s="101"/>
      <c r="J12" s="101"/>
      <c r="K12" s="101"/>
      <c r="L12" s="101"/>
      <c r="M12" s="101"/>
      <c r="N12" s="112"/>
      <c r="O12" s="115"/>
      <c r="P12" s="109"/>
    </row>
    <row r="13" spans="1:16" x14ac:dyDescent="0.25">
      <c r="A13" s="101"/>
      <c r="B13" s="101"/>
      <c r="C13" s="101"/>
      <c r="D13" s="101"/>
      <c r="E13" s="97" t="s">
        <v>463</v>
      </c>
      <c r="F13" s="97" t="s">
        <v>460</v>
      </c>
      <c r="G13" s="97" t="s">
        <v>460</v>
      </c>
      <c r="H13" s="97" t="s">
        <v>460</v>
      </c>
      <c r="I13" s="101"/>
      <c r="J13" s="101"/>
      <c r="K13" s="101"/>
      <c r="L13" s="101"/>
      <c r="M13" s="101"/>
      <c r="N13" s="112"/>
      <c r="O13" s="115"/>
      <c r="P13" s="109"/>
    </row>
    <row r="14" spans="1:16" x14ac:dyDescent="0.25">
      <c r="A14" s="101"/>
      <c r="B14" s="101"/>
      <c r="C14" s="101"/>
      <c r="D14" s="101"/>
      <c r="E14" s="97" t="s">
        <v>464</v>
      </c>
      <c r="F14" s="97" t="s">
        <v>453</v>
      </c>
      <c r="G14" s="97" t="s">
        <v>465</v>
      </c>
      <c r="H14" s="97" t="s">
        <v>453</v>
      </c>
      <c r="I14" s="101"/>
      <c r="J14" s="101"/>
      <c r="K14" s="101"/>
      <c r="L14" s="101"/>
      <c r="M14" s="101"/>
      <c r="N14" s="113"/>
      <c r="O14" s="116"/>
      <c r="P14" s="109"/>
    </row>
    <row r="15" spans="1:16" x14ac:dyDescent="0.25">
      <c r="A15" s="101" t="s">
        <v>16</v>
      </c>
      <c r="B15" s="101" t="s">
        <v>514</v>
      </c>
      <c r="C15" s="101">
        <v>30</v>
      </c>
      <c r="D15" s="101">
        <v>55</v>
      </c>
      <c r="E15" s="97" t="s">
        <v>451</v>
      </c>
      <c r="F15" s="97" t="s">
        <v>465</v>
      </c>
      <c r="G15" s="97" t="s">
        <v>453</v>
      </c>
      <c r="H15" s="97" t="s">
        <v>511</v>
      </c>
      <c r="I15" s="101" t="s">
        <v>460</v>
      </c>
      <c r="J15" s="105" t="s">
        <v>456</v>
      </c>
      <c r="K15" s="105" t="s">
        <v>458</v>
      </c>
      <c r="L15" s="105" t="s">
        <v>456</v>
      </c>
      <c r="M15" s="101"/>
      <c r="N15" s="111"/>
      <c r="O15" s="114"/>
      <c r="P15" s="109" t="s">
        <v>621</v>
      </c>
    </row>
    <row r="16" spans="1:16" x14ac:dyDescent="0.25">
      <c r="A16" s="101"/>
      <c r="B16" s="101"/>
      <c r="C16" s="101"/>
      <c r="D16" s="101"/>
      <c r="E16" s="97" t="s">
        <v>459</v>
      </c>
      <c r="F16" s="97" t="s">
        <v>460</v>
      </c>
      <c r="G16" s="97" t="s">
        <v>460</v>
      </c>
      <c r="H16" s="97" t="s">
        <v>460</v>
      </c>
      <c r="I16" s="101"/>
      <c r="J16" s="101"/>
      <c r="K16" s="101"/>
      <c r="L16" s="101"/>
      <c r="M16" s="101"/>
      <c r="N16" s="112"/>
      <c r="O16" s="115"/>
      <c r="P16" s="109"/>
    </row>
    <row r="17" spans="1:16" x14ac:dyDescent="0.25">
      <c r="A17" s="101"/>
      <c r="B17" s="101"/>
      <c r="C17" s="101"/>
      <c r="D17" s="101"/>
      <c r="E17" s="97" t="s">
        <v>463</v>
      </c>
      <c r="F17" s="97" t="s">
        <v>460</v>
      </c>
      <c r="G17" s="97" t="s">
        <v>460</v>
      </c>
      <c r="H17" s="97" t="s">
        <v>460</v>
      </c>
      <c r="I17" s="101"/>
      <c r="J17" s="101"/>
      <c r="K17" s="101"/>
      <c r="L17" s="101"/>
      <c r="M17" s="101"/>
      <c r="N17" s="112"/>
      <c r="O17" s="115"/>
      <c r="P17" s="109"/>
    </row>
    <row r="18" spans="1:16" x14ac:dyDescent="0.25">
      <c r="A18" s="101"/>
      <c r="B18" s="101"/>
      <c r="C18" s="101"/>
      <c r="D18" s="101"/>
      <c r="E18" s="97" t="s">
        <v>464</v>
      </c>
      <c r="F18" s="97" t="s">
        <v>453</v>
      </c>
      <c r="G18" s="97" t="s">
        <v>465</v>
      </c>
      <c r="H18" s="97" t="s">
        <v>453</v>
      </c>
      <c r="I18" s="101"/>
      <c r="J18" s="101"/>
      <c r="K18" s="101"/>
      <c r="L18" s="101"/>
      <c r="M18" s="101"/>
      <c r="N18" s="113"/>
      <c r="O18" s="116"/>
      <c r="P18" s="109"/>
    </row>
    <row r="19" spans="1:16" x14ac:dyDescent="0.25">
      <c r="A19" s="101" t="s">
        <v>16</v>
      </c>
      <c r="B19" s="101" t="s">
        <v>515</v>
      </c>
      <c r="C19" s="101">
        <v>30</v>
      </c>
      <c r="D19" s="101">
        <v>55</v>
      </c>
      <c r="E19" s="97" t="s">
        <v>451</v>
      </c>
      <c r="F19" s="97" t="s">
        <v>511</v>
      </c>
      <c r="G19" s="97" t="s">
        <v>453</v>
      </c>
      <c r="H19" s="97" t="s">
        <v>465</v>
      </c>
      <c r="I19" s="101" t="s">
        <v>460</v>
      </c>
      <c r="J19" s="105" t="s">
        <v>456</v>
      </c>
      <c r="K19" s="105" t="s">
        <v>458</v>
      </c>
      <c r="L19" s="105" t="s">
        <v>456</v>
      </c>
      <c r="M19" s="101"/>
      <c r="N19" s="111"/>
      <c r="O19" s="114"/>
      <c r="P19" s="109" t="s">
        <v>621</v>
      </c>
    </row>
    <row r="20" spans="1:16" x14ac:dyDescent="0.25">
      <c r="A20" s="101"/>
      <c r="B20" s="101"/>
      <c r="C20" s="101"/>
      <c r="D20" s="101"/>
      <c r="E20" s="97" t="s">
        <v>459</v>
      </c>
      <c r="F20" s="97" t="s">
        <v>460</v>
      </c>
      <c r="G20" s="97" t="s">
        <v>460</v>
      </c>
      <c r="H20" s="97" t="s">
        <v>460</v>
      </c>
      <c r="I20" s="101"/>
      <c r="J20" s="101"/>
      <c r="K20" s="101"/>
      <c r="L20" s="101"/>
      <c r="M20" s="101"/>
      <c r="N20" s="112"/>
      <c r="O20" s="115"/>
      <c r="P20" s="109"/>
    </row>
    <row r="21" spans="1:16" x14ac:dyDescent="0.25">
      <c r="A21" s="101"/>
      <c r="B21" s="101"/>
      <c r="C21" s="101"/>
      <c r="D21" s="101"/>
      <c r="E21" s="97" t="s">
        <v>463</v>
      </c>
      <c r="F21" s="97" t="s">
        <v>460</v>
      </c>
      <c r="G21" s="97" t="s">
        <v>460</v>
      </c>
      <c r="H21" s="97" t="s">
        <v>460</v>
      </c>
      <c r="I21" s="101"/>
      <c r="J21" s="101"/>
      <c r="K21" s="101"/>
      <c r="L21" s="101"/>
      <c r="M21" s="101"/>
      <c r="N21" s="112"/>
      <c r="O21" s="115"/>
      <c r="P21" s="109"/>
    </row>
    <row r="22" spans="1:16" x14ac:dyDescent="0.25">
      <c r="A22" s="101"/>
      <c r="B22" s="101"/>
      <c r="C22" s="101"/>
      <c r="D22" s="101"/>
      <c r="E22" s="97" t="s">
        <v>464</v>
      </c>
      <c r="F22" s="97" t="s">
        <v>453</v>
      </c>
      <c r="G22" s="97" t="s">
        <v>465</v>
      </c>
      <c r="H22" s="97" t="s">
        <v>453</v>
      </c>
      <c r="I22" s="101"/>
      <c r="J22" s="101"/>
      <c r="K22" s="101"/>
      <c r="L22" s="101"/>
      <c r="M22" s="101"/>
      <c r="N22" s="113"/>
      <c r="O22" s="116"/>
      <c r="P22" s="109"/>
    </row>
    <row r="23" spans="1:16" x14ac:dyDescent="0.25">
      <c r="A23" s="101" t="s">
        <v>16</v>
      </c>
      <c r="B23" s="101" t="s">
        <v>516</v>
      </c>
      <c r="C23" s="101">
        <v>30</v>
      </c>
      <c r="D23" s="101">
        <v>55</v>
      </c>
      <c r="E23" s="97" t="s">
        <v>451</v>
      </c>
      <c r="F23" s="97" t="s">
        <v>465</v>
      </c>
      <c r="G23" s="97" t="s">
        <v>453</v>
      </c>
      <c r="H23" s="97" t="s">
        <v>511</v>
      </c>
      <c r="I23" s="101" t="s">
        <v>460</v>
      </c>
      <c r="J23" s="105" t="s">
        <v>456</v>
      </c>
      <c r="K23" s="105" t="s">
        <v>458</v>
      </c>
      <c r="L23" s="105" t="s">
        <v>456</v>
      </c>
      <c r="M23" s="101"/>
      <c r="N23" s="111"/>
      <c r="O23" s="114"/>
      <c r="P23" s="109" t="s">
        <v>621</v>
      </c>
    </row>
    <row r="24" spans="1:16" x14ac:dyDescent="0.25">
      <c r="A24" s="101"/>
      <c r="B24" s="101"/>
      <c r="C24" s="101"/>
      <c r="D24" s="101"/>
      <c r="E24" s="97" t="s">
        <v>459</v>
      </c>
      <c r="F24" s="97" t="s">
        <v>460</v>
      </c>
      <c r="G24" s="97" t="s">
        <v>460</v>
      </c>
      <c r="H24" s="97" t="s">
        <v>460</v>
      </c>
      <c r="I24" s="101"/>
      <c r="J24" s="101"/>
      <c r="K24" s="101"/>
      <c r="L24" s="101"/>
      <c r="M24" s="101"/>
      <c r="N24" s="112"/>
      <c r="O24" s="115"/>
      <c r="P24" s="109"/>
    </row>
    <row r="25" spans="1:16" x14ac:dyDescent="0.25">
      <c r="A25" s="101"/>
      <c r="B25" s="101"/>
      <c r="C25" s="101"/>
      <c r="D25" s="101"/>
      <c r="E25" s="97" t="s">
        <v>463</v>
      </c>
      <c r="F25" s="97" t="s">
        <v>460</v>
      </c>
      <c r="G25" s="97" t="s">
        <v>460</v>
      </c>
      <c r="H25" s="97" t="s">
        <v>460</v>
      </c>
      <c r="I25" s="101"/>
      <c r="J25" s="101"/>
      <c r="K25" s="101"/>
      <c r="L25" s="101"/>
      <c r="M25" s="101"/>
      <c r="N25" s="112"/>
      <c r="O25" s="115"/>
      <c r="P25" s="109"/>
    </row>
    <row r="26" spans="1:16" x14ac:dyDescent="0.25">
      <c r="A26" s="101"/>
      <c r="B26" s="101"/>
      <c r="C26" s="101"/>
      <c r="D26" s="101"/>
      <c r="E26" s="97" t="s">
        <v>464</v>
      </c>
      <c r="F26" s="97" t="s">
        <v>453</v>
      </c>
      <c r="G26" s="97" t="s">
        <v>465</v>
      </c>
      <c r="H26" s="97" t="s">
        <v>453</v>
      </c>
      <c r="I26" s="101"/>
      <c r="J26" s="101"/>
      <c r="K26" s="101"/>
      <c r="L26" s="101"/>
      <c r="M26" s="101"/>
      <c r="N26" s="113"/>
      <c r="O26" s="116"/>
      <c r="P26" s="109"/>
    </row>
    <row r="27" spans="1:16" x14ac:dyDescent="0.25">
      <c r="A27" s="101" t="s">
        <v>16</v>
      </c>
      <c r="B27" s="101" t="s">
        <v>517</v>
      </c>
      <c r="C27" s="101">
        <v>30</v>
      </c>
      <c r="D27" s="101">
        <v>55</v>
      </c>
      <c r="E27" s="97" t="s">
        <v>451</v>
      </c>
      <c r="F27" s="97" t="s">
        <v>453</v>
      </c>
      <c r="G27" s="97" t="s">
        <v>453</v>
      </c>
      <c r="H27" s="97" t="s">
        <v>511</v>
      </c>
      <c r="I27" s="101" t="s">
        <v>460</v>
      </c>
      <c r="J27" s="105" t="s">
        <v>456</v>
      </c>
      <c r="K27" s="105" t="s">
        <v>458</v>
      </c>
      <c r="L27" s="105" t="s">
        <v>456</v>
      </c>
      <c r="M27" s="101"/>
      <c r="N27" s="111"/>
      <c r="O27" s="114"/>
      <c r="P27" s="109" t="s">
        <v>621</v>
      </c>
    </row>
    <row r="28" spans="1:16" x14ac:dyDescent="0.25">
      <c r="A28" s="101"/>
      <c r="B28" s="101"/>
      <c r="C28" s="101"/>
      <c r="D28" s="101"/>
      <c r="E28" s="97" t="s">
        <v>459</v>
      </c>
      <c r="F28" s="97" t="s">
        <v>460</v>
      </c>
      <c r="G28" s="97" t="s">
        <v>460</v>
      </c>
      <c r="H28" s="97" t="s">
        <v>453</v>
      </c>
      <c r="I28" s="101"/>
      <c r="J28" s="101"/>
      <c r="K28" s="101"/>
      <c r="L28" s="101"/>
      <c r="M28" s="101"/>
      <c r="N28" s="112"/>
      <c r="O28" s="115"/>
      <c r="P28" s="109"/>
    </row>
    <row r="29" spans="1:16" x14ac:dyDescent="0.25">
      <c r="A29" s="101"/>
      <c r="B29" s="101"/>
      <c r="C29" s="101"/>
      <c r="D29" s="101"/>
      <c r="E29" s="97" t="s">
        <v>463</v>
      </c>
      <c r="F29" s="97" t="s">
        <v>460</v>
      </c>
      <c r="G29" s="97" t="s">
        <v>460</v>
      </c>
      <c r="H29" s="97" t="s">
        <v>460</v>
      </c>
      <c r="I29" s="101"/>
      <c r="J29" s="101"/>
      <c r="K29" s="101"/>
      <c r="L29" s="101"/>
      <c r="M29" s="101"/>
      <c r="N29" s="112"/>
      <c r="O29" s="115"/>
      <c r="P29" s="109"/>
    </row>
    <row r="30" spans="1:16" x14ac:dyDescent="0.25">
      <c r="A30" s="101"/>
      <c r="B30" s="101"/>
      <c r="C30" s="101"/>
      <c r="D30" s="101"/>
      <c r="E30" s="97" t="s">
        <v>464</v>
      </c>
      <c r="F30" s="97" t="s">
        <v>453</v>
      </c>
      <c r="G30" s="97" t="s">
        <v>511</v>
      </c>
      <c r="H30" s="97" t="s">
        <v>453</v>
      </c>
      <c r="I30" s="101"/>
      <c r="J30" s="101"/>
      <c r="K30" s="101"/>
      <c r="L30" s="101"/>
      <c r="M30" s="101"/>
      <c r="N30" s="113"/>
      <c r="O30" s="116"/>
      <c r="P30" s="109"/>
    </row>
    <row r="31" spans="1:16" x14ac:dyDescent="0.25">
      <c r="A31" s="101" t="s">
        <v>16</v>
      </c>
      <c r="B31" s="101" t="s">
        <v>518</v>
      </c>
      <c r="C31" s="101">
        <v>30</v>
      </c>
      <c r="D31" s="101">
        <v>55</v>
      </c>
      <c r="E31" s="97" t="s">
        <v>451</v>
      </c>
      <c r="F31" s="97" t="s">
        <v>511</v>
      </c>
      <c r="G31" s="97" t="s">
        <v>453</v>
      </c>
      <c r="H31" s="97" t="s">
        <v>453</v>
      </c>
      <c r="I31" s="101" t="s">
        <v>460</v>
      </c>
      <c r="J31" s="105" t="s">
        <v>456</v>
      </c>
      <c r="K31" s="105" t="s">
        <v>458</v>
      </c>
      <c r="L31" s="105" t="s">
        <v>456</v>
      </c>
      <c r="M31" s="101"/>
      <c r="N31" s="111"/>
      <c r="O31" s="114"/>
      <c r="P31" s="109" t="s">
        <v>621</v>
      </c>
    </row>
    <row r="32" spans="1:16" x14ac:dyDescent="0.25">
      <c r="A32" s="101"/>
      <c r="B32" s="101"/>
      <c r="C32" s="101"/>
      <c r="D32" s="101"/>
      <c r="E32" s="97" t="s">
        <v>459</v>
      </c>
      <c r="F32" s="97" t="s">
        <v>453</v>
      </c>
      <c r="G32" s="97" t="s">
        <v>460</v>
      </c>
      <c r="H32" s="97" t="s">
        <v>460</v>
      </c>
      <c r="I32" s="101"/>
      <c r="J32" s="101"/>
      <c r="K32" s="101"/>
      <c r="L32" s="101"/>
      <c r="M32" s="101"/>
      <c r="N32" s="112"/>
      <c r="O32" s="115"/>
      <c r="P32" s="109"/>
    </row>
    <row r="33" spans="1:16" x14ac:dyDescent="0.25">
      <c r="A33" s="101"/>
      <c r="B33" s="101"/>
      <c r="C33" s="101"/>
      <c r="D33" s="101"/>
      <c r="E33" s="97" t="s">
        <v>463</v>
      </c>
      <c r="F33" s="97" t="s">
        <v>460</v>
      </c>
      <c r="G33" s="97" t="s">
        <v>460</v>
      </c>
      <c r="H33" s="97" t="s">
        <v>460</v>
      </c>
      <c r="I33" s="101"/>
      <c r="J33" s="101"/>
      <c r="K33" s="101"/>
      <c r="L33" s="101"/>
      <c r="M33" s="101"/>
      <c r="N33" s="112"/>
      <c r="O33" s="115"/>
      <c r="P33" s="109"/>
    </row>
    <row r="34" spans="1:16" x14ac:dyDescent="0.25">
      <c r="A34" s="101"/>
      <c r="B34" s="101"/>
      <c r="C34" s="101"/>
      <c r="D34" s="101"/>
      <c r="E34" s="97" t="s">
        <v>464</v>
      </c>
      <c r="F34" s="97" t="s">
        <v>453</v>
      </c>
      <c r="G34" s="97" t="s">
        <v>511</v>
      </c>
      <c r="H34" s="97" t="s">
        <v>453</v>
      </c>
      <c r="I34" s="101"/>
      <c r="J34" s="101"/>
      <c r="K34" s="101"/>
      <c r="L34" s="101"/>
      <c r="M34" s="101"/>
      <c r="N34" s="113"/>
      <c r="O34" s="116"/>
      <c r="P34" s="109"/>
    </row>
    <row r="35" spans="1:16" x14ac:dyDescent="0.25">
      <c r="L35" s="105" t="s">
        <v>456</v>
      </c>
      <c r="M35" s="101"/>
      <c r="N35" s="111"/>
      <c r="O35" s="114"/>
      <c r="P35" s="109" t="s">
        <v>621</v>
      </c>
    </row>
    <row r="36" spans="1:16" x14ac:dyDescent="0.25">
      <c r="L36" s="101"/>
      <c r="M36" s="101"/>
      <c r="N36" s="112"/>
      <c r="O36" s="115"/>
      <c r="P36" s="109"/>
    </row>
    <row r="37" spans="1:16" x14ac:dyDescent="0.25">
      <c r="L37" s="101"/>
      <c r="M37" s="101"/>
      <c r="N37" s="112"/>
      <c r="O37" s="115"/>
      <c r="P37" s="109"/>
    </row>
    <row r="38" spans="1:16" x14ac:dyDescent="0.25">
      <c r="L38" s="101"/>
      <c r="M38" s="101"/>
      <c r="N38" s="113"/>
      <c r="O38" s="116"/>
      <c r="P38" s="109"/>
    </row>
    <row r="39" spans="1:16" x14ac:dyDescent="0.25">
      <c r="L39" s="105" t="s">
        <v>456</v>
      </c>
      <c r="M39" s="101"/>
      <c r="N39" s="111"/>
      <c r="O39" s="114"/>
      <c r="P39" s="109" t="s">
        <v>621</v>
      </c>
    </row>
    <row r="40" spans="1:16" x14ac:dyDescent="0.25">
      <c r="L40" s="101"/>
      <c r="M40" s="101"/>
      <c r="N40" s="112"/>
      <c r="O40" s="115"/>
      <c r="P40" s="109"/>
    </row>
    <row r="41" spans="1:16" x14ac:dyDescent="0.25">
      <c r="L41" s="101"/>
      <c r="M41" s="101"/>
      <c r="N41" s="112"/>
      <c r="O41" s="115"/>
      <c r="P41" s="109"/>
    </row>
    <row r="42" spans="1:16" x14ac:dyDescent="0.25">
      <c r="L42" s="101"/>
      <c r="M42" s="101"/>
      <c r="N42" s="113"/>
      <c r="O42" s="116"/>
      <c r="P42" s="109"/>
    </row>
    <row r="43" spans="1:16" x14ac:dyDescent="0.25">
      <c r="L43" s="105" t="s">
        <v>456</v>
      </c>
      <c r="M43" s="101"/>
      <c r="N43" s="111"/>
      <c r="O43" s="114"/>
      <c r="P43" s="109" t="s">
        <v>621</v>
      </c>
    </row>
    <row r="44" spans="1:16" x14ac:dyDescent="0.25">
      <c r="L44" s="101"/>
      <c r="M44" s="101"/>
      <c r="N44" s="112"/>
      <c r="O44" s="115"/>
      <c r="P44" s="109"/>
    </row>
    <row r="45" spans="1:16" x14ac:dyDescent="0.25">
      <c r="L45" s="101"/>
      <c r="M45" s="101"/>
      <c r="N45" s="112"/>
      <c r="O45" s="115"/>
      <c r="P45" s="109"/>
    </row>
    <row r="46" spans="1:16" x14ac:dyDescent="0.25">
      <c r="L46" s="101"/>
      <c r="M46" s="101"/>
      <c r="N46" s="113"/>
      <c r="O46" s="116"/>
      <c r="P46" s="109"/>
    </row>
    <row r="47" spans="1:16" x14ac:dyDescent="0.25">
      <c r="L47" s="105" t="s">
        <v>456</v>
      </c>
      <c r="M47" s="101"/>
      <c r="N47" s="111"/>
      <c r="O47" s="114"/>
      <c r="P47" s="109" t="s">
        <v>621</v>
      </c>
    </row>
    <row r="48" spans="1:16" x14ac:dyDescent="0.25">
      <c r="L48" s="101"/>
      <c r="M48" s="101"/>
      <c r="N48" s="112"/>
      <c r="O48" s="115"/>
      <c r="P48" s="109"/>
    </row>
    <row r="49" spans="12:16" x14ac:dyDescent="0.25">
      <c r="L49" s="101"/>
      <c r="M49" s="101"/>
      <c r="N49" s="112"/>
      <c r="O49" s="115"/>
      <c r="P49" s="109"/>
    </row>
    <row r="50" spans="12:16" x14ac:dyDescent="0.25">
      <c r="L50" s="101"/>
      <c r="M50" s="101"/>
      <c r="N50" s="113"/>
      <c r="O50" s="116"/>
      <c r="P50" s="109"/>
    </row>
    <row r="51" spans="12:16" x14ac:dyDescent="0.25">
      <c r="L51" s="105" t="s">
        <v>456</v>
      </c>
      <c r="M51" s="101"/>
      <c r="N51" s="111"/>
      <c r="O51" s="114"/>
      <c r="P51" s="109" t="s">
        <v>621</v>
      </c>
    </row>
    <row r="52" spans="12:16" x14ac:dyDescent="0.25">
      <c r="L52" s="101"/>
      <c r="M52" s="101"/>
      <c r="N52" s="112"/>
      <c r="O52" s="115"/>
      <c r="P52" s="109"/>
    </row>
    <row r="53" spans="12:16" x14ac:dyDescent="0.25">
      <c r="L53" s="101"/>
      <c r="M53" s="101"/>
      <c r="N53" s="112"/>
      <c r="O53" s="115"/>
      <c r="P53" s="109"/>
    </row>
    <row r="54" spans="12:16" x14ac:dyDescent="0.25">
      <c r="L54" s="101"/>
      <c r="M54" s="101"/>
      <c r="N54" s="113"/>
      <c r="O54" s="116"/>
      <c r="P54" s="109"/>
    </row>
    <row r="55" spans="12:16" x14ac:dyDescent="0.25">
      <c r="L55" s="105" t="s">
        <v>456</v>
      </c>
      <c r="M55" s="101"/>
      <c r="N55" s="111"/>
      <c r="O55" s="114"/>
      <c r="P55" s="109" t="s">
        <v>621</v>
      </c>
    </row>
    <row r="56" spans="12:16" x14ac:dyDescent="0.25">
      <c r="L56" s="101"/>
      <c r="M56" s="101"/>
      <c r="N56" s="112"/>
      <c r="O56" s="115"/>
      <c r="P56" s="109"/>
    </row>
    <row r="57" spans="12:16" x14ac:dyDescent="0.25">
      <c r="L57" s="101"/>
      <c r="M57" s="101"/>
      <c r="N57" s="112"/>
      <c r="O57" s="115"/>
      <c r="P57" s="109"/>
    </row>
    <row r="58" spans="12:16" x14ac:dyDescent="0.25">
      <c r="L58" s="101"/>
      <c r="M58" s="101"/>
      <c r="N58" s="113"/>
      <c r="O58" s="116"/>
      <c r="P58" s="109"/>
    </row>
    <row r="59" spans="12:16" x14ac:dyDescent="0.25">
      <c r="L59" s="105" t="s">
        <v>456</v>
      </c>
      <c r="M59" s="101"/>
      <c r="N59" s="111"/>
      <c r="O59" s="114"/>
      <c r="P59" s="109" t="s">
        <v>621</v>
      </c>
    </row>
    <row r="60" spans="12:16" x14ac:dyDescent="0.25">
      <c r="L60" s="101"/>
      <c r="M60" s="101"/>
      <c r="N60" s="112"/>
      <c r="O60" s="115"/>
      <c r="P60" s="109"/>
    </row>
    <row r="61" spans="12:16" x14ac:dyDescent="0.25">
      <c r="L61" s="101"/>
      <c r="M61" s="101"/>
      <c r="N61" s="112"/>
      <c r="O61" s="115"/>
      <c r="P61" s="109"/>
    </row>
    <row r="62" spans="12:16" x14ac:dyDescent="0.25">
      <c r="L62" s="101"/>
      <c r="M62" s="101"/>
      <c r="N62" s="113"/>
      <c r="O62" s="116"/>
      <c r="P62" s="109"/>
    </row>
    <row r="63" spans="12:16" x14ac:dyDescent="0.25">
      <c r="L63" s="105" t="s">
        <v>456</v>
      </c>
      <c r="M63" s="101"/>
      <c r="N63" s="111"/>
      <c r="O63" s="114"/>
      <c r="P63" s="109" t="s">
        <v>621</v>
      </c>
    </row>
    <row r="64" spans="12:16" x14ac:dyDescent="0.25">
      <c r="L64" s="101"/>
      <c r="M64" s="101"/>
      <c r="N64" s="112"/>
      <c r="O64" s="115"/>
      <c r="P64" s="109"/>
    </row>
    <row r="65" spans="12:16" x14ac:dyDescent="0.25">
      <c r="L65" s="101"/>
      <c r="M65" s="101"/>
      <c r="N65" s="112"/>
      <c r="O65" s="115"/>
      <c r="P65" s="109"/>
    </row>
    <row r="66" spans="12:16" x14ac:dyDescent="0.25">
      <c r="L66" s="101"/>
      <c r="M66" s="101"/>
      <c r="N66" s="113"/>
      <c r="O66" s="116"/>
      <c r="P66" s="109"/>
    </row>
    <row r="67" spans="12:16" x14ac:dyDescent="0.25">
      <c r="L67" s="105" t="s">
        <v>456</v>
      </c>
      <c r="M67" s="101"/>
      <c r="N67" s="111"/>
      <c r="O67" s="114"/>
      <c r="P67" s="109" t="s">
        <v>621</v>
      </c>
    </row>
    <row r="68" spans="12:16" x14ac:dyDescent="0.25">
      <c r="L68" s="101"/>
      <c r="M68" s="101"/>
      <c r="N68" s="112"/>
      <c r="O68" s="115"/>
      <c r="P68" s="109"/>
    </row>
    <row r="69" spans="12:16" x14ac:dyDescent="0.25">
      <c r="L69" s="101"/>
      <c r="M69" s="101"/>
      <c r="N69" s="112"/>
      <c r="O69" s="115"/>
      <c r="P69" s="109"/>
    </row>
    <row r="70" spans="12:16" x14ac:dyDescent="0.25">
      <c r="L70" s="101"/>
      <c r="M70" s="101"/>
      <c r="N70" s="113"/>
      <c r="O70" s="116"/>
      <c r="P70" s="109"/>
    </row>
    <row r="71" spans="12:16" x14ac:dyDescent="0.25">
      <c r="L71" s="105" t="s">
        <v>456</v>
      </c>
      <c r="M71" s="101"/>
      <c r="N71" s="111"/>
      <c r="O71" s="114"/>
      <c r="P71" s="109" t="s">
        <v>621</v>
      </c>
    </row>
    <row r="72" spans="12:16" x14ac:dyDescent="0.25">
      <c r="L72" s="101"/>
      <c r="M72" s="101"/>
      <c r="N72" s="112"/>
      <c r="O72" s="115"/>
      <c r="P72" s="109"/>
    </row>
    <row r="73" spans="12:16" x14ac:dyDescent="0.25">
      <c r="L73" s="101"/>
      <c r="M73" s="101"/>
      <c r="N73" s="112"/>
      <c r="O73" s="115"/>
      <c r="P73" s="109"/>
    </row>
    <row r="74" spans="12:16" x14ac:dyDescent="0.25">
      <c r="L74" s="101"/>
      <c r="M74" s="101"/>
      <c r="N74" s="113"/>
      <c r="O74" s="116"/>
      <c r="P74" s="109"/>
    </row>
    <row r="75" spans="12:16" x14ac:dyDescent="0.25">
      <c r="L75" s="105" t="s">
        <v>456</v>
      </c>
      <c r="M75" s="101"/>
      <c r="N75" s="111"/>
      <c r="O75" s="114"/>
      <c r="P75" s="109" t="s">
        <v>621</v>
      </c>
    </row>
    <row r="76" spans="12:16" x14ac:dyDescent="0.25">
      <c r="L76" s="101"/>
      <c r="M76" s="101"/>
      <c r="N76" s="112"/>
      <c r="O76" s="115"/>
      <c r="P76" s="109"/>
    </row>
    <row r="77" spans="12:16" x14ac:dyDescent="0.25">
      <c r="L77" s="101"/>
      <c r="M77" s="101"/>
      <c r="N77" s="112"/>
      <c r="O77" s="115"/>
      <c r="P77" s="109"/>
    </row>
    <row r="78" spans="12:16" x14ac:dyDescent="0.25">
      <c r="L78" s="101"/>
      <c r="M78" s="101"/>
      <c r="N78" s="113"/>
      <c r="O78" s="116"/>
      <c r="P78" s="109"/>
    </row>
    <row r="79" spans="12:16" x14ac:dyDescent="0.25">
      <c r="L79" s="105" t="s">
        <v>456</v>
      </c>
      <c r="M79" s="101"/>
      <c r="N79" s="111"/>
      <c r="O79" s="114"/>
      <c r="P79" s="109" t="s">
        <v>621</v>
      </c>
    </row>
    <row r="80" spans="12:16" x14ac:dyDescent="0.25">
      <c r="L80" s="101"/>
      <c r="M80" s="101"/>
      <c r="N80" s="112"/>
      <c r="O80" s="115"/>
      <c r="P80" s="109"/>
    </row>
    <row r="81" spans="12:16" x14ac:dyDescent="0.25">
      <c r="L81" s="101"/>
      <c r="M81" s="101"/>
      <c r="N81" s="112"/>
      <c r="O81" s="115"/>
      <c r="P81" s="109"/>
    </row>
    <row r="82" spans="12:16" x14ac:dyDescent="0.25">
      <c r="L82" s="101"/>
      <c r="M82" s="101"/>
      <c r="N82" s="113"/>
      <c r="O82" s="116"/>
      <c r="P82" s="109"/>
    </row>
    <row r="83" spans="12:16" x14ac:dyDescent="0.25">
      <c r="L83" s="105" t="s">
        <v>456</v>
      </c>
      <c r="M83" s="101"/>
      <c r="N83" s="111"/>
      <c r="O83" s="114"/>
      <c r="P83" s="109" t="s">
        <v>621</v>
      </c>
    </row>
    <row r="84" spans="12:16" x14ac:dyDescent="0.25">
      <c r="L84" s="101"/>
      <c r="M84" s="101"/>
      <c r="N84" s="112"/>
      <c r="O84" s="115"/>
      <c r="P84" s="109"/>
    </row>
    <row r="85" spans="12:16" x14ac:dyDescent="0.25">
      <c r="L85" s="101"/>
      <c r="M85" s="101"/>
      <c r="N85" s="112"/>
      <c r="O85" s="115"/>
      <c r="P85" s="109"/>
    </row>
    <row r="86" spans="12:16" x14ac:dyDescent="0.25">
      <c r="L86" s="101"/>
      <c r="M86" s="101"/>
      <c r="N86" s="113"/>
      <c r="O86" s="116"/>
      <c r="P86" s="109"/>
    </row>
    <row r="87" spans="12:16" x14ac:dyDescent="0.25">
      <c r="L87" s="105" t="s">
        <v>456</v>
      </c>
      <c r="M87" s="101"/>
      <c r="N87" s="111"/>
      <c r="O87" s="114"/>
      <c r="P87" s="109" t="s">
        <v>621</v>
      </c>
    </row>
    <row r="88" spans="12:16" x14ac:dyDescent="0.25">
      <c r="L88" s="101"/>
      <c r="M88" s="101"/>
      <c r="N88" s="112"/>
      <c r="O88" s="115"/>
      <c r="P88" s="109"/>
    </row>
    <row r="89" spans="12:16" x14ac:dyDescent="0.25">
      <c r="L89" s="101"/>
      <c r="M89" s="101"/>
      <c r="N89" s="112"/>
      <c r="O89" s="115"/>
      <c r="P89" s="109"/>
    </row>
    <row r="90" spans="12:16" x14ac:dyDescent="0.25">
      <c r="L90" s="101"/>
      <c r="M90" s="101"/>
      <c r="N90" s="113"/>
      <c r="O90" s="116"/>
      <c r="P90" s="109"/>
    </row>
    <row r="91" spans="12:16" x14ac:dyDescent="0.25">
      <c r="L91" s="105" t="s">
        <v>456</v>
      </c>
      <c r="M91" s="101"/>
      <c r="N91" s="111"/>
      <c r="O91" s="114"/>
      <c r="P91" s="109" t="s">
        <v>621</v>
      </c>
    </row>
    <row r="92" spans="12:16" x14ac:dyDescent="0.25">
      <c r="L92" s="101"/>
      <c r="M92" s="101"/>
      <c r="N92" s="112"/>
      <c r="O92" s="115"/>
      <c r="P92" s="109"/>
    </row>
    <row r="93" spans="12:16" x14ac:dyDescent="0.25">
      <c r="L93" s="101"/>
      <c r="M93" s="101"/>
      <c r="N93" s="112"/>
      <c r="O93" s="115"/>
      <c r="P93" s="109"/>
    </row>
    <row r="94" spans="12:16" x14ac:dyDescent="0.25">
      <c r="L94" s="101"/>
      <c r="M94" s="101"/>
      <c r="N94" s="113"/>
      <c r="O94" s="116"/>
      <c r="P94" s="109"/>
    </row>
    <row r="95" spans="12:16" x14ac:dyDescent="0.25">
      <c r="L95" s="105" t="s">
        <v>456</v>
      </c>
      <c r="M95" s="101"/>
      <c r="N95" s="111"/>
      <c r="O95" s="114"/>
      <c r="P95" s="109" t="s">
        <v>621</v>
      </c>
    </row>
    <row r="96" spans="12:16" x14ac:dyDescent="0.25">
      <c r="L96" s="101"/>
      <c r="M96" s="101"/>
      <c r="N96" s="112"/>
      <c r="O96" s="115"/>
      <c r="P96" s="109"/>
    </row>
    <row r="97" spans="12:16" x14ac:dyDescent="0.25">
      <c r="L97" s="101"/>
      <c r="M97" s="101"/>
      <c r="N97" s="112"/>
      <c r="O97" s="115"/>
      <c r="P97" s="109"/>
    </row>
    <row r="98" spans="12:16" x14ac:dyDescent="0.25">
      <c r="L98" s="101"/>
      <c r="M98" s="101"/>
      <c r="N98" s="113"/>
      <c r="O98" s="116"/>
      <c r="P98" s="109"/>
    </row>
    <row r="99" spans="12:16" x14ac:dyDescent="0.25">
      <c r="L99" s="105" t="s">
        <v>456</v>
      </c>
      <c r="M99" s="101"/>
      <c r="N99" s="111"/>
      <c r="O99" s="114"/>
      <c r="P99" s="109" t="s">
        <v>621</v>
      </c>
    </row>
    <row r="100" spans="12:16" x14ac:dyDescent="0.25">
      <c r="L100" s="101"/>
      <c r="M100" s="101"/>
      <c r="N100" s="112"/>
      <c r="O100" s="115"/>
      <c r="P100" s="109"/>
    </row>
    <row r="101" spans="12:16" x14ac:dyDescent="0.25">
      <c r="L101" s="101"/>
      <c r="M101" s="101"/>
      <c r="N101" s="112"/>
      <c r="O101" s="115"/>
      <c r="P101" s="109"/>
    </row>
    <row r="102" spans="12:16" x14ac:dyDescent="0.25">
      <c r="L102" s="101"/>
      <c r="M102" s="101"/>
      <c r="N102" s="113"/>
      <c r="O102" s="116"/>
      <c r="P102" s="109"/>
    </row>
    <row r="103" spans="12:16" x14ac:dyDescent="0.25">
      <c r="L103" s="105" t="s">
        <v>456</v>
      </c>
      <c r="M103" s="101"/>
      <c r="N103" s="111"/>
      <c r="O103" s="114"/>
      <c r="P103" s="109" t="s">
        <v>621</v>
      </c>
    </row>
    <row r="104" spans="12:16" x14ac:dyDescent="0.25">
      <c r="L104" s="101"/>
      <c r="M104" s="101"/>
      <c r="N104" s="112"/>
      <c r="O104" s="115"/>
      <c r="P104" s="109"/>
    </row>
    <row r="105" spans="12:16" x14ac:dyDescent="0.25">
      <c r="L105" s="101"/>
      <c r="M105" s="101"/>
      <c r="N105" s="112"/>
      <c r="O105" s="115"/>
      <c r="P105" s="109"/>
    </row>
    <row r="106" spans="12:16" x14ac:dyDescent="0.25">
      <c r="L106" s="101"/>
      <c r="M106" s="101"/>
      <c r="N106" s="113"/>
      <c r="O106" s="116"/>
      <c r="P106" s="109"/>
    </row>
    <row r="107" spans="12:16" x14ac:dyDescent="0.25">
      <c r="M107" s="101"/>
      <c r="N107" s="111"/>
      <c r="O107" s="114"/>
    </row>
    <row r="108" spans="12:16" x14ac:dyDescent="0.25">
      <c r="M108" s="101"/>
      <c r="N108" s="112"/>
      <c r="O108" s="115"/>
    </row>
    <row r="109" spans="12:16" x14ac:dyDescent="0.25">
      <c r="M109" s="101"/>
      <c r="N109" s="112"/>
      <c r="O109" s="115"/>
    </row>
    <row r="110" spans="12:16" x14ac:dyDescent="0.25">
      <c r="M110" s="101"/>
      <c r="N110" s="113"/>
      <c r="O110" s="116"/>
    </row>
    <row r="111" spans="12:16" x14ac:dyDescent="0.25">
      <c r="M111" s="101"/>
      <c r="N111" s="111"/>
      <c r="O111" s="114"/>
    </row>
    <row r="112" spans="12:16" x14ac:dyDescent="0.25">
      <c r="M112" s="101"/>
      <c r="N112" s="112"/>
      <c r="O112" s="115"/>
    </row>
    <row r="113" spans="13:15" x14ac:dyDescent="0.25">
      <c r="M113" s="101"/>
      <c r="N113" s="112"/>
      <c r="O113" s="115"/>
    </row>
    <row r="114" spans="13:15" x14ac:dyDescent="0.25">
      <c r="M114" s="101"/>
      <c r="N114" s="113"/>
      <c r="O114" s="116"/>
    </row>
    <row r="115" spans="13:15" x14ac:dyDescent="0.25">
      <c r="M115" s="101"/>
      <c r="N115" s="111"/>
      <c r="O115" s="114"/>
    </row>
    <row r="116" spans="13:15" x14ac:dyDescent="0.25">
      <c r="M116" s="101"/>
      <c r="N116" s="112"/>
      <c r="O116" s="115"/>
    </row>
    <row r="117" spans="13:15" x14ac:dyDescent="0.25">
      <c r="M117" s="101"/>
      <c r="N117" s="112"/>
      <c r="O117" s="115"/>
    </row>
    <row r="118" spans="13:15" x14ac:dyDescent="0.25">
      <c r="M118" s="101"/>
      <c r="N118" s="113"/>
      <c r="O118" s="116"/>
    </row>
  </sheetData>
  <mergeCells count="207">
    <mergeCell ref="L95:L98"/>
    <mergeCell ref="L99:L102"/>
    <mergeCell ref="L103:L106"/>
    <mergeCell ref="L75:L78"/>
    <mergeCell ref="L79:L82"/>
    <mergeCell ref="L83:L86"/>
    <mergeCell ref="L87:L90"/>
    <mergeCell ref="L91:L94"/>
    <mergeCell ref="L55:L58"/>
    <mergeCell ref="L59:L62"/>
    <mergeCell ref="L63:L66"/>
    <mergeCell ref="L67:L70"/>
    <mergeCell ref="L71:L74"/>
    <mergeCell ref="M3:M6"/>
    <mergeCell ref="N3:N6"/>
    <mergeCell ref="O3:O6"/>
    <mergeCell ref="L35:L38"/>
    <mergeCell ref="L39:L42"/>
    <mergeCell ref="L43:L46"/>
    <mergeCell ref="L47:L50"/>
    <mergeCell ref="L51:L54"/>
    <mergeCell ref="L15:L18"/>
    <mergeCell ref="L19:L22"/>
    <mergeCell ref="L23:L26"/>
    <mergeCell ref="L27:L30"/>
    <mergeCell ref="L31:L34"/>
    <mergeCell ref="K31:K34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A19:A22"/>
    <mergeCell ref="B19:B22"/>
    <mergeCell ref="C19:C22"/>
    <mergeCell ref="D19:D22"/>
    <mergeCell ref="I19:I22"/>
    <mergeCell ref="J19:J22"/>
    <mergeCell ref="K19:K22"/>
    <mergeCell ref="A15:A18"/>
    <mergeCell ref="B15:B18"/>
    <mergeCell ref="C15:C18"/>
    <mergeCell ref="D15:D18"/>
    <mergeCell ref="I15:I18"/>
    <mergeCell ref="J15:J18"/>
    <mergeCell ref="A11:A14"/>
    <mergeCell ref="B11:B14"/>
    <mergeCell ref="C11:C14"/>
    <mergeCell ref="D11:D14"/>
    <mergeCell ref="I11:I14"/>
    <mergeCell ref="J11:J14"/>
    <mergeCell ref="K11:K14"/>
    <mergeCell ref="A7:A10"/>
    <mergeCell ref="B7:B10"/>
    <mergeCell ref="C7:C10"/>
    <mergeCell ref="D7:D10"/>
    <mergeCell ref="I7:I10"/>
    <mergeCell ref="J7:J10"/>
    <mergeCell ref="A3:A6"/>
    <mergeCell ref="B3:B6"/>
    <mergeCell ref="C3:C6"/>
    <mergeCell ref="D3:D6"/>
    <mergeCell ref="I3:I6"/>
    <mergeCell ref="J3:J6"/>
    <mergeCell ref="K3:K6"/>
    <mergeCell ref="A1:A2"/>
    <mergeCell ref="B1:B2"/>
    <mergeCell ref="C1:C2"/>
    <mergeCell ref="D1:D2"/>
    <mergeCell ref="E1:E2"/>
    <mergeCell ref="F1:H1"/>
    <mergeCell ref="N15:N18"/>
    <mergeCell ref="O15:O18"/>
    <mergeCell ref="M19:M22"/>
    <mergeCell ref="N19:N22"/>
    <mergeCell ref="O19:O22"/>
    <mergeCell ref="M23:M26"/>
    <mergeCell ref="N23:N26"/>
    <mergeCell ref="O23:O26"/>
    <mergeCell ref="I1:I2"/>
    <mergeCell ref="J1:K1"/>
    <mergeCell ref="K7:K10"/>
    <mergeCell ref="K15:K18"/>
    <mergeCell ref="L7:L10"/>
    <mergeCell ref="M7:M10"/>
    <mergeCell ref="N7:N10"/>
    <mergeCell ref="O7:O10"/>
    <mergeCell ref="L11:L14"/>
    <mergeCell ref="M11:M14"/>
    <mergeCell ref="N11:N14"/>
    <mergeCell ref="O11:O14"/>
    <mergeCell ref="M1:M2"/>
    <mergeCell ref="N1:N2"/>
    <mergeCell ref="O1:O2"/>
    <mergeCell ref="L3:L6"/>
    <mergeCell ref="O35:O38"/>
    <mergeCell ref="P35:P38"/>
    <mergeCell ref="M39:M42"/>
    <mergeCell ref="N39:N42"/>
    <mergeCell ref="O39:O42"/>
    <mergeCell ref="P39:P42"/>
    <mergeCell ref="M35:M38"/>
    <mergeCell ref="N35:N38"/>
    <mergeCell ref="P1:P2"/>
    <mergeCell ref="P3:P6"/>
    <mergeCell ref="P7:P10"/>
    <mergeCell ref="P11:P14"/>
    <mergeCell ref="P15:P18"/>
    <mergeCell ref="P19:P22"/>
    <mergeCell ref="P23:P26"/>
    <mergeCell ref="P27:P30"/>
    <mergeCell ref="M31:M34"/>
    <mergeCell ref="N31:N34"/>
    <mergeCell ref="O31:O34"/>
    <mergeCell ref="P31:P34"/>
    <mergeCell ref="M27:M30"/>
    <mergeCell ref="N27:N30"/>
    <mergeCell ref="O27:O30"/>
    <mergeCell ref="M15:M18"/>
    <mergeCell ref="O51:O54"/>
    <mergeCell ref="P51:P54"/>
    <mergeCell ref="M55:M58"/>
    <mergeCell ref="N55:N58"/>
    <mergeCell ref="O55:O58"/>
    <mergeCell ref="P55:P58"/>
    <mergeCell ref="M51:M54"/>
    <mergeCell ref="N51:N54"/>
    <mergeCell ref="O43:O46"/>
    <mergeCell ref="P43:P46"/>
    <mergeCell ref="M47:M50"/>
    <mergeCell ref="N47:N50"/>
    <mergeCell ref="O47:O50"/>
    <mergeCell ref="P47:P50"/>
    <mergeCell ref="M43:M46"/>
    <mergeCell ref="N43:N46"/>
    <mergeCell ref="O67:O70"/>
    <mergeCell ref="P67:P70"/>
    <mergeCell ref="M71:M74"/>
    <mergeCell ref="N71:N74"/>
    <mergeCell ref="O71:O74"/>
    <mergeCell ref="P71:P74"/>
    <mergeCell ref="M67:M70"/>
    <mergeCell ref="N67:N70"/>
    <mergeCell ref="O59:O62"/>
    <mergeCell ref="P59:P62"/>
    <mergeCell ref="M63:M66"/>
    <mergeCell ref="N63:N66"/>
    <mergeCell ref="O63:O66"/>
    <mergeCell ref="P63:P66"/>
    <mergeCell ref="M59:M62"/>
    <mergeCell ref="N59:N62"/>
    <mergeCell ref="O83:O86"/>
    <mergeCell ref="P83:P86"/>
    <mergeCell ref="M87:M90"/>
    <mergeCell ref="N87:N90"/>
    <mergeCell ref="O87:O90"/>
    <mergeCell ref="P87:P90"/>
    <mergeCell ref="M83:M86"/>
    <mergeCell ref="N83:N86"/>
    <mergeCell ref="O75:O78"/>
    <mergeCell ref="P75:P78"/>
    <mergeCell ref="M79:M82"/>
    <mergeCell ref="N79:N82"/>
    <mergeCell ref="O79:O82"/>
    <mergeCell ref="P79:P82"/>
    <mergeCell ref="M75:M78"/>
    <mergeCell ref="N75:N78"/>
    <mergeCell ref="O99:O102"/>
    <mergeCell ref="P99:P102"/>
    <mergeCell ref="M103:M106"/>
    <mergeCell ref="N103:N106"/>
    <mergeCell ref="O103:O106"/>
    <mergeCell ref="P103:P106"/>
    <mergeCell ref="M99:M102"/>
    <mergeCell ref="N99:N102"/>
    <mergeCell ref="O91:O94"/>
    <mergeCell ref="P91:P94"/>
    <mergeCell ref="M95:M98"/>
    <mergeCell ref="N95:N98"/>
    <mergeCell ref="O95:O98"/>
    <mergeCell ref="P95:P98"/>
    <mergeCell ref="M91:M94"/>
    <mergeCell ref="N91:N94"/>
    <mergeCell ref="M107:M110"/>
    <mergeCell ref="N107:N110"/>
    <mergeCell ref="O107:O110"/>
    <mergeCell ref="M111:M114"/>
    <mergeCell ref="N111:N114"/>
    <mergeCell ref="O111:O114"/>
    <mergeCell ref="M115:M118"/>
    <mergeCell ref="N115:N118"/>
    <mergeCell ref="O115:O118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  <hyperlink ref="L35" r:id="rId25"/>
    <hyperlink ref="L39" r:id="rId26"/>
    <hyperlink ref="L43" r:id="rId27"/>
    <hyperlink ref="L51" r:id="rId28"/>
    <hyperlink ref="L55" r:id="rId29"/>
    <hyperlink ref="L59" r:id="rId30"/>
    <hyperlink ref="L63" r:id="rId31"/>
    <hyperlink ref="L67" r:id="rId32"/>
    <hyperlink ref="L71" r:id="rId33"/>
    <hyperlink ref="L75" r:id="rId34"/>
    <hyperlink ref="L79" r:id="rId35"/>
    <hyperlink ref="L83" r:id="rId36"/>
    <hyperlink ref="L87" r:id="rId37"/>
    <hyperlink ref="L91" r:id="rId38"/>
    <hyperlink ref="L95" r:id="rId39"/>
    <hyperlink ref="L99" r:id="rId40"/>
    <hyperlink ref="L103" r:id="rId41"/>
    <hyperlink ref="L47" r:id="rId42"/>
  </hyperlinks>
  <pageMargins left="0.7" right="0.7" top="0.75" bottom="0.75" header="0.3" footer="0.3"/>
  <drawing r:id="rId43"/>
  <legacyDrawing r:id="rId44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0070C0"/>
  </sheetPr>
  <dimension ref="A1:Y118"/>
  <sheetViews>
    <sheetView workbookViewId="0">
      <selection activeCell="O7" sqref="O7:O10"/>
    </sheetView>
  </sheetViews>
  <sheetFormatPr defaultRowHeight="16.5" x14ac:dyDescent="0.25"/>
  <cols>
    <col min="1" max="1" width="5.5" style="97" bestFit="1" customWidth="1"/>
    <col min="2" max="2" width="5.875" style="97" bestFit="1" customWidth="1"/>
    <col min="3" max="4" width="8" style="97" bestFit="1" customWidth="1"/>
    <col min="5" max="5" width="12.25" style="97" bestFit="1" customWidth="1"/>
    <col min="6" max="8" width="5.5" style="97" bestFit="1" customWidth="1"/>
    <col min="9" max="9" width="6.625" style="97" bestFit="1" customWidth="1"/>
    <col min="10" max="12" width="7.25" style="97" bestFit="1" customWidth="1"/>
    <col min="13" max="13" width="5.5" style="97" bestFit="1" customWidth="1"/>
    <col min="14" max="14" width="7.5" style="97" bestFit="1" customWidth="1"/>
    <col min="15" max="15" width="8.375" style="95" bestFit="1" customWidth="1"/>
    <col min="16" max="16" width="36.375" style="96" customWidth="1"/>
    <col min="26" max="34" width="9" style="98"/>
    <col min="35" max="35" width="13.5" style="98" bestFit="1" customWidth="1"/>
    <col min="36" max="16384" width="9" style="98"/>
  </cols>
  <sheetData>
    <row r="1" spans="1:16" x14ac:dyDescent="0.25">
      <c r="A1" s="101" t="s">
        <v>418</v>
      </c>
      <c r="B1" s="101" t="s">
        <v>436</v>
      </c>
      <c r="C1" s="101" t="s">
        <v>437</v>
      </c>
      <c r="D1" s="101" t="s">
        <v>438</v>
      </c>
      <c r="E1" s="101" t="s">
        <v>216</v>
      </c>
      <c r="F1" s="101" t="s">
        <v>216</v>
      </c>
      <c r="G1" s="101"/>
      <c r="H1" s="101"/>
      <c r="I1" s="101" t="s">
        <v>440</v>
      </c>
      <c r="J1" s="101" t="s">
        <v>217</v>
      </c>
      <c r="K1" s="101"/>
      <c r="L1" s="101"/>
      <c r="M1" s="101" t="s">
        <v>443</v>
      </c>
      <c r="N1" s="101" t="s">
        <v>444</v>
      </c>
      <c r="O1" s="102" t="s">
        <v>652</v>
      </c>
      <c r="P1" s="106" t="s">
        <v>622</v>
      </c>
    </row>
    <row r="2" spans="1:16" ht="17.25" thickBot="1" x14ac:dyDescent="0.3">
      <c r="A2" s="101"/>
      <c r="B2" s="101"/>
      <c r="C2" s="101"/>
      <c r="D2" s="101"/>
      <c r="E2" s="101"/>
      <c r="F2" s="97" t="s">
        <v>445</v>
      </c>
      <c r="G2" s="97" t="s">
        <v>446</v>
      </c>
      <c r="H2" s="97" t="s">
        <v>447</v>
      </c>
      <c r="I2" s="101"/>
      <c r="J2" s="97" t="s">
        <v>445</v>
      </c>
      <c r="K2" s="97" t="s">
        <v>446</v>
      </c>
      <c r="L2" s="97" t="s">
        <v>447</v>
      </c>
      <c r="M2" s="101"/>
      <c r="N2" s="101"/>
      <c r="O2" s="102"/>
      <c r="P2" s="107"/>
    </row>
    <row r="3" spans="1:16" ht="17.25" thickTop="1" x14ac:dyDescent="0.25">
      <c r="A3" s="101" t="s">
        <v>16</v>
      </c>
      <c r="B3" s="101" t="s">
        <v>450</v>
      </c>
      <c r="C3" s="101">
        <v>30</v>
      </c>
      <c r="D3" s="101">
        <v>60</v>
      </c>
      <c r="E3" s="97" t="s">
        <v>451</v>
      </c>
      <c r="F3" s="97" t="s">
        <v>465</v>
      </c>
      <c r="G3" s="97" t="s">
        <v>453</v>
      </c>
      <c r="H3" s="97" t="s">
        <v>452</v>
      </c>
      <c r="I3" s="101" t="s">
        <v>455</v>
      </c>
      <c r="J3" s="105" t="s">
        <v>456</v>
      </c>
      <c r="K3" s="105" t="s">
        <v>458</v>
      </c>
      <c r="L3" s="105" t="s">
        <v>456</v>
      </c>
      <c r="M3" s="101"/>
      <c r="N3" s="101"/>
      <c r="O3" s="102" t="s">
        <v>569</v>
      </c>
      <c r="P3" s="108" t="s">
        <v>621</v>
      </c>
    </row>
    <row r="4" spans="1:16" x14ac:dyDescent="0.25">
      <c r="A4" s="101"/>
      <c r="B4" s="101"/>
      <c r="C4" s="101"/>
      <c r="D4" s="101"/>
      <c r="E4" s="97" t="s">
        <v>459</v>
      </c>
      <c r="F4" s="97" t="s">
        <v>460</v>
      </c>
      <c r="G4" s="97" t="s">
        <v>460</v>
      </c>
      <c r="H4" s="97" t="s">
        <v>460</v>
      </c>
      <c r="I4" s="101"/>
      <c r="J4" s="101"/>
      <c r="K4" s="101"/>
      <c r="L4" s="101"/>
      <c r="M4" s="101"/>
      <c r="N4" s="101"/>
      <c r="O4" s="102"/>
      <c r="P4" s="109"/>
    </row>
    <row r="5" spans="1:16" x14ac:dyDescent="0.25">
      <c r="A5" s="101"/>
      <c r="B5" s="101"/>
      <c r="C5" s="101"/>
      <c r="D5" s="101"/>
      <c r="E5" s="97" t="s">
        <v>463</v>
      </c>
      <c r="F5" s="97" t="s">
        <v>460</v>
      </c>
      <c r="G5" s="97" t="s">
        <v>460</v>
      </c>
      <c r="H5" s="97" t="s">
        <v>460</v>
      </c>
      <c r="I5" s="101"/>
      <c r="J5" s="101"/>
      <c r="K5" s="101"/>
      <c r="L5" s="101"/>
      <c r="M5" s="101"/>
      <c r="N5" s="101"/>
      <c r="O5" s="102"/>
      <c r="P5" s="109"/>
    </row>
    <row r="6" spans="1:16" x14ac:dyDescent="0.25">
      <c r="A6" s="101"/>
      <c r="B6" s="101"/>
      <c r="C6" s="101"/>
      <c r="D6" s="101"/>
      <c r="E6" s="97" t="s">
        <v>464</v>
      </c>
      <c r="F6" s="97" t="s">
        <v>465</v>
      </c>
      <c r="G6" s="97" t="s">
        <v>452</v>
      </c>
      <c r="H6" s="97" t="s">
        <v>465</v>
      </c>
      <c r="I6" s="101"/>
      <c r="J6" s="101"/>
      <c r="K6" s="101"/>
      <c r="L6" s="101"/>
      <c r="M6" s="101"/>
      <c r="N6" s="101"/>
      <c r="O6" s="102"/>
      <c r="P6" s="109"/>
    </row>
    <row r="7" spans="1:16" x14ac:dyDescent="0.25">
      <c r="A7" s="101" t="s">
        <v>16</v>
      </c>
      <c r="B7" s="101" t="s">
        <v>470</v>
      </c>
      <c r="C7" s="101">
        <v>30</v>
      </c>
      <c r="D7" s="101">
        <v>60</v>
      </c>
      <c r="E7" s="97" t="s">
        <v>451</v>
      </c>
      <c r="F7" s="97" t="s">
        <v>452</v>
      </c>
      <c r="G7" s="97" t="s">
        <v>453</v>
      </c>
      <c r="H7" s="97" t="s">
        <v>465</v>
      </c>
      <c r="I7" s="101" t="s">
        <v>455</v>
      </c>
      <c r="J7" s="105" t="s">
        <v>456</v>
      </c>
      <c r="K7" s="105" t="s">
        <v>458</v>
      </c>
      <c r="L7" s="105" t="s">
        <v>637</v>
      </c>
      <c r="M7" s="101"/>
      <c r="N7" s="101"/>
      <c r="O7" s="102" t="s">
        <v>570</v>
      </c>
      <c r="P7" s="110" t="s">
        <v>639</v>
      </c>
    </row>
    <row r="8" spans="1:16" x14ac:dyDescent="0.25">
      <c r="A8" s="101"/>
      <c r="B8" s="101"/>
      <c r="C8" s="101"/>
      <c r="D8" s="101"/>
      <c r="E8" s="97" t="s">
        <v>459</v>
      </c>
      <c r="F8" s="97" t="s">
        <v>460</v>
      </c>
      <c r="G8" s="97" t="s">
        <v>460</v>
      </c>
      <c r="H8" s="97" t="s">
        <v>460</v>
      </c>
      <c r="I8" s="101"/>
      <c r="J8" s="101"/>
      <c r="K8" s="101"/>
      <c r="L8" s="101"/>
      <c r="M8" s="101"/>
      <c r="N8" s="101"/>
      <c r="O8" s="102"/>
      <c r="P8" s="109"/>
    </row>
    <row r="9" spans="1:16" x14ac:dyDescent="0.25">
      <c r="A9" s="101"/>
      <c r="B9" s="101"/>
      <c r="C9" s="101"/>
      <c r="D9" s="101"/>
      <c r="E9" s="97" t="s">
        <v>463</v>
      </c>
      <c r="F9" s="97" t="s">
        <v>460</v>
      </c>
      <c r="G9" s="97" t="s">
        <v>460</v>
      </c>
      <c r="H9" s="97" t="s">
        <v>460</v>
      </c>
      <c r="I9" s="101"/>
      <c r="J9" s="101"/>
      <c r="K9" s="101"/>
      <c r="L9" s="101"/>
      <c r="M9" s="101"/>
      <c r="N9" s="101"/>
      <c r="O9" s="102"/>
      <c r="P9" s="109"/>
    </row>
    <row r="10" spans="1:16" x14ac:dyDescent="0.25">
      <c r="A10" s="101"/>
      <c r="B10" s="101"/>
      <c r="C10" s="101"/>
      <c r="D10" s="101"/>
      <c r="E10" s="97" t="s">
        <v>464</v>
      </c>
      <c r="F10" s="97" t="s">
        <v>623</v>
      </c>
      <c r="G10" s="97" t="s">
        <v>623</v>
      </c>
      <c r="H10" s="97" t="s">
        <v>453</v>
      </c>
      <c r="I10" s="101"/>
      <c r="J10" s="101"/>
      <c r="K10" s="101"/>
      <c r="L10" s="101"/>
      <c r="M10" s="101"/>
      <c r="N10" s="101"/>
      <c r="O10" s="102"/>
      <c r="P10" s="109"/>
    </row>
    <row r="11" spans="1:16" x14ac:dyDescent="0.25">
      <c r="A11" s="101" t="s">
        <v>16</v>
      </c>
      <c r="B11" s="101" t="s">
        <v>477</v>
      </c>
      <c r="C11" s="101">
        <v>30</v>
      </c>
      <c r="D11" s="101">
        <v>60</v>
      </c>
      <c r="E11" s="97" t="s">
        <v>451</v>
      </c>
      <c r="F11" s="97" t="s">
        <v>465</v>
      </c>
      <c r="G11" s="97" t="s">
        <v>453</v>
      </c>
      <c r="H11" s="97" t="s">
        <v>465</v>
      </c>
      <c r="I11" s="101" t="s">
        <v>455</v>
      </c>
      <c r="J11" s="105" t="s">
        <v>456</v>
      </c>
      <c r="K11" s="105" t="s">
        <v>458</v>
      </c>
      <c r="L11" s="105" t="s">
        <v>456</v>
      </c>
      <c r="M11" s="101"/>
      <c r="N11" s="101"/>
      <c r="O11" s="102"/>
      <c r="P11" s="109" t="s">
        <v>621</v>
      </c>
    </row>
    <row r="12" spans="1:16" x14ac:dyDescent="0.25">
      <c r="A12" s="101"/>
      <c r="B12" s="101"/>
      <c r="C12" s="101"/>
      <c r="D12" s="101"/>
      <c r="E12" s="97" t="s">
        <v>459</v>
      </c>
      <c r="F12" s="97" t="s">
        <v>460</v>
      </c>
      <c r="G12" s="97" t="s">
        <v>460</v>
      </c>
      <c r="H12" s="97" t="s">
        <v>460</v>
      </c>
      <c r="I12" s="101"/>
      <c r="J12" s="101"/>
      <c r="K12" s="101"/>
      <c r="L12" s="101"/>
      <c r="M12" s="101"/>
      <c r="N12" s="101"/>
      <c r="O12" s="102"/>
      <c r="P12" s="109"/>
    </row>
    <row r="13" spans="1:16" x14ac:dyDescent="0.25">
      <c r="A13" s="101"/>
      <c r="B13" s="101"/>
      <c r="C13" s="101"/>
      <c r="D13" s="101"/>
      <c r="E13" s="97" t="s">
        <v>463</v>
      </c>
      <c r="F13" s="97" t="s">
        <v>460</v>
      </c>
      <c r="G13" s="97" t="s">
        <v>460</v>
      </c>
      <c r="H13" s="97" t="s">
        <v>460</v>
      </c>
      <c r="I13" s="101"/>
      <c r="J13" s="101"/>
      <c r="K13" s="101"/>
      <c r="L13" s="101"/>
      <c r="M13" s="101"/>
      <c r="N13" s="101"/>
      <c r="O13" s="102"/>
      <c r="P13" s="109"/>
    </row>
    <row r="14" spans="1:16" x14ac:dyDescent="0.25">
      <c r="A14" s="101"/>
      <c r="B14" s="101"/>
      <c r="C14" s="101"/>
      <c r="D14" s="101"/>
      <c r="E14" s="97" t="s">
        <v>464</v>
      </c>
      <c r="F14" s="97" t="s">
        <v>453</v>
      </c>
      <c r="G14" s="97" t="s">
        <v>453</v>
      </c>
      <c r="H14" s="97" t="s">
        <v>453</v>
      </c>
      <c r="I14" s="101"/>
      <c r="J14" s="101"/>
      <c r="K14" s="101"/>
      <c r="L14" s="101"/>
      <c r="M14" s="101"/>
      <c r="N14" s="101"/>
      <c r="O14" s="102"/>
      <c r="P14" s="109"/>
    </row>
    <row r="15" spans="1:16" x14ac:dyDescent="0.25">
      <c r="A15" s="101" t="s">
        <v>16</v>
      </c>
      <c r="B15" s="101" t="s">
        <v>479</v>
      </c>
      <c r="C15" s="101">
        <v>30</v>
      </c>
      <c r="D15" s="101">
        <v>60</v>
      </c>
      <c r="E15" s="97" t="s">
        <v>451</v>
      </c>
      <c r="F15" s="97" t="s">
        <v>465</v>
      </c>
      <c r="G15" s="97" t="s">
        <v>453</v>
      </c>
      <c r="H15" s="97" t="s">
        <v>452</v>
      </c>
      <c r="I15" s="101" t="s">
        <v>455</v>
      </c>
      <c r="J15" s="105" t="s">
        <v>456</v>
      </c>
      <c r="K15" s="105" t="s">
        <v>458</v>
      </c>
      <c r="L15" s="105" t="s">
        <v>456</v>
      </c>
      <c r="M15" s="101"/>
      <c r="N15" s="101"/>
      <c r="O15" s="102"/>
      <c r="P15" s="109" t="s">
        <v>621</v>
      </c>
    </row>
    <row r="16" spans="1:16" x14ac:dyDescent="0.25">
      <c r="A16" s="101"/>
      <c r="B16" s="101"/>
      <c r="C16" s="101"/>
      <c r="D16" s="101"/>
      <c r="E16" s="97" t="s">
        <v>459</v>
      </c>
      <c r="F16" s="97" t="s">
        <v>460</v>
      </c>
      <c r="G16" s="97" t="s">
        <v>460</v>
      </c>
      <c r="H16" s="97" t="s">
        <v>460</v>
      </c>
      <c r="I16" s="101"/>
      <c r="J16" s="101"/>
      <c r="K16" s="101"/>
      <c r="L16" s="101"/>
      <c r="M16" s="101"/>
      <c r="N16" s="101"/>
      <c r="O16" s="102"/>
      <c r="P16" s="109"/>
    </row>
    <row r="17" spans="1:16" x14ac:dyDescent="0.25">
      <c r="A17" s="101"/>
      <c r="B17" s="101"/>
      <c r="C17" s="101"/>
      <c r="D17" s="101"/>
      <c r="E17" s="97" t="s">
        <v>463</v>
      </c>
      <c r="F17" s="97" t="s">
        <v>460</v>
      </c>
      <c r="G17" s="97" t="s">
        <v>460</v>
      </c>
      <c r="H17" s="97" t="s">
        <v>460</v>
      </c>
      <c r="I17" s="101"/>
      <c r="J17" s="101"/>
      <c r="K17" s="101"/>
      <c r="L17" s="101"/>
      <c r="M17" s="101"/>
      <c r="N17" s="101"/>
      <c r="O17" s="102"/>
      <c r="P17" s="109"/>
    </row>
    <row r="18" spans="1:16" x14ac:dyDescent="0.25">
      <c r="A18" s="101"/>
      <c r="B18" s="101"/>
      <c r="C18" s="101"/>
      <c r="D18" s="101"/>
      <c r="E18" s="97" t="s">
        <v>464</v>
      </c>
      <c r="F18" s="97" t="s">
        <v>453</v>
      </c>
      <c r="G18" s="97" t="s">
        <v>453</v>
      </c>
      <c r="H18" s="97" t="s">
        <v>453</v>
      </c>
      <c r="I18" s="101"/>
      <c r="J18" s="101"/>
      <c r="K18" s="101"/>
      <c r="L18" s="101"/>
      <c r="M18" s="101"/>
      <c r="N18" s="101"/>
      <c r="O18" s="102"/>
      <c r="P18" s="109"/>
    </row>
    <row r="19" spans="1:16" x14ac:dyDescent="0.25">
      <c r="A19" s="101" t="s">
        <v>16</v>
      </c>
      <c r="B19" s="101" t="s">
        <v>480</v>
      </c>
      <c r="C19" s="101">
        <v>30</v>
      </c>
      <c r="D19" s="101">
        <v>60</v>
      </c>
      <c r="E19" s="97" t="s">
        <v>451</v>
      </c>
      <c r="F19" s="97" t="s">
        <v>452</v>
      </c>
      <c r="G19" s="97" t="s">
        <v>453</v>
      </c>
      <c r="H19" s="97" t="s">
        <v>465</v>
      </c>
      <c r="I19" s="101" t="s">
        <v>455</v>
      </c>
      <c r="J19" s="105" t="s">
        <v>456</v>
      </c>
      <c r="K19" s="105" t="s">
        <v>458</v>
      </c>
      <c r="L19" s="105" t="s">
        <v>456</v>
      </c>
      <c r="M19" s="101"/>
      <c r="N19" s="101"/>
      <c r="O19" s="102"/>
      <c r="P19" s="109" t="s">
        <v>621</v>
      </c>
    </row>
    <row r="20" spans="1:16" x14ac:dyDescent="0.25">
      <c r="A20" s="101"/>
      <c r="B20" s="101"/>
      <c r="C20" s="101"/>
      <c r="D20" s="101"/>
      <c r="E20" s="97" t="s">
        <v>459</v>
      </c>
      <c r="F20" s="97" t="s">
        <v>460</v>
      </c>
      <c r="G20" s="97" t="s">
        <v>460</v>
      </c>
      <c r="H20" s="97" t="s">
        <v>460</v>
      </c>
      <c r="I20" s="101"/>
      <c r="J20" s="101"/>
      <c r="K20" s="101"/>
      <c r="L20" s="101"/>
      <c r="M20" s="101"/>
      <c r="N20" s="101"/>
      <c r="O20" s="102"/>
      <c r="P20" s="109"/>
    </row>
    <row r="21" spans="1:16" x14ac:dyDescent="0.25">
      <c r="A21" s="101"/>
      <c r="B21" s="101"/>
      <c r="C21" s="101"/>
      <c r="D21" s="101"/>
      <c r="E21" s="97" t="s">
        <v>463</v>
      </c>
      <c r="F21" s="97" t="s">
        <v>460</v>
      </c>
      <c r="G21" s="97" t="s">
        <v>460</v>
      </c>
      <c r="H21" s="97" t="s">
        <v>460</v>
      </c>
      <c r="I21" s="101"/>
      <c r="J21" s="101"/>
      <c r="K21" s="101"/>
      <c r="L21" s="101"/>
      <c r="M21" s="101"/>
      <c r="N21" s="101"/>
      <c r="O21" s="102"/>
      <c r="P21" s="109"/>
    </row>
    <row r="22" spans="1:16" x14ac:dyDescent="0.25">
      <c r="A22" s="101"/>
      <c r="B22" s="101"/>
      <c r="C22" s="101"/>
      <c r="D22" s="101"/>
      <c r="E22" s="97" t="s">
        <v>464</v>
      </c>
      <c r="F22" s="97" t="s">
        <v>453</v>
      </c>
      <c r="G22" s="97" t="s">
        <v>453</v>
      </c>
      <c r="H22" s="97" t="s">
        <v>453</v>
      </c>
      <c r="I22" s="101"/>
      <c r="J22" s="101"/>
      <c r="K22" s="101"/>
      <c r="L22" s="101"/>
      <c r="M22" s="101"/>
      <c r="N22" s="101"/>
      <c r="O22" s="102"/>
      <c r="P22" s="109"/>
    </row>
    <row r="23" spans="1:16" x14ac:dyDescent="0.25">
      <c r="A23" s="101" t="s">
        <v>16</v>
      </c>
      <c r="B23" s="101" t="s">
        <v>481</v>
      </c>
      <c r="C23" s="101">
        <v>30</v>
      </c>
      <c r="D23" s="101">
        <v>60</v>
      </c>
      <c r="E23" s="97" t="s">
        <v>451</v>
      </c>
      <c r="F23" s="97" t="s">
        <v>452</v>
      </c>
      <c r="G23" s="97" t="s">
        <v>453</v>
      </c>
      <c r="H23" s="97" t="s">
        <v>452</v>
      </c>
      <c r="I23" s="101" t="s">
        <v>455</v>
      </c>
      <c r="J23" s="105" t="s">
        <v>456</v>
      </c>
      <c r="K23" s="105" t="s">
        <v>458</v>
      </c>
      <c r="L23" s="105" t="s">
        <v>456</v>
      </c>
      <c r="M23" s="101"/>
      <c r="N23" s="101"/>
      <c r="O23" s="102"/>
      <c r="P23" s="109" t="s">
        <v>621</v>
      </c>
    </row>
    <row r="24" spans="1:16" x14ac:dyDescent="0.25">
      <c r="A24" s="101"/>
      <c r="B24" s="101"/>
      <c r="C24" s="101"/>
      <c r="D24" s="101"/>
      <c r="E24" s="97" t="s">
        <v>459</v>
      </c>
      <c r="F24" s="97" t="s">
        <v>460</v>
      </c>
      <c r="G24" s="97" t="s">
        <v>460</v>
      </c>
      <c r="H24" s="97" t="s">
        <v>460</v>
      </c>
      <c r="I24" s="101"/>
      <c r="J24" s="101"/>
      <c r="K24" s="101"/>
      <c r="L24" s="101"/>
      <c r="M24" s="101"/>
      <c r="N24" s="101"/>
      <c r="O24" s="102"/>
      <c r="P24" s="109"/>
    </row>
    <row r="25" spans="1:16" x14ac:dyDescent="0.25">
      <c r="A25" s="101"/>
      <c r="B25" s="101"/>
      <c r="C25" s="101"/>
      <c r="D25" s="101"/>
      <c r="E25" s="97" t="s">
        <v>463</v>
      </c>
      <c r="F25" s="97" t="s">
        <v>460</v>
      </c>
      <c r="G25" s="97" t="s">
        <v>460</v>
      </c>
      <c r="H25" s="97" t="s">
        <v>460</v>
      </c>
      <c r="I25" s="101"/>
      <c r="J25" s="101"/>
      <c r="K25" s="101"/>
      <c r="L25" s="101"/>
      <c r="M25" s="101"/>
      <c r="N25" s="101"/>
      <c r="O25" s="102"/>
      <c r="P25" s="109"/>
    </row>
    <row r="26" spans="1:16" x14ac:dyDescent="0.25">
      <c r="A26" s="101"/>
      <c r="B26" s="101"/>
      <c r="C26" s="101"/>
      <c r="D26" s="101"/>
      <c r="E26" s="97" t="s">
        <v>464</v>
      </c>
      <c r="F26" s="97" t="s">
        <v>465</v>
      </c>
      <c r="G26" s="97" t="s">
        <v>452</v>
      </c>
      <c r="H26" s="97" t="s">
        <v>465</v>
      </c>
      <c r="I26" s="101"/>
      <c r="J26" s="101"/>
      <c r="K26" s="101"/>
      <c r="L26" s="101"/>
      <c r="M26" s="101"/>
      <c r="N26" s="101"/>
      <c r="O26" s="102"/>
      <c r="P26" s="109"/>
    </row>
    <row r="27" spans="1:16" x14ac:dyDescent="0.25">
      <c r="A27" s="101" t="s">
        <v>16</v>
      </c>
      <c r="B27" s="101" t="s">
        <v>482</v>
      </c>
      <c r="C27" s="101">
        <v>50</v>
      </c>
      <c r="D27" s="101">
        <v>70</v>
      </c>
      <c r="E27" s="97" t="s">
        <v>451</v>
      </c>
      <c r="F27" s="97" t="s">
        <v>483</v>
      </c>
      <c r="G27" s="97" t="s">
        <v>484</v>
      </c>
      <c r="H27" s="97" t="s">
        <v>483</v>
      </c>
      <c r="I27" s="101" t="s">
        <v>460</v>
      </c>
      <c r="J27" s="105" t="s">
        <v>456</v>
      </c>
      <c r="K27" s="105" t="s">
        <v>458</v>
      </c>
      <c r="L27" s="105" t="s">
        <v>456</v>
      </c>
      <c r="M27" s="101"/>
      <c r="N27" s="101"/>
      <c r="O27" s="102"/>
      <c r="P27" s="109" t="s">
        <v>621</v>
      </c>
    </row>
    <row r="28" spans="1:16" x14ac:dyDescent="0.25">
      <c r="A28" s="101"/>
      <c r="B28" s="101"/>
      <c r="C28" s="101"/>
      <c r="D28" s="101"/>
      <c r="E28" s="97" t="s">
        <v>459</v>
      </c>
      <c r="F28" s="97" t="s">
        <v>460</v>
      </c>
      <c r="G28" s="97" t="s">
        <v>460</v>
      </c>
      <c r="H28" s="97" t="s">
        <v>485</v>
      </c>
      <c r="I28" s="101"/>
      <c r="J28" s="101"/>
      <c r="K28" s="101"/>
      <c r="L28" s="101"/>
      <c r="M28" s="101"/>
      <c r="N28" s="101"/>
      <c r="O28" s="102"/>
      <c r="P28" s="109"/>
    </row>
    <row r="29" spans="1:16" x14ac:dyDescent="0.25">
      <c r="A29" s="101"/>
      <c r="B29" s="101"/>
      <c r="C29" s="101"/>
      <c r="D29" s="101"/>
      <c r="E29" s="97" t="s">
        <v>463</v>
      </c>
      <c r="F29" s="97" t="s">
        <v>460</v>
      </c>
      <c r="G29" s="97" t="s">
        <v>484</v>
      </c>
      <c r="H29" s="97" t="s">
        <v>460</v>
      </c>
      <c r="I29" s="101"/>
      <c r="J29" s="101"/>
      <c r="K29" s="101"/>
      <c r="L29" s="101"/>
      <c r="M29" s="101"/>
      <c r="N29" s="101"/>
      <c r="O29" s="102"/>
      <c r="P29" s="109"/>
    </row>
    <row r="30" spans="1:16" x14ac:dyDescent="0.25">
      <c r="A30" s="101"/>
      <c r="B30" s="101"/>
      <c r="C30" s="101"/>
      <c r="D30" s="101"/>
      <c r="E30" s="97" t="s">
        <v>464</v>
      </c>
      <c r="F30" s="97" t="s">
        <v>486</v>
      </c>
      <c r="G30" s="97" t="s">
        <v>483</v>
      </c>
      <c r="H30" s="97" t="s">
        <v>486</v>
      </c>
      <c r="I30" s="101"/>
      <c r="J30" s="101"/>
      <c r="K30" s="101"/>
      <c r="L30" s="101"/>
      <c r="M30" s="101"/>
      <c r="N30" s="101"/>
      <c r="O30" s="102"/>
      <c r="P30" s="109"/>
    </row>
    <row r="31" spans="1:16" x14ac:dyDescent="0.25">
      <c r="A31" s="101" t="s">
        <v>16</v>
      </c>
      <c r="B31" s="101" t="s">
        <v>487</v>
      </c>
      <c r="C31" s="101">
        <v>50</v>
      </c>
      <c r="D31" s="101">
        <v>70</v>
      </c>
      <c r="E31" s="97" t="s">
        <v>451</v>
      </c>
      <c r="F31" s="97" t="s">
        <v>488</v>
      </c>
      <c r="G31" s="97" t="s">
        <v>484</v>
      </c>
      <c r="H31" s="97" t="s">
        <v>483</v>
      </c>
      <c r="I31" s="101" t="s">
        <v>460</v>
      </c>
      <c r="J31" s="105" t="s">
        <v>456</v>
      </c>
      <c r="K31" s="105" t="s">
        <v>458</v>
      </c>
      <c r="L31" s="105" t="s">
        <v>456</v>
      </c>
      <c r="M31" s="101"/>
      <c r="N31" s="101"/>
      <c r="O31" s="102"/>
      <c r="P31" s="109" t="s">
        <v>621</v>
      </c>
    </row>
    <row r="32" spans="1:16" x14ac:dyDescent="0.25">
      <c r="A32" s="101"/>
      <c r="B32" s="101"/>
      <c r="C32" s="101"/>
      <c r="D32" s="101"/>
      <c r="E32" s="97" t="s">
        <v>459</v>
      </c>
      <c r="F32" s="97" t="s">
        <v>460</v>
      </c>
      <c r="G32" s="97" t="s">
        <v>460</v>
      </c>
      <c r="H32" s="97" t="s">
        <v>460</v>
      </c>
      <c r="I32" s="101"/>
      <c r="J32" s="101"/>
      <c r="K32" s="101"/>
      <c r="L32" s="101"/>
      <c r="M32" s="101"/>
      <c r="N32" s="101"/>
      <c r="O32" s="102"/>
      <c r="P32" s="109"/>
    </row>
    <row r="33" spans="1:16" x14ac:dyDescent="0.25">
      <c r="A33" s="101"/>
      <c r="B33" s="101"/>
      <c r="C33" s="101"/>
      <c r="D33" s="101"/>
      <c r="E33" s="97" t="s">
        <v>463</v>
      </c>
      <c r="F33" s="97" t="s">
        <v>460</v>
      </c>
      <c r="G33" s="97" t="s">
        <v>460</v>
      </c>
      <c r="H33" s="97" t="s">
        <v>460</v>
      </c>
      <c r="I33" s="101"/>
      <c r="J33" s="101"/>
      <c r="K33" s="101"/>
      <c r="L33" s="101"/>
      <c r="M33" s="101"/>
      <c r="N33" s="101"/>
      <c r="O33" s="102"/>
      <c r="P33" s="109"/>
    </row>
    <row r="34" spans="1:16" x14ac:dyDescent="0.25">
      <c r="A34" s="101"/>
      <c r="B34" s="101"/>
      <c r="C34" s="101"/>
      <c r="D34" s="101"/>
      <c r="E34" s="97" t="s">
        <v>464</v>
      </c>
      <c r="F34" s="97" t="s">
        <v>486</v>
      </c>
      <c r="G34" s="97" t="s">
        <v>483</v>
      </c>
      <c r="H34" s="97" t="s">
        <v>486</v>
      </c>
      <c r="I34" s="101"/>
      <c r="J34" s="101"/>
      <c r="K34" s="101"/>
      <c r="L34" s="101"/>
      <c r="M34" s="101"/>
      <c r="N34" s="101"/>
      <c r="O34" s="102"/>
      <c r="P34" s="109"/>
    </row>
    <row r="35" spans="1:16" x14ac:dyDescent="0.25">
      <c r="A35" s="101" t="s">
        <v>16</v>
      </c>
      <c r="B35" s="101" t="s">
        <v>489</v>
      </c>
      <c r="C35" s="101">
        <v>50</v>
      </c>
      <c r="D35" s="101">
        <v>70</v>
      </c>
      <c r="E35" s="97" t="s">
        <v>451</v>
      </c>
      <c r="F35" s="97" t="s">
        <v>490</v>
      </c>
      <c r="G35" s="97" t="s">
        <v>484</v>
      </c>
      <c r="H35" s="97" t="s">
        <v>483</v>
      </c>
      <c r="I35" s="101" t="s">
        <v>460</v>
      </c>
      <c r="J35" s="105" t="s">
        <v>456</v>
      </c>
      <c r="K35" s="105" t="s">
        <v>458</v>
      </c>
      <c r="L35" s="105" t="s">
        <v>456</v>
      </c>
      <c r="M35" s="101"/>
      <c r="N35" s="101"/>
      <c r="O35" s="102"/>
      <c r="P35" s="109" t="s">
        <v>621</v>
      </c>
    </row>
    <row r="36" spans="1:16" x14ac:dyDescent="0.25">
      <c r="A36" s="101"/>
      <c r="B36" s="101"/>
      <c r="C36" s="101"/>
      <c r="D36" s="101"/>
      <c r="E36" s="97" t="s">
        <v>459</v>
      </c>
      <c r="F36" s="97" t="s">
        <v>485</v>
      </c>
      <c r="G36" s="97" t="s">
        <v>460</v>
      </c>
      <c r="H36" s="97" t="s">
        <v>460</v>
      </c>
      <c r="I36" s="101"/>
      <c r="J36" s="101"/>
      <c r="K36" s="101"/>
      <c r="L36" s="101"/>
      <c r="M36" s="101"/>
      <c r="N36" s="101"/>
      <c r="O36" s="102"/>
      <c r="P36" s="109"/>
    </row>
    <row r="37" spans="1:16" x14ac:dyDescent="0.25">
      <c r="A37" s="101"/>
      <c r="B37" s="101"/>
      <c r="C37" s="101"/>
      <c r="D37" s="101"/>
      <c r="E37" s="97" t="s">
        <v>463</v>
      </c>
      <c r="F37" s="97" t="s">
        <v>460</v>
      </c>
      <c r="G37" s="97" t="s">
        <v>460</v>
      </c>
      <c r="H37" s="97" t="s">
        <v>460</v>
      </c>
      <c r="I37" s="101"/>
      <c r="J37" s="101"/>
      <c r="K37" s="101"/>
      <c r="L37" s="101"/>
      <c r="M37" s="101"/>
      <c r="N37" s="101"/>
      <c r="O37" s="102"/>
      <c r="P37" s="109"/>
    </row>
    <row r="38" spans="1:16" x14ac:dyDescent="0.25">
      <c r="A38" s="101"/>
      <c r="B38" s="101"/>
      <c r="C38" s="101"/>
      <c r="D38" s="101"/>
      <c r="E38" s="97" t="s">
        <v>464</v>
      </c>
      <c r="F38" s="97" t="s">
        <v>486</v>
      </c>
      <c r="G38" s="97" t="s">
        <v>483</v>
      </c>
      <c r="H38" s="97" t="s">
        <v>486</v>
      </c>
      <c r="I38" s="101"/>
      <c r="J38" s="101"/>
      <c r="K38" s="101"/>
      <c r="L38" s="101"/>
      <c r="M38" s="101"/>
      <c r="N38" s="101"/>
      <c r="O38" s="102"/>
      <c r="P38" s="109"/>
    </row>
    <row r="39" spans="1:16" x14ac:dyDescent="0.25">
      <c r="A39" s="101" t="s">
        <v>16</v>
      </c>
      <c r="B39" s="101" t="s">
        <v>492</v>
      </c>
      <c r="C39" s="101">
        <v>50</v>
      </c>
      <c r="D39" s="101">
        <v>70</v>
      </c>
      <c r="E39" s="97" t="s">
        <v>451</v>
      </c>
      <c r="F39" s="97" t="s">
        <v>483</v>
      </c>
      <c r="G39" s="97" t="s">
        <v>484</v>
      </c>
      <c r="H39" s="97" t="s">
        <v>483</v>
      </c>
      <c r="I39" s="101" t="s">
        <v>460</v>
      </c>
      <c r="J39" s="105" t="s">
        <v>456</v>
      </c>
      <c r="K39" s="105" t="s">
        <v>458</v>
      </c>
      <c r="L39" s="105" t="s">
        <v>456</v>
      </c>
      <c r="M39" s="101"/>
      <c r="N39" s="101"/>
      <c r="O39" s="102"/>
      <c r="P39" s="109" t="s">
        <v>621</v>
      </c>
    </row>
    <row r="40" spans="1:16" x14ac:dyDescent="0.25">
      <c r="A40" s="101"/>
      <c r="B40" s="101"/>
      <c r="C40" s="101"/>
      <c r="D40" s="101"/>
      <c r="E40" s="97" t="s">
        <v>459</v>
      </c>
      <c r="F40" s="97" t="s">
        <v>485</v>
      </c>
      <c r="G40" s="97" t="s">
        <v>460</v>
      </c>
      <c r="H40" s="97" t="s">
        <v>460</v>
      </c>
      <c r="I40" s="101"/>
      <c r="J40" s="101"/>
      <c r="K40" s="101"/>
      <c r="L40" s="101"/>
      <c r="M40" s="101"/>
      <c r="N40" s="101"/>
      <c r="O40" s="102"/>
      <c r="P40" s="109"/>
    </row>
    <row r="41" spans="1:16" x14ac:dyDescent="0.25">
      <c r="A41" s="101"/>
      <c r="B41" s="101"/>
      <c r="C41" s="101"/>
      <c r="D41" s="101"/>
      <c r="E41" s="97" t="s">
        <v>463</v>
      </c>
      <c r="F41" s="97" t="s">
        <v>460</v>
      </c>
      <c r="G41" s="97" t="s">
        <v>485</v>
      </c>
      <c r="H41" s="97" t="s">
        <v>460</v>
      </c>
      <c r="I41" s="101"/>
      <c r="J41" s="101"/>
      <c r="K41" s="101"/>
      <c r="L41" s="101"/>
      <c r="M41" s="101"/>
      <c r="N41" s="101"/>
      <c r="O41" s="102"/>
      <c r="P41" s="109"/>
    </row>
    <row r="42" spans="1:16" x14ac:dyDescent="0.25">
      <c r="A42" s="101"/>
      <c r="B42" s="101"/>
      <c r="C42" s="101"/>
      <c r="D42" s="101"/>
      <c r="E42" s="97" t="s">
        <v>464</v>
      </c>
      <c r="F42" s="97" t="s">
        <v>486</v>
      </c>
      <c r="G42" s="97" t="s">
        <v>488</v>
      </c>
      <c r="H42" s="97" t="s">
        <v>486</v>
      </c>
      <c r="I42" s="101"/>
      <c r="J42" s="101"/>
      <c r="K42" s="101"/>
      <c r="L42" s="101"/>
      <c r="M42" s="101"/>
      <c r="N42" s="101"/>
      <c r="O42" s="102"/>
      <c r="P42" s="109"/>
    </row>
    <row r="43" spans="1:16" x14ac:dyDescent="0.25">
      <c r="A43" s="101" t="s">
        <v>16</v>
      </c>
      <c r="B43" s="101" t="s">
        <v>493</v>
      </c>
      <c r="C43" s="101">
        <v>30</v>
      </c>
      <c r="D43" s="101">
        <v>60</v>
      </c>
      <c r="E43" s="97" t="s">
        <v>451</v>
      </c>
      <c r="F43" s="97" t="s">
        <v>452</v>
      </c>
      <c r="G43" s="97" t="s">
        <v>453</v>
      </c>
      <c r="H43" s="97" t="s">
        <v>452</v>
      </c>
      <c r="I43" s="101" t="s">
        <v>455</v>
      </c>
      <c r="J43" s="105" t="s">
        <v>456</v>
      </c>
      <c r="K43" s="105" t="s">
        <v>458</v>
      </c>
      <c r="L43" s="105" t="s">
        <v>456</v>
      </c>
      <c r="M43" s="101"/>
      <c r="N43" s="101"/>
      <c r="O43" s="102"/>
      <c r="P43" s="109" t="s">
        <v>621</v>
      </c>
    </row>
    <row r="44" spans="1:16" x14ac:dyDescent="0.25">
      <c r="A44" s="101"/>
      <c r="B44" s="101"/>
      <c r="C44" s="101"/>
      <c r="D44" s="101"/>
      <c r="E44" s="97" t="s">
        <v>459</v>
      </c>
      <c r="F44" s="97" t="s">
        <v>460</v>
      </c>
      <c r="G44" s="97" t="s">
        <v>460</v>
      </c>
      <c r="H44" s="97" t="s">
        <v>460</v>
      </c>
      <c r="I44" s="101"/>
      <c r="J44" s="101"/>
      <c r="K44" s="101"/>
      <c r="L44" s="101"/>
      <c r="M44" s="101"/>
      <c r="N44" s="101"/>
      <c r="O44" s="102"/>
      <c r="P44" s="109"/>
    </row>
    <row r="45" spans="1:16" x14ac:dyDescent="0.25">
      <c r="A45" s="101"/>
      <c r="B45" s="101"/>
      <c r="C45" s="101"/>
      <c r="D45" s="101"/>
      <c r="E45" s="97" t="s">
        <v>463</v>
      </c>
      <c r="F45" s="97" t="s">
        <v>460</v>
      </c>
      <c r="G45" s="97" t="s">
        <v>460</v>
      </c>
      <c r="H45" s="97" t="s">
        <v>460</v>
      </c>
      <c r="I45" s="101"/>
      <c r="J45" s="101"/>
      <c r="K45" s="101"/>
      <c r="L45" s="101"/>
      <c r="M45" s="101"/>
      <c r="N45" s="101"/>
      <c r="O45" s="102"/>
      <c r="P45" s="109"/>
    </row>
    <row r="46" spans="1:16" x14ac:dyDescent="0.25">
      <c r="A46" s="101"/>
      <c r="B46" s="101"/>
      <c r="C46" s="101"/>
      <c r="D46" s="101"/>
      <c r="E46" s="97" t="s">
        <v>464</v>
      </c>
      <c r="F46" s="97" t="s">
        <v>465</v>
      </c>
      <c r="G46" s="97" t="s">
        <v>452</v>
      </c>
      <c r="H46" s="97" t="s">
        <v>465</v>
      </c>
      <c r="I46" s="101"/>
      <c r="J46" s="101"/>
      <c r="K46" s="101"/>
      <c r="L46" s="101"/>
      <c r="M46" s="101"/>
      <c r="N46" s="101"/>
      <c r="O46" s="102"/>
      <c r="P46" s="109"/>
    </row>
    <row r="47" spans="1:16" x14ac:dyDescent="0.25">
      <c r="A47" s="101" t="s">
        <v>16</v>
      </c>
      <c r="B47" s="101" t="s">
        <v>494</v>
      </c>
      <c r="C47" s="101">
        <v>30</v>
      </c>
      <c r="D47" s="101">
        <v>60</v>
      </c>
      <c r="E47" s="97" t="s">
        <v>451</v>
      </c>
      <c r="F47" s="97" t="s">
        <v>452</v>
      </c>
      <c r="G47" s="97" t="s">
        <v>453</v>
      </c>
      <c r="H47" s="97" t="s">
        <v>452</v>
      </c>
      <c r="I47" s="101" t="s">
        <v>455</v>
      </c>
      <c r="J47" s="105" t="s">
        <v>456</v>
      </c>
      <c r="K47" s="105" t="s">
        <v>458</v>
      </c>
      <c r="L47" s="105" t="s">
        <v>456</v>
      </c>
      <c r="M47" s="101"/>
      <c r="N47" s="101"/>
      <c r="O47" s="102"/>
      <c r="P47" s="109" t="s">
        <v>621</v>
      </c>
    </row>
    <row r="48" spans="1:16" x14ac:dyDescent="0.25">
      <c r="A48" s="101"/>
      <c r="B48" s="101"/>
      <c r="C48" s="101"/>
      <c r="D48" s="101"/>
      <c r="E48" s="97" t="s">
        <v>459</v>
      </c>
      <c r="F48" s="97" t="s">
        <v>460</v>
      </c>
      <c r="G48" s="97" t="s">
        <v>460</v>
      </c>
      <c r="H48" s="97" t="s">
        <v>460</v>
      </c>
      <c r="I48" s="101"/>
      <c r="J48" s="101"/>
      <c r="K48" s="101"/>
      <c r="L48" s="101"/>
      <c r="M48" s="101"/>
      <c r="N48" s="101"/>
      <c r="O48" s="102"/>
      <c r="P48" s="109"/>
    </row>
    <row r="49" spans="1:16" x14ac:dyDescent="0.25">
      <c r="A49" s="101"/>
      <c r="B49" s="101"/>
      <c r="C49" s="101"/>
      <c r="D49" s="101"/>
      <c r="E49" s="97" t="s">
        <v>463</v>
      </c>
      <c r="F49" s="97" t="s">
        <v>460</v>
      </c>
      <c r="G49" s="97" t="s">
        <v>460</v>
      </c>
      <c r="H49" s="97" t="s">
        <v>460</v>
      </c>
      <c r="I49" s="101"/>
      <c r="J49" s="101"/>
      <c r="K49" s="101"/>
      <c r="L49" s="101"/>
      <c r="M49" s="101"/>
      <c r="N49" s="101"/>
      <c r="O49" s="102"/>
      <c r="P49" s="109"/>
    </row>
    <row r="50" spans="1:16" x14ac:dyDescent="0.25">
      <c r="A50" s="101"/>
      <c r="B50" s="101"/>
      <c r="C50" s="101"/>
      <c r="D50" s="101"/>
      <c r="E50" s="97" t="s">
        <v>464</v>
      </c>
      <c r="F50" s="97" t="s">
        <v>453</v>
      </c>
      <c r="G50" s="97" t="s">
        <v>453</v>
      </c>
      <c r="H50" s="97" t="s">
        <v>453</v>
      </c>
      <c r="I50" s="101"/>
      <c r="J50" s="101"/>
      <c r="K50" s="101"/>
      <c r="L50" s="101"/>
      <c r="M50" s="101"/>
      <c r="N50" s="101"/>
      <c r="O50" s="102"/>
      <c r="P50" s="109"/>
    </row>
    <row r="51" spans="1:16" x14ac:dyDescent="0.25">
      <c r="A51" s="101" t="s">
        <v>16</v>
      </c>
      <c r="B51" s="101" t="s">
        <v>495</v>
      </c>
      <c r="C51" s="101">
        <v>30</v>
      </c>
      <c r="D51" s="101">
        <v>60</v>
      </c>
      <c r="E51" s="97" t="s">
        <v>451</v>
      </c>
      <c r="F51" s="97" t="s">
        <v>465</v>
      </c>
      <c r="G51" s="97" t="s">
        <v>453</v>
      </c>
      <c r="H51" s="97" t="s">
        <v>465</v>
      </c>
      <c r="I51" s="101" t="s">
        <v>455</v>
      </c>
      <c r="J51" s="105" t="s">
        <v>456</v>
      </c>
      <c r="K51" s="105" t="s">
        <v>458</v>
      </c>
      <c r="L51" s="105" t="s">
        <v>456</v>
      </c>
      <c r="M51" s="101"/>
      <c r="N51" s="101"/>
      <c r="O51" s="102"/>
      <c r="P51" s="109" t="s">
        <v>621</v>
      </c>
    </row>
    <row r="52" spans="1:16" x14ac:dyDescent="0.25">
      <c r="A52" s="101"/>
      <c r="B52" s="101"/>
      <c r="C52" s="101"/>
      <c r="D52" s="101"/>
      <c r="E52" s="97" t="s">
        <v>459</v>
      </c>
      <c r="F52" s="97" t="s">
        <v>460</v>
      </c>
      <c r="G52" s="97" t="s">
        <v>460</v>
      </c>
      <c r="H52" s="97" t="s">
        <v>460</v>
      </c>
      <c r="I52" s="101"/>
      <c r="J52" s="101"/>
      <c r="K52" s="101"/>
      <c r="L52" s="101"/>
      <c r="M52" s="101"/>
      <c r="N52" s="101"/>
      <c r="O52" s="102"/>
      <c r="P52" s="109"/>
    </row>
    <row r="53" spans="1:16" x14ac:dyDescent="0.25">
      <c r="A53" s="101"/>
      <c r="B53" s="101"/>
      <c r="C53" s="101"/>
      <c r="D53" s="101"/>
      <c r="E53" s="97" t="s">
        <v>463</v>
      </c>
      <c r="F53" s="97" t="s">
        <v>460</v>
      </c>
      <c r="G53" s="97" t="s">
        <v>460</v>
      </c>
      <c r="H53" s="97" t="s">
        <v>460</v>
      </c>
      <c r="I53" s="101"/>
      <c r="J53" s="101"/>
      <c r="K53" s="101"/>
      <c r="L53" s="101"/>
      <c r="M53" s="101"/>
      <c r="N53" s="101"/>
      <c r="O53" s="102"/>
      <c r="P53" s="109"/>
    </row>
    <row r="54" spans="1:16" x14ac:dyDescent="0.25">
      <c r="A54" s="101"/>
      <c r="B54" s="101"/>
      <c r="C54" s="101"/>
      <c r="D54" s="101"/>
      <c r="E54" s="97" t="s">
        <v>464</v>
      </c>
      <c r="F54" s="97" t="s">
        <v>453</v>
      </c>
      <c r="G54" s="97" t="s">
        <v>453</v>
      </c>
      <c r="H54" s="97" t="s">
        <v>453</v>
      </c>
      <c r="I54" s="101"/>
      <c r="J54" s="101"/>
      <c r="K54" s="101"/>
      <c r="L54" s="101"/>
      <c r="M54" s="101"/>
      <c r="N54" s="101"/>
      <c r="O54" s="102"/>
      <c r="P54" s="109"/>
    </row>
    <row r="55" spans="1:16" x14ac:dyDescent="0.25">
      <c r="A55" s="101" t="s">
        <v>16</v>
      </c>
      <c r="B55" s="101" t="s">
        <v>496</v>
      </c>
      <c r="C55" s="101">
        <v>30</v>
      </c>
      <c r="D55" s="101">
        <v>60</v>
      </c>
      <c r="E55" s="97" t="s">
        <v>451</v>
      </c>
      <c r="F55" s="97" t="s">
        <v>465</v>
      </c>
      <c r="G55" s="97" t="s">
        <v>453</v>
      </c>
      <c r="H55" s="97" t="s">
        <v>465</v>
      </c>
      <c r="I55" s="101" t="s">
        <v>455</v>
      </c>
      <c r="J55" s="105" t="s">
        <v>456</v>
      </c>
      <c r="K55" s="105" t="s">
        <v>458</v>
      </c>
      <c r="L55" s="105" t="s">
        <v>456</v>
      </c>
      <c r="M55" s="101"/>
      <c r="N55" s="101"/>
      <c r="O55" s="102"/>
      <c r="P55" s="109" t="s">
        <v>621</v>
      </c>
    </row>
    <row r="56" spans="1:16" x14ac:dyDescent="0.25">
      <c r="A56" s="101"/>
      <c r="B56" s="101"/>
      <c r="C56" s="101"/>
      <c r="D56" s="101"/>
      <c r="E56" s="97" t="s">
        <v>459</v>
      </c>
      <c r="F56" s="97" t="s">
        <v>460</v>
      </c>
      <c r="G56" s="97" t="s">
        <v>460</v>
      </c>
      <c r="H56" s="97" t="s">
        <v>460</v>
      </c>
      <c r="I56" s="101"/>
      <c r="J56" s="101"/>
      <c r="K56" s="101"/>
      <c r="L56" s="101"/>
      <c r="M56" s="101"/>
      <c r="N56" s="101"/>
      <c r="O56" s="102"/>
      <c r="P56" s="109"/>
    </row>
    <row r="57" spans="1:16" x14ac:dyDescent="0.25">
      <c r="A57" s="101"/>
      <c r="B57" s="101"/>
      <c r="C57" s="101"/>
      <c r="D57" s="101"/>
      <c r="E57" s="97" t="s">
        <v>463</v>
      </c>
      <c r="F57" s="97" t="s">
        <v>460</v>
      </c>
      <c r="G57" s="97" t="s">
        <v>460</v>
      </c>
      <c r="H57" s="97" t="s">
        <v>460</v>
      </c>
      <c r="I57" s="101"/>
      <c r="J57" s="101"/>
      <c r="K57" s="101"/>
      <c r="L57" s="101"/>
      <c r="M57" s="101"/>
      <c r="N57" s="101"/>
      <c r="O57" s="102"/>
      <c r="P57" s="109"/>
    </row>
    <row r="58" spans="1:16" x14ac:dyDescent="0.25">
      <c r="A58" s="101"/>
      <c r="B58" s="101"/>
      <c r="C58" s="101"/>
      <c r="D58" s="101"/>
      <c r="E58" s="97" t="s">
        <v>464</v>
      </c>
      <c r="F58" s="97" t="s">
        <v>453</v>
      </c>
      <c r="G58" s="97" t="s">
        <v>453</v>
      </c>
      <c r="H58" s="97" t="s">
        <v>453</v>
      </c>
      <c r="I58" s="101"/>
      <c r="J58" s="101"/>
      <c r="K58" s="101"/>
      <c r="L58" s="101"/>
      <c r="M58" s="101"/>
      <c r="N58" s="101"/>
      <c r="O58" s="102"/>
      <c r="P58" s="109"/>
    </row>
    <row r="59" spans="1:16" x14ac:dyDescent="0.25">
      <c r="A59" s="101" t="s">
        <v>16</v>
      </c>
      <c r="B59" s="101" t="s">
        <v>497</v>
      </c>
      <c r="C59" s="101">
        <v>30</v>
      </c>
      <c r="D59" s="101">
        <v>60</v>
      </c>
      <c r="E59" s="97" t="s">
        <v>451</v>
      </c>
      <c r="F59" s="97" t="s">
        <v>465</v>
      </c>
      <c r="G59" s="97" t="s">
        <v>453</v>
      </c>
      <c r="H59" s="97" t="s">
        <v>452</v>
      </c>
      <c r="I59" s="101" t="s">
        <v>455</v>
      </c>
      <c r="J59" s="105" t="s">
        <v>456</v>
      </c>
      <c r="K59" s="105" t="s">
        <v>458</v>
      </c>
      <c r="L59" s="105" t="s">
        <v>456</v>
      </c>
      <c r="M59" s="101"/>
      <c r="N59" s="101"/>
      <c r="O59" s="102"/>
      <c r="P59" s="109" t="s">
        <v>621</v>
      </c>
    </row>
    <row r="60" spans="1:16" x14ac:dyDescent="0.25">
      <c r="A60" s="101"/>
      <c r="B60" s="101"/>
      <c r="C60" s="101"/>
      <c r="D60" s="101"/>
      <c r="E60" s="97" t="s">
        <v>459</v>
      </c>
      <c r="F60" s="97" t="s">
        <v>460</v>
      </c>
      <c r="G60" s="97" t="s">
        <v>460</v>
      </c>
      <c r="H60" s="97" t="s">
        <v>460</v>
      </c>
      <c r="I60" s="101"/>
      <c r="J60" s="101"/>
      <c r="K60" s="101"/>
      <c r="L60" s="101"/>
      <c r="M60" s="101"/>
      <c r="N60" s="101"/>
      <c r="O60" s="102"/>
      <c r="P60" s="109"/>
    </row>
    <row r="61" spans="1:16" x14ac:dyDescent="0.25">
      <c r="A61" s="101"/>
      <c r="B61" s="101"/>
      <c r="C61" s="101"/>
      <c r="D61" s="101"/>
      <c r="E61" s="97" t="s">
        <v>463</v>
      </c>
      <c r="F61" s="97" t="s">
        <v>460</v>
      </c>
      <c r="G61" s="97" t="s">
        <v>460</v>
      </c>
      <c r="H61" s="97" t="s">
        <v>460</v>
      </c>
      <c r="I61" s="101"/>
      <c r="J61" s="101"/>
      <c r="K61" s="101"/>
      <c r="L61" s="101"/>
      <c r="M61" s="101"/>
      <c r="N61" s="101"/>
      <c r="O61" s="102"/>
      <c r="P61" s="109"/>
    </row>
    <row r="62" spans="1:16" x14ac:dyDescent="0.25">
      <c r="A62" s="101"/>
      <c r="B62" s="101"/>
      <c r="C62" s="101"/>
      <c r="D62" s="101"/>
      <c r="E62" s="97" t="s">
        <v>464</v>
      </c>
      <c r="F62" s="97" t="s">
        <v>453</v>
      </c>
      <c r="G62" s="97" t="s">
        <v>453</v>
      </c>
      <c r="H62" s="97" t="s">
        <v>453</v>
      </c>
      <c r="I62" s="101"/>
      <c r="J62" s="101"/>
      <c r="K62" s="101"/>
      <c r="L62" s="101"/>
      <c r="M62" s="101"/>
      <c r="N62" s="101"/>
      <c r="O62" s="102"/>
      <c r="P62" s="109"/>
    </row>
    <row r="63" spans="1:16" x14ac:dyDescent="0.25">
      <c r="A63" s="101" t="s">
        <v>16</v>
      </c>
      <c r="B63" s="101" t="s">
        <v>498</v>
      </c>
      <c r="C63" s="101">
        <v>30</v>
      </c>
      <c r="D63" s="101">
        <v>60</v>
      </c>
      <c r="E63" s="97" t="s">
        <v>451</v>
      </c>
      <c r="F63" s="97" t="s">
        <v>452</v>
      </c>
      <c r="G63" s="97" t="s">
        <v>453</v>
      </c>
      <c r="H63" s="97" t="s">
        <v>452</v>
      </c>
      <c r="I63" s="101" t="s">
        <v>455</v>
      </c>
      <c r="J63" s="105" t="s">
        <v>456</v>
      </c>
      <c r="K63" s="105" t="s">
        <v>458</v>
      </c>
      <c r="L63" s="105" t="s">
        <v>456</v>
      </c>
      <c r="M63" s="101"/>
      <c r="N63" s="101"/>
      <c r="O63" s="102"/>
      <c r="P63" s="109" t="s">
        <v>621</v>
      </c>
    </row>
    <row r="64" spans="1:16" x14ac:dyDescent="0.25">
      <c r="A64" s="101"/>
      <c r="B64" s="101"/>
      <c r="C64" s="101"/>
      <c r="D64" s="101"/>
      <c r="E64" s="97" t="s">
        <v>459</v>
      </c>
      <c r="F64" s="97" t="s">
        <v>460</v>
      </c>
      <c r="G64" s="97" t="s">
        <v>460</v>
      </c>
      <c r="H64" s="97" t="s">
        <v>460</v>
      </c>
      <c r="I64" s="101"/>
      <c r="J64" s="101"/>
      <c r="K64" s="101"/>
      <c r="L64" s="101"/>
      <c r="M64" s="101"/>
      <c r="N64" s="101"/>
      <c r="O64" s="102"/>
      <c r="P64" s="109"/>
    </row>
    <row r="65" spans="1:16" x14ac:dyDescent="0.25">
      <c r="A65" s="101"/>
      <c r="B65" s="101"/>
      <c r="C65" s="101"/>
      <c r="D65" s="101"/>
      <c r="E65" s="97" t="s">
        <v>463</v>
      </c>
      <c r="F65" s="97" t="s">
        <v>460</v>
      </c>
      <c r="G65" s="97" t="s">
        <v>460</v>
      </c>
      <c r="H65" s="97" t="s">
        <v>460</v>
      </c>
      <c r="I65" s="101"/>
      <c r="J65" s="101"/>
      <c r="K65" s="101"/>
      <c r="L65" s="101"/>
      <c r="M65" s="101"/>
      <c r="N65" s="101"/>
      <c r="O65" s="102"/>
      <c r="P65" s="109"/>
    </row>
    <row r="66" spans="1:16" x14ac:dyDescent="0.25">
      <c r="A66" s="101"/>
      <c r="B66" s="101"/>
      <c r="C66" s="101"/>
      <c r="D66" s="101"/>
      <c r="E66" s="97" t="s">
        <v>464</v>
      </c>
      <c r="F66" s="97" t="s">
        <v>465</v>
      </c>
      <c r="G66" s="97" t="s">
        <v>452</v>
      </c>
      <c r="H66" s="97" t="s">
        <v>465</v>
      </c>
      <c r="I66" s="101"/>
      <c r="J66" s="101"/>
      <c r="K66" s="101"/>
      <c r="L66" s="101"/>
      <c r="M66" s="101"/>
      <c r="N66" s="101"/>
      <c r="O66" s="102"/>
      <c r="P66" s="109"/>
    </row>
    <row r="67" spans="1:16" x14ac:dyDescent="0.25">
      <c r="A67" s="101" t="s">
        <v>16</v>
      </c>
      <c r="B67" s="101" t="s">
        <v>499</v>
      </c>
      <c r="C67" s="101">
        <v>30</v>
      </c>
      <c r="D67" s="101">
        <v>60</v>
      </c>
      <c r="E67" s="97" t="s">
        <v>451</v>
      </c>
      <c r="F67" s="97" t="s">
        <v>465</v>
      </c>
      <c r="G67" s="97" t="s">
        <v>453</v>
      </c>
      <c r="H67" s="97" t="s">
        <v>465</v>
      </c>
      <c r="I67" s="101" t="s">
        <v>455</v>
      </c>
      <c r="J67" s="105" t="s">
        <v>456</v>
      </c>
      <c r="K67" s="105" t="s">
        <v>458</v>
      </c>
      <c r="L67" s="105" t="s">
        <v>456</v>
      </c>
      <c r="M67" s="101"/>
      <c r="N67" s="101"/>
      <c r="O67" s="102"/>
      <c r="P67" s="109" t="s">
        <v>621</v>
      </c>
    </row>
    <row r="68" spans="1:16" x14ac:dyDescent="0.25">
      <c r="A68" s="101"/>
      <c r="B68" s="101"/>
      <c r="C68" s="101"/>
      <c r="D68" s="101"/>
      <c r="E68" s="97" t="s">
        <v>459</v>
      </c>
      <c r="F68" s="97" t="s">
        <v>460</v>
      </c>
      <c r="G68" s="97" t="s">
        <v>460</v>
      </c>
      <c r="H68" s="97" t="s">
        <v>460</v>
      </c>
      <c r="I68" s="101"/>
      <c r="J68" s="101"/>
      <c r="K68" s="101"/>
      <c r="L68" s="101"/>
      <c r="M68" s="101"/>
      <c r="N68" s="101"/>
      <c r="O68" s="102"/>
      <c r="P68" s="109"/>
    </row>
    <row r="69" spans="1:16" x14ac:dyDescent="0.25">
      <c r="A69" s="101"/>
      <c r="B69" s="101"/>
      <c r="C69" s="101"/>
      <c r="D69" s="101"/>
      <c r="E69" s="97" t="s">
        <v>463</v>
      </c>
      <c r="F69" s="97" t="s">
        <v>460</v>
      </c>
      <c r="G69" s="97" t="s">
        <v>460</v>
      </c>
      <c r="H69" s="97" t="s">
        <v>460</v>
      </c>
      <c r="I69" s="101"/>
      <c r="J69" s="101"/>
      <c r="K69" s="101"/>
      <c r="L69" s="101"/>
      <c r="M69" s="101"/>
      <c r="N69" s="101"/>
      <c r="O69" s="102"/>
      <c r="P69" s="109"/>
    </row>
    <row r="70" spans="1:16" x14ac:dyDescent="0.25">
      <c r="A70" s="101"/>
      <c r="B70" s="101"/>
      <c r="C70" s="101"/>
      <c r="D70" s="101"/>
      <c r="E70" s="97" t="s">
        <v>464</v>
      </c>
      <c r="F70" s="97" t="s">
        <v>453</v>
      </c>
      <c r="G70" s="97" t="s">
        <v>453</v>
      </c>
      <c r="H70" s="97" t="s">
        <v>453</v>
      </c>
      <c r="I70" s="101"/>
      <c r="J70" s="101"/>
      <c r="K70" s="101"/>
      <c r="L70" s="101"/>
      <c r="M70" s="101"/>
      <c r="N70" s="101"/>
      <c r="O70" s="102"/>
      <c r="P70" s="109"/>
    </row>
    <row r="71" spans="1:16" x14ac:dyDescent="0.25">
      <c r="A71" s="101" t="s">
        <v>16</v>
      </c>
      <c r="B71" s="101" t="s">
        <v>500</v>
      </c>
      <c r="C71" s="101">
        <v>30</v>
      </c>
      <c r="D71" s="101">
        <v>60</v>
      </c>
      <c r="E71" s="97" t="s">
        <v>451</v>
      </c>
      <c r="F71" s="97" t="s">
        <v>465</v>
      </c>
      <c r="G71" s="97" t="s">
        <v>453</v>
      </c>
      <c r="H71" s="97" t="s">
        <v>465</v>
      </c>
      <c r="I71" s="101" t="s">
        <v>455</v>
      </c>
      <c r="J71" s="105" t="s">
        <v>456</v>
      </c>
      <c r="K71" s="105" t="s">
        <v>458</v>
      </c>
      <c r="L71" s="105" t="s">
        <v>456</v>
      </c>
      <c r="M71" s="101"/>
      <c r="N71" s="101"/>
      <c r="O71" s="102"/>
      <c r="P71" s="109" t="s">
        <v>621</v>
      </c>
    </row>
    <row r="72" spans="1:16" x14ac:dyDescent="0.25">
      <c r="A72" s="101"/>
      <c r="B72" s="101"/>
      <c r="C72" s="101"/>
      <c r="D72" s="101"/>
      <c r="E72" s="97" t="s">
        <v>459</v>
      </c>
      <c r="F72" s="97" t="s">
        <v>460</v>
      </c>
      <c r="G72" s="97" t="s">
        <v>460</v>
      </c>
      <c r="H72" s="97" t="s">
        <v>460</v>
      </c>
      <c r="I72" s="101"/>
      <c r="J72" s="101"/>
      <c r="K72" s="101"/>
      <c r="L72" s="101"/>
      <c r="M72" s="101"/>
      <c r="N72" s="101"/>
      <c r="O72" s="102"/>
      <c r="P72" s="109"/>
    </row>
    <row r="73" spans="1:16" x14ac:dyDescent="0.25">
      <c r="A73" s="101"/>
      <c r="B73" s="101"/>
      <c r="C73" s="101"/>
      <c r="D73" s="101"/>
      <c r="E73" s="97" t="s">
        <v>463</v>
      </c>
      <c r="F73" s="97" t="s">
        <v>460</v>
      </c>
      <c r="G73" s="97" t="s">
        <v>460</v>
      </c>
      <c r="H73" s="97" t="s">
        <v>460</v>
      </c>
      <c r="I73" s="101"/>
      <c r="J73" s="101"/>
      <c r="K73" s="101"/>
      <c r="L73" s="101"/>
      <c r="M73" s="101"/>
      <c r="N73" s="101"/>
      <c r="O73" s="102"/>
      <c r="P73" s="109"/>
    </row>
    <row r="74" spans="1:16" x14ac:dyDescent="0.25">
      <c r="A74" s="101"/>
      <c r="B74" s="101"/>
      <c r="C74" s="101"/>
      <c r="D74" s="101"/>
      <c r="E74" s="97" t="s">
        <v>464</v>
      </c>
      <c r="F74" s="97" t="s">
        <v>453</v>
      </c>
      <c r="G74" s="97" t="s">
        <v>453</v>
      </c>
      <c r="H74" s="97" t="s">
        <v>453</v>
      </c>
      <c r="I74" s="101"/>
      <c r="J74" s="101"/>
      <c r="K74" s="101"/>
      <c r="L74" s="101"/>
      <c r="M74" s="101"/>
      <c r="N74" s="101"/>
      <c r="O74" s="102"/>
      <c r="P74" s="109"/>
    </row>
    <row r="75" spans="1:16" x14ac:dyDescent="0.25">
      <c r="A75" s="101" t="s">
        <v>16</v>
      </c>
      <c r="B75" s="101" t="s">
        <v>501</v>
      </c>
      <c r="C75" s="101">
        <v>30</v>
      </c>
      <c r="D75" s="101">
        <v>60</v>
      </c>
      <c r="E75" s="97" t="s">
        <v>451</v>
      </c>
      <c r="F75" s="97" t="s">
        <v>465</v>
      </c>
      <c r="G75" s="97" t="s">
        <v>453</v>
      </c>
      <c r="H75" s="97" t="s">
        <v>465</v>
      </c>
      <c r="I75" s="101" t="s">
        <v>460</v>
      </c>
      <c r="J75" s="105" t="s">
        <v>456</v>
      </c>
      <c r="K75" s="105" t="s">
        <v>458</v>
      </c>
      <c r="L75" s="105" t="s">
        <v>456</v>
      </c>
      <c r="M75" s="101"/>
      <c r="N75" s="101"/>
      <c r="O75" s="102"/>
      <c r="P75" s="109" t="s">
        <v>621</v>
      </c>
    </row>
    <row r="76" spans="1:16" x14ac:dyDescent="0.25">
      <c r="A76" s="101"/>
      <c r="B76" s="101"/>
      <c r="C76" s="101"/>
      <c r="D76" s="101"/>
      <c r="E76" s="97" t="s">
        <v>459</v>
      </c>
      <c r="F76" s="97" t="s">
        <v>460</v>
      </c>
      <c r="G76" s="97" t="s">
        <v>460</v>
      </c>
      <c r="H76" s="97" t="s">
        <v>460</v>
      </c>
      <c r="I76" s="101"/>
      <c r="J76" s="101"/>
      <c r="K76" s="101"/>
      <c r="L76" s="101"/>
      <c r="M76" s="101"/>
      <c r="N76" s="101"/>
      <c r="O76" s="102"/>
      <c r="P76" s="109"/>
    </row>
    <row r="77" spans="1:16" x14ac:dyDescent="0.25">
      <c r="A77" s="101"/>
      <c r="B77" s="101"/>
      <c r="C77" s="101"/>
      <c r="D77" s="101"/>
      <c r="E77" s="97" t="s">
        <v>463</v>
      </c>
      <c r="F77" s="97" t="s">
        <v>460</v>
      </c>
      <c r="G77" s="97" t="s">
        <v>460</v>
      </c>
      <c r="H77" s="97" t="s">
        <v>460</v>
      </c>
      <c r="I77" s="101"/>
      <c r="J77" s="101"/>
      <c r="K77" s="101"/>
      <c r="L77" s="101"/>
      <c r="M77" s="101"/>
      <c r="N77" s="101"/>
      <c r="O77" s="102"/>
      <c r="P77" s="109"/>
    </row>
    <row r="78" spans="1:16" x14ac:dyDescent="0.25">
      <c r="A78" s="101"/>
      <c r="B78" s="101"/>
      <c r="C78" s="101"/>
      <c r="D78" s="101"/>
      <c r="E78" s="97" t="s">
        <v>464</v>
      </c>
      <c r="F78" s="97" t="s">
        <v>453</v>
      </c>
      <c r="G78" s="97" t="s">
        <v>465</v>
      </c>
      <c r="H78" s="97" t="s">
        <v>453</v>
      </c>
      <c r="I78" s="101"/>
      <c r="J78" s="101"/>
      <c r="K78" s="101"/>
      <c r="L78" s="101"/>
      <c r="M78" s="101"/>
      <c r="N78" s="101"/>
      <c r="O78" s="102"/>
      <c r="P78" s="109"/>
    </row>
    <row r="79" spans="1:16" x14ac:dyDescent="0.25">
      <c r="A79" s="101" t="s">
        <v>16</v>
      </c>
      <c r="B79" s="101" t="s">
        <v>502</v>
      </c>
      <c r="C79" s="101">
        <v>30</v>
      </c>
      <c r="D79" s="101">
        <v>60</v>
      </c>
      <c r="E79" s="97" t="s">
        <v>451</v>
      </c>
      <c r="F79" s="97" t="s">
        <v>465</v>
      </c>
      <c r="G79" s="97" t="s">
        <v>453</v>
      </c>
      <c r="H79" s="97" t="s">
        <v>465</v>
      </c>
      <c r="I79" s="101" t="s">
        <v>460</v>
      </c>
      <c r="J79" s="105" t="s">
        <v>456</v>
      </c>
      <c r="K79" s="105" t="s">
        <v>458</v>
      </c>
      <c r="L79" s="105" t="s">
        <v>456</v>
      </c>
      <c r="M79" s="101"/>
      <c r="N79" s="101"/>
      <c r="O79" s="102"/>
      <c r="P79" s="109" t="s">
        <v>621</v>
      </c>
    </row>
    <row r="80" spans="1:16" x14ac:dyDescent="0.25">
      <c r="A80" s="101"/>
      <c r="B80" s="101"/>
      <c r="C80" s="101"/>
      <c r="D80" s="101"/>
      <c r="E80" s="97" t="s">
        <v>459</v>
      </c>
      <c r="F80" s="97" t="s">
        <v>460</v>
      </c>
      <c r="G80" s="97" t="s">
        <v>460</v>
      </c>
      <c r="H80" s="97" t="s">
        <v>460</v>
      </c>
      <c r="I80" s="101"/>
      <c r="J80" s="101"/>
      <c r="K80" s="101"/>
      <c r="L80" s="101"/>
      <c r="M80" s="101"/>
      <c r="N80" s="101"/>
      <c r="O80" s="102"/>
      <c r="P80" s="109"/>
    </row>
    <row r="81" spans="1:16" x14ac:dyDescent="0.25">
      <c r="A81" s="101"/>
      <c r="B81" s="101"/>
      <c r="C81" s="101"/>
      <c r="D81" s="101"/>
      <c r="E81" s="97" t="s">
        <v>463</v>
      </c>
      <c r="F81" s="97" t="s">
        <v>460</v>
      </c>
      <c r="G81" s="97" t="s">
        <v>460</v>
      </c>
      <c r="H81" s="97" t="s">
        <v>460</v>
      </c>
      <c r="I81" s="101"/>
      <c r="J81" s="101"/>
      <c r="K81" s="101"/>
      <c r="L81" s="101"/>
      <c r="M81" s="101"/>
      <c r="N81" s="101"/>
      <c r="O81" s="102"/>
      <c r="P81" s="109"/>
    </row>
    <row r="82" spans="1:16" x14ac:dyDescent="0.25">
      <c r="A82" s="101"/>
      <c r="B82" s="101"/>
      <c r="C82" s="101"/>
      <c r="D82" s="101"/>
      <c r="E82" s="97" t="s">
        <v>464</v>
      </c>
      <c r="F82" s="97" t="s">
        <v>453</v>
      </c>
      <c r="G82" s="97" t="s">
        <v>465</v>
      </c>
      <c r="H82" s="97" t="s">
        <v>453</v>
      </c>
      <c r="I82" s="101"/>
      <c r="J82" s="101"/>
      <c r="K82" s="101"/>
      <c r="L82" s="101"/>
      <c r="M82" s="101"/>
      <c r="N82" s="101"/>
      <c r="O82" s="102"/>
      <c r="P82" s="109"/>
    </row>
    <row r="83" spans="1:16" x14ac:dyDescent="0.25">
      <c r="A83" s="101" t="s">
        <v>16</v>
      </c>
      <c r="B83" s="101" t="s">
        <v>503</v>
      </c>
      <c r="C83" s="101">
        <v>30</v>
      </c>
      <c r="D83" s="101">
        <v>60</v>
      </c>
      <c r="E83" s="97" t="s">
        <v>451</v>
      </c>
      <c r="F83" s="97" t="s">
        <v>465</v>
      </c>
      <c r="G83" s="97" t="s">
        <v>453</v>
      </c>
      <c r="H83" s="97" t="s">
        <v>465</v>
      </c>
      <c r="I83" s="101" t="s">
        <v>460</v>
      </c>
      <c r="J83" s="105" t="s">
        <v>456</v>
      </c>
      <c r="K83" s="105" t="s">
        <v>458</v>
      </c>
      <c r="L83" s="105" t="s">
        <v>456</v>
      </c>
      <c r="M83" s="101"/>
      <c r="N83" s="101"/>
      <c r="O83" s="102"/>
      <c r="P83" s="109" t="s">
        <v>621</v>
      </c>
    </row>
    <row r="84" spans="1:16" x14ac:dyDescent="0.25">
      <c r="A84" s="101"/>
      <c r="B84" s="101"/>
      <c r="C84" s="101"/>
      <c r="D84" s="101"/>
      <c r="E84" s="97" t="s">
        <v>459</v>
      </c>
      <c r="F84" s="97" t="s">
        <v>460</v>
      </c>
      <c r="G84" s="97" t="s">
        <v>460</v>
      </c>
      <c r="H84" s="97" t="s">
        <v>460</v>
      </c>
      <c r="I84" s="101"/>
      <c r="J84" s="101"/>
      <c r="K84" s="101"/>
      <c r="L84" s="101"/>
      <c r="M84" s="101"/>
      <c r="N84" s="101"/>
      <c r="O84" s="102"/>
      <c r="P84" s="109"/>
    </row>
    <row r="85" spans="1:16" x14ac:dyDescent="0.25">
      <c r="A85" s="101"/>
      <c r="B85" s="101"/>
      <c r="C85" s="101"/>
      <c r="D85" s="101"/>
      <c r="E85" s="97" t="s">
        <v>463</v>
      </c>
      <c r="F85" s="97" t="s">
        <v>460</v>
      </c>
      <c r="G85" s="97" t="s">
        <v>460</v>
      </c>
      <c r="H85" s="97" t="s">
        <v>460</v>
      </c>
      <c r="I85" s="101"/>
      <c r="J85" s="101"/>
      <c r="K85" s="101"/>
      <c r="L85" s="101"/>
      <c r="M85" s="101"/>
      <c r="N85" s="101"/>
      <c r="O85" s="102"/>
      <c r="P85" s="109"/>
    </row>
    <row r="86" spans="1:16" x14ac:dyDescent="0.25">
      <c r="A86" s="101"/>
      <c r="B86" s="101"/>
      <c r="C86" s="101"/>
      <c r="D86" s="101"/>
      <c r="E86" s="97" t="s">
        <v>464</v>
      </c>
      <c r="F86" s="97" t="s">
        <v>453</v>
      </c>
      <c r="G86" s="97" t="s">
        <v>465</v>
      </c>
      <c r="H86" s="97" t="s">
        <v>453</v>
      </c>
      <c r="I86" s="101"/>
      <c r="J86" s="101"/>
      <c r="K86" s="101"/>
      <c r="L86" s="101"/>
      <c r="M86" s="101"/>
      <c r="N86" s="101"/>
      <c r="O86" s="102"/>
      <c r="P86" s="109"/>
    </row>
    <row r="87" spans="1:16" x14ac:dyDescent="0.25">
      <c r="A87" s="101" t="s">
        <v>16</v>
      </c>
      <c r="B87" s="101" t="s">
        <v>504</v>
      </c>
      <c r="C87" s="101">
        <v>30</v>
      </c>
      <c r="D87" s="101">
        <v>60</v>
      </c>
      <c r="E87" s="97" t="s">
        <v>451</v>
      </c>
      <c r="F87" s="97" t="s">
        <v>465</v>
      </c>
      <c r="G87" s="97" t="s">
        <v>453</v>
      </c>
      <c r="H87" s="97" t="s">
        <v>465</v>
      </c>
      <c r="I87" s="101" t="s">
        <v>460</v>
      </c>
      <c r="J87" s="105" t="s">
        <v>456</v>
      </c>
      <c r="K87" s="105" t="s">
        <v>458</v>
      </c>
      <c r="L87" s="105" t="s">
        <v>456</v>
      </c>
      <c r="M87" s="101"/>
      <c r="N87" s="101"/>
      <c r="O87" s="102"/>
      <c r="P87" s="109" t="s">
        <v>621</v>
      </c>
    </row>
    <row r="88" spans="1:16" x14ac:dyDescent="0.25">
      <c r="A88" s="101"/>
      <c r="B88" s="101"/>
      <c r="C88" s="101"/>
      <c r="D88" s="101"/>
      <c r="E88" s="97" t="s">
        <v>459</v>
      </c>
      <c r="F88" s="97" t="s">
        <v>460</v>
      </c>
      <c r="G88" s="97" t="s">
        <v>460</v>
      </c>
      <c r="H88" s="97" t="s">
        <v>460</v>
      </c>
      <c r="I88" s="101"/>
      <c r="J88" s="101"/>
      <c r="K88" s="101"/>
      <c r="L88" s="101"/>
      <c r="M88" s="101"/>
      <c r="N88" s="101"/>
      <c r="O88" s="102"/>
      <c r="P88" s="109"/>
    </row>
    <row r="89" spans="1:16" x14ac:dyDescent="0.25">
      <c r="A89" s="101"/>
      <c r="B89" s="101"/>
      <c r="C89" s="101"/>
      <c r="D89" s="101"/>
      <c r="E89" s="97" t="s">
        <v>463</v>
      </c>
      <c r="F89" s="97" t="s">
        <v>460</v>
      </c>
      <c r="G89" s="97" t="s">
        <v>460</v>
      </c>
      <c r="H89" s="97" t="s">
        <v>460</v>
      </c>
      <c r="I89" s="101"/>
      <c r="J89" s="101"/>
      <c r="K89" s="101"/>
      <c r="L89" s="101"/>
      <c r="M89" s="101"/>
      <c r="N89" s="101"/>
      <c r="O89" s="102"/>
      <c r="P89" s="109"/>
    </row>
    <row r="90" spans="1:16" x14ac:dyDescent="0.25">
      <c r="A90" s="101"/>
      <c r="B90" s="101"/>
      <c r="C90" s="101"/>
      <c r="D90" s="101"/>
      <c r="E90" s="97" t="s">
        <v>464</v>
      </c>
      <c r="F90" s="97" t="s">
        <v>453</v>
      </c>
      <c r="G90" s="97" t="s">
        <v>465</v>
      </c>
      <c r="H90" s="97" t="s">
        <v>453</v>
      </c>
      <c r="I90" s="101"/>
      <c r="J90" s="101"/>
      <c r="K90" s="101"/>
      <c r="L90" s="101"/>
      <c r="M90" s="101"/>
      <c r="N90" s="101"/>
      <c r="O90" s="102"/>
      <c r="P90" s="109"/>
    </row>
    <row r="91" spans="1:16" x14ac:dyDescent="0.25">
      <c r="A91" s="101" t="s">
        <v>16</v>
      </c>
      <c r="B91" s="101" t="s">
        <v>505</v>
      </c>
      <c r="C91" s="101">
        <v>30</v>
      </c>
      <c r="D91" s="101">
        <v>60</v>
      </c>
      <c r="E91" s="97" t="s">
        <v>451</v>
      </c>
      <c r="F91" s="97" t="s">
        <v>465</v>
      </c>
      <c r="G91" s="97" t="s">
        <v>453</v>
      </c>
      <c r="H91" s="97" t="s">
        <v>465</v>
      </c>
      <c r="I91" s="101" t="s">
        <v>460</v>
      </c>
      <c r="J91" s="105" t="s">
        <v>456</v>
      </c>
      <c r="K91" s="105" t="s">
        <v>458</v>
      </c>
      <c r="L91" s="105" t="s">
        <v>456</v>
      </c>
      <c r="M91" s="101"/>
      <c r="N91" s="101"/>
      <c r="O91" s="102"/>
      <c r="P91" s="109" t="s">
        <v>621</v>
      </c>
    </row>
    <row r="92" spans="1:16" x14ac:dyDescent="0.25">
      <c r="A92" s="101"/>
      <c r="B92" s="101"/>
      <c r="C92" s="101"/>
      <c r="D92" s="101"/>
      <c r="E92" s="97" t="s">
        <v>459</v>
      </c>
      <c r="F92" s="97" t="s">
        <v>460</v>
      </c>
      <c r="G92" s="97" t="s">
        <v>460</v>
      </c>
      <c r="H92" s="97" t="s">
        <v>460</v>
      </c>
      <c r="I92" s="101"/>
      <c r="J92" s="101"/>
      <c r="K92" s="101"/>
      <c r="L92" s="101"/>
      <c r="M92" s="101"/>
      <c r="N92" s="101"/>
      <c r="O92" s="102"/>
      <c r="P92" s="109"/>
    </row>
    <row r="93" spans="1:16" x14ac:dyDescent="0.25">
      <c r="A93" s="101"/>
      <c r="B93" s="101"/>
      <c r="C93" s="101"/>
      <c r="D93" s="101"/>
      <c r="E93" s="97" t="s">
        <v>463</v>
      </c>
      <c r="F93" s="97" t="s">
        <v>460</v>
      </c>
      <c r="G93" s="97" t="s">
        <v>460</v>
      </c>
      <c r="H93" s="97" t="s">
        <v>460</v>
      </c>
      <c r="I93" s="101"/>
      <c r="J93" s="101"/>
      <c r="K93" s="101"/>
      <c r="L93" s="101"/>
      <c r="M93" s="101"/>
      <c r="N93" s="101"/>
      <c r="O93" s="102"/>
      <c r="P93" s="109"/>
    </row>
    <row r="94" spans="1:16" x14ac:dyDescent="0.25">
      <c r="A94" s="101"/>
      <c r="B94" s="101"/>
      <c r="C94" s="101"/>
      <c r="D94" s="101"/>
      <c r="E94" s="97" t="s">
        <v>464</v>
      </c>
      <c r="F94" s="97" t="s">
        <v>453</v>
      </c>
      <c r="G94" s="97" t="s">
        <v>465</v>
      </c>
      <c r="H94" s="97" t="s">
        <v>453</v>
      </c>
      <c r="I94" s="101"/>
      <c r="J94" s="101"/>
      <c r="K94" s="101"/>
      <c r="L94" s="101"/>
      <c r="M94" s="101"/>
      <c r="N94" s="101"/>
      <c r="O94" s="102"/>
      <c r="P94" s="109"/>
    </row>
    <row r="95" spans="1:16" x14ac:dyDescent="0.25">
      <c r="A95" s="101" t="s">
        <v>16</v>
      </c>
      <c r="B95" s="101" t="s">
        <v>506</v>
      </c>
      <c r="C95" s="101">
        <v>30</v>
      </c>
      <c r="D95" s="101">
        <v>60</v>
      </c>
      <c r="E95" s="97" t="s">
        <v>451</v>
      </c>
      <c r="F95" s="97" t="s">
        <v>465</v>
      </c>
      <c r="G95" s="97" t="s">
        <v>453</v>
      </c>
      <c r="H95" s="97" t="s">
        <v>465</v>
      </c>
      <c r="I95" s="101" t="s">
        <v>460</v>
      </c>
      <c r="J95" s="105" t="s">
        <v>456</v>
      </c>
      <c r="K95" s="105" t="s">
        <v>458</v>
      </c>
      <c r="L95" s="105" t="s">
        <v>456</v>
      </c>
      <c r="M95" s="101"/>
      <c r="N95" s="101"/>
      <c r="O95" s="102"/>
      <c r="P95" s="109" t="s">
        <v>621</v>
      </c>
    </row>
    <row r="96" spans="1:16" x14ac:dyDescent="0.25">
      <c r="A96" s="101"/>
      <c r="B96" s="101"/>
      <c r="C96" s="101"/>
      <c r="D96" s="101"/>
      <c r="E96" s="97" t="s">
        <v>459</v>
      </c>
      <c r="F96" s="97" t="s">
        <v>460</v>
      </c>
      <c r="G96" s="97" t="s">
        <v>460</v>
      </c>
      <c r="H96" s="97" t="s">
        <v>460</v>
      </c>
      <c r="I96" s="101"/>
      <c r="J96" s="101"/>
      <c r="K96" s="101"/>
      <c r="L96" s="101"/>
      <c r="M96" s="101"/>
      <c r="N96" s="101"/>
      <c r="O96" s="102"/>
      <c r="P96" s="109"/>
    </row>
    <row r="97" spans="1:16" x14ac:dyDescent="0.25">
      <c r="A97" s="101"/>
      <c r="B97" s="101"/>
      <c r="C97" s="101"/>
      <c r="D97" s="101"/>
      <c r="E97" s="97" t="s">
        <v>463</v>
      </c>
      <c r="F97" s="97" t="s">
        <v>460</v>
      </c>
      <c r="G97" s="97" t="s">
        <v>460</v>
      </c>
      <c r="H97" s="97" t="s">
        <v>460</v>
      </c>
      <c r="I97" s="101"/>
      <c r="J97" s="101"/>
      <c r="K97" s="101"/>
      <c r="L97" s="101"/>
      <c r="M97" s="101"/>
      <c r="N97" s="101"/>
      <c r="O97" s="102"/>
      <c r="P97" s="109"/>
    </row>
    <row r="98" spans="1:16" x14ac:dyDescent="0.25">
      <c r="A98" s="101"/>
      <c r="B98" s="101"/>
      <c r="C98" s="101"/>
      <c r="D98" s="101"/>
      <c r="E98" s="97" t="s">
        <v>464</v>
      </c>
      <c r="F98" s="97" t="s">
        <v>453</v>
      </c>
      <c r="G98" s="97" t="s">
        <v>465</v>
      </c>
      <c r="H98" s="97" t="s">
        <v>453</v>
      </c>
      <c r="I98" s="101"/>
      <c r="J98" s="101"/>
      <c r="K98" s="101"/>
      <c r="L98" s="101"/>
      <c r="M98" s="101"/>
      <c r="N98" s="101"/>
      <c r="O98" s="102"/>
      <c r="P98" s="109"/>
    </row>
    <row r="99" spans="1:16" x14ac:dyDescent="0.25">
      <c r="A99" s="101" t="s">
        <v>16</v>
      </c>
      <c r="B99" s="101" t="s">
        <v>507</v>
      </c>
      <c r="C99" s="101">
        <v>30</v>
      </c>
      <c r="D99" s="101">
        <v>60</v>
      </c>
      <c r="E99" s="97" t="s">
        <v>451</v>
      </c>
      <c r="F99" s="97" t="s">
        <v>465</v>
      </c>
      <c r="G99" s="97" t="s">
        <v>453</v>
      </c>
      <c r="H99" s="97" t="s">
        <v>465</v>
      </c>
      <c r="I99" s="101" t="s">
        <v>455</v>
      </c>
      <c r="J99" s="105" t="s">
        <v>456</v>
      </c>
      <c r="K99" s="105" t="s">
        <v>458</v>
      </c>
      <c r="L99" s="105" t="s">
        <v>456</v>
      </c>
      <c r="M99" s="101"/>
      <c r="N99" s="101"/>
      <c r="O99" s="102"/>
      <c r="P99" s="109" t="s">
        <v>621</v>
      </c>
    </row>
    <row r="100" spans="1:16" x14ac:dyDescent="0.25">
      <c r="A100" s="101"/>
      <c r="B100" s="101"/>
      <c r="C100" s="101"/>
      <c r="D100" s="101"/>
      <c r="E100" s="97" t="s">
        <v>459</v>
      </c>
      <c r="F100" s="97" t="s">
        <v>460</v>
      </c>
      <c r="G100" s="97" t="s">
        <v>460</v>
      </c>
      <c r="H100" s="97" t="s">
        <v>460</v>
      </c>
      <c r="I100" s="101"/>
      <c r="J100" s="101"/>
      <c r="K100" s="101"/>
      <c r="L100" s="101"/>
      <c r="M100" s="101"/>
      <c r="N100" s="101"/>
      <c r="O100" s="102"/>
      <c r="P100" s="109"/>
    </row>
    <row r="101" spans="1:16" x14ac:dyDescent="0.25">
      <c r="A101" s="101"/>
      <c r="B101" s="101"/>
      <c r="C101" s="101"/>
      <c r="D101" s="101"/>
      <c r="E101" s="97" t="s">
        <v>463</v>
      </c>
      <c r="F101" s="97" t="s">
        <v>460</v>
      </c>
      <c r="G101" s="97" t="s">
        <v>460</v>
      </c>
      <c r="H101" s="97" t="s">
        <v>460</v>
      </c>
      <c r="I101" s="101"/>
      <c r="J101" s="101"/>
      <c r="K101" s="101"/>
      <c r="L101" s="101"/>
      <c r="M101" s="101"/>
      <c r="N101" s="101"/>
      <c r="O101" s="102"/>
      <c r="P101" s="109"/>
    </row>
    <row r="102" spans="1:16" x14ac:dyDescent="0.25">
      <c r="A102" s="101"/>
      <c r="B102" s="101"/>
      <c r="C102" s="101"/>
      <c r="D102" s="101"/>
      <c r="E102" s="97" t="s">
        <v>464</v>
      </c>
      <c r="F102" s="97" t="s">
        <v>453</v>
      </c>
      <c r="G102" s="97" t="s">
        <v>453</v>
      </c>
      <c r="H102" s="97" t="s">
        <v>453</v>
      </c>
      <c r="I102" s="101"/>
      <c r="J102" s="101"/>
      <c r="K102" s="101"/>
      <c r="L102" s="101"/>
      <c r="M102" s="101"/>
      <c r="N102" s="101"/>
      <c r="O102" s="102"/>
      <c r="P102" s="109"/>
    </row>
    <row r="103" spans="1:16" x14ac:dyDescent="0.25">
      <c r="A103" s="101" t="s">
        <v>16</v>
      </c>
      <c r="B103" s="101" t="s">
        <v>508</v>
      </c>
      <c r="C103" s="101">
        <v>30</v>
      </c>
      <c r="D103" s="101">
        <v>60</v>
      </c>
      <c r="E103" s="97" t="s">
        <v>451</v>
      </c>
      <c r="F103" s="97" t="s">
        <v>465</v>
      </c>
      <c r="G103" s="97" t="s">
        <v>453</v>
      </c>
      <c r="H103" s="97" t="s">
        <v>465</v>
      </c>
      <c r="I103" s="101" t="s">
        <v>455</v>
      </c>
      <c r="J103" s="105" t="s">
        <v>456</v>
      </c>
      <c r="K103" s="105" t="s">
        <v>458</v>
      </c>
      <c r="L103" s="105" t="s">
        <v>456</v>
      </c>
      <c r="M103" s="101"/>
      <c r="N103" s="101"/>
      <c r="O103" s="102"/>
      <c r="P103" s="109" t="s">
        <v>621</v>
      </c>
    </row>
    <row r="104" spans="1:16" x14ac:dyDescent="0.25">
      <c r="A104" s="101"/>
      <c r="B104" s="101"/>
      <c r="C104" s="101"/>
      <c r="D104" s="101"/>
      <c r="E104" s="97" t="s">
        <v>459</v>
      </c>
      <c r="F104" s="97" t="s">
        <v>460</v>
      </c>
      <c r="G104" s="97" t="s">
        <v>460</v>
      </c>
      <c r="H104" s="97" t="s">
        <v>460</v>
      </c>
      <c r="I104" s="101"/>
      <c r="J104" s="101"/>
      <c r="K104" s="101"/>
      <c r="L104" s="101"/>
      <c r="M104" s="101"/>
      <c r="N104" s="101"/>
      <c r="O104" s="102"/>
      <c r="P104" s="109"/>
    </row>
    <row r="105" spans="1:16" x14ac:dyDescent="0.25">
      <c r="A105" s="101"/>
      <c r="B105" s="101"/>
      <c r="C105" s="101"/>
      <c r="D105" s="101"/>
      <c r="E105" s="97" t="s">
        <v>463</v>
      </c>
      <c r="F105" s="97" t="s">
        <v>460</v>
      </c>
      <c r="G105" s="97" t="s">
        <v>460</v>
      </c>
      <c r="H105" s="97" t="s">
        <v>460</v>
      </c>
      <c r="I105" s="101"/>
      <c r="J105" s="101"/>
      <c r="K105" s="101"/>
      <c r="L105" s="101"/>
      <c r="M105" s="101"/>
      <c r="N105" s="101"/>
      <c r="O105" s="102"/>
      <c r="P105" s="109"/>
    </row>
    <row r="106" spans="1:16" x14ac:dyDescent="0.25">
      <c r="A106" s="101"/>
      <c r="B106" s="101"/>
      <c r="C106" s="101"/>
      <c r="D106" s="101"/>
      <c r="E106" s="97" t="s">
        <v>464</v>
      </c>
      <c r="F106" s="97" t="s">
        <v>453</v>
      </c>
      <c r="G106" s="97" t="s">
        <v>453</v>
      </c>
      <c r="H106" s="97" t="s">
        <v>453</v>
      </c>
      <c r="I106" s="101"/>
      <c r="J106" s="101"/>
      <c r="K106" s="101"/>
      <c r="L106" s="101"/>
      <c r="M106" s="101"/>
      <c r="N106" s="101"/>
      <c r="O106" s="102"/>
      <c r="P106" s="109"/>
    </row>
    <row r="107" spans="1:16" x14ac:dyDescent="0.25">
      <c r="M107" s="101"/>
      <c r="N107" s="101"/>
      <c r="O107" s="102"/>
    </row>
    <row r="108" spans="1:16" x14ac:dyDescent="0.25">
      <c r="M108" s="101"/>
      <c r="N108" s="101"/>
      <c r="O108" s="102"/>
    </row>
    <row r="109" spans="1:16" x14ac:dyDescent="0.25">
      <c r="M109" s="101"/>
      <c r="N109" s="101"/>
      <c r="O109" s="102"/>
    </row>
    <row r="110" spans="1:16" x14ac:dyDescent="0.25">
      <c r="M110" s="101"/>
      <c r="N110" s="101"/>
      <c r="O110" s="102"/>
    </row>
    <row r="111" spans="1:16" x14ac:dyDescent="0.25">
      <c r="M111" s="101"/>
      <c r="N111" s="101"/>
      <c r="O111" s="102"/>
    </row>
    <row r="112" spans="1:16" x14ac:dyDescent="0.25">
      <c r="M112" s="101"/>
      <c r="N112" s="101"/>
      <c r="O112" s="102"/>
    </row>
    <row r="113" spans="13:15" x14ac:dyDescent="0.25">
      <c r="M113" s="101"/>
      <c r="N113" s="101"/>
      <c r="O113" s="102"/>
    </row>
    <row r="114" spans="13:15" x14ac:dyDescent="0.25">
      <c r="M114" s="101"/>
      <c r="N114" s="101"/>
      <c r="O114" s="102"/>
    </row>
    <row r="115" spans="13:15" x14ac:dyDescent="0.25">
      <c r="M115" s="101"/>
      <c r="N115" s="101"/>
      <c r="O115" s="102"/>
    </row>
    <row r="116" spans="13:15" x14ac:dyDescent="0.25">
      <c r="M116" s="101"/>
      <c r="N116" s="101"/>
      <c r="O116" s="102"/>
    </row>
    <row r="117" spans="13:15" x14ac:dyDescent="0.25">
      <c r="M117" s="101"/>
      <c r="N117" s="101"/>
      <c r="O117" s="102"/>
    </row>
    <row r="118" spans="13:15" x14ac:dyDescent="0.25">
      <c r="M118" s="101"/>
      <c r="N118" s="101"/>
      <c r="O118" s="102"/>
    </row>
  </sheetData>
  <mergeCells count="333">
    <mergeCell ref="K103:K106"/>
    <mergeCell ref="L103:L106"/>
    <mergeCell ref="A103:A106"/>
    <mergeCell ref="B103:B106"/>
    <mergeCell ref="C103:C106"/>
    <mergeCell ref="D103:D106"/>
    <mergeCell ref="I103:I106"/>
    <mergeCell ref="J103:J106"/>
    <mergeCell ref="K95:K98"/>
    <mergeCell ref="L95:L98"/>
    <mergeCell ref="A99:A102"/>
    <mergeCell ref="B99:B102"/>
    <mergeCell ref="C99:C102"/>
    <mergeCell ref="D99:D102"/>
    <mergeCell ref="I99:I102"/>
    <mergeCell ref="J99:J102"/>
    <mergeCell ref="K99:K102"/>
    <mergeCell ref="L99:L102"/>
    <mergeCell ref="A95:A98"/>
    <mergeCell ref="B95:B98"/>
    <mergeCell ref="C95:C98"/>
    <mergeCell ref="D95:D98"/>
    <mergeCell ref="I95:I98"/>
    <mergeCell ref="J95:J98"/>
    <mergeCell ref="K87:K90"/>
    <mergeCell ref="L87:L90"/>
    <mergeCell ref="A91:A94"/>
    <mergeCell ref="B91:B94"/>
    <mergeCell ref="C91:C94"/>
    <mergeCell ref="D91:D94"/>
    <mergeCell ref="I91:I94"/>
    <mergeCell ref="J91:J94"/>
    <mergeCell ref="K91:K94"/>
    <mergeCell ref="L91:L94"/>
    <mergeCell ref="A87:A90"/>
    <mergeCell ref="B87:B90"/>
    <mergeCell ref="C87:C90"/>
    <mergeCell ref="D87:D90"/>
    <mergeCell ref="I87:I90"/>
    <mergeCell ref="J87:J90"/>
    <mergeCell ref="K79:K82"/>
    <mergeCell ref="L79:L82"/>
    <mergeCell ref="A83:A86"/>
    <mergeCell ref="B83:B86"/>
    <mergeCell ref="C83:C86"/>
    <mergeCell ref="D83:D86"/>
    <mergeCell ref="I83:I86"/>
    <mergeCell ref="J83:J86"/>
    <mergeCell ref="K83:K86"/>
    <mergeCell ref="L83:L86"/>
    <mergeCell ref="A79:A82"/>
    <mergeCell ref="B79:B82"/>
    <mergeCell ref="C79:C82"/>
    <mergeCell ref="D79:D82"/>
    <mergeCell ref="I79:I82"/>
    <mergeCell ref="J79:J82"/>
    <mergeCell ref="K71:K74"/>
    <mergeCell ref="L71:L74"/>
    <mergeCell ref="A75:A78"/>
    <mergeCell ref="B75:B78"/>
    <mergeCell ref="C75:C78"/>
    <mergeCell ref="D75:D78"/>
    <mergeCell ref="I75:I78"/>
    <mergeCell ref="J75:J78"/>
    <mergeCell ref="K75:K78"/>
    <mergeCell ref="L75:L78"/>
    <mergeCell ref="A71:A74"/>
    <mergeCell ref="B71:B74"/>
    <mergeCell ref="C71:C74"/>
    <mergeCell ref="D71:D74"/>
    <mergeCell ref="I71:I74"/>
    <mergeCell ref="J71:J74"/>
    <mergeCell ref="K63:K66"/>
    <mergeCell ref="L63:L66"/>
    <mergeCell ref="A67:A70"/>
    <mergeCell ref="B67:B70"/>
    <mergeCell ref="C67:C70"/>
    <mergeCell ref="D67:D70"/>
    <mergeCell ref="I67:I70"/>
    <mergeCell ref="J67:J70"/>
    <mergeCell ref="K67:K70"/>
    <mergeCell ref="L67:L70"/>
    <mergeCell ref="A63:A66"/>
    <mergeCell ref="B63:B66"/>
    <mergeCell ref="C63:C66"/>
    <mergeCell ref="D63:D66"/>
    <mergeCell ref="I63:I66"/>
    <mergeCell ref="J63:J66"/>
    <mergeCell ref="K55:K58"/>
    <mergeCell ref="L55:L58"/>
    <mergeCell ref="A59:A62"/>
    <mergeCell ref="B59:B62"/>
    <mergeCell ref="C59:C62"/>
    <mergeCell ref="D59:D62"/>
    <mergeCell ref="I59:I62"/>
    <mergeCell ref="J59:J62"/>
    <mergeCell ref="K59:K62"/>
    <mergeCell ref="L59:L62"/>
    <mergeCell ref="A55:A58"/>
    <mergeCell ref="B55:B58"/>
    <mergeCell ref="C55:C58"/>
    <mergeCell ref="D55:D58"/>
    <mergeCell ref="I55:I58"/>
    <mergeCell ref="J55:J58"/>
    <mergeCell ref="K47:K50"/>
    <mergeCell ref="L47:L50"/>
    <mergeCell ref="A51:A54"/>
    <mergeCell ref="B51:B54"/>
    <mergeCell ref="C51:C54"/>
    <mergeCell ref="D51:D54"/>
    <mergeCell ref="I51:I54"/>
    <mergeCell ref="J51:J54"/>
    <mergeCell ref="K51:K54"/>
    <mergeCell ref="L51:L54"/>
    <mergeCell ref="A47:A50"/>
    <mergeCell ref="B47:B50"/>
    <mergeCell ref="C47:C50"/>
    <mergeCell ref="D47:D50"/>
    <mergeCell ref="I47:I50"/>
    <mergeCell ref="J47:J50"/>
    <mergeCell ref="K39:K42"/>
    <mergeCell ref="L39:L42"/>
    <mergeCell ref="A43:A46"/>
    <mergeCell ref="B43:B46"/>
    <mergeCell ref="C43:C46"/>
    <mergeCell ref="D43:D46"/>
    <mergeCell ref="I43:I46"/>
    <mergeCell ref="J43:J46"/>
    <mergeCell ref="K43:K46"/>
    <mergeCell ref="L43:L46"/>
    <mergeCell ref="A39:A42"/>
    <mergeCell ref="B39:B42"/>
    <mergeCell ref="C39:C42"/>
    <mergeCell ref="D39:D42"/>
    <mergeCell ref="I39:I42"/>
    <mergeCell ref="J39:J42"/>
    <mergeCell ref="K31:K34"/>
    <mergeCell ref="L31:L34"/>
    <mergeCell ref="A35:A38"/>
    <mergeCell ref="B35:B38"/>
    <mergeCell ref="C35:C38"/>
    <mergeCell ref="D35:D38"/>
    <mergeCell ref="I35:I38"/>
    <mergeCell ref="J35:J38"/>
    <mergeCell ref="K35:K38"/>
    <mergeCell ref="L35:L38"/>
    <mergeCell ref="A31:A34"/>
    <mergeCell ref="B31:B34"/>
    <mergeCell ref="C31:C34"/>
    <mergeCell ref="D31:D34"/>
    <mergeCell ref="I31:I34"/>
    <mergeCell ref="J31:J34"/>
    <mergeCell ref="K23:K26"/>
    <mergeCell ref="L23:L26"/>
    <mergeCell ref="A27:A30"/>
    <mergeCell ref="B27:B30"/>
    <mergeCell ref="C27:C30"/>
    <mergeCell ref="D27:D30"/>
    <mergeCell ref="I27:I30"/>
    <mergeCell ref="J27:J30"/>
    <mergeCell ref="K27:K30"/>
    <mergeCell ref="L27:L30"/>
    <mergeCell ref="A23:A26"/>
    <mergeCell ref="B23:B26"/>
    <mergeCell ref="C23:C26"/>
    <mergeCell ref="D23:D26"/>
    <mergeCell ref="I23:I26"/>
    <mergeCell ref="J23:J26"/>
    <mergeCell ref="K15:K18"/>
    <mergeCell ref="L15:L18"/>
    <mergeCell ref="A19:A22"/>
    <mergeCell ref="B19:B22"/>
    <mergeCell ref="C19:C22"/>
    <mergeCell ref="D19:D22"/>
    <mergeCell ref="I19:I22"/>
    <mergeCell ref="J19:J22"/>
    <mergeCell ref="K19:K22"/>
    <mergeCell ref="L19:L22"/>
    <mergeCell ref="A15:A18"/>
    <mergeCell ref="B15:B18"/>
    <mergeCell ref="C15:C18"/>
    <mergeCell ref="D15:D18"/>
    <mergeCell ref="I15:I18"/>
    <mergeCell ref="J15:J18"/>
    <mergeCell ref="J11:J14"/>
    <mergeCell ref="K11:K14"/>
    <mergeCell ref="L11:L14"/>
    <mergeCell ref="M11:M14"/>
    <mergeCell ref="N11:N14"/>
    <mergeCell ref="O11:O14"/>
    <mergeCell ref="K7:K10"/>
    <mergeCell ref="L7:L10"/>
    <mergeCell ref="M7:M10"/>
    <mergeCell ref="N7:N10"/>
    <mergeCell ref="O7:O10"/>
    <mergeCell ref="J7:J10"/>
    <mergeCell ref="A11:A14"/>
    <mergeCell ref="B11:B14"/>
    <mergeCell ref="C11:C14"/>
    <mergeCell ref="D11:D14"/>
    <mergeCell ref="I11:I14"/>
    <mergeCell ref="A7:A10"/>
    <mergeCell ref="B7:B10"/>
    <mergeCell ref="C7:C10"/>
    <mergeCell ref="D7:D10"/>
    <mergeCell ref="I7:I10"/>
    <mergeCell ref="J3:J6"/>
    <mergeCell ref="K3:K6"/>
    <mergeCell ref="L3:L6"/>
    <mergeCell ref="M3:M6"/>
    <mergeCell ref="N3:N6"/>
    <mergeCell ref="O3:O6"/>
    <mergeCell ref="I1:I2"/>
    <mergeCell ref="J1:L1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P1:P2"/>
    <mergeCell ref="P3:P6"/>
    <mergeCell ref="P7:P10"/>
    <mergeCell ref="P11:P14"/>
    <mergeCell ref="M15:M18"/>
    <mergeCell ref="N15:N18"/>
    <mergeCell ref="O15:O18"/>
    <mergeCell ref="P15:P18"/>
    <mergeCell ref="M19:M22"/>
    <mergeCell ref="N19:N22"/>
    <mergeCell ref="O19:O22"/>
    <mergeCell ref="P19:P22"/>
    <mergeCell ref="M23:M26"/>
    <mergeCell ref="N23:N26"/>
    <mergeCell ref="O23:O26"/>
    <mergeCell ref="P23:P26"/>
    <mergeCell ref="M27:M30"/>
    <mergeCell ref="N27:N30"/>
    <mergeCell ref="O27:O30"/>
    <mergeCell ref="P27:P30"/>
    <mergeCell ref="M31:M34"/>
    <mergeCell ref="N31:N34"/>
    <mergeCell ref="O31:O34"/>
    <mergeCell ref="P31:P34"/>
    <mergeCell ref="M35:M38"/>
    <mergeCell ref="N35:N38"/>
    <mergeCell ref="O35:O38"/>
    <mergeCell ref="P35:P38"/>
    <mergeCell ref="M39:M42"/>
    <mergeCell ref="N39:N42"/>
    <mergeCell ref="O39:O42"/>
    <mergeCell ref="P39:P42"/>
    <mergeCell ref="M43:M46"/>
    <mergeCell ref="N43:N46"/>
    <mergeCell ref="O43:O46"/>
    <mergeCell ref="P43:P46"/>
    <mergeCell ref="M47:M50"/>
    <mergeCell ref="N47:N50"/>
    <mergeCell ref="O47:O50"/>
    <mergeCell ref="P47:P50"/>
    <mergeCell ref="M51:M54"/>
    <mergeCell ref="N51:N54"/>
    <mergeCell ref="O51:O54"/>
    <mergeCell ref="P51:P54"/>
    <mergeCell ref="M55:M58"/>
    <mergeCell ref="N55:N58"/>
    <mergeCell ref="O55:O58"/>
    <mergeCell ref="P55:P58"/>
    <mergeCell ref="M59:M62"/>
    <mergeCell ref="N59:N62"/>
    <mergeCell ref="O59:O62"/>
    <mergeCell ref="P59:P62"/>
    <mergeCell ref="M63:M66"/>
    <mergeCell ref="N63:N66"/>
    <mergeCell ref="O63:O66"/>
    <mergeCell ref="P63:P66"/>
    <mergeCell ref="M67:M70"/>
    <mergeCell ref="N67:N70"/>
    <mergeCell ref="O67:O70"/>
    <mergeCell ref="P67:P70"/>
    <mergeCell ref="M71:M74"/>
    <mergeCell ref="N71:N74"/>
    <mergeCell ref="O71:O74"/>
    <mergeCell ref="P71:P74"/>
    <mergeCell ref="M75:M78"/>
    <mergeCell ref="N75:N78"/>
    <mergeCell ref="O75:O78"/>
    <mergeCell ref="P75:P78"/>
    <mergeCell ref="M79:M82"/>
    <mergeCell ref="N79:N82"/>
    <mergeCell ref="O79:O82"/>
    <mergeCell ref="P79:P82"/>
    <mergeCell ref="M83:M86"/>
    <mergeCell ref="N83:N86"/>
    <mergeCell ref="O83:O86"/>
    <mergeCell ref="P83:P86"/>
    <mergeCell ref="M87:M90"/>
    <mergeCell ref="N87:N90"/>
    <mergeCell ref="O87:O90"/>
    <mergeCell ref="P87:P90"/>
    <mergeCell ref="M91:M94"/>
    <mergeCell ref="N91:N94"/>
    <mergeCell ref="O91:O94"/>
    <mergeCell ref="P91:P94"/>
    <mergeCell ref="M95:M98"/>
    <mergeCell ref="N95:N98"/>
    <mergeCell ref="O95:O98"/>
    <mergeCell ref="P95:P98"/>
    <mergeCell ref="M99:M102"/>
    <mergeCell ref="N99:N102"/>
    <mergeCell ref="O99:O102"/>
    <mergeCell ref="P99:P102"/>
    <mergeCell ref="M103:M106"/>
    <mergeCell ref="N103:N106"/>
    <mergeCell ref="O103:O106"/>
    <mergeCell ref="P103:P106"/>
    <mergeCell ref="M107:M110"/>
    <mergeCell ref="N107:N110"/>
    <mergeCell ref="O107:O110"/>
    <mergeCell ref="M111:M114"/>
    <mergeCell ref="N111:N114"/>
    <mergeCell ref="O111:O114"/>
    <mergeCell ref="M115:M118"/>
    <mergeCell ref="N115:N118"/>
    <mergeCell ref="O115:O118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ageMargins left="0.7" right="0.7" top="0.75" bottom="0.75" header="0.3" footer="0.3"/>
  <drawing r:id="rId79"/>
  <legacyDrawing r:id="rId8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O106"/>
  <sheetViews>
    <sheetView workbookViewId="0">
      <selection activeCell="I94" sqref="I94"/>
    </sheetView>
  </sheetViews>
  <sheetFormatPr defaultRowHeight="16.5" x14ac:dyDescent="0.25"/>
  <sheetData>
    <row r="1" spans="1:15" x14ac:dyDescent="0.25">
      <c r="A1" t="s">
        <v>707</v>
      </c>
      <c r="B1" t="s">
        <v>740</v>
      </c>
      <c r="C1" t="s">
        <v>437</v>
      </c>
      <c r="D1" t="s">
        <v>727</v>
      </c>
      <c r="E1" t="s">
        <v>728</v>
      </c>
      <c r="F1" t="s">
        <v>728</v>
      </c>
      <c r="I1" t="s">
        <v>752</v>
      </c>
      <c r="J1" t="s">
        <v>729</v>
      </c>
      <c r="M1" t="s">
        <v>741</v>
      </c>
      <c r="N1" t="s">
        <v>730</v>
      </c>
      <c r="O1" t="s">
        <v>691</v>
      </c>
    </row>
    <row r="2" spans="1:15" x14ac:dyDescent="0.25">
      <c r="F2" t="s">
        <v>731</v>
      </c>
      <c r="G2" t="s">
        <v>706</v>
      </c>
      <c r="H2" t="s">
        <v>708</v>
      </c>
      <c r="J2" t="s">
        <v>445</v>
      </c>
      <c r="K2" t="s">
        <v>709</v>
      </c>
      <c r="L2" t="s">
        <v>447</v>
      </c>
    </row>
    <row r="3" spans="1:15" x14ac:dyDescent="0.25">
      <c r="A3" t="s">
        <v>697</v>
      </c>
      <c r="B3" t="s">
        <v>450</v>
      </c>
      <c r="C3">
        <v>30</v>
      </c>
      <c r="D3">
        <v>60</v>
      </c>
      <c r="E3" t="s">
        <v>692</v>
      </c>
      <c r="F3" t="s">
        <v>721</v>
      </c>
      <c r="G3" t="s">
        <v>712</v>
      </c>
      <c r="H3" t="s">
        <v>693</v>
      </c>
      <c r="I3" t="s">
        <v>695</v>
      </c>
      <c r="J3" t="s">
        <v>694</v>
      </c>
      <c r="K3" t="s">
        <v>722</v>
      </c>
      <c r="L3" t="s">
        <v>719</v>
      </c>
      <c r="O3" t="s">
        <v>714</v>
      </c>
    </row>
    <row r="4" spans="1:15" x14ac:dyDescent="0.25">
      <c r="E4" t="s">
        <v>717</v>
      </c>
      <c r="F4" t="s">
        <v>700</v>
      </c>
      <c r="G4" t="s">
        <v>696</v>
      </c>
      <c r="H4" t="s">
        <v>460</v>
      </c>
    </row>
    <row r="5" spans="1:15" x14ac:dyDescent="0.25">
      <c r="E5" t="s">
        <v>720</v>
      </c>
      <c r="F5" t="s">
        <v>715</v>
      </c>
      <c r="G5" t="s">
        <v>715</v>
      </c>
      <c r="H5" t="s">
        <v>715</v>
      </c>
    </row>
    <row r="6" spans="1:15" x14ac:dyDescent="0.25">
      <c r="E6" t="s">
        <v>726</v>
      </c>
      <c r="F6" t="s">
        <v>721</v>
      </c>
      <c r="G6" t="s">
        <v>704</v>
      </c>
      <c r="H6" t="s">
        <v>721</v>
      </c>
    </row>
    <row r="7" spans="1:15" x14ac:dyDescent="0.25">
      <c r="A7" t="s">
        <v>426</v>
      </c>
      <c r="B7" t="s">
        <v>732</v>
      </c>
      <c r="C7">
        <v>30</v>
      </c>
      <c r="D7">
        <v>60</v>
      </c>
      <c r="E7" t="s">
        <v>711</v>
      </c>
      <c r="F7" t="s">
        <v>668</v>
      </c>
      <c r="G7" t="s">
        <v>712</v>
      </c>
      <c r="H7" t="s">
        <v>661</v>
      </c>
      <c r="I7" t="s">
        <v>695</v>
      </c>
      <c r="J7" t="s">
        <v>694</v>
      </c>
      <c r="K7" t="s">
        <v>667</v>
      </c>
      <c r="L7" t="s">
        <v>753</v>
      </c>
      <c r="O7" t="s">
        <v>733</v>
      </c>
    </row>
    <row r="8" spans="1:15" x14ac:dyDescent="0.25">
      <c r="E8" t="s">
        <v>717</v>
      </c>
      <c r="F8" t="s">
        <v>715</v>
      </c>
      <c r="G8" t="s">
        <v>700</v>
      </c>
      <c r="H8" t="s">
        <v>715</v>
      </c>
    </row>
    <row r="9" spans="1:15" x14ac:dyDescent="0.25">
      <c r="E9" t="s">
        <v>720</v>
      </c>
      <c r="F9" t="s">
        <v>660</v>
      </c>
      <c r="G9" t="s">
        <v>660</v>
      </c>
      <c r="H9" t="s">
        <v>715</v>
      </c>
    </row>
    <row r="10" spans="1:15" x14ac:dyDescent="0.25">
      <c r="E10" t="s">
        <v>662</v>
      </c>
      <c r="F10" t="s">
        <v>718</v>
      </c>
      <c r="G10" t="s">
        <v>718</v>
      </c>
      <c r="H10" t="s">
        <v>712</v>
      </c>
    </row>
    <row r="11" spans="1:15" x14ac:dyDescent="0.25">
      <c r="A11" t="s">
        <v>426</v>
      </c>
      <c r="B11" t="s">
        <v>734</v>
      </c>
      <c r="C11">
        <v>30</v>
      </c>
      <c r="D11">
        <v>60</v>
      </c>
      <c r="E11" t="s">
        <v>711</v>
      </c>
      <c r="F11" t="s">
        <v>721</v>
      </c>
      <c r="G11" t="s">
        <v>718</v>
      </c>
      <c r="H11" t="s">
        <v>661</v>
      </c>
      <c r="I11" t="s">
        <v>664</v>
      </c>
      <c r="J11" t="s">
        <v>694</v>
      </c>
      <c r="K11" t="s">
        <v>667</v>
      </c>
      <c r="L11" t="s">
        <v>719</v>
      </c>
    </row>
    <row r="12" spans="1:15" x14ac:dyDescent="0.25">
      <c r="E12" t="s">
        <v>669</v>
      </c>
      <c r="F12" t="s">
        <v>715</v>
      </c>
      <c r="G12" t="s">
        <v>715</v>
      </c>
      <c r="H12" t="s">
        <v>715</v>
      </c>
    </row>
    <row r="13" spans="1:15" x14ac:dyDescent="0.25">
      <c r="E13" t="s">
        <v>720</v>
      </c>
      <c r="F13" t="s">
        <v>660</v>
      </c>
      <c r="G13" t="s">
        <v>660</v>
      </c>
      <c r="H13" t="s">
        <v>715</v>
      </c>
    </row>
    <row r="14" spans="1:15" x14ac:dyDescent="0.25">
      <c r="E14" t="s">
        <v>726</v>
      </c>
      <c r="F14" t="s">
        <v>666</v>
      </c>
      <c r="G14" t="s">
        <v>712</v>
      </c>
      <c r="H14" t="s">
        <v>666</v>
      </c>
    </row>
    <row r="15" spans="1:15" x14ac:dyDescent="0.25">
      <c r="A15" t="s">
        <v>710</v>
      </c>
      <c r="B15" t="s">
        <v>705</v>
      </c>
      <c r="C15">
        <v>30</v>
      </c>
      <c r="D15">
        <v>60</v>
      </c>
      <c r="E15" t="s">
        <v>754</v>
      </c>
      <c r="F15" t="s">
        <v>721</v>
      </c>
      <c r="G15" t="s">
        <v>666</v>
      </c>
      <c r="H15" t="s">
        <v>623</v>
      </c>
      <c r="I15" t="s">
        <v>664</v>
      </c>
      <c r="J15" t="s">
        <v>456</v>
      </c>
      <c r="K15" t="s">
        <v>722</v>
      </c>
      <c r="L15" t="s">
        <v>665</v>
      </c>
    </row>
    <row r="16" spans="1:15" x14ac:dyDescent="0.25">
      <c r="E16" t="s">
        <v>669</v>
      </c>
      <c r="F16" t="s">
        <v>715</v>
      </c>
      <c r="G16" t="s">
        <v>715</v>
      </c>
      <c r="H16" t="s">
        <v>715</v>
      </c>
    </row>
    <row r="17" spans="1:12" x14ac:dyDescent="0.25">
      <c r="E17" t="s">
        <v>720</v>
      </c>
      <c r="F17" t="s">
        <v>715</v>
      </c>
      <c r="G17" t="s">
        <v>696</v>
      </c>
      <c r="H17" t="s">
        <v>715</v>
      </c>
    </row>
    <row r="18" spans="1:12" x14ac:dyDescent="0.25">
      <c r="E18" t="s">
        <v>726</v>
      </c>
      <c r="F18" t="s">
        <v>712</v>
      </c>
      <c r="G18" t="s">
        <v>666</v>
      </c>
      <c r="H18" t="s">
        <v>666</v>
      </c>
    </row>
    <row r="19" spans="1:12" x14ac:dyDescent="0.25">
      <c r="A19" t="s">
        <v>663</v>
      </c>
      <c r="B19" t="s">
        <v>735</v>
      </c>
      <c r="C19">
        <v>30</v>
      </c>
      <c r="D19">
        <v>60</v>
      </c>
      <c r="E19" t="s">
        <v>711</v>
      </c>
      <c r="F19" t="s">
        <v>716</v>
      </c>
      <c r="G19" t="s">
        <v>712</v>
      </c>
      <c r="H19" t="s">
        <v>718</v>
      </c>
      <c r="I19" t="s">
        <v>664</v>
      </c>
      <c r="J19" t="s">
        <v>456</v>
      </c>
      <c r="K19" t="s">
        <v>722</v>
      </c>
      <c r="L19" t="s">
        <v>702</v>
      </c>
    </row>
    <row r="20" spans="1:12" x14ac:dyDescent="0.25">
      <c r="E20" t="s">
        <v>717</v>
      </c>
      <c r="F20" t="s">
        <v>660</v>
      </c>
      <c r="G20" t="s">
        <v>660</v>
      </c>
      <c r="H20" t="s">
        <v>715</v>
      </c>
    </row>
    <row r="21" spans="1:12" x14ac:dyDescent="0.25">
      <c r="E21" t="s">
        <v>670</v>
      </c>
      <c r="F21" t="s">
        <v>660</v>
      </c>
      <c r="G21" t="s">
        <v>715</v>
      </c>
      <c r="H21" t="s">
        <v>660</v>
      </c>
    </row>
    <row r="22" spans="1:12" x14ac:dyDescent="0.25">
      <c r="E22" t="s">
        <v>662</v>
      </c>
      <c r="F22" t="s">
        <v>666</v>
      </c>
      <c r="G22" t="s">
        <v>712</v>
      </c>
      <c r="H22" t="s">
        <v>666</v>
      </c>
    </row>
    <row r="23" spans="1:12" x14ac:dyDescent="0.25">
      <c r="A23" t="s">
        <v>663</v>
      </c>
      <c r="B23" t="s">
        <v>742</v>
      </c>
      <c r="C23">
        <v>30</v>
      </c>
      <c r="D23">
        <v>60</v>
      </c>
      <c r="E23" t="s">
        <v>671</v>
      </c>
      <c r="F23" t="s">
        <v>668</v>
      </c>
      <c r="G23" t="s">
        <v>712</v>
      </c>
      <c r="H23" t="s">
        <v>755</v>
      </c>
      <c r="I23" t="s">
        <v>713</v>
      </c>
      <c r="J23" t="s">
        <v>665</v>
      </c>
      <c r="K23" t="s">
        <v>722</v>
      </c>
      <c r="L23" t="s">
        <v>719</v>
      </c>
    </row>
    <row r="24" spans="1:12" x14ac:dyDescent="0.25">
      <c r="E24" t="s">
        <v>669</v>
      </c>
      <c r="F24" t="s">
        <v>660</v>
      </c>
      <c r="G24" t="s">
        <v>715</v>
      </c>
      <c r="H24" t="s">
        <v>660</v>
      </c>
    </row>
    <row r="25" spans="1:12" x14ac:dyDescent="0.25">
      <c r="E25" t="s">
        <v>720</v>
      </c>
      <c r="F25" t="s">
        <v>715</v>
      </c>
      <c r="G25" t="s">
        <v>660</v>
      </c>
      <c r="H25" t="s">
        <v>460</v>
      </c>
    </row>
    <row r="26" spans="1:12" x14ac:dyDescent="0.25">
      <c r="E26" t="s">
        <v>662</v>
      </c>
      <c r="F26" t="s">
        <v>661</v>
      </c>
      <c r="G26" t="s">
        <v>668</v>
      </c>
      <c r="H26" t="s">
        <v>661</v>
      </c>
    </row>
    <row r="27" spans="1:12" x14ac:dyDescent="0.25">
      <c r="A27" t="s">
        <v>663</v>
      </c>
      <c r="B27" t="s">
        <v>756</v>
      </c>
      <c r="C27">
        <v>50</v>
      </c>
      <c r="D27">
        <v>70</v>
      </c>
      <c r="E27" t="s">
        <v>711</v>
      </c>
      <c r="F27" t="s">
        <v>725</v>
      </c>
      <c r="G27" t="s">
        <v>673</v>
      </c>
      <c r="H27" t="s">
        <v>751</v>
      </c>
      <c r="I27" t="s">
        <v>660</v>
      </c>
      <c r="J27" t="s">
        <v>719</v>
      </c>
      <c r="K27" t="s">
        <v>667</v>
      </c>
      <c r="L27" t="s">
        <v>665</v>
      </c>
    </row>
    <row r="28" spans="1:12" x14ac:dyDescent="0.25">
      <c r="E28" t="s">
        <v>717</v>
      </c>
      <c r="F28" t="s">
        <v>715</v>
      </c>
      <c r="G28" t="s">
        <v>715</v>
      </c>
      <c r="H28" t="s">
        <v>676</v>
      </c>
    </row>
    <row r="29" spans="1:12" x14ac:dyDescent="0.25">
      <c r="E29" t="s">
        <v>670</v>
      </c>
      <c r="F29" t="s">
        <v>715</v>
      </c>
      <c r="G29" t="s">
        <v>673</v>
      </c>
      <c r="H29" t="s">
        <v>660</v>
      </c>
    </row>
    <row r="30" spans="1:12" x14ac:dyDescent="0.25">
      <c r="E30" t="s">
        <v>662</v>
      </c>
      <c r="F30" t="s">
        <v>674</v>
      </c>
      <c r="G30" t="s">
        <v>672</v>
      </c>
      <c r="H30" t="s">
        <v>674</v>
      </c>
    </row>
    <row r="31" spans="1:12" x14ac:dyDescent="0.25">
      <c r="A31" t="s">
        <v>663</v>
      </c>
      <c r="B31" t="s">
        <v>675</v>
      </c>
      <c r="C31">
        <v>50</v>
      </c>
      <c r="D31">
        <v>70</v>
      </c>
      <c r="E31" t="s">
        <v>711</v>
      </c>
      <c r="F31" t="s">
        <v>698</v>
      </c>
      <c r="G31" t="s">
        <v>673</v>
      </c>
      <c r="H31" t="s">
        <v>672</v>
      </c>
      <c r="I31" t="s">
        <v>715</v>
      </c>
      <c r="J31" t="s">
        <v>719</v>
      </c>
      <c r="K31" t="s">
        <v>667</v>
      </c>
      <c r="L31" t="s">
        <v>665</v>
      </c>
    </row>
    <row r="32" spans="1:12" x14ac:dyDescent="0.25">
      <c r="E32" t="s">
        <v>669</v>
      </c>
      <c r="F32" t="s">
        <v>460</v>
      </c>
      <c r="G32" t="s">
        <v>660</v>
      </c>
      <c r="H32" t="s">
        <v>715</v>
      </c>
    </row>
    <row r="33" spans="1:12" x14ac:dyDescent="0.25">
      <c r="E33" t="s">
        <v>670</v>
      </c>
      <c r="F33" t="s">
        <v>660</v>
      </c>
      <c r="G33" t="s">
        <v>660</v>
      </c>
      <c r="H33" t="s">
        <v>660</v>
      </c>
    </row>
    <row r="34" spans="1:12" x14ac:dyDescent="0.25">
      <c r="E34" t="s">
        <v>726</v>
      </c>
      <c r="F34" t="s">
        <v>674</v>
      </c>
      <c r="G34" t="s">
        <v>672</v>
      </c>
      <c r="H34" t="s">
        <v>674</v>
      </c>
    </row>
    <row r="35" spans="1:12" x14ac:dyDescent="0.25">
      <c r="A35" t="s">
        <v>663</v>
      </c>
      <c r="B35" t="s">
        <v>703</v>
      </c>
      <c r="C35">
        <v>50</v>
      </c>
      <c r="D35">
        <v>70</v>
      </c>
      <c r="E35" t="s">
        <v>711</v>
      </c>
      <c r="F35" t="s">
        <v>699</v>
      </c>
      <c r="G35" t="s">
        <v>673</v>
      </c>
      <c r="H35" t="s">
        <v>725</v>
      </c>
      <c r="I35" t="s">
        <v>660</v>
      </c>
      <c r="J35" t="s">
        <v>665</v>
      </c>
      <c r="K35" t="s">
        <v>667</v>
      </c>
      <c r="L35" t="s">
        <v>665</v>
      </c>
    </row>
    <row r="36" spans="1:12" x14ac:dyDescent="0.25">
      <c r="E36" t="s">
        <v>717</v>
      </c>
      <c r="F36" t="s">
        <v>676</v>
      </c>
      <c r="G36" t="s">
        <v>660</v>
      </c>
      <c r="H36" t="s">
        <v>715</v>
      </c>
    </row>
    <row r="37" spans="1:12" x14ac:dyDescent="0.25">
      <c r="E37" t="s">
        <v>670</v>
      </c>
      <c r="F37" t="s">
        <v>660</v>
      </c>
      <c r="G37" t="s">
        <v>715</v>
      </c>
      <c r="H37" t="s">
        <v>660</v>
      </c>
    </row>
    <row r="38" spans="1:12" x14ac:dyDescent="0.25">
      <c r="E38" t="s">
        <v>662</v>
      </c>
      <c r="F38" t="s">
        <v>674</v>
      </c>
      <c r="G38" t="s">
        <v>672</v>
      </c>
      <c r="H38" t="s">
        <v>674</v>
      </c>
    </row>
    <row r="39" spans="1:12" x14ac:dyDescent="0.25">
      <c r="A39" t="s">
        <v>663</v>
      </c>
      <c r="B39" t="s">
        <v>757</v>
      </c>
      <c r="C39">
        <v>50</v>
      </c>
      <c r="D39">
        <v>70</v>
      </c>
      <c r="E39" t="s">
        <v>711</v>
      </c>
      <c r="F39" t="s">
        <v>672</v>
      </c>
      <c r="G39" t="s">
        <v>724</v>
      </c>
      <c r="H39" t="s">
        <v>672</v>
      </c>
      <c r="I39" t="s">
        <v>660</v>
      </c>
      <c r="J39" t="s">
        <v>665</v>
      </c>
      <c r="K39" t="s">
        <v>667</v>
      </c>
      <c r="L39" t="s">
        <v>719</v>
      </c>
    </row>
    <row r="40" spans="1:12" x14ac:dyDescent="0.25">
      <c r="E40" t="s">
        <v>717</v>
      </c>
      <c r="F40" t="s">
        <v>743</v>
      </c>
      <c r="G40" t="s">
        <v>660</v>
      </c>
      <c r="H40" t="s">
        <v>715</v>
      </c>
    </row>
    <row r="41" spans="1:12" x14ac:dyDescent="0.25">
      <c r="E41" t="s">
        <v>670</v>
      </c>
      <c r="F41" t="s">
        <v>660</v>
      </c>
      <c r="G41" t="s">
        <v>676</v>
      </c>
      <c r="H41" t="s">
        <v>660</v>
      </c>
    </row>
    <row r="42" spans="1:12" x14ac:dyDescent="0.25">
      <c r="E42" t="s">
        <v>662</v>
      </c>
      <c r="F42" t="s">
        <v>723</v>
      </c>
      <c r="G42" t="s">
        <v>698</v>
      </c>
      <c r="H42" t="s">
        <v>723</v>
      </c>
    </row>
    <row r="43" spans="1:12" x14ac:dyDescent="0.25">
      <c r="A43" t="s">
        <v>663</v>
      </c>
      <c r="B43" t="s">
        <v>677</v>
      </c>
      <c r="C43">
        <v>30</v>
      </c>
      <c r="D43">
        <v>60</v>
      </c>
      <c r="E43" t="s">
        <v>671</v>
      </c>
      <c r="F43" t="s">
        <v>668</v>
      </c>
      <c r="G43" t="s">
        <v>666</v>
      </c>
      <c r="H43" t="s">
        <v>668</v>
      </c>
      <c r="I43" t="s">
        <v>664</v>
      </c>
      <c r="J43" t="s">
        <v>665</v>
      </c>
      <c r="K43" t="s">
        <v>667</v>
      </c>
      <c r="L43" t="s">
        <v>665</v>
      </c>
    </row>
    <row r="44" spans="1:12" x14ac:dyDescent="0.25">
      <c r="E44" t="s">
        <v>669</v>
      </c>
      <c r="F44" t="s">
        <v>660</v>
      </c>
      <c r="G44" t="s">
        <v>660</v>
      </c>
      <c r="H44" t="s">
        <v>715</v>
      </c>
    </row>
    <row r="45" spans="1:12" x14ac:dyDescent="0.25">
      <c r="E45" t="s">
        <v>670</v>
      </c>
      <c r="F45" t="s">
        <v>660</v>
      </c>
      <c r="G45" t="s">
        <v>660</v>
      </c>
      <c r="H45" t="s">
        <v>660</v>
      </c>
    </row>
    <row r="46" spans="1:12" x14ac:dyDescent="0.25">
      <c r="E46" t="s">
        <v>726</v>
      </c>
      <c r="F46" t="s">
        <v>661</v>
      </c>
      <c r="G46" t="s">
        <v>668</v>
      </c>
      <c r="H46" t="s">
        <v>661</v>
      </c>
    </row>
    <row r="47" spans="1:12" x14ac:dyDescent="0.25">
      <c r="A47" t="s">
        <v>663</v>
      </c>
      <c r="B47" t="s">
        <v>678</v>
      </c>
      <c r="C47">
        <v>30</v>
      </c>
      <c r="D47">
        <v>60</v>
      </c>
      <c r="E47" t="s">
        <v>451</v>
      </c>
      <c r="F47" t="s">
        <v>716</v>
      </c>
      <c r="G47" t="s">
        <v>712</v>
      </c>
      <c r="H47" t="s">
        <v>716</v>
      </c>
      <c r="I47" t="s">
        <v>664</v>
      </c>
      <c r="J47" t="s">
        <v>665</v>
      </c>
      <c r="K47" t="s">
        <v>667</v>
      </c>
      <c r="L47" t="s">
        <v>665</v>
      </c>
    </row>
    <row r="48" spans="1:12" x14ac:dyDescent="0.25">
      <c r="E48" t="s">
        <v>717</v>
      </c>
      <c r="F48" t="s">
        <v>715</v>
      </c>
      <c r="G48" t="s">
        <v>715</v>
      </c>
      <c r="H48" t="s">
        <v>660</v>
      </c>
    </row>
    <row r="49" spans="1:12" x14ac:dyDescent="0.25">
      <c r="E49" t="s">
        <v>670</v>
      </c>
      <c r="F49" t="s">
        <v>715</v>
      </c>
      <c r="G49" t="s">
        <v>660</v>
      </c>
      <c r="H49" t="s">
        <v>660</v>
      </c>
    </row>
    <row r="50" spans="1:12" x14ac:dyDescent="0.25">
      <c r="E50" t="s">
        <v>662</v>
      </c>
      <c r="F50" t="s">
        <v>712</v>
      </c>
      <c r="G50" t="s">
        <v>666</v>
      </c>
      <c r="H50" t="s">
        <v>666</v>
      </c>
    </row>
    <row r="51" spans="1:12" x14ac:dyDescent="0.25">
      <c r="A51" t="s">
        <v>663</v>
      </c>
      <c r="B51" t="s">
        <v>679</v>
      </c>
      <c r="C51">
        <v>30</v>
      </c>
      <c r="D51">
        <v>60</v>
      </c>
      <c r="E51" t="s">
        <v>671</v>
      </c>
      <c r="F51" t="s">
        <v>721</v>
      </c>
      <c r="G51" t="s">
        <v>666</v>
      </c>
      <c r="H51" t="s">
        <v>661</v>
      </c>
      <c r="I51" t="s">
        <v>664</v>
      </c>
      <c r="J51" t="s">
        <v>665</v>
      </c>
      <c r="K51" t="s">
        <v>667</v>
      </c>
      <c r="L51" t="s">
        <v>665</v>
      </c>
    </row>
    <row r="52" spans="1:12" x14ac:dyDescent="0.25">
      <c r="E52" t="s">
        <v>669</v>
      </c>
      <c r="F52" t="s">
        <v>660</v>
      </c>
      <c r="G52" t="s">
        <v>660</v>
      </c>
      <c r="H52" t="s">
        <v>660</v>
      </c>
    </row>
    <row r="53" spans="1:12" x14ac:dyDescent="0.25">
      <c r="E53" t="s">
        <v>670</v>
      </c>
      <c r="F53" t="s">
        <v>660</v>
      </c>
      <c r="G53" t="s">
        <v>660</v>
      </c>
      <c r="H53" t="s">
        <v>660</v>
      </c>
    </row>
    <row r="54" spans="1:12" x14ac:dyDescent="0.25">
      <c r="E54" t="s">
        <v>662</v>
      </c>
      <c r="F54" t="s">
        <v>666</v>
      </c>
      <c r="G54" t="s">
        <v>666</v>
      </c>
      <c r="H54" t="s">
        <v>666</v>
      </c>
    </row>
    <row r="55" spans="1:12" x14ac:dyDescent="0.25">
      <c r="A55" t="s">
        <v>663</v>
      </c>
      <c r="B55" t="s">
        <v>701</v>
      </c>
      <c r="C55">
        <v>30</v>
      </c>
      <c r="D55">
        <v>60</v>
      </c>
      <c r="E55" t="s">
        <v>671</v>
      </c>
      <c r="F55" t="s">
        <v>721</v>
      </c>
      <c r="G55" t="s">
        <v>666</v>
      </c>
      <c r="H55" t="s">
        <v>721</v>
      </c>
      <c r="I55" t="s">
        <v>664</v>
      </c>
      <c r="J55" t="s">
        <v>665</v>
      </c>
      <c r="K55" t="s">
        <v>667</v>
      </c>
      <c r="L55" t="s">
        <v>719</v>
      </c>
    </row>
    <row r="56" spans="1:12" x14ac:dyDescent="0.25">
      <c r="E56" t="s">
        <v>669</v>
      </c>
      <c r="F56" t="s">
        <v>660</v>
      </c>
      <c r="G56" t="s">
        <v>715</v>
      </c>
      <c r="H56" t="s">
        <v>715</v>
      </c>
    </row>
    <row r="57" spans="1:12" x14ac:dyDescent="0.25">
      <c r="E57" t="s">
        <v>670</v>
      </c>
      <c r="F57" t="s">
        <v>660</v>
      </c>
      <c r="G57" t="s">
        <v>660</v>
      </c>
      <c r="H57" t="s">
        <v>660</v>
      </c>
    </row>
    <row r="58" spans="1:12" x14ac:dyDescent="0.25">
      <c r="E58" t="s">
        <v>726</v>
      </c>
      <c r="F58" t="s">
        <v>666</v>
      </c>
      <c r="G58" t="s">
        <v>666</v>
      </c>
      <c r="H58" t="s">
        <v>712</v>
      </c>
    </row>
    <row r="59" spans="1:12" x14ac:dyDescent="0.25">
      <c r="A59" t="s">
        <v>663</v>
      </c>
      <c r="B59" t="s">
        <v>680</v>
      </c>
      <c r="C59">
        <v>30</v>
      </c>
      <c r="D59">
        <v>60</v>
      </c>
      <c r="E59" t="s">
        <v>711</v>
      </c>
      <c r="F59" t="s">
        <v>661</v>
      </c>
      <c r="G59" t="s">
        <v>666</v>
      </c>
      <c r="H59" t="s">
        <v>668</v>
      </c>
      <c r="I59" t="s">
        <v>664</v>
      </c>
      <c r="J59" t="s">
        <v>665</v>
      </c>
      <c r="K59" t="s">
        <v>458</v>
      </c>
      <c r="L59" t="s">
        <v>665</v>
      </c>
    </row>
    <row r="60" spans="1:12" x14ac:dyDescent="0.25">
      <c r="E60" t="s">
        <v>669</v>
      </c>
      <c r="F60" t="s">
        <v>715</v>
      </c>
      <c r="G60" t="s">
        <v>660</v>
      </c>
      <c r="H60" t="s">
        <v>660</v>
      </c>
    </row>
    <row r="61" spans="1:12" x14ac:dyDescent="0.25">
      <c r="E61" t="s">
        <v>720</v>
      </c>
      <c r="F61" t="s">
        <v>660</v>
      </c>
      <c r="G61" t="s">
        <v>660</v>
      </c>
      <c r="H61" t="s">
        <v>715</v>
      </c>
    </row>
    <row r="62" spans="1:12" x14ac:dyDescent="0.25">
      <c r="E62" t="s">
        <v>662</v>
      </c>
      <c r="F62" t="s">
        <v>666</v>
      </c>
      <c r="G62" t="s">
        <v>712</v>
      </c>
      <c r="H62" t="s">
        <v>666</v>
      </c>
    </row>
    <row r="63" spans="1:12" x14ac:dyDescent="0.25">
      <c r="A63" t="s">
        <v>663</v>
      </c>
      <c r="B63" t="s">
        <v>681</v>
      </c>
      <c r="C63">
        <v>30</v>
      </c>
      <c r="D63">
        <v>60</v>
      </c>
      <c r="E63" t="s">
        <v>671</v>
      </c>
      <c r="F63" t="s">
        <v>716</v>
      </c>
      <c r="G63" t="s">
        <v>666</v>
      </c>
      <c r="H63" t="s">
        <v>668</v>
      </c>
      <c r="I63" t="s">
        <v>664</v>
      </c>
      <c r="J63" t="s">
        <v>665</v>
      </c>
      <c r="K63" t="s">
        <v>667</v>
      </c>
      <c r="L63" t="s">
        <v>665</v>
      </c>
    </row>
    <row r="64" spans="1:12" x14ac:dyDescent="0.25">
      <c r="E64" t="s">
        <v>669</v>
      </c>
      <c r="F64" t="s">
        <v>715</v>
      </c>
      <c r="G64" t="s">
        <v>660</v>
      </c>
      <c r="H64" t="s">
        <v>660</v>
      </c>
    </row>
    <row r="65" spans="1:12" x14ac:dyDescent="0.25">
      <c r="E65" t="s">
        <v>670</v>
      </c>
      <c r="F65" t="s">
        <v>660</v>
      </c>
      <c r="G65" t="s">
        <v>660</v>
      </c>
      <c r="H65" t="s">
        <v>660</v>
      </c>
    </row>
    <row r="66" spans="1:12" x14ac:dyDescent="0.25">
      <c r="E66" t="s">
        <v>662</v>
      </c>
      <c r="F66" t="s">
        <v>661</v>
      </c>
      <c r="G66" t="s">
        <v>668</v>
      </c>
      <c r="H66" t="s">
        <v>661</v>
      </c>
    </row>
    <row r="67" spans="1:12" x14ac:dyDescent="0.25">
      <c r="A67" t="s">
        <v>663</v>
      </c>
      <c r="B67" t="s">
        <v>682</v>
      </c>
      <c r="C67">
        <v>30</v>
      </c>
      <c r="D67">
        <v>60</v>
      </c>
      <c r="E67" t="s">
        <v>671</v>
      </c>
      <c r="F67" t="s">
        <v>661</v>
      </c>
      <c r="G67" t="s">
        <v>666</v>
      </c>
      <c r="H67" t="s">
        <v>661</v>
      </c>
      <c r="I67" t="s">
        <v>664</v>
      </c>
      <c r="J67" t="s">
        <v>665</v>
      </c>
      <c r="K67" t="s">
        <v>667</v>
      </c>
      <c r="L67" t="s">
        <v>665</v>
      </c>
    </row>
    <row r="68" spans="1:12" x14ac:dyDescent="0.25">
      <c r="E68" t="s">
        <v>717</v>
      </c>
      <c r="F68" t="s">
        <v>715</v>
      </c>
      <c r="G68" t="s">
        <v>715</v>
      </c>
      <c r="H68" t="s">
        <v>660</v>
      </c>
    </row>
    <row r="69" spans="1:12" x14ac:dyDescent="0.25">
      <c r="E69" t="s">
        <v>670</v>
      </c>
      <c r="F69" t="s">
        <v>660</v>
      </c>
      <c r="G69" t="s">
        <v>660</v>
      </c>
      <c r="H69" t="s">
        <v>715</v>
      </c>
    </row>
    <row r="70" spans="1:12" x14ac:dyDescent="0.25">
      <c r="E70" t="s">
        <v>662</v>
      </c>
      <c r="F70" t="s">
        <v>666</v>
      </c>
      <c r="G70" t="s">
        <v>666</v>
      </c>
      <c r="H70" t="s">
        <v>712</v>
      </c>
    </row>
    <row r="71" spans="1:12" x14ac:dyDescent="0.25">
      <c r="A71" t="s">
        <v>663</v>
      </c>
      <c r="B71" t="s">
        <v>683</v>
      </c>
      <c r="C71">
        <v>30</v>
      </c>
      <c r="D71">
        <v>60</v>
      </c>
      <c r="E71" t="s">
        <v>711</v>
      </c>
      <c r="F71" t="s">
        <v>661</v>
      </c>
      <c r="G71" t="s">
        <v>666</v>
      </c>
      <c r="H71" t="s">
        <v>721</v>
      </c>
      <c r="I71" t="s">
        <v>664</v>
      </c>
      <c r="J71" t="s">
        <v>665</v>
      </c>
      <c r="K71" t="s">
        <v>722</v>
      </c>
      <c r="L71" t="s">
        <v>719</v>
      </c>
    </row>
    <row r="72" spans="1:12" x14ac:dyDescent="0.25">
      <c r="E72" t="s">
        <v>669</v>
      </c>
      <c r="F72" t="s">
        <v>660</v>
      </c>
      <c r="G72" t="s">
        <v>660</v>
      </c>
      <c r="H72" t="s">
        <v>660</v>
      </c>
    </row>
    <row r="73" spans="1:12" x14ac:dyDescent="0.25">
      <c r="E73" t="s">
        <v>670</v>
      </c>
      <c r="F73" t="s">
        <v>715</v>
      </c>
      <c r="G73" t="s">
        <v>660</v>
      </c>
      <c r="H73" t="s">
        <v>660</v>
      </c>
    </row>
    <row r="74" spans="1:12" x14ac:dyDescent="0.25">
      <c r="E74" t="s">
        <v>662</v>
      </c>
      <c r="F74" t="s">
        <v>666</v>
      </c>
      <c r="G74" t="s">
        <v>666</v>
      </c>
      <c r="H74" t="s">
        <v>666</v>
      </c>
    </row>
    <row r="75" spans="1:12" x14ac:dyDescent="0.25">
      <c r="A75" t="s">
        <v>663</v>
      </c>
      <c r="B75" t="s">
        <v>736</v>
      </c>
      <c r="C75">
        <v>30</v>
      </c>
      <c r="D75">
        <v>60</v>
      </c>
      <c r="E75" t="s">
        <v>671</v>
      </c>
      <c r="F75" t="s">
        <v>661</v>
      </c>
      <c r="G75" t="s">
        <v>712</v>
      </c>
      <c r="H75" t="s">
        <v>661</v>
      </c>
      <c r="I75" t="s">
        <v>660</v>
      </c>
      <c r="J75" t="s">
        <v>719</v>
      </c>
      <c r="K75" t="s">
        <v>667</v>
      </c>
      <c r="L75" t="s">
        <v>665</v>
      </c>
    </row>
    <row r="76" spans="1:12" x14ac:dyDescent="0.25">
      <c r="E76" t="s">
        <v>669</v>
      </c>
      <c r="F76" t="s">
        <v>660</v>
      </c>
      <c r="G76" t="s">
        <v>715</v>
      </c>
      <c r="H76" t="s">
        <v>715</v>
      </c>
    </row>
    <row r="77" spans="1:12" x14ac:dyDescent="0.25">
      <c r="E77" t="s">
        <v>670</v>
      </c>
      <c r="F77" t="s">
        <v>660</v>
      </c>
      <c r="G77" t="s">
        <v>660</v>
      </c>
      <c r="H77" t="s">
        <v>660</v>
      </c>
    </row>
    <row r="78" spans="1:12" x14ac:dyDescent="0.25">
      <c r="E78" t="s">
        <v>662</v>
      </c>
      <c r="F78" t="s">
        <v>666</v>
      </c>
      <c r="G78" t="s">
        <v>661</v>
      </c>
      <c r="H78" t="s">
        <v>712</v>
      </c>
    </row>
    <row r="79" spans="1:12" x14ac:dyDescent="0.25">
      <c r="A79" t="s">
        <v>663</v>
      </c>
      <c r="B79" t="s">
        <v>684</v>
      </c>
      <c r="C79">
        <v>30</v>
      </c>
      <c r="D79">
        <v>60</v>
      </c>
      <c r="E79" t="s">
        <v>671</v>
      </c>
      <c r="F79" t="s">
        <v>661</v>
      </c>
      <c r="G79" t="s">
        <v>666</v>
      </c>
      <c r="H79" t="s">
        <v>661</v>
      </c>
      <c r="I79" t="s">
        <v>660</v>
      </c>
      <c r="J79" t="s">
        <v>665</v>
      </c>
      <c r="K79" t="s">
        <v>667</v>
      </c>
      <c r="L79" t="s">
        <v>665</v>
      </c>
    </row>
    <row r="80" spans="1:12" x14ac:dyDescent="0.25">
      <c r="E80" t="s">
        <v>669</v>
      </c>
      <c r="F80" t="s">
        <v>660</v>
      </c>
      <c r="G80" t="s">
        <v>660</v>
      </c>
      <c r="H80" t="s">
        <v>715</v>
      </c>
    </row>
    <row r="81" spans="1:12" x14ac:dyDescent="0.25">
      <c r="E81" t="s">
        <v>720</v>
      </c>
      <c r="F81" t="s">
        <v>660</v>
      </c>
      <c r="G81" t="s">
        <v>660</v>
      </c>
      <c r="H81" t="s">
        <v>715</v>
      </c>
    </row>
    <row r="82" spans="1:12" x14ac:dyDescent="0.25">
      <c r="E82" t="s">
        <v>662</v>
      </c>
      <c r="F82" t="s">
        <v>666</v>
      </c>
      <c r="G82" t="s">
        <v>661</v>
      </c>
      <c r="H82" t="s">
        <v>666</v>
      </c>
    </row>
    <row r="83" spans="1:12" x14ac:dyDescent="0.25">
      <c r="A83" t="s">
        <v>710</v>
      </c>
      <c r="B83" t="s">
        <v>685</v>
      </c>
      <c r="C83">
        <v>30</v>
      </c>
      <c r="D83">
        <v>60</v>
      </c>
      <c r="E83" t="s">
        <v>671</v>
      </c>
      <c r="F83" t="s">
        <v>721</v>
      </c>
      <c r="G83" t="s">
        <v>666</v>
      </c>
      <c r="H83" t="s">
        <v>721</v>
      </c>
      <c r="I83" t="s">
        <v>660</v>
      </c>
      <c r="J83" t="s">
        <v>665</v>
      </c>
      <c r="K83" t="s">
        <v>667</v>
      </c>
      <c r="L83" t="s">
        <v>719</v>
      </c>
    </row>
    <row r="84" spans="1:12" x14ac:dyDescent="0.25">
      <c r="E84" t="s">
        <v>669</v>
      </c>
      <c r="F84" t="s">
        <v>660</v>
      </c>
      <c r="G84" t="s">
        <v>660</v>
      </c>
      <c r="H84" t="s">
        <v>660</v>
      </c>
    </row>
    <row r="85" spans="1:12" x14ac:dyDescent="0.25">
      <c r="E85" t="s">
        <v>670</v>
      </c>
      <c r="F85" t="s">
        <v>660</v>
      </c>
      <c r="G85" t="s">
        <v>660</v>
      </c>
      <c r="H85" t="s">
        <v>660</v>
      </c>
    </row>
    <row r="86" spans="1:12" x14ac:dyDescent="0.25">
      <c r="E86" t="s">
        <v>662</v>
      </c>
      <c r="F86" t="s">
        <v>666</v>
      </c>
      <c r="G86" t="s">
        <v>661</v>
      </c>
      <c r="H86" t="s">
        <v>666</v>
      </c>
    </row>
    <row r="87" spans="1:12" x14ac:dyDescent="0.25">
      <c r="A87" t="s">
        <v>663</v>
      </c>
      <c r="B87" t="s">
        <v>686</v>
      </c>
      <c r="C87">
        <v>30</v>
      </c>
      <c r="D87">
        <v>60</v>
      </c>
      <c r="E87" t="s">
        <v>671</v>
      </c>
      <c r="F87" t="s">
        <v>721</v>
      </c>
      <c r="G87" t="s">
        <v>666</v>
      </c>
      <c r="H87" t="s">
        <v>661</v>
      </c>
      <c r="I87" t="s">
        <v>460</v>
      </c>
      <c r="J87" t="s">
        <v>665</v>
      </c>
      <c r="K87" t="s">
        <v>667</v>
      </c>
      <c r="L87" t="s">
        <v>719</v>
      </c>
    </row>
    <row r="88" spans="1:12" x14ac:dyDescent="0.25">
      <c r="E88" t="s">
        <v>669</v>
      </c>
      <c r="F88" t="s">
        <v>660</v>
      </c>
      <c r="G88" t="s">
        <v>660</v>
      </c>
      <c r="H88" t="s">
        <v>660</v>
      </c>
    </row>
    <row r="89" spans="1:12" x14ac:dyDescent="0.25">
      <c r="E89" t="s">
        <v>670</v>
      </c>
      <c r="F89" t="s">
        <v>660</v>
      </c>
      <c r="G89" t="s">
        <v>660</v>
      </c>
      <c r="H89" t="s">
        <v>660</v>
      </c>
    </row>
    <row r="90" spans="1:12" x14ac:dyDescent="0.25">
      <c r="E90" t="s">
        <v>662</v>
      </c>
      <c r="F90" t="s">
        <v>666</v>
      </c>
      <c r="G90" t="s">
        <v>661</v>
      </c>
      <c r="H90" t="s">
        <v>666</v>
      </c>
    </row>
    <row r="91" spans="1:12" x14ac:dyDescent="0.25">
      <c r="A91" t="s">
        <v>663</v>
      </c>
      <c r="B91" t="s">
        <v>687</v>
      </c>
      <c r="C91">
        <v>30</v>
      </c>
      <c r="D91">
        <v>60</v>
      </c>
      <c r="E91" t="s">
        <v>711</v>
      </c>
      <c r="F91" t="s">
        <v>661</v>
      </c>
      <c r="G91" t="s">
        <v>666</v>
      </c>
      <c r="H91" t="s">
        <v>661</v>
      </c>
      <c r="I91" t="s">
        <v>660</v>
      </c>
      <c r="J91" t="s">
        <v>665</v>
      </c>
      <c r="K91" t="s">
        <v>667</v>
      </c>
      <c r="L91" t="s">
        <v>665</v>
      </c>
    </row>
    <row r="92" spans="1:12" x14ac:dyDescent="0.25">
      <c r="E92" t="s">
        <v>669</v>
      </c>
      <c r="F92" t="s">
        <v>715</v>
      </c>
      <c r="G92" t="s">
        <v>660</v>
      </c>
      <c r="H92" t="s">
        <v>660</v>
      </c>
    </row>
    <row r="93" spans="1:12" x14ac:dyDescent="0.25">
      <c r="E93" t="s">
        <v>670</v>
      </c>
      <c r="F93" t="s">
        <v>660</v>
      </c>
      <c r="G93" t="s">
        <v>660</v>
      </c>
      <c r="H93" t="s">
        <v>660</v>
      </c>
    </row>
    <row r="94" spans="1:12" x14ac:dyDescent="0.25">
      <c r="E94" t="s">
        <v>662</v>
      </c>
      <c r="F94" t="s">
        <v>666</v>
      </c>
      <c r="G94" t="s">
        <v>661</v>
      </c>
      <c r="H94" t="s">
        <v>666</v>
      </c>
    </row>
    <row r="95" spans="1:12" x14ac:dyDescent="0.25">
      <c r="A95" t="s">
        <v>663</v>
      </c>
      <c r="B95" t="s">
        <v>688</v>
      </c>
      <c r="C95">
        <v>30</v>
      </c>
      <c r="D95">
        <v>60</v>
      </c>
      <c r="E95" t="s">
        <v>671</v>
      </c>
      <c r="F95" t="s">
        <v>661</v>
      </c>
      <c r="G95" t="s">
        <v>666</v>
      </c>
      <c r="H95" t="s">
        <v>661</v>
      </c>
      <c r="I95" t="s">
        <v>660</v>
      </c>
      <c r="J95" t="s">
        <v>665</v>
      </c>
      <c r="K95" t="s">
        <v>667</v>
      </c>
      <c r="L95" t="s">
        <v>665</v>
      </c>
    </row>
    <row r="96" spans="1:12" x14ac:dyDescent="0.25">
      <c r="E96" t="s">
        <v>669</v>
      </c>
      <c r="F96" t="s">
        <v>660</v>
      </c>
      <c r="G96" t="s">
        <v>715</v>
      </c>
      <c r="H96" t="s">
        <v>715</v>
      </c>
    </row>
    <row r="97" spans="1:12" x14ac:dyDescent="0.25">
      <c r="E97" t="s">
        <v>720</v>
      </c>
      <c r="F97" t="s">
        <v>660</v>
      </c>
      <c r="G97" t="s">
        <v>660</v>
      </c>
      <c r="H97" t="s">
        <v>660</v>
      </c>
    </row>
    <row r="98" spans="1:12" x14ac:dyDescent="0.25">
      <c r="E98" t="s">
        <v>662</v>
      </c>
      <c r="F98" t="s">
        <v>666</v>
      </c>
      <c r="G98" t="s">
        <v>661</v>
      </c>
      <c r="H98" t="s">
        <v>666</v>
      </c>
    </row>
    <row r="99" spans="1:12" x14ac:dyDescent="0.25">
      <c r="A99" t="s">
        <v>663</v>
      </c>
      <c r="B99" t="s">
        <v>689</v>
      </c>
      <c r="C99">
        <v>30</v>
      </c>
      <c r="D99">
        <v>60</v>
      </c>
      <c r="E99" t="s">
        <v>671</v>
      </c>
      <c r="F99" t="s">
        <v>661</v>
      </c>
      <c r="G99" t="s">
        <v>666</v>
      </c>
      <c r="H99" t="s">
        <v>661</v>
      </c>
      <c r="I99" t="s">
        <v>664</v>
      </c>
      <c r="J99" t="s">
        <v>665</v>
      </c>
      <c r="K99" t="s">
        <v>667</v>
      </c>
      <c r="L99" t="s">
        <v>665</v>
      </c>
    </row>
    <row r="100" spans="1:12" x14ac:dyDescent="0.25">
      <c r="E100" t="s">
        <v>669</v>
      </c>
      <c r="F100" t="s">
        <v>660</v>
      </c>
      <c r="G100" t="s">
        <v>660</v>
      </c>
      <c r="H100" t="s">
        <v>660</v>
      </c>
    </row>
    <row r="101" spans="1:12" x14ac:dyDescent="0.25">
      <c r="E101" t="s">
        <v>670</v>
      </c>
      <c r="F101" t="s">
        <v>660</v>
      </c>
      <c r="G101" t="s">
        <v>660</v>
      </c>
      <c r="H101" t="s">
        <v>715</v>
      </c>
    </row>
    <row r="102" spans="1:12" x14ac:dyDescent="0.25">
      <c r="E102" t="s">
        <v>662</v>
      </c>
      <c r="F102" t="s">
        <v>666</v>
      </c>
      <c r="G102" t="s">
        <v>453</v>
      </c>
      <c r="H102" t="s">
        <v>712</v>
      </c>
    </row>
    <row r="103" spans="1:12" x14ac:dyDescent="0.25">
      <c r="A103" t="s">
        <v>663</v>
      </c>
      <c r="B103" t="s">
        <v>690</v>
      </c>
      <c r="C103">
        <v>30</v>
      </c>
      <c r="D103">
        <v>60</v>
      </c>
      <c r="E103" t="s">
        <v>671</v>
      </c>
      <c r="F103" t="s">
        <v>661</v>
      </c>
      <c r="G103" t="s">
        <v>666</v>
      </c>
      <c r="H103" t="s">
        <v>721</v>
      </c>
      <c r="I103" t="s">
        <v>664</v>
      </c>
      <c r="J103" t="s">
        <v>665</v>
      </c>
      <c r="K103" t="s">
        <v>667</v>
      </c>
      <c r="L103" t="s">
        <v>665</v>
      </c>
    </row>
    <row r="104" spans="1:12" x14ac:dyDescent="0.25">
      <c r="E104" t="s">
        <v>669</v>
      </c>
      <c r="F104" t="s">
        <v>660</v>
      </c>
      <c r="G104" t="s">
        <v>715</v>
      </c>
      <c r="H104" t="s">
        <v>715</v>
      </c>
    </row>
    <row r="105" spans="1:12" x14ac:dyDescent="0.25">
      <c r="E105" t="s">
        <v>670</v>
      </c>
      <c r="F105" t="s">
        <v>660</v>
      </c>
      <c r="G105" t="s">
        <v>660</v>
      </c>
      <c r="H105" t="s">
        <v>660</v>
      </c>
    </row>
    <row r="106" spans="1:12" x14ac:dyDescent="0.25">
      <c r="E106" t="s">
        <v>662</v>
      </c>
      <c r="F106" t="s">
        <v>666</v>
      </c>
      <c r="G106" t="s">
        <v>666</v>
      </c>
      <c r="H106" t="s">
        <v>712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1</vt:i4>
      </vt:variant>
    </vt:vector>
  </HeadingPairs>
  <TitlesOfParts>
    <vt:vector size="9" baseType="lpstr">
      <vt:lpstr>Rule</vt:lpstr>
      <vt:lpstr>General Information</vt:lpstr>
      <vt:lpstr>Rebar Size</vt:lpstr>
      <vt:lpstr>柱</vt:lpstr>
      <vt:lpstr>大梁配筋</vt:lpstr>
      <vt:lpstr>小梁配筋</vt:lpstr>
      <vt:lpstr>地梁配筋</vt:lpstr>
      <vt:lpstr>Echo 大梁配筋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2017-05-16T02:06:44Z</cp:lastPrinted>
  <dcterms:created xsi:type="dcterms:W3CDTF">2017-05-14T12:57:37Z</dcterms:created>
  <dcterms:modified xsi:type="dcterms:W3CDTF">2017-06-07T08:39:41Z</dcterms:modified>
</cp:coreProperties>
</file>