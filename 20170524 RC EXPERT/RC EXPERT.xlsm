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70524 RC EXPERT\"/>
    </mc:Choice>
  </mc:AlternateContent>
  <bookViews>
    <workbookView xWindow="360" yWindow="135" windowWidth="20640" windowHeight="11580" activeTab="4"/>
  </bookViews>
  <sheets>
    <sheet name="Rule" sheetId="1" r:id="rId1"/>
    <sheet name="General Information" sheetId="6" r:id="rId2"/>
    <sheet name="Rebar Size" sheetId="10" r:id="rId3"/>
    <sheet name="柱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Titles" localSheetId="4">大梁配筋!$1:$2</definedName>
  </definedNames>
  <calcPr calcId="162913" refMode="R1C1"/>
</workbook>
</file>

<file path=xl/calcChain.xml><?xml version="1.0" encoding="utf-8"?>
<calcChain xmlns="http://schemas.openxmlformats.org/spreadsheetml/2006/main"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37" i="1"/>
  <c r="M237" i="1"/>
  <c r="P230" i="1"/>
  <c r="M230" i="1"/>
  <c r="Q229" i="1"/>
  <c r="P229" i="1"/>
  <c r="M229" i="1"/>
  <c r="P228" i="1"/>
  <c r="M228" i="1"/>
  <c r="Q227" i="1"/>
  <c r="P227" i="1"/>
  <c r="M227" i="1"/>
  <c r="P221" i="1"/>
  <c r="M221" i="1"/>
  <c r="Q220" i="1"/>
  <c r="P220" i="1"/>
  <c r="M220" i="1"/>
  <c r="P219" i="1"/>
  <c r="M219" i="1"/>
  <c r="Q218" i="1"/>
  <c r="P218" i="1"/>
  <c r="M218" i="1"/>
  <c r="Q216" i="1"/>
  <c r="P216" i="1"/>
  <c r="M216" i="1"/>
  <c r="Q215" i="1"/>
  <c r="P215" i="1"/>
  <c r="M215" i="1"/>
  <c r="Q214" i="1"/>
  <c r="P214" i="1"/>
  <c r="M214" i="1"/>
  <c r="Q212" i="1"/>
  <c r="P212" i="1"/>
  <c r="M212" i="1"/>
  <c r="Q211" i="1"/>
  <c r="P211" i="1"/>
  <c r="M211" i="1"/>
  <c r="Q210" i="1"/>
  <c r="P210" i="1"/>
  <c r="M210" i="1"/>
  <c r="Q208" i="1"/>
  <c r="P208" i="1"/>
  <c r="M208" i="1"/>
  <c r="Q201" i="1"/>
  <c r="P201" i="1"/>
  <c r="M201" i="1"/>
  <c r="Q200" i="1"/>
  <c r="P200" i="1"/>
  <c r="M200" i="1"/>
  <c r="P198" i="1"/>
  <c r="M198" i="1"/>
  <c r="P197" i="1"/>
  <c r="M197" i="1"/>
  <c r="P196" i="1"/>
  <c r="M196" i="1"/>
  <c r="P195" i="1"/>
  <c r="M195" i="1"/>
  <c r="Q191" i="1"/>
  <c r="P191" i="1"/>
  <c r="M191" i="1"/>
  <c r="Q190" i="1"/>
  <c r="P190" i="1"/>
  <c r="M190" i="1"/>
  <c r="P189" i="1"/>
  <c r="M189" i="1"/>
  <c r="P188" i="1"/>
  <c r="M188" i="1"/>
  <c r="P187" i="1"/>
  <c r="M187" i="1"/>
  <c r="P186" i="1"/>
  <c r="M186" i="1"/>
  <c r="M179" i="1"/>
  <c r="P177" i="1"/>
  <c r="M177" i="1"/>
  <c r="P176" i="1"/>
  <c r="M176" i="1"/>
  <c r="P174" i="1"/>
  <c r="M174" i="1"/>
  <c r="P173" i="1"/>
  <c r="M173" i="1"/>
  <c r="M169" i="1"/>
  <c r="M168" i="1"/>
  <c r="P167" i="1"/>
  <c r="M167" i="1"/>
  <c r="P166" i="1"/>
  <c r="M166" i="1"/>
  <c r="P165" i="1"/>
  <c r="M165" i="1"/>
  <c r="P164" i="1"/>
  <c r="M164" i="1"/>
  <c r="Q160" i="1"/>
  <c r="P160" i="1"/>
  <c r="M160" i="1"/>
  <c r="Q159" i="1"/>
  <c r="P159" i="1"/>
  <c r="M159" i="1"/>
  <c r="P158" i="1"/>
  <c r="M158" i="1"/>
  <c r="P157" i="1"/>
  <c r="M157" i="1"/>
  <c r="Q156" i="1"/>
  <c r="P156" i="1"/>
  <c r="M156" i="1"/>
  <c r="Q155" i="1"/>
  <c r="P155" i="1"/>
  <c r="M155" i="1"/>
  <c r="Q153" i="1"/>
  <c r="P153" i="1"/>
  <c r="M153" i="1"/>
  <c r="Q152" i="1"/>
  <c r="P152" i="1"/>
  <c r="M152" i="1"/>
  <c r="P151" i="1"/>
  <c r="M151" i="1"/>
  <c r="P150" i="1"/>
  <c r="M150" i="1"/>
  <c r="P141" i="1"/>
  <c r="M141" i="1"/>
  <c r="P140" i="1"/>
  <c r="M140" i="1"/>
  <c r="P138" i="1"/>
  <c r="M138" i="1"/>
  <c r="P137" i="1"/>
  <c r="M137" i="1"/>
  <c r="Q129" i="1"/>
  <c r="P129" i="1"/>
  <c r="M129" i="1"/>
  <c r="P127" i="1"/>
  <c r="M127" i="1"/>
  <c r="P126" i="1"/>
  <c r="M126" i="1"/>
  <c r="P125" i="1"/>
  <c r="M125" i="1"/>
  <c r="M123" i="1"/>
  <c r="M122" i="1"/>
  <c r="M121" i="1"/>
  <c r="P119" i="1"/>
  <c r="M119" i="1"/>
  <c r="P118" i="1"/>
  <c r="M118" i="1"/>
  <c r="P117" i="1"/>
  <c r="M117" i="1"/>
  <c r="P115" i="1"/>
  <c r="M115" i="1"/>
  <c r="P114" i="1"/>
  <c r="M114" i="1"/>
  <c r="P113" i="1"/>
  <c r="M113" i="1"/>
  <c r="P111" i="1"/>
  <c r="M111" i="1"/>
  <c r="P110" i="1"/>
  <c r="M110" i="1"/>
  <c r="N106" i="1"/>
  <c r="N105" i="1"/>
  <c r="N104" i="1"/>
  <c r="N103" i="1"/>
  <c r="N102" i="1"/>
  <c r="P101" i="1"/>
  <c r="N101" i="1"/>
  <c r="M101" i="1"/>
  <c r="P100" i="1"/>
  <c r="N100" i="1"/>
  <c r="M100" i="1"/>
  <c r="N99" i="1"/>
  <c r="N98" i="1"/>
  <c r="N97" i="1"/>
  <c r="N96" i="1"/>
  <c r="P95" i="1"/>
  <c r="N95" i="1"/>
  <c r="M95" i="1"/>
  <c r="P94" i="1"/>
  <c r="N94" i="1"/>
  <c r="M94" i="1"/>
  <c r="N93" i="1"/>
  <c r="P92" i="1"/>
  <c r="N92" i="1"/>
  <c r="M92" i="1"/>
  <c r="P91" i="1"/>
  <c r="N91" i="1"/>
  <c r="M91" i="1"/>
  <c r="N90" i="1"/>
  <c r="P89" i="1"/>
  <c r="N89" i="1"/>
  <c r="M89" i="1"/>
  <c r="P88" i="1"/>
  <c r="N88" i="1"/>
  <c r="M88" i="1"/>
  <c r="N87" i="1"/>
  <c r="N86" i="1"/>
  <c r="Q85" i="1"/>
  <c r="P85" i="1"/>
  <c r="N85" i="1"/>
  <c r="M85" i="1"/>
  <c r="R84" i="1"/>
  <c r="Q84" i="1"/>
  <c r="P84" i="1"/>
  <c r="N84" i="1"/>
  <c r="M84" i="1"/>
  <c r="Q83" i="1"/>
  <c r="P83" i="1"/>
  <c r="N83" i="1"/>
  <c r="M83" i="1"/>
  <c r="N82" i="1"/>
  <c r="Q81" i="1"/>
  <c r="P81" i="1"/>
  <c r="N81" i="1"/>
  <c r="M81" i="1"/>
  <c r="Q80" i="1"/>
  <c r="P80" i="1"/>
  <c r="N80" i="1"/>
  <c r="M80" i="1"/>
  <c r="Q79" i="1"/>
  <c r="P79" i="1"/>
  <c r="N79" i="1"/>
  <c r="M79" i="1"/>
  <c r="Q78" i="1"/>
  <c r="P78" i="1"/>
  <c r="N78" i="1"/>
  <c r="M78" i="1"/>
  <c r="N77" i="1"/>
  <c r="Q76" i="1"/>
  <c r="P76" i="1"/>
  <c r="N76" i="1"/>
  <c r="M76" i="1"/>
  <c r="Q75" i="1"/>
  <c r="P75" i="1"/>
  <c r="N75" i="1"/>
  <c r="M75" i="1"/>
  <c r="Q74" i="1"/>
  <c r="P74" i="1"/>
  <c r="N74" i="1"/>
  <c r="M74" i="1"/>
  <c r="Q73" i="1"/>
  <c r="P73" i="1"/>
  <c r="N73" i="1"/>
  <c r="M73" i="1"/>
  <c r="N72" i="1"/>
  <c r="Q71" i="1"/>
  <c r="P71" i="1"/>
  <c r="N71" i="1"/>
  <c r="M71" i="1"/>
  <c r="R70" i="1"/>
  <c r="Q70" i="1"/>
  <c r="P70" i="1"/>
  <c r="N70" i="1"/>
  <c r="M70" i="1"/>
  <c r="Q69" i="1"/>
  <c r="P69" i="1"/>
  <c r="N69" i="1"/>
  <c r="M69" i="1"/>
  <c r="N68" i="1"/>
  <c r="Q67" i="1"/>
  <c r="P67" i="1"/>
  <c r="N67" i="1"/>
  <c r="M67" i="1"/>
  <c r="Q66" i="1"/>
  <c r="P66" i="1"/>
  <c r="N66" i="1"/>
  <c r="M66" i="1"/>
  <c r="Q65" i="1"/>
  <c r="P65" i="1"/>
  <c r="N65" i="1"/>
  <c r="M65" i="1"/>
  <c r="Q64" i="1"/>
  <c r="P64" i="1"/>
  <c r="N64" i="1"/>
  <c r="M64" i="1"/>
  <c r="N63" i="1"/>
  <c r="Q62" i="1"/>
  <c r="P62" i="1"/>
  <c r="N62" i="1"/>
  <c r="M62" i="1"/>
  <c r="Q61" i="1"/>
  <c r="P61" i="1"/>
  <c r="N61" i="1"/>
  <c r="M61" i="1"/>
  <c r="Q60" i="1"/>
  <c r="P60" i="1"/>
  <c r="N60" i="1"/>
  <c r="M60" i="1"/>
  <c r="Q59" i="1"/>
  <c r="P59" i="1"/>
  <c r="N59" i="1"/>
  <c r="M59" i="1"/>
  <c r="M25" i="1"/>
  <c r="P24" i="1"/>
  <c r="M24" i="1"/>
  <c r="P23" i="1"/>
  <c r="M23" i="1"/>
  <c r="M22" i="1"/>
  <c r="P21" i="1"/>
  <c r="M21" i="1"/>
  <c r="P20" i="1"/>
  <c r="M20" i="1"/>
  <c r="P19" i="1"/>
  <c r="M19" i="1"/>
  <c r="P17" i="1"/>
  <c r="M17" i="1"/>
  <c r="P16" i="1"/>
  <c r="M16" i="1"/>
  <c r="P15" i="1"/>
  <c r="M15" i="1"/>
  <c r="P13" i="1"/>
  <c r="M13" i="1"/>
  <c r="P10" i="1"/>
  <c r="M10" i="1"/>
  <c r="F4" i="1"/>
  <c r="E4" i="1"/>
  <c r="D4" i="1"/>
  <c r="C3" i="1"/>
</calcChain>
</file>

<file path=xl/sharedStrings.xml><?xml version="1.0" encoding="utf-8"?>
<sst xmlns="http://schemas.openxmlformats.org/spreadsheetml/2006/main" count="3771" uniqueCount="755">
  <si>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</si>
  <si>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</si>
  <si>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</si>
  <si>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</si>
  <si>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</si>
  <si>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</si>
  <si>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</si>
  <si>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</si>
  <si>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</si>
  <si>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</si>
  <si>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</si>
  <si>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</si>
  <si>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</si>
  <si>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</si>
  <si>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</si>
  <si>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</si>
  <si>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</si>
  <si>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</si>
  <si>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</si>
  <si>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</si>
  <si>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</si>
  <si>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</si>
  <si>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</si>
  <si>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</si>
  <si>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</si>
  <si>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</si>
  <si>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</si>
  <si>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</si>
  <si>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</si>
  <si>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</si>
  <si>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</si>
  <si>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</si>
  <si>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</si>
  <si>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</si>
  <si>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</si>
  <si>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</si>
  <si>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</si>
  <si>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</si>
  <si>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</si>
  <si>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</si>
  <si>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</si>
  <si>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</si>
  <si>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</si>
  <si>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</si>
  <si>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</si>
  <si>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</si>
  <si>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</si>
  <si>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</si>
  <si>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</si>
  <si>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</si>
  <si>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</si>
  <si>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</si>
  <si>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</si>
  <si>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</si>
  <si>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</si>
  <si>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</si>
  <si>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</si>
  <si>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</si>
  <si>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</si>
  <si>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</si>
  <si>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</si>
  <si>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</si>
  <si>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</si>
  <si>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</si>
  <si>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</si>
  <si>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</si>
  <si>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</si>
  <si>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</si>
  <si>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</si>
  <si>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</si>
  <si>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</si>
  <si>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</si>
  <si>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</si>
  <si>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</si>
  <si>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</si>
  <si>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</si>
  <si>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</si>
  <si>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</si>
  <si>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</si>
  <si>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</si>
  <si>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</si>
  <si>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</si>
  <si>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</si>
  <si>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</si>
  <si>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</si>
  <si>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</si>
  <si>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</si>
  <si>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</si>
  <si>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</si>
  <si>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</si>
  <si>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</si>
  <si>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</si>
  <si>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</si>
  <si>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</si>
  <si>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</si>
  <si>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</si>
  <si>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</si>
  <si>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</si>
  <si>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</si>
  <si>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</si>
  <si>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</si>
  <si>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</si>
  <si>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</si>
  <si>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</si>
  <si>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</si>
  <si>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</si>
  <si>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</si>
  <si>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</si>
  <si>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</si>
  <si>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</si>
  <si>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</si>
  <si>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</si>
  <si>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</si>
  <si>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</si>
  <si>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</si>
  <si>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</si>
  <si>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</si>
  <si>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</si>
  <si>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</si>
  <si>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</si>
  <si>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</si>
  <si>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</si>
  <si>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</si>
  <si>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</si>
  <si>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</si>
  <si>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</si>
  <si>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</si>
  <si>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</si>
  <si>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</si>
  <si>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</si>
  <si>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</si>
  <si>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</si>
  <si>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</si>
  <si>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</si>
  <si>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</si>
  <si>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</si>
  <si>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</si>
  <si>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</si>
  <si>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</si>
  <si>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</si>
  <si>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</si>
  <si>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</si>
  <si>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</si>
  <si>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</si>
  <si>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</si>
  <si>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</si>
  <si>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</si>
  <si>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</si>
  <si>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</si>
  <si>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</si>
  <si>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</si>
  <si>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</si>
  <si>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</si>
  <si>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</si>
  <si>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</si>
  <si>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</si>
  <si>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</si>
  <si>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</si>
  <si>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</si>
  <si>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</si>
  <si>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</si>
  <si>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</si>
  <si>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</si>
  <si>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</si>
  <si>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</si>
  <si>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</si>
  <si>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</si>
  <si>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</si>
  <si>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</si>
  <si>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</si>
  <si>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</si>
  <si>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</si>
  <si>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</si>
  <si>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</si>
  <si>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</si>
  <si>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</si>
  <si>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</si>
  <si>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</si>
  <si>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</si>
  <si>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</si>
  <si>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</si>
  <si>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</si>
  <si>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</si>
  <si>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</si>
  <si>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</si>
  <si>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</si>
  <si>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</si>
  <si>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</si>
  <si>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</si>
  <si>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</si>
  <si>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</si>
  <si>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</si>
  <si>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</si>
  <si>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</si>
  <si>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</si>
  <si>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</si>
  <si>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</si>
  <si>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</si>
  <si>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</si>
  <si>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</si>
  <si>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</si>
  <si>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</si>
  <si>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</si>
  <si>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</si>
  <si>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</si>
  <si>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</si>
  <si>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</si>
  <si>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</si>
  <si>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</si>
  <si>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</si>
  <si>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</si>
  <si>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</si>
  <si>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</si>
  <si>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</si>
  <si>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</si>
  <si>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</si>
  <si>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</si>
  <si>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</si>
  <si>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</si>
  <si>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</si>
  <si>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</si>
  <si>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</si>
  <si>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</si>
  <si>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</si>
  <si>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</si>
  <si>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</si>
  <si>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</si>
  <si>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</si>
  <si>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</si>
  <si>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</si>
  <si>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</si>
  <si>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</si>
  <si>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</si>
  <si>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</si>
  <si>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</si>
  <si>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</si>
  <si>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</si>
  <si>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</si>
  <si>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</si>
  <si>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</si>
  <si>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</si>
  <si>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</si>
  <si>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</si>
  <si>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</si>
  <si>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</si>
  <si>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</si>
  <si>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</si>
  <si>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</si>
  <si>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</si>
  <si>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</si>
  <si>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</si>
  <si>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</si>
  <si>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</si>
  <si>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</si>
  <si>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</si>
  <si>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</si>
  <si>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</si>
  <si>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</si>
  <si>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</si>
  <si>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</si>
  <si>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</si>
  <si>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</si>
  <si>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</si>
  <si>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</si>
  <si>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</si>
  <si>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</si>
  <si>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</si>
  <si>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</si>
  <si>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</si>
  <si>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</si>
  <si>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</si>
  <si>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</si>
  <si>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</si>
  <si>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</si>
  <si>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</si>
  <si>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</si>
  <si>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</si>
  <si>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</si>
  <si>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</si>
  <si>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</si>
  <si>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</si>
  <si>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</si>
  <si>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</si>
  <si>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</si>
  <si>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</si>
  <si>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</si>
  <si>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</si>
  <si>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</si>
  <si>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</si>
  <si>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</si>
  <si>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</si>
  <si>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</si>
  <si>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</si>
  <si>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</si>
  <si>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</si>
  <si>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</si>
  <si>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</si>
  <si>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</si>
  <si>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</si>
  <si>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</si>
  <si>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</si>
  <si>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</si>
  <si>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</si>
  <si>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</si>
  <si>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</si>
  <si>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</si>
  <si>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</si>
  <si>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</si>
  <si>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</si>
  <si>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</si>
  <si>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</si>
  <si>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</si>
  <si>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</si>
  <si>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</si>
  <si>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</si>
  <si>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</si>
  <si>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</si>
  <si>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</si>
  <si>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</si>
  <si>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</si>
  <si>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</si>
  <si>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</si>
  <si>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</si>
  <si>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</si>
  <si>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</si>
  <si>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</si>
  <si>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</si>
  <si>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</si>
  <si>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</si>
  <si>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</si>
  <si>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</si>
  <si>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</si>
  <si>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</si>
  <si>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</si>
  <si>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</si>
  <si>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</si>
  <si>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</si>
  <si>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</si>
  <si>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</si>
  <si>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</si>
  <si>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</si>
  <si>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</si>
  <si>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</si>
  <si>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</si>
  <si>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</si>
  <si>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</si>
  <si>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</si>
  <si>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</si>
  <si>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</si>
  <si>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</si>
  <si>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</si>
  <si>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</si>
  <si>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</si>
  <si>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</si>
  <si>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</si>
  <si>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</si>
  <si>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</si>
  <si>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</si>
  <si>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</si>
  <si>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</si>
  <si>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</si>
  <si>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</si>
  <si>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</si>
  <si>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</si>
  <si>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</si>
  <si>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</si>
  <si>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</si>
  <si>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</si>
  <si>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</si>
  <si>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</si>
  <si>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</si>
  <si>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</si>
  <si>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</si>
  <si>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</si>
  <si>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</si>
  <si>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</si>
  <si>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</si>
  <si>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</si>
  <si>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</si>
  <si>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</si>
  <si>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</si>
  <si>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</si>
  <si>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</si>
  <si>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</si>
  <si>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</si>
  <si>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</si>
  <si>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</si>
  <si>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</si>
  <si>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</si>
  <si>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</si>
  <si>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</si>
  <si>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</si>
  <si>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</si>
  <si>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</si>
  <si>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</si>
  <si>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</si>
  <si>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</si>
  <si>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</si>
  <si>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</si>
  <si>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</si>
  <si>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</si>
  <si>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</si>
  <si>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</si>
  <si>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</si>
  <si>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</si>
  <si>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</si>
  <si>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</si>
  <si>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</si>
  <si>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</si>
  <si>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</si>
  <si>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</si>
  <si>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</si>
  <si>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</si>
  <si>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</si>
  <si>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</si>
  <si>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</si>
  <si>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</si>
  <si>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</si>
  <si>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</si>
  <si>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</si>
  <si>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</si>
  <si>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</si>
  <si>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</si>
  <si>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</si>
  <si>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</si>
  <si>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</si>
  <si>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</si>
  <si>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</si>
  <si>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</si>
  <si>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</si>
  <si>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</si>
  <si>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</si>
  <si>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</si>
  <si>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</si>
  <si>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</si>
  <si>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</si>
  <si>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</si>
  <si>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</si>
  <si>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</si>
  <si>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</si>
  <si>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</si>
  <si>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</si>
  <si>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</si>
  <si>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</si>
  <si>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</si>
  <si>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</si>
  <si>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</si>
  <si>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</si>
  <si>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</si>
  <si>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</si>
  <si>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</si>
  <si>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</si>
  <si>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</si>
  <si>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</si>
  <si>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</si>
  <si>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</si>
  <si>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</si>
  <si>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</si>
  <si>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</si>
  <si>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</si>
  <si>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</si>
  <si>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</si>
  <si>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</si>
  <si>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</si>
  <si>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</si>
  <si>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</si>
  <si>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</si>
  <si>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</si>
  <si>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</si>
  <si>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</si>
  <si>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</si>
  <si>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</si>
  <si>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</si>
  <si>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</si>
  <si>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</si>
  <si>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</si>
  <si>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</si>
  <si>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</si>
  <si>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</si>
  <si>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</si>
  <si>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</si>
  <si>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</si>
  <si>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</si>
  <si>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</si>
  <si>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</si>
  <si>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</si>
  <si>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</si>
  <si>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</si>
  <si>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</si>
  <si>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</si>
  <si>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</si>
  <si>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</si>
  <si>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</si>
  <si>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</si>
  <si>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</si>
  <si>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</si>
  <si>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</si>
  <si>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</si>
  <si>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</si>
  <si>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</si>
  <si>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</si>
  <si>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</si>
  <si>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</si>
  <si>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</si>
  <si>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</si>
  <si>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</si>
  <si>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</si>
  <si>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</si>
  <si>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</si>
  <si>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</si>
  <si>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</si>
  <si>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</si>
  <si>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</si>
  <si>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</si>
  <si>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</si>
  <si>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</si>
  <si>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</si>
  <si>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</si>
  <si>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</si>
  <si>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</si>
  <si>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</si>
  <si>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</si>
  <si>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</si>
  <si>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</si>
  <si>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</si>
  <si>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</si>
  <si>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</si>
  <si>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</si>
  <si>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</si>
  <si>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</si>
  <si>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</si>
  <si>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</si>
  <si>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</si>
  <si>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</si>
  <si>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</si>
  <si>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</si>
  <si>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</si>
  <si>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</si>
  <si>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</si>
  <si>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</si>
  <si>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</si>
  <si>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</si>
  <si>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</si>
  <si>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</si>
  <si>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</si>
  <si>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</si>
  <si>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</si>
  <si>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</si>
  <si>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</si>
  <si>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</si>
  <si>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</si>
  <si>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</si>
  <si>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</si>
  <si>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</si>
  <si>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</si>
  <si>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</si>
  <si>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</si>
  <si>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</si>
  <si>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</si>
  <si>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</si>
  <si>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</si>
  <si>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</si>
  <si>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</si>
  <si>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</si>
  <si>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</si>
  <si>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</si>
  <si>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</si>
  <si>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</si>
  <si>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</si>
  <si>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</si>
  <si>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</si>
  <si>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</si>
  <si>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</si>
  <si>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</si>
  <si>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</si>
  <si>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</si>
  <si>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</si>
  <si>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</si>
  <si>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</si>
  <si>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</si>
  <si>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</si>
  <si>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</si>
  <si>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</si>
  <si>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</si>
  <si>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</si>
  <si>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</si>
  <si>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</si>
  <si>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</si>
  <si>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</si>
  <si>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</si>
  <si>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</si>
  <si>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</si>
  <si>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</si>
  <si>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</si>
  <si>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</si>
  <si>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</si>
  <si>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</si>
  <si>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</si>
  <si>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</si>
  <si>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</si>
  <si>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</si>
  <si>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</si>
  <si>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</si>
  <si>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</si>
  <si>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</si>
  <si>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</si>
  <si>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</si>
  <si>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</si>
  <si>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</si>
  <si>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</si>
  <si>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</si>
  <si>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</si>
  <si>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</si>
  <si>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</si>
  <si>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</si>
  <si>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</si>
  <si>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</si>
  <si>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</si>
  <si>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</si>
  <si>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</si>
  <si>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</si>
  <si>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</si>
  <si>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</si>
  <si>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</si>
  <si>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</si>
  <si>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</si>
  <si>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</si>
  <si>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</si>
  <si>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</si>
  <si>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</si>
  <si>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</si>
  <si>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</si>
  <si>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</si>
  <si>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</si>
  <si>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</si>
  <si>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</si>
  <si>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</si>
  <si>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</si>
  <si>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2-#6</t>
    <phoneticPr fontId="1" type="noConversion"/>
  </si>
  <si>
    <t>Fyt</t>
    <phoneticPr fontId="1" type="noConversion"/>
  </si>
  <si>
    <t>請確認是否為深梁</t>
  </si>
  <si>
    <t>梁版 fc'</t>
    <phoneticPr fontId="1" type="noConversion"/>
  </si>
  <si>
    <t>柱牆 fc'</t>
    <phoneticPr fontId="1" type="noConversion"/>
  </si>
  <si>
    <t>RF</t>
    <phoneticPr fontId="1" type="noConversion"/>
  </si>
  <si>
    <t>P</t>
    <phoneticPr fontId="1" type="noConversion"/>
  </si>
  <si>
    <t>(S), (E), (i) - check 結果 ok</t>
    <phoneticPr fontId="1" type="noConversion"/>
  </si>
  <si>
    <t>Warning Message</t>
    <phoneticPr fontId="1" type="noConversion"/>
  </si>
  <si>
    <t>1-#6</t>
    <phoneticPr fontId="1" type="noConversion"/>
  </si>
  <si>
    <t>3-#6</t>
    <phoneticPr fontId="1" type="noConversion"/>
  </si>
  <si>
    <t>2-#6</t>
    <phoneticPr fontId="1" type="noConversion"/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</si>
  <si>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</si>
  <si>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</si>
  <si>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</si>
  <si>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</si>
  <si>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</si>
  <si>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</si>
  <si>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</si>
  <si>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</si>
  <si>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</si>
  <si>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</si>
  <si>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-</t>
    <phoneticPr fontId="1" type="noConversion"/>
  </si>
  <si>
    <t>1F</t>
    <phoneticPr fontId="1" type="noConversion"/>
  </si>
  <si>
    <t>#3@15</t>
    <phoneticPr fontId="1" type="noConversion"/>
  </si>
  <si>
    <t>下層 第一排</t>
    <phoneticPr fontId="1" type="noConversion"/>
  </si>
  <si>
    <t>3-#6</t>
    <phoneticPr fontId="1" type="noConversion"/>
  </si>
  <si>
    <t>#3@20</t>
    <phoneticPr fontId="1" type="noConversion"/>
  </si>
  <si>
    <t>2-#6</t>
    <phoneticPr fontId="1" type="noConversion"/>
  </si>
  <si>
    <t>5-#6</t>
    <phoneticPr fontId="1" type="noConversion"/>
  </si>
  <si>
    <t>下層 第二排</t>
    <phoneticPr fontId="1" type="noConversion"/>
  </si>
  <si>
    <t>上層 第一排</t>
    <phoneticPr fontId="1" type="noConversion"/>
  </si>
  <si>
    <t>上層 第二排</t>
    <phoneticPr fontId="1" type="noConversion"/>
  </si>
  <si>
    <t>7-#7</t>
    <phoneticPr fontId="1" type="noConversion"/>
  </si>
  <si>
    <t>3-#7</t>
    <phoneticPr fontId="1" type="noConversion"/>
  </si>
  <si>
    <t>4-#7</t>
    <phoneticPr fontId="1" type="noConversion"/>
  </si>
  <si>
    <t>2-#7</t>
    <phoneticPr fontId="1" type="noConversion"/>
  </si>
  <si>
    <t>GB-4</t>
    <phoneticPr fontId="1" type="noConversion"/>
  </si>
  <si>
    <t>8-#7</t>
    <phoneticPr fontId="1" type="noConversion"/>
  </si>
  <si>
    <t>GC-1</t>
    <phoneticPr fontId="1" type="noConversion"/>
  </si>
  <si>
    <t>1#3EF</t>
    <phoneticPr fontId="1" type="noConversion"/>
  </si>
  <si>
    <t>GC-2</t>
    <phoneticPr fontId="1" type="noConversion"/>
  </si>
  <si>
    <t>GC-3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</si>
  <si>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</si>
  <si>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</si>
  <si>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</si>
  <si>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</si>
  <si>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</si>
  <si>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</si>
  <si>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</si>
  <si>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</si>
  <si>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</si>
  <si>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</si>
  <si>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GA-4</t>
    <phoneticPr fontId="1" type="noConversion"/>
  </si>
  <si>
    <t>5-#7</t>
    <phoneticPr fontId="1" type="noConversion"/>
  </si>
  <si>
    <t>B3-2</t>
    <phoneticPr fontId="1" type="noConversion"/>
  </si>
  <si>
    <t>2-#6</t>
    <phoneticPr fontId="1" type="noConversion"/>
  </si>
  <si>
    <t>(S), (E), (i) - check 結果 ok</t>
    <phoneticPr fontId="1" type="noConversion"/>
  </si>
  <si>
    <t>樓層</t>
    <phoneticPr fontId="1" type="noConversion"/>
  </si>
  <si>
    <t>編號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</si>
  <si>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</si>
  <si>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</si>
  <si>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</si>
  <si>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箍筋</t>
    <phoneticPr fontId="1" type="noConversion"/>
  </si>
  <si>
    <t>支承寬</t>
    <phoneticPr fontId="1" type="noConversion"/>
  </si>
  <si>
    <t>Location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</si>
  <si>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</si>
  <si>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</si>
  <si>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</si>
  <si>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</si>
  <si>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</si>
  <si>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</si>
  <si>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3-#6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</si>
  <si>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</si>
  <si>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</si>
  <si>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</si>
  <si>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</si>
  <si>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</si>
  <si>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懸臂梁</t>
    <phoneticPr fontId="1" type="noConversion"/>
  </si>
  <si>
    <t>上層 第二排</t>
    <phoneticPr fontId="1" type="noConversion"/>
  </si>
  <si>
    <t>-</t>
    <phoneticPr fontId="1" type="noConversion"/>
  </si>
  <si>
    <t>下層 第二排</t>
    <phoneticPr fontId="1" type="noConversion"/>
  </si>
  <si>
    <t>梁上柱</t>
    <phoneticPr fontId="1" type="noConversion"/>
  </si>
  <si>
    <t>1-#6</t>
    <phoneticPr fontId="1" type="noConversion"/>
  </si>
  <si>
    <t>GB-1</t>
    <phoneticPr fontId="1" type="noConversion"/>
  </si>
  <si>
    <t>7-#7</t>
    <phoneticPr fontId="1" type="noConversion"/>
  </si>
  <si>
    <t>2-#7</t>
    <phoneticPr fontId="1" type="noConversion"/>
  </si>
  <si>
    <t>下層 第一排</t>
    <phoneticPr fontId="1" type="noConversion"/>
  </si>
  <si>
    <t>#3@25</t>
    <phoneticPr fontId="1" type="noConversion"/>
  </si>
  <si>
    <t>1-#6</t>
    <phoneticPr fontId="1" type="noConversion"/>
  </si>
  <si>
    <t>RC梁寬</t>
    <phoneticPr fontId="1" type="noConversion"/>
  </si>
  <si>
    <t>梁長</t>
    <phoneticPr fontId="1" type="noConversion"/>
  </si>
  <si>
    <t>GA-2</t>
    <phoneticPr fontId="1" type="noConversion"/>
  </si>
  <si>
    <t>#3@25</t>
    <phoneticPr fontId="1" type="noConversion"/>
  </si>
  <si>
    <t>GA-3</t>
    <phoneticPr fontId="1" type="noConversion"/>
  </si>
  <si>
    <t>4-#7</t>
    <phoneticPr fontId="1" type="noConversion"/>
  </si>
  <si>
    <t>(S), (E), (i) - check 結果 ok</t>
    <phoneticPr fontId="1" type="noConversion"/>
  </si>
  <si>
    <t>-</t>
    <phoneticPr fontId="1" type="noConversion"/>
  </si>
  <si>
    <t>#3@20</t>
    <phoneticPr fontId="1" type="noConversion"/>
  </si>
  <si>
    <t>3-#6</t>
    <phoneticPr fontId="1" type="noConversion"/>
  </si>
  <si>
    <t>2-#6</t>
    <phoneticPr fontId="1" type="noConversion"/>
  </si>
  <si>
    <t>GA-5</t>
    <phoneticPr fontId="1" type="noConversion"/>
  </si>
  <si>
    <t>GA-6</t>
    <phoneticPr fontId="1" type="noConversion"/>
  </si>
  <si>
    <t>3-#7</t>
    <phoneticPr fontId="1" type="noConversion"/>
  </si>
  <si>
    <t>GB-2</t>
    <phoneticPr fontId="1" type="noConversion"/>
  </si>
  <si>
    <t>GB-3</t>
    <phoneticPr fontId="1" type="noConversion"/>
  </si>
  <si>
    <t>GC-4</t>
    <phoneticPr fontId="1" type="noConversion"/>
  </si>
  <si>
    <t>B4-1</t>
    <phoneticPr fontId="1" type="noConversion"/>
  </si>
  <si>
    <t>(S), (E), (i) - check 結果 ok</t>
    <phoneticPr fontId="1" type="noConversion"/>
  </si>
  <si>
    <t>請確認是否符合 單排支數下限 規定_x000D_
請確認是否符合 單排支數下限 規定_x000D_
請確認是否符合 左端下層筋下限 規定_x000D_</t>
    <phoneticPr fontId="1" type="noConversion"/>
  </si>
  <si>
    <t>(S), (E), (i) - check 結果 ok</t>
    <phoneticPr fontId="1" type="noConversion"/>
  </si>
  <si>
    <t>(S), (E), (i) - check 結果 ok</t>
    <phoneticPr fontId="1" type="noConversion"/>
  </si>
  <si>
    <t>(S), (E), (i) - check 結果 ok</t>
    <phoneticPr fontId="1" type="noConversion"/>
  </si>
  <si>
    <t>(S), (E), (i) - check 結果 ok</t>
    <phoneticPr fontId="1" type="noConversion"/>
  </si>
  <si>
    <t>(S), (E), (i) - check 結果 ok</t>
    <phoneticPr fontId="1" type="noConversion"/>
  </si>
  <si>
    <t>(S), (E), (i) - check 結果 ok</t>
    <phoneticPr fontId="1" type="noConversion"/>
  </si>
  <si>
    <t>(S), (E), (i) - check 結果 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</si>
</sst>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0" fillId="0" borderId="36" xfId="0" applyBorder="1">
      <alignment vertical="center"/>
    </xf>
    <xf numFmtId="0" fontId="11" fillId="13" borderId="40" xfId="4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8" fillId="12" borderId="39" xfId="2" applyBorder="1" applyAlignment="1">
      <alignment horizontal="center" vertical="center"/>
    </xf>
    <xf numFmtId="0" fontId="8" fillId="12" borderId="42" xfId="2" applyBorder="1" applyAlignment="1">
      <alignment horizontal="center" vertical="center"/>
    </xf>
    <xf numFmtId="0" fontId="11" fillId="13" borderId="41" xfId="4" applyBorder="1" applyAlignment="1">
      <alignment horizontal="center" vertical="center" wrapText="1"/>
    </xf>
    <xf numFmtId="0" fontId="11" fillId="13" borderId="40" xfId="4" applyBorder="1" applyAlignment="1">
      <alignment horizontal="center" vertical="center"/>
    </xf>
    <xf numFmtId="0" fontId="12" fillId="14" borderId="40" xfId="5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16</xdr:col>
      <xdr:colOff>38100</xdr:colOff>
      <xdr:row>9</xdr:row>
      <xdr:rowOff>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1F017C4B-1695-4756-B1C0-085342B8AE79}"/>
            </a:ext>
          </a:extLst>
        </xdr:cNvPr>
        <xdr:cNvSpPr/>
      </xdr:nvSpPr>
      <xdr:spPr>
        <a:xfrm>
          <a:off x="9391650" y="819150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1F017C4B-1695-4756-B1C0-085342B8AE79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4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3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hyperlink" Target="mailto:#3@15" TargetMode="External"/><Relationship Id="rId39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34" Type="http://schemas.openxmlformats.org/officeDocument/2006/relationships/hyperlink" Target="mailto:#3@15" TargetMode="External"/><Relationship Id="rId42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29" Type="http://schemas.openxmlformats.org/officeDocument/2006/relationships/hyperlink" Target="mailto:#3@15" TargetMode="External"/><Relationship Id="rId41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32" Type="http://schemas.openxmlformats.org/officeDocument/2006/relationships/hyperlink" Target="mailto:#3@15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15" TargetMode="External"/><Relationship Id="rId36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31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15" TargetMode="External"/><Relationship Id="rId35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opLeftCell="B71" zoomScaleNormal="100" workbookViewId="0">
      <selection activeCell="L88" sqref="L88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623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640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:Q62" si="2">I59</f>
        <v>左端</v>
      </c>
      <c r="Q59" s="1" t="str">
        <f t="shared" si="2"/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>CONCATENATE(O60,P60,Q60,R60,S60)</f>
        <v>請確認是否符合 左端上層筋上限 規定</v>
      </c>
      <c r="N60" s="1" t="str">
        <f t="shared" ref="N60:N106" si="3">C60</f>
        <v>0206</v>
      </c>
      <c r="O60" s="1" t="s">
        <v>383</v>
      </c>
      <c r="P60" s="1" t="str">
        <f t="shared" si="2"/>
        <v>左端</v>
      </c>
      <c r="Q60" s="1" t="str">
        <f t="shared" si="2"/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>CONCATENATE(O61,P61,Q61,R61,S61)</f>
        <v>請確認是否符合 右端上層筋下限 規定</v>
      </c>
      <c r="N61" s="1" t="str">
        <f t="shared" si="3"/>
        <v>0207</v>
      </c>
      <c r="O61" s="1" t="s">
        <v>383</v>
      </c>
      <c r="P61" s="1" t="str">
        <f t="shared" si="2"/>
        <v>右端</v>
      </c>
      <c r="Q61" s="1" t="str">
        <f t="shared" si="2"/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>CONCATENATE(O62,P62,Q62,R62,S62)</f>
        <v>請確認是否符合 右端上層筋上限 規定</v>
      </c>
      <c r="N62" s="1" t="str">
        <f t="shared" si="3"/>
        <v>0208</v>
      </c>
      <c r="O62" s="1" t="s">
        <v>383</v>
      </c>
      <c r="P62" s="1" t="str">
        <f t="shared" si="2"/>
        <v>右端</v>
      </c>
      <c r="Q62" s="1" t="str">
        <f t="shared" si="2"/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3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>CONCATENATE(O64,P64,Q64,R64,S64)</f>
        <v>請確認是否符合 左端下層筋下限 規定</v>
      </c>
      <c r="N64" s="1" t="str">
        <f t="shared" si="3"/>
        <v>0210</v>
      </c>
      <c r="O64" s="1" t="s">
        <v>383</v>
      </c>
      <c r="P64" s="1" t="str">
        <f t="shared" ref="P64:Q67" si="4">I64</f>
        <v>左端</v>
      </c>
      <c r="Q64" s="1" t="str">
        <f t="shared" si="4"/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>CONCATENATE(O65,P65,Q65,R65,S65)</f>
        <v>請確認是否符合 左端下層筋上限 規定</v>
      </c>
      <c r="N65" s="1" t="str">
        <f t="shared" si="3"/>
        <v>0211</v>
      </c>
      <c r="O65" s="1" t="s">
        <v>383</v>
      </c>
      <c r="P65" s="1" t="str">
        <f t="shared" si="4"/>
        <v>左端</v>
      </c>
      <c r="Q65" s="1" t="str">
        <f t="shared" si="4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>CONCATENATE(O66,P66,Q66,R66,S66)</f>
        <v>請確認是否符合 右端下層筋下限 規定</v>
      </c>
      <c r="N66" s="1" t="str">
        <f t="shared" si="3"/>
        <v>0212</v>
      </c>
      <c r="O66" s="1" t="s">
        <v>383</v>
      </c>
      <c r="P66" s="1" t="str">
        <f t="shared" si="4"/>
        <v>右端</v>
      </c>
      <c r="Q66" s="1" t="str">
        <f t="shared" si="4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>CONCATENATE(O67,P67,Q67,R67,S67)</f>
        <v>請確認是否符合 右端下層筋上限 規定</v>
      </c>
      <c r="N67" s="1" t="str">
        <f t="shared" si="3"/>
        <v>0213</v>
      </c>
      <c r="O67" s="1" t="s">
        <v>383</v>
      </c>
      <c r="P67" s="1" t="str">
        <f t="shared" si="4"/>
        <v>右端</v>
      </c>
      <c r="Q67" s="1" t="str">
        <f t="shared" si="4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3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>CONCATENATE(O69,P69,Q69,R69,S69)</f>
        <v>請確認是否符合 中央上層筋下限 規定</v>
      </c>
      <c r="N69" s="1" t="str">
        <f t="shared" si="3"/>
        <v>0215</v>
      </c>
      <c r="O69" s="1" t="s">
        <v>383</v>
      </c>
      <c r="P69" s="1" t="str">
        <f t="shared" ref="P69:Q71" si="5">I69</f>
        <v>中央</v>
      </c>
      <c r="Q69" s="1" t="str">
        <f t="shared" si="5"/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383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>CONCATENATE(O71,P71,Q71,R71,S71)</f>
        <v>請確認是否符合 中央下層筋上限 規定</v>
      </c>
      <c r="N71" s="1" t="str">
        <f t="shared" si="3"/>
        <v>0217</v>
      </c>
      <c r="O71" s="1" t="s">
        <v>383</v>
      </c>
      <c r="P71" s="1" t="str">
        <f t="shared" si="5"/>
        <v>中央</v>
      </c>
      <c r="Q71" s="1" t="str">
        <f t="shared" si="5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3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>CONCATENATE(O73,P73,Q73,R73,S73)</f>
        <v>請確認是否符合 左端上層筋下限 規定</v>
      </c>
      <c r="N73" s="1" t="str">
        <f t="shared" si="3"/>
        <v>0219</v>
      </c>
      <c r="O73" s="1" t="s">
        <v>383</v>
      </c>
      <c r="P73" s="1" t="str">
        <f t="shared" ref="P73:Q76" si="6">I73</f>
        <v>左端</v>
      </c>
      <c r="Q73" s="1" t="str">
        <f t="shared" si="6"/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>CONCATENATE(O74,P74,Q74,R74,S74)</f>
        <v>請確認是否符合 左端上層筋上限 規定</v>
      </c>
      <c r="N74" s="1" t="str">
        <f t="shared" si="3"/>
        <v>0220</v>
      </c>
      <c r="O74" s="1" t="s">
        <v>383</v>
      </c>
      <c r="P74" s="1" t="str">
        <f t="shared" si="6"/>
        <v>左端</v>
      </c>
      <c r="Q74" s="1" t="str">
        <f t="shared" si="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>CONCATENATE(O75,P75,Q75,R75,S75)</f>
        <v>請確認是否符合 右端上層筋下限 規定</v>
      </c>
      <c r="N75" s="1" t="str">
        <f t="shared" si="3"/>
        <v>0221</v>
      </c>
      <c r="O75" s="1" t="s">
        <v>383</v>
      </c>
      <c r="P75" s="1" t="str">
        <f t="shared" si="6"/>
        <v>右端</v>
      </c>
      <c r="Q75" s="1" t="str">
        <f t="shared" si="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>CONCATENATE(O76,P76,Q76,R76,S76)</f>
        <v>請確認是否符合 右端上層筋上限 規定</v>
      </c>
      <c r="N76" s="1" t="str">
        <f t="shared" si="3"/>
        <v>0222</v>
      </c>
      <c r="O76" s="1" t="s">
        <v>383</v>
      </c>
      <c r="P76" s="1" t="str">
        <f t="shared" si="6"/>
        <v>右端</v>
      </c>
      <c r="Q76" s="1" t="str">
        <f t="shared" si="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3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>CONCATENATE(O78,P78,Q78,R78,S78)</f>
        <v>請確認是否符合 左端下層筋下限 規定</v>
      </c>
      <c r="N78" s="1" t="str">
        <f t="shared" si="3"/>
        <v>0224</v>
      </c>
      <c r="O78" s="1" t="s">
        <v>383</v>
      </c>
      <c r="P78" s="1" t="str">
        <f t="shared" ref="P78:Q81" si="7">I78</f>
        <v>左端</v>
      </c>
      <c r="Q78" s="1" t="str">
        <f t="shared" si="7"/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>CONCATENATE(O79,P79,Q79,R79,S79)</f>
        <v>請確認是否符合 左端下層筋上限 規定</v>
      </c>
      <c r="N79" s="1" t="str">
        <f t="shared" si="3"/>
        <v>0225</v>
      </c>
      <c r="O79" s="1" t="s">
        <v>383</v>
      </c>
      <c r="P79" s="1" t="str">
        <f t="shared" si="7"/>
        <v>左端</v>
      </c>
      <c r="Q79" s="1" t="str">
        <f t="shared" si="7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>CONCATENATE(O80,P80,Q80,R80,S80)</f>
        <v>請確認是否符合 右端下層筋下限 規定</v>
      </c>
      <c r="N80" s="1" t="str">
        <f t="shared" si="3"/>
        <v>0226</v>
      </c>
      <c r="O80" s="1" t="s">
        <v>383</v>
      </c>
      <c r="P80" s="1" t="str">
        <f t="shared" si="7"/>
        <v>右端</v>
      </c>
      <c r="Q80" s="1" t="str">
        <f t="shared" si="7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>CONCATENATE(O81,P81,Q81,R81,S81)</f>
        <v>請確認是否符合 右端下層筋上限 規定</v>
      </c>
      <c r="N81" s="1" t="str">
        <f t="shared" si="3"/>
        <v>0227</v>
      </c>
      <c r="O81" s="1" t="s">
        <v>383</v>
      </c>
      <c r="P81" s="1" t="str">
        <f t="shared" si="7"/>
        <v>右端</v>
      </c>
      <c r="Q81" s="1" t="str">
        <f t="shared" si="7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624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3"/>
        <v>0228</v>
      </c>
    </row>
    <row r="83" spans="2:19" x14ac:dyDescent="0.25">
      <c r="B83" s="14"/>
      <c r="C83" s="3" t="s">
        <v>625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>CONCATENATE(O83,P83,Q83,R83,S83)</f>
        <v>請確認是否符合 中央上層筋下限 規定</v>
      </c>
      <c r="N83" s="1" t="str">
        <f t="shared" si="3"/>
        <v>0229</v>
      </c>
      <c r="O83" s="1" t="s">
        <v>383</v>
      </c>
      <c r="P83" s="1" t="str">
        <f>I83</f>
        <v>中央</v>
      </c>
      <c r="Q83" s="1" t="str">
        <f t="shared" ref="Q83:R85" si="8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626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>CONCATENATE(O84,P84,Q84,R84,S84)</f>
        <v>請確認是否符合 中央上層筋相對鋼筋量 規定</v>
      </c>
      <c r="N84" s="1" t="str">
        <f t="shared" si="3"/>
        <v>0230</v>
      </c>
      <c r="O84" s="1" t="s">
        <v>383</v>
      </c>
      <c r="P84" s="1" t="str">
        <f>I84</f>
        <v>中央</v>
      </c>
      <c r="Q84" s="1" t="str">
        <f t="shared" si="8"/>
        <v>上層筋</v>
      </c>
      <c r="R84" s="1" t="str">
        <f t="shared" si="8"/>
        <v>相對鋼筋量</v>
      </c>
      <c r="S84" s="1" t="s">
        <v>384</v>
      </c>
    </row>
    <row r="85" spans="2:19" x14ac:dyDescent="0.25">
      <c r="B85" s="14"/>
      <c r="C85" s="3" t="s">
        <v>627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>CONCATENATE(O85,P85,Q85,R85,S85)</f>
        <v>請確認是否符合 中央下層筋上限 規定</v>
      </c>
      <c r="N85" s="1" t="str">
        <f t="shared" si="3"/>
        <v>0231</v>
      </c>
      <c r="O85" s="1" t="s">
        <v>383</v>
      </c>
      <c r="P85" s="1" t="str">
        <f>I85</f>
        <v>中央</v>
      </c>
      <c r="Q85" s="1" t="str">
        <f t="shared" si="8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628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3"/>
        <v>0232</v>
      </c>
    </row>
    <row r="87" spans="2:19" x14ac:dyDescent="0.25">
      <c r="B87" s="14"/>
      <c r="C87" s="3" t="s">
        <v>629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0233</v>
      </c>
    </row>
    <row r="88" spans="2:19" x14ac:dyDescent="0.25">
      <c r="B88" s="14"/>
      <c r="C88" s="3" t="s">
        <v>630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3"/>
        <v>0234</v>
      </c>
      <c r="O88" s="1" t="s">
        <v>383</v>
      </c>
      <c r="P88" s="1" t="str">
        <f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631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3"/>
        <v>0235</v>
      </c>
      <c r="O89" s="1" t="s">
        <v>383</v>
      </c>
      <c r="P89" s="1" t="str">
        <f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632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3"/>
        <v>0236</v>
      </c>
    </row>
    <row r="91" spans="2:19" x14ac:dyDescent="0.25">
      <c r="B91" s="14"/>
      <c r="C91" s="3" t="s">
        <v>633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3"/>
        <v>0237</v>
      </c>
      <c r="O91" s="1" t="s">
        <v>383</v>
      </c>
      <c r="P91" s="1" t="str">
        <f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634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3"/>
        <v>0238</v>
      </c>
      <c r="O92" s="1" t="s">
        <v>383</v>
      </c>
      <c r="P92" s="1" t="str">
        <f>I92</f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635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3"/>
        <v>0239</v>
      </c>
    </row>
    <row r="94" spans="2:19" x14ac:dyDescent="0.25">
      <c r="B94" s="14"/>
      <c r="C94" s="3" t="s">
        <v>636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3"/>
        <v>0240</v>
      </c>
      <c r="O94" s="1" t="s">
        <v>383</v>
      </c>
      <c r="P94" s="1" t="str">
        <f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637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3"/>
        <v>0241</v>
      </c>
      <c r="O95" s="1" t="s">
        <v>383</v>
      </c>
      <c r="P95" s="1" t="str">
        <f>I95</f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3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3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3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3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3"/>
        <v>0302</v>
      </c>
      <c r="O100" s="1" t="s">
        <v>383</v>
      </c>
      <c r="P100" s="1" t="str">
        <f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3"/>
        <v>0303</v>
      </c>
      <c r="O101" s="1" t="s">
        <v>383</v>
      </c>
      <c r="P101" s="1" t="str">
        <f>I101</f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3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3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3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3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3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>I111</f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>I115</f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>I119</f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>CONCATENATE(O126,P126,Q126,R126)</f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>CONCATENATE(O127,P127,Q127,R127)</f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>CONCATENATE(O129,P129,Q129,R129)</f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>I138</f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>I141</f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>I151</f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>CONCATENATE(O156,P156,Q156,R156)</f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>I158</f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>I159</f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>I160</f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>I165</f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>I166</f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>I167</f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>I174</f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>I177</f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>CONCATENATE(O201,P201,Q201,R201,S201)</f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2"/>
  <sheetViews>
    <sheetView workbookViewId="0">
      <selection activeCell="O16" sqref="O16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1" width="9" style="82"/>
    <col min="12" max="12" width="9" style="83"/>
    <col min="13" max="16384" width="9" style="79"/>
  </cols>
  <sheetData>
    <row r="1" spans="1:12" ht="16.5" thickBot="1" x14ac:dyDescent="0.3">
      <c r="A1" s="79" t="s">
        <v>415</v>
      </c>
      <c r="B1" s="80">
        <f ca="1">NOW()</f>
        <v>42891.414177314815</v>
      </c>
      <c r="C1" s="80"/>
      <c r="D1" s="84" t="s">
        <v>419</v>
      </c>
      <c r="E1" s="85" t="s">
        <v>425</v>
      </c>
      <c r="F1" s="85" t="s">
        <v>639</v>
      </c>
      <c r="G1" s="85" t="s">
        <v>641</v>
      </c>
      <c r="H1" s="85" t="s">
        <v>642</v>
      </c>
      <c r="I1" s="85" t="s">
        <v>427</v>
      </c>
      <c r="J1" s="85" t="s">
        <v>428</v>
      </c>
      <c r="K1" s="85" t="s">
        <v>434</v>
      </c>
      <c r="L1" s="86" t="s">
        <v>435</v>
      </c>
    </row>
    <row r="2" spans="1:12" ht="16.5" thickTop="1" x14ac:dyDescent="0.25">
      <c r="A2" s="79" t="s">
        <v>416</v>
      </c>
      <c r="D2" s="81" t="s">
        <v>429</v>
      </c>
      <c r="E2" s="82">
        <v>4200</v>
      </c>
      <c r="F2" s="82">
        <v>4200</v>
      </c>
      <c r="G2" s="82">
        <v>280</v>
      </c>
      <c r="H2" s="82">
        <v>280</v>
      </c>
      <c r="I2" s="82">
        <v>0.1</v>
      </c>
      <c r="J2" s="82">
        <v>0.5</v>
      </c>
      <c r="K2" s="82">
        <v>8</v>
      </c>
      <c r="L2" s="83">
        <v>8</v>
      </c>
    </row>
    <row r="3" spans="1:12" x14ac:dyDescent="0.25">
      <c r="A3" s="79" t="s">
        <v>417</v>
      </c>
      <c r="D3" s="81" t="s">
        <v>431</v>
      </c>
      <c r="E3" s="82">
        <v>4200</v>
      </c>
      <c r="F3" s="82">
        <v>4200</v>
      </c>
      <c r="G3" s="82">
        <v>280</v>
      </c>
      <c r="H3" s="82">
        <v>280</v>
      </c>
      <c r="I3" s="82">
        <v>0.1</v>
      </c>
      <c r="J3" s="82">
        <v>0.5</v>
      </c>
      <c r="K3" s="82">
        <v>8</v>
      </c>
      <c r="L3" s="83">
        <v>8</v>
      </c>
    </row>
    <row r="4" spans="1:12" x14ac:dyDescent="0.25">
      <c r="D4" s="81" t="s">
        <v>432</v>
      </c>
      <c r="E4" s="82">
        <v>4200</v>
      </c>
      <c r="F4" s="82">
        <v>4200</v>
      </c>
      <c r="G4" s="82">
        <v>280</v>
      </c>
      <c r="H4" s="82">
        <v>280</v>
      </c>
      <c r="I4" s="82">
        <v>0.1</v>
      </c>
      <c r="J4" s="82">
        <v>0.5</v>
      </c>
      <c r="K4" s="82">
        <v>8</v>
      </c>
      <c r="L4" s="83">
        <v>8</v>
      </c>
    </row>
    <row r="5" spans="1:12" x14ac:dyDescent="0.25">
      <c r="D5" s="81" t="s">
        <v>433</v>
      </c>
      <c r="E5" s="82">
        <v>4200</v>
      </c>
      <c r="F5" s="82">
        <v>4200</v>
      </c>
      <c r="G5" s="82">
        <v>280</v>
      </c>
      <c r="H5" s="82">
        <v>280</v>
      </c>
      <c r="I5" s="82">
        <v>0.1</v>
      </c>
      <c r="J5" s="82">
        <v>0.5</v>
      </c>
      <c r="K5" s="82">
        <v>8</v>
      </c>
      <c r="L5" s="83">
        <v>8</v>
      </c>
    </row>
    <row r="6" spans="1:12" x14ac:dyDescent="0.25">
      <c r="D6" s="81" t="s">
        <v>426</v>
      </c>
      <c r="E6" s="82">
        <v>4200</v>
      </c>
      <c r="F6" s="82">
        <v>4200</v>
      </c>
      <c r="G6" s="82">
        <v>280</v>
      </c>
      <c r="H6" s="82">
        <v>280</v>
      </c>
      <c r="I6" s="82">
        <v>0.1</v>
      </c>
      <c r="J6" s="82">
        <v>0.5</v>
      </c>
      <c r="K6" s="82">
        <v>8</v>
      </c>
      <c r="L6" s="83">
        <v>8</v>
      </c>
    </row>
    <row r="7" spans="1:12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280</v>
      </c>
      <c r="I7" s="82">
        <v>0.1</v>
      </c>
      <c r="J7" s="82">
        <v>0.5</v>
      </c>
      <c r="K7" s="82">
        <v>8</v>
      </c>
      <c r="L7" s="83">
        <v>8</v>
      </c>
    </row>
    <row r="8" spans="1:12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280</v>
      </c>
      <c r="I8" s="82">
        <v>0.1</v>
      </c>
      <c r="J8" s="82">
        <v>0.5</v>
      </c>
      <c r="K8" s="82">
        <v>8</v>
      </c>
      <c r="L8" s="83">
        <v>8</v>
      </c>
    </row>
    <row r="9" spans="1:12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280</v>
      </c>
      <c r="I9" s="82">
        <v>0.1</v>
      </c>
      <c r="J9" s="82">
        <v>0.5</v>
      </c>
      <c r="K9" s="82">
        <v>8</v>
      </c>
      <c r="L9" s="83">
        <v>8</v>
      </c>
    </row>
    <row r="10" spans="1:12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280</v>
      </c>
      <c r="I10" s="82">
        <v>0.1</v>
      </c>
      <c r="J10" s="82">
        <v>0.5</v>
      </c>
      <c r="K10" s="82">
        <v>8</v>
      </c>
      <c r="L10" s="83">
        <v>8</v>
      </c>
    </row>
    <row r="11" spans="1:12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280</v>
      </c>
      <c r="I11" s="82">
        <v>0.1</v>
      </c>
      <c r="J11" s="82">
        <v>0.5</v>
      </c>
      <c r="K11" s="82">
        <v>8</v>
      </c>
      <c r="L11" s="83">
        <v>8</v>
      </c>
    </row>
    <row r="12" spans="1:12" x14ac:dyDescent="0.25">
      <c r="D12" s="81" t="s">
        <v>644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I17" sqref="I17"/>
    </sheetView>
  </sheetViews>
  <sheetFormatPr defaultRowHeight="15.75" x14ac:dyDescent="0.25"/>
  <cols>
    <col min="1" max="1" width="9.75" style="101" bestFit="1" customWidth="1"/>
    <col min="2" max="2" width="15.75" style="103" bestFit="1" customWidth="1"/>
    <col min="3" max="3" width="14.125" style="103" bestFit="1" customWidth="1"/>
    <col min="4" max="4" width="15.375" style="103" bestFit="1" customWidth="1"/>
    <col min="5" max="5" width="12.625" style="103" bestFit="1" customWidth="1"/>
    <col min="6" max="6" width="13.875" style="103" bestFit="1" customWidth="1"/>
    <col min="7" max="7" width="13.875" style="101" bestFit="1" customWidth="1"/>
    <col min="8" max="8" width="14.625" style="103" bestFit="1" customWidth="1"/>
    <col min="9" max="9" width="16.875" style="103" bestFit="1" customWidth="1"/>
    <col min="10" max="10" width="19.75" style="101" bestFit="1" customWidth="1"/>
    <col min="11" max="16384" width="9" style="103"/>
  </cols>
  <sheetData>
    <row r="1" spans="1:10" x14ac:dyDescent="0.25">
      <c r="A1" s="101" t="s">
        <v>650</v>
      </c>
      <c r="B1" s="102" t="s">
        <v>651</v>
      </c>
      <c r="C1" s="103" t="s">
        <v>652</v>
      </c>
      <c r="D1" s="103" t="s">
        <v>653</v>
      </c>
      <c r="E1" s="103" t="s">
        <v>654</v>
      </c>
      <c r="F1" s="103" t="s">
        <v>655</v>
      </c>
      <c r="G1" s="101" t="s">
        <v>656</v>
      </c>
      <c r="H1" s="103" t="s">
        <v>657</v>
      </c>
      <c r="I1" s="103" t="s">
        <v>658</v>
      </c>
      <c r="J1" s="101" t="s">
        <v>659</v>
      </c>
    </row>
    <row r="2" spans="1:10" x14ac:dyDescent="0.25">
      <c r="A2" s="101" t="s">
        <v>593</v>
      </c>
      <c r="B2" s="103" t="s">
        <v>594</v>
      </c>
      <c r="C2" s="103">
        <v>0.376</v>
      </c>
      <c r="D2" s="103">
        <v>0.56100000000000005</v>
      </c>
      <c r="E2" s="103" t="s">
        <v>595</v>
      </c>
      <c r="F2" s="103">
        <v>9.5250000000000004</v>
      </c>
      <c r="G2" s="101">
        <f>F2/10</f>
        <v>0.95250000000000001</v>
      </c>
      <c r="H2" s="103">
        <v>0.11</v>
      </c>
      <c r="I2" s="103">
        <v>71</v>
      </c>
      <c r="J2" s="101">
        <f>I2/100</f>
        <v>0.71</v>
      </c>
    </row>
    <row r="3" spans="1:10" x14ac:dyDescent="0.25">
      <c r="A3" s="101" t="s">
        <v>596</v>
      </c>
      <c r="B3" s="103" t="s">
        <v>597</v>
      </c>
      <c r="C3" s="103">
        <v>0.66800000000000004</v>
      </c>
      <c r="D3" s="103">
        <v>0.996</v>
      </c>
      <c r="E3" s="103" t="s">
        <v>598</v>
      </c>
      <c r="F3" s="103">
        <v>12.7</v>
      </c>
      <c r="G3" s="101">
        <f t="shared" ref="G3:G13" si="0">F3/10</f>
        <v>1.27</v>
      </c>
      <c r="H3" s="103">
        <v>0.2</v>
      </c>
      <c r="I3" s="103">
        <v>127</v>
      </c>
      <c r="J3" s="101">
        <f t="shared" ref="J3:J13" si="1">I3/100</f>
        <v>1.27</v>
      </c>
    </row>
    <row r="4" spans="1:10" x14ac:dyDescent="0.25">
      <c r="A4" s="101" t="s">
        <v>599</v>
      </c>
      <c r="B4" s="103" t="s">
        <v>600</v>
      </c>
      <c r="C4" s="103">
        <v>1.0429999999999999</v>
      </c>
      <c r="D4" s="103">
        <v>1.556</v>
      </c>
      <c r="E4" s="103" t="s">
        <v>601</v>
      </c>
      <c r="F4" s="103">
        <v>15.875</v>
      </c>
      <c r="G4" s="101">
        <f t="shared" si="0"/>
        <v>1.5874999999999999</v>
      </c>
      <c r="H4" s="103">
        <v>0.31</v>
      </c>
      <c r="I4" s="103">
        <v>200</v>
      </c>
      <c r="J4" s="101">
        <f t="shared" si="1"/>
        <v>2</v>
      </c>
    </row>
    <row r="5" spans="1:10" x14ac:dyDescent="0.25">
      <c r="A5" s="101" t="s">
        <v>602</v>
      </c>
      <c r="B5" s="103" t="s">
        <v>603</v>
      </c>
      <c r="C5" s="103">
        <v>1.502</v>
      </c>
      <c r="D5" s="103">
        <v>2.2400000000000002</v>
      </c>
      <c r="E5" s="103" t="s">
        <v>604</v>
      </c>
      <c r="F5" s="103">
        <v>19.05</v>
      </c>
      <c r="G5" s="101">
        <f t="shared" si="0"/>
        <v>1.905</v>
      </c>
      <c r="H5" s="103">
        <v>0.44</v>
      </c>
      <c r="I5" s="103">
        <v>284</v>
      </c>
      <c r="J5" s="101">
        <f t="shared" si="1"/>
        <v>2.84</v>
      </c>
    </row>
    <row r="6" spans="1:10" x14ac:dyDescent="0.25">
      <c r="A6" s="101" t="s">
        <v>605</v>
      </c>
      <c r="B6" s="103" t="s">
        <v>606</v>
      </c>
      <c r="C6" s="103">
        <v>2.044</v>
      </c>
      <c r="D6" s="103">
        <v>3.0489999999999999</v>
      </c>
      <c r="E6" s="103" t="s">
        <v>607</v>
      </c>
      <c r="F6" s="103">
        <v>22.225000000000001</v>
      </c>
      <c r="G6" s="101">
        <f t="shared" si="0"/>
        <v>2.2225000000000001</v>
      </c>
      <c r="H6" s="103">
        <v>0.6</v>
      </c>
      <c r="I6" s="103">
        <v>387</v>
      </c>
      <c r="J6" s="101">
        <f t="shared" si="1"/>
        <v>3.87</v>
      </c>
    </row>
    <row r="7" spans="1:10" x14ac:dyDescent="0.25">
      <c r="A7" s="101" t="s">
        <v>608</v>
      </c>
      <c r="B7" s="103" t="s">
        <v>609</v>
      </c>
      <c r="C7" s="103">
        <v>2.67</v>
      </c>
      <c r="D7" s="103">
        <v>3.9820000000000002</v>
      </c>
      <c r="E7" s="103" t="s">
        <v>610</v>
      </c>
      <c r="F7" s="103">
        <v>25.4</v>
      </c>
      <c r="G7" s="101">
        <f t="shared" si="0"/>
        <v>2.54</v>
      </c>
      <c r="H7" s="103">
        <v>0.79</v>
      </c>
      <c r="I7" s="103">
        <v>509</v>
      </c>
      <c r="J7" s="101">
        <f t="shared" si="1"/>
        <v>5.09</v>
      </c>
    </row>
    <row r="8" spans="1:10" x14ac:dyDescent="0.25">
      <c r="A8" s="101" t="s">
        <v>611</v>
      </c>
      <c r="B8" s="103" t="s">
        <v>612</v>
      </c>
      <c r="C8" s="103">
        <v>3.4</v>
      </c>
      <c r="D8" s="103">
        <v>5.0709999999999997</v>
      </c>
      <c r="E8" s="103">
        <v>1.1279999999999999</v>
      </c>
      <c r="F8" s="103">
        <v>28.65</v>
      </c>
      <c r="G8" s="101">
        <f t="shared" si="0"/>
        <v>2.8649999999999998</v>
      </c>
      <c r="H8" s="103">
        <v>1</v>
      </c>
      <c r="I8" s="103">
        <v>645</v>
      </c>
      <c r="J8" s="101">
        <f t="shared" si="1"/>
        <v>6.45</v>
      </c>
    </row>
    <row r="9" spans="1:10" x14ac:dyDescent="0.25">
      <c r="A9" s="101" t="s">
        <v>594</v>
      </c>
      <c r="B9" s="103" t="s">
        <v>613</v>
      </c>
      <c r="C9" s="103">
        <v>4.3029999999999999</v>
      </c>
      <c r="D9" s="103">
        <v>6.4180000000000001</v>
      </c>
      <c r="E9" s="103">
        <v>1.27</v>
      </c>
      <c r="F9" s="103">
        <v>32.26</v>
      </c>
      <c r="G9" s="101">
        <f t="shared" si="0"/>
        <v>3.226</v>
      </c>
      <c r="H9" s="103">
        <v>1.27</v>
      </c>
      <c r="I9" s="103">
        <v>819</v>
      </c>
      <c r="J9" s="101">
        <f t="shared" si="1"/>
        <v>8.19</v>
      </c>
    </row>
    <row r="10" spans="1:10" x14ac:dyDescent="0.25">
      <c r="A10" s="101" t="s">
        <v>614</v>
      </c>
      <c r="B10" s="103" t="s">
        <v>615</v>
      </c>
      <c r="C10" s="103">
        <v>5.3129999999999997</v>
      </c>
      <c r="D10" s="103">
        <v>7.9240000000000004</v>
      </c>
      <c r="E10" s="103">
        <v>1.41</v>
      </c>
      <c r="F10" s="103">
        <v>35.81</v>
      </c>
      <c r="G10" s="101">
        <f t="shared" si="0"/>
        <v>3.5810000000000004</v>
      </c>
      <c r="H10" s="103">
        <v>1.56</v>
      </c>
      <c r="I10" s="103">
        <v>1006</v>
      </c>
      <c r="J10" s="101">
        <f t="shared" si="1"/>
        <v>10.06</v>
      </c>
    </row>
    <row r="11" spans="1:10" x14ac:dyDescent="0.25">
      <c r="A11" s="101" t="s">
        <v>616</v>
      </c>
      <c r="B11" s="103" t="s">
        <v>617</v>
      </c>
      <c r="C11" s="103">
        <v>6.4240000000000004</v>
      </c>
      <c r="D11" s="103">
        <v>9.6189999999999998</v>
      </c>
      <c r="E11" s="103">
        <v>1.5</v>
      </c>
      <c r="F11" s="103">
        <v>38.1</v>
      </c>
      <c r="G11" s="101">
        <f t="shared" si="0"/>
        <v>3.81</v>
      </c>
      <c r="H11" s="103">
        <v>1.76</v>
      </c>
      <c r="I11" s="103">
        <v>1140</v>
      </c>
      <c r="J11" s="101">
        <f t="shared" si="1"/>
        <v>11.4</v>
      </c>
    </row>
    <row r="12" spans="1:10" x14ac:dyDescent="0.25">
      <c r="A12" s="101" t="s">
        <v>618</v>
      </c>
      <c r="B12" s="103" t="s">
        <v>619</v>
      </c>
      <c r="C12" s="103">
        <v>7.65</v>
      </c>
      <c r="D12" s="103">
        <v>11.41</v>
      </c>
      <c r="E12" s="103">
        <v>1.6930000000000001</v>
      </c>
      <c r="F12" s="103">
        <v>43</v>
      </c>
      <c r="G12" s="101">
        <f t="shared" si="0"/>
        <v>4.3</v>
      </c>
      <c r="H12" s="103">
        <v>2.25</v>
      </c>
      <c r="I12" s="103">
        <v>1452</v>
      </c>
      <c r="J12" s="101">
        <f t="shared" si="1"/>
        <v>14.52</v>
      </c>
    </row>
    <row r="13" spans="1:10" x14ac:dyDescent="0.25">
      <c r="A13" s="101" t="s">
        <v>620</v>
      </c>
      <c r="B13" s="103" t="s">
        <v>621</v>
      </c>
      <c r="C13" s="103">
        <v>13.6</v>
      </c>
      <c r="D13" s="103">
        <v>20.283999999999999</v>
      </c>
      <c r="E13" s="103">
        <v>2.2570000000000001</v>
      </c>
      <c r="F13" s="103">
        <v>57.33</v>
      </c>
      <c r="G13" s="101">
        <f t="shared" si="0"/>
        <v>5.7329999999999997</v>
      </c>
      <c r="H13" s="103">
        <v>4</v>
      </c>
      <c r="I13" s="103">
        <v>2581</v>
      </c>
      <c r="J13" s="101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L55"/>
  <sheetViews>
    <sheetView workbookViewId="0">
      <pane ySplit="2" topLeftCell="A3" activePane="bottomLeft" state="frozen"/>
      <selection activeCell="B4" sqref="B4"/>
      <selection pane="bottomLeft" activeCell="C6" sqref="B6:C6"/>
    </sheetView>
  </sheetViews>
  <sheetFormatPr defaultRowHeight="16.5" x14ac:dyDescent="0.25"/>
  <cols>
    <col min="1" max="1" width="9" style="99"/>
    <col min="2" max="2" width="9" style="87"/>
    <col min="3" max="4" width="9.625" style="87" customWidth="1"/>
    <col min="5" max="12" width="10.625" style="87" customWidth="1"/>
    <col min="13" max="13" width="10.125" style="87" customWidth="1"/>
    <col min="14" max="16384" width="9" style="87"/>
  </cols>
  <sheetData>
    <row r="1" spans="1:12" x14ac:dyDescent="0.25">
      <c r="B1" s="106" t="s">
        <v>539</v>
      </c>
      <c r="C1" s="91" t="s">
        <v>540</v>
      </c>
      <c r="D1" s="91" t="s">
        <v>541</v>
      </c>
      <c r="E1" s="110" t="s">
        <v>542</v>
      </c>
      <c r="F1" s="111"/>
      <c r="G1" s="112"/>
      <c r="H1" s="106" t="s">
        <v>543</v>
      </c>
      <c r="I1" s="106"/>
      <c r="J1" s="106"/>
      <c r="K1" s="106"/>
      <c r="L1" s="106" t="s">
        <v>544</v>
      </c>
    </row>
    <row r="2" spans="1:12" x14ac:dyDescent="0.25">
      <c r="B2" s="106"/>
      <c r="C2" s="91" t="s">
        <v>545</v>
      </c>
      <c r="D2" s="91" t="s">
        <v>546</v>
      </c>
      <c r="E2" s="91" t="s">
        <v>439</v>
      </c>
      <c r="F2" s="91" t="s">
        <v>547</v>
      </c>
      <c r="G2" s="91" t="s">
        <v>548</v>
      </c>
      <c r="H2" s="91" t="s">
        <v>549</v>
      </c>
      <c r="I2" s="91" t="s">
        <v>550</v>
      </c>
      <c r="J2" s="91" t="s">
        <v>551</v>
      </c>
      <c r="K2" s="91" t="s">
        <v>552</v>
      </c>
      <c r="L2" s="106"/>
    </row>
    <row r="3" spans="1:12" x14ac:dyDescent="0.25">
      <c r="A3" s="99" t="s">
        <v>643</v>
      </c>
      <c r="B3" s="91" t="s">
        <v>553</v>
      </c>
      <c r="C3" s="94" t="s">
        <v>554</v>
      </c>
      <c r="D3" s="94" t="s">
        <v>555</v>
      </c>
      <c r="E3" s="94" t="s">
        <v>554</v>
      </c>
      <c r="F3" s="94" t="s">
        <v>555</v>
      </c>
      <c r="G3" s="94" t="s">
        <v>461</v>
      </c>
      <c r="H3" s="94" t="s">
        <v>555</v>
      </c>
      <c r="I3" s="94" t="s">
        <v>462</v>
      </c>
      <c r="J3" s="94" t="s">
        <v>555</v>
      </c>
      <c r="K3" s="94" t="s">
        <v>555</v>
      </c>
      <c r="L3" s="94" t="s">
        <v>556</v>
      </c>
    </row>
    <row r="4" spans="1:12" x14ac:dyDescent="0.25">
      <c r="A4" s="99">
        <v>13</v>
      </c>
      <c r="B4" s="91" t="s">
        <v>557</v>
      </c>
      <c r="C4" s="94" t="s">
        <v>461</v>
      </c>
      <c r="D4" s="94" t="s">
        <v>554</v>
      </c>
      <c r="E4" s="94" t="s">
        <v>462</v>
      </c>
      <c r="F4" s="94" t="s">
        <v>462</v>
      </c>
      <c r="G4" s="94" t="s">
        <v>555</v>
      </c>
      <c r="H4" s="94" t="s">
        <v>461</v>
      </c>
      <c r="I4" s="94" t="s">
        <v>554</v>
      </c>
      <c r="J4" s="94" t="s">
        <v>462</v>
      </c>
      <c r="K4" s="94" t="s">
        <v>462</v>
      </c>
      <c r="L4" s="94" t="s">
        <v>555</v>
      </c>
    </row>
    <row r="5" spans="1:12" x14ac:dyDescent="0.25">
      <c r="A5" s="99">
        <v>12</v>
      </c>
      <c r="B5" s="91" t="s">
        <v>558</v>
      </c>
      <c r="C5" s="94" t="s">
        <v>554</v>
      </c>
      <c r="D5" s="94" t="s">
        <v>461</v>
      </c>
      <c r="E5" s="94" t="s">
        <v>555</v>
      </c>
      <c r="F5" s="94" t="s">
        <v>462</v>
      </c>
      <c r="G5" s="94" t="s">
        <v>554</v>
      </c>
      <c r="H5" s="94" t="s">
        <v>461</v>
      </c>
      <c r="I5" s="94" t="s">
        <v>462</v>
      </c>
      <c r="J5" s="94" t="s">
        <v>555</v>
      </c>
      <c r="K5" s="94" t="s">
        <v>462</v>
      </c>
      <c r="L5" s="94" t="s">
        <v>555</v>
      </c>
    </row>
    <row r="6" spans="1:12" x14ac:dyDescent="0.25">
      <c r="B6" s="91" t="s">
        <v>559</v>
      </c>
      <c r="C6" s="94" t="s">
        <v>462</v>
      </c>
      <c r="D6" s="94" t="s">
        <v>554</v>
      </c>
      <c r="E6" s="94" t="s">
        <v>462</v>
      </c>
      <c r="F6" s="94" t="s">
        <v>461</v>
      </c>
      <c r="G6" s="94" t="s">
        <v>462</v>
      </c>
      <c r="H6" s="94" t="s">
        <v>462</v>
      </c>
      <c r="I6" s="94" t="s">
        <v>462</v>
      </c>
      <c r="J6" s="94" t="s">
        <v>462</v>
      </c>
      <c r="K6" s="94" t="s">
        <v>555</v>
      </c>
      <c r="L6" s="94" t="s">
        <v>462</v>
      </c>
    </row>
    <row r="7" spans="1:12" x14ac:dyDescent="0.25">
      <c r="B7" s="91" t="s">
        <v>560</v>
      </c>
      <c r="C7" s="94" t="s">
        <v>462</v>
      </c>
      <c r="D7" s="94" t="s">
        <v>462</v>
      </c>
      <c r="E7" s="94" t="s">
        <v>462</v>
      </c>
      <c r="F7" s="94" t="s">
        <v>462</v>
      </c>
      <c r="G7" s="94" t="s">
        <v>462</v>
      </c>
      <c r="H7" s="94" t="s">
        <v>462</v>
      </c>
      <c r="I7" s="94" t="s">
        <v>462</v>
      </c>
      <c r="J7" s="94" t="s">
        <v>462</v>
      </c>
      <c r="K7" s="94" t="s">
        <v>555</v>
      </c>
      <c r="L7" s="94" t="s">
        <v>554</v>
      </c>
    </row>
    <row r="8" spans="1:12" x14ac:dyDescent="0.25">
      <c r="B8" s="91" t="s">
        <v>561</v>
      </c>
      <c r="C8" s="94">
        <v>55</v>
      </c>
      <c r="D8" s="94">
        <v>55</v>
      </c>
      <c r="E8" s="91" t="s">
        <v>562</v>
      </c>
      <c r="F8" s="91">
        <v>3</v>
      </c>
      <c r="G8" s="91">
        <v>3</v>
      </c>
      <c r="H8" s="91" t="s">
        <v>564</v>
      </c>
      <c r="I8" s="91" t="s">
        <v>565</v>
      </c>
      <c r="J8" s="91">
        <v>1</v>
      </c>
      <c r="K8" s="91">
        <v>1</v>
      </c>
      <c r="L8" s="91" t="s">
        <v>462</v>
      </c>
    </row>
    <row r="9" spans="1:12" x14ac:dyDescent="0.25">
      <c r="B9" s="91" t="s">
        <v>566</v>
      </c>
      <c r="C9" s="94">
        <v>55</v>
      </c>
      <c r="D9" s="94">
        <v>55</v>
      </c>
      <c r="E9" s="91" t="s">
        <v>567</v>
      </c>
      <c r="F9" s="91">
        <v>4</v>
      </c>
      <c r="G9" s="91">
        <v>4</v>
      </c>
      <c r="H9" s="91" t="s">
        <v>564</v>
      </c>
      <c r="I9" s="91" t="s">
        <v>568</v>
      </c>
      <c r="J9" s="91">
        <v>1</v>
      </c>
      <c r="K9" s="91">
        <v>1</v>
      </c>
      <c r="L9" s="91" t="s">
        <v>462</v>
      </c>
    </row>
    <row r="10" spans="1:12" x14ac:dyDescent="0.25">
      <c r="B10" s="91" t="s">
        <v>569</v>
      </c>
      <c r="C10" s="94" t="s">
        <v>462</v>
      </c>
      <c r="D10" s="94" t="s">
        <v>462</v>
      </c>
      <c r="E10" s="94" t="s">
        <v>462</v>
      </c>
      <c r="F10" s="94" t="s">
        <v>462</v>
      </c>
      <c r="G10" s="94" t="s">
        <v>555</v>
      </c>
      <c r="H10" s="94" t="s">
        <v>462</v>
      </c>
      <c r="I10" s="94" t="s">
        <v>462</v>
      </c>
      <c r="J10" s="94" t="s">
        <v>461</v>
      </c>
      <c r="K10" s="94" t="s">
        <v>462</v>
      </c>
      <c r="L10" s="94" t="s">
        <v>462</v>
      </c>
    </row>
    <row r="11" spans="1:12" x14ac:dyDescent="0.25">
      <c r="B11" s="91" t="s">
        <v>570</v>
      </c>
      <c r="C11" s="94">
        <v>55</v>
      </c>
      <c r="D11" s="94">
        <v>55</v>
      </c>
      <c r="E11" s="91" t="s">
        <v>567</v>
      </c>
      <c r="F11" s="91">
        <v>4</v>
      </c>
      <c r="G11" s="91">
        <v>4</v>
      </c>
      <c r="H11" s="91" t="s">
        <v>564</v>
      </c>
      <c r="I11" s="91" t="s">
        <v>565</v>
      </c>
      <c r="J11" s="91">
        <v>1</v>
      </c>
      <c r="K11" s="91">
        <v>1</v>
      </c>
      <c r="L11" s="91" t="s">
        <v>462</v>
      </c>
    </row>
    <row r="12" spans="1:12" x14ac:dyDescent="0.25">
      <c r="B12" s="91" t="s">
        <v>571</v>
      </c>
      <c r="C12" s="94">
        <v>55</v>
      </c>
      <c r="D12" s="94">
        <v>55</v>
      </c>
      <c r="E12" s="91" t="s">
        <v>490</v>
      </c>
      <c r="F12" s="91">
        <v>3</v>
      </c>
      <c r="G12" s="91">
        <v>3</v>
      </c>
      <c r="H12" s="91" t="s">
        <v>564</v>
      </c>
      <c r="I12" s="91" t="s">
        <v>565</v>
      </c>
      <c r="J12" s="91">
        <v>1</v>
      </c>
      <c r="K12" s="91">
        <v>1</v>
      </c>
      <c r="L12" s="91" t="s">
        <v>462</v>
      </c>
    </row>
    <row r="13" spans="1:12" x14ac:dyDescent="0.25">
      <c r="B13" s="91" t="s">
        <v>572</v>
      </c>
      <c r="C13" s="94" t="s">
        <v>462</v>
      </c>
      <c r="D13" s="94" t="s">
        <v>554</v>
      </c>
      <c r="E13" s="94" t="s">
        <v>462</v>
      </c>
      <c r="F13" s="94" t="s">
        <v>462</v>
      </c>
      <c r="G13" s="94" t="s">
        <v>462</v>
      </c>
      <c r="H13" s="94" t="s">
        <v>462</v>
      </c>
      <c r="I13" s="94" t="s">
        <v>462</v>
      </c>
      <c r="J13" s="94" t="s">
        <v>462</v>
      </c>
      <c r="K13" s="94" t="s">
        <v>462</v>
      </c>
      <c r="L13" s="94" t="s">
        <v>462</v>
      </c>
    </row>
    <row r="14" spans="1:12" x14ac:dyDescent="0.25">
      <c r="B14" s="91" t="s">
        <v>573</v>
      </c>
      <c r="C14" s="94" t="s">
        <v>462</v>
      </c>
      <c r="D14" s="94" t="s">
        <v>462</v>
      </c>
      <c r="E14" s="94" t="s">
        <v>462</v>
      </c>
      <c r="F14" s="94" t="s">
        <v>462</v>
      </c>
      <c r="G14" s="94" t="s">
        <v>462</v>
      </c>
      <c r="H14" s="94" t="s">
        <v>462</v>
      </c>
      <c r="I14" s="94" t="s">
        <v>462</v>
      </c>
      <c r="J14" s="94" t="s">
        <v>462</v>
      </c>
      <c r="K14" s="94" t="s">
        <v>462</v>
      </c>
      <c r="L14" s="94" t="s">
        <v>462</v>
      </c>
    </row>
    <row r="15" spans="1:12" x14ac:dyDescent="0.25">
      <c r="B15" s="91" t="s">
        <v>574</v>
      </c>
      <c r="C15" s="94" t="s">
        <v>462</v>
      </c>
      <c r="D15" s="94" t="s">
        <v>462</v>
      </c>
      <c r="E15" s="94" t="s">
        <v>461</v>
      </c>
      <c r="F15" s="94" t="s">
        <v>462</v>
      </c>
      <c r="G15" s="94" t="s">
        <v>462</v>
      </c>
      <c r="H15" s="94" t="s">
        <v>462</v>
      </c>
      <c r="I15" s="94" t="s">
        <v>462</v>
      </c>
      <c r="J15" s="94" t="s">
        <v>462</v>
      </c>
      <c r="K15" s="94" t="s">
        <v>462</v>
      </c>
      <c r="L15" s="94" t="s">
        <v>462</v>
      </c>
    </row>
    <row r="16" spans="1:12" x14ac:dyDescent="0.25">
      <c r="B16" s="91" t="s">
        <v>575</v>
      </c>
      <c r="C16" s="94" t="s">
        <v>462</v>
      </c>
      <c r="D16" s="94" t="s">
        <v>462</v>
      </c>
      <c r="E16" s="94" t="s">
        <v>462</v>
      </c>
      <c r="F16" s="94" t="s">
        <v>462</v>
      </c>
      <c r="G16" s="94" t="s">
        <v>462</v>
      </c>
      <c r="H16" s="94" t="s">
        <v>462</v>
      </c>
      <c r="I16" s="94" t="s">
        <v>462</v>
      </c>
      <c r="J16" s="94" t="s">
        <v>462</v>
      </c>
      <c r="K16" s="94" t="s">
        <v>462</v>
      </c>
      <c r="L16" s="94" t="s">
        <v>462</v>
      </c>
    </row>
    <row r="17" spans="2:12" x14ac:dyDescent="0.25">
      <c r="B17" s="91" t="s">
        <v>576</v>
      </c>
      <c r="C17" s="94" t="s">
        <v>462</v>
      </c>
      <c r="D17" s="94" t="s">
        <v>462</v>
      </c>
      <c r="E17" s="94" t="s">
        <v>462</v>
      </c>
      <c r="F17" s="94" t="s">
        <v>462</v>
      </c>
      <c r="G17" s="94" t="s">
        <v>462</v>
      </c>
      <c r="H17" s="94" t="s">
        <v>462</v>
      </c>
      <c r="I17" s="94" t="s">
        <v>462</v>
      </c>
      <c r="J17" s="94" t="s">
        <v>462</v>
      </c>
      <c r="K17" s="94" t="s">
        <v>462</v>
      </c>
      <c r="L17" s="94" t="s">
        <v>462</v>
      </c>
    </row>
    <row r="18" spans="2:12" x14ac:dyDescent="0.25">
      <c r="B18" s="91" t="s">
        <v>577</v>
      </c>
      <c r="C18" s="94" t="s">
        <v>556</v>
      </c>
      <c r="D18" s="94" t="s">
        <v>462</v>
      </c>
      <c r="E18" s="94" t="s">
        <v>462</v>
      </c>
      <c r="F18" s="94" t="s">
        <v>462</v>
      </c>
      <c r="G18" s="94" t="s">
        <v>462</v>
      </c>
      <c r="H18" s="94" t="s">
        <v>462</v>
      </c>
      <c r="I18" s="94" t="s">
        <v>462</v>
      </c>
      <c r="J18" s="94" t="s">
        <v>462</v>
      </c>
      <c r="K18" s="94" t="s">
        <v>462</v>
      </c>
      <c r="L18" s="94" t="s">
        <v>462</v>
      </c>
    </row>
    <row r="19" spans="2:12" x14ac:dyDescent="0.25">
      <c r="B19" s="91" t="s">
        <v>578</v>
      </c>
      <c r="C19" s="94" t="s">
        <v>462</v>
      </c>
      <c r="D19" s="94" t="s">
        <v>462</v>
      </c>
      <c r="E19" s="94" t="s">
        <v>462</v>
      </c>
      <c r="F19" s="94" t="s">
        <v>462</v>
      </c>
      <c r="G19" s="94" t="s">
        <v>462</v>
      </c>
      <c r="H19" s="94" t="s">
        <v>462</v>
      </c>
      <c r="I19" s="94" t="s">
        <v>462</v>
      </c>
      <c r="J19" s="94" t="s">
        <v>462</v>
      </c>
      <c r="K19" s="94" t="s">
        <v>555</v>
      </c>
      <c r="L19" s="94" t="s">
        <v>462</v>
      </c>
    </row>
    <row r="20" spans="2:12" x14ac:dyDescent="0.25">
      <c r="B20" s="107" t="s">
        <v>579</v>
      </c>
      <c r="C20" s="108"/>
      <c r="D20" s="108"/>
      <c r="E20" s="108"/>
      <c r="F20" s="108"/>
      <c r="G20" s="108"/>
      <c r="H20" s="108"/>
      <c r="I20" s="108"/>
      <c r="J20" s="108"/>
      <c r="K20" s="108"/>
      <c r="L20" s="109"/>
    </row>
    <row r="21" spans="2:12" x14ac:dyDescent="0.25">
      <c r="B21" s="91" t="s">
        <v>580</v>
      </c>
      <c r="C21" s="94">
        <v>55</v>
      </c>
      <c r="D21" s="94">
        <v>55</v>
      </c>
      <c r="E21" s="91" t="s">
        <v>490</v>
      </c>
      <c r="F21" s="91">
        <v>3</v>
      </c>
      <c r="G21" s="91">
        <v>3</v>
      </c>
      <c r="H21" s="91" t="s">
        <v>564</v>
      </c>
      <c r="I21" s="91" t="s">
        <v>565</v>
      </c>
      <c r="J21" s="91">
        <v>1</v>
      </c>
      <c r="K21" s="91">
        <v>1</v>
      </c>
      <c r="L21" s="91" t="s">
        <v>462</v>
      </c>
    </row>
    <row r="22" spans="2:12" x14ac:dyDescent="0.25">
      <c r="B22" s="91" t="s">
        <v>581</v>
      </c>
      <c r="C22" s="94">
        <v>55</v>
      </c>
      <c r="D22" s="94">
        <v>55</v>
      </c>
      <c r="E22" s="91" t="s">
        <v>490</v>
      </c>
      <c r="F22" s="91">
        <v>3</v>
      </c>
      <c r="G22" s="91">
        <v>3</v>
      </c>
      <c r="H22" s="91" t="s">
        <v>564</v>
      </c>
      <c r="I22" s="91" t="s">
        <v>565</v>
      </c>
      <c r="J22" s="91">
        <v>1</v>
      </c>
      <c r="K22" s="91">
        <v>1</v>
      </c>
      <c r="L22" s="91" t="s">
        <v>462</v>
      </c>
    </row>
    <row r="23" spans="2:12" x14ac:dyDescent="0.25">
      <c r="B23" s="91" t="s">
        <v>582</v>
      </c>
      <c r="C23" s="94">
        <v>55</v>
      </c>
      <c r="D23" s="94">
        <v>55</v>
      </c>
      <c r="E23" s="91" t="s">
        <v>567</v>
      </c>
      <c r="F23" s="91">
        <v>4</v>
      </c>
      <c r="G23" s="91">
        <v>4</v>
      </c>
      <c r="H23" s="91" t="s">
        <v>564</v>
      </c>
      <c r="I23" s="91" t="s">
        <v>565</v>
      </c>
      <c r="J23" s="91">
        <v>1</v>
      </c>
      <c r="K23" s="91">
        <v>1</v>
      </c>
      <c r="L23" s="91" t="s">
        <v>462</v>
      </c>
    </row>
    <row r="24" spans="2:12" x14ac:dyDescent="0.25">
      <c r="B24" s="91" t="s">
        <v>583</v>
      </c>
      <c r="C24" s="94">
        <v>55</v>
      </c>
      <c r="D24" s="94">
        <v>55</v>
      </c>
      <c r="E24" s="91" t="s">
        <v>490</v>
      </c>
      <c r="F24" s="91">
        <v>3</v>
      </c>
      <c r="G24" s="91">
        <v>3</v>
      </c>
      <c r="H24" s="91" t="s">
        <v>564</v>
      </c>
      <c r="I24" s="91" t="s">
        <v>565</v>
      </c>
      <c r="J24" s="91">
        <v>1</v>
      </c>
      <c r="K24" s="91">
        <v>1</v>
      </c>
      <c r="L24" s="91" t="s">
        <v>462</v>
      </c>
    </row>
    <row r="25" spans="2:12" x14ac:dyDescent="0.25">
      <c r="B25" s="91" t="s">
        <v>560</v>
      </c>
      <c r="C25" s="94">
        <v>55</v>
      </c>
      <c r="D25" s="94">
        <v>55</v>
      </c>
      <c r="E25" s="91" t="s">
        <v>490</v>
      </c>
      <c r="F25" s="91">
        <v>3</v>
      </c>
      <c r="G25" s="91">
        <v>3</v>
      </c>
      <c r="H25" s="91" t="s">
        <v>564</v>
      </c>
      <c r="I25" s="91" t="s">
        <v>565</v>
      </c>
      <c r="J25" s="91">
        <v>1</v>
      </c>
      <c r="K25" s="91">
        <v>1</v>
      </c>
      <c r="L25" s="91" t="s">
        <v>462</v>
      </c>
    </row>
    <row r="26" spans="2:12" x14ac:dyDescent="0.25">
      <c r="B26" s="91" t="s">
        <v>561</v>
      </c>
      <c r="C26" s="94">
        <v>55</v>
      </c>
      <c r="D26" s="94">
        <v>55</v>
      </c>
      <c r="E26" s="91" t="s">
        <v>567</v>
      </c>
      <c r="F26" s="91">
        <v>4</v>
      </c>
      <c r="G26" s="91">
        <v>4</v>
      </c>
      <c r="H26" s="91" t="s">
        <v>564</v>
      </c>
      <c r="I26" s="91" t="s">
        <v>565</v>
      </c>
      <c r="J26" s="91">
        <v>1</v>
      </c>
      <c r="K26" s="91">
        <v>1</v>
      </c>
      <c r="L26" s="91" t="s">
        <v>462</v>
      </c>
    </row>
    <row r="27" spans="2:12" x14ac:dyDescent="0.25">
      <c r="B27" s="91" t="s">
        <v>566</v>
      </c>
      <c r="C27" s="94">
        <v>55</v>
      </c>
      <c r="D27" s="94">
        <v>55</v>
      </c>
      <c r="E27" s="91" t="s">
        <v>567</v>
      </c>
      <c r="F27" s="91">
        <v>4</v>
      </c>
      <c r="G27" s="91">
        <v>4</v>
      </c>
      <c r="H27" s="91" t="s">
        <v>564</v>
      </c>
      <c r="I27" s="91" t="s">
        <v>565</v>
      </c>
      <c r="J27" s="91">
        <v>1</v>
      </c>
      <c r="K27" s="91">
        <v>1</v>
      </c>
      <c r="L27" s="91" t="s">
        <v>462</v>
      </c>
    </row>
    <row r="28" spans="2:12" x14ac:dyDescent="0.25">
      <c r="B28" s="91" t="s">
        <v>584</v>
      </c>
      <c r="C28" s="94">
        <v>55</v>
      </c>
      <c r="D28" s="94">
        <v>55</v>
      </c>
      <c r="E28" s="91" t="s">
        <v>490</v>
      </c>
      <c r="F28" s="91">
        <v>3</v>
      </c>
      <c r="G28" s="91">
        <v>3</v>
      </c>
      <c r="H28" s="91" t="s">
        <v>564</v>
      </c>
      <c r="I28" s="91" t="s">
        <v>565</v>
      </c>
      <c r="J28" s="91">
        <v>1</v>
      </c>
      <c r="K28" s="91">
        <v>1</v>
      </c>
      <c r="L28" s="91" t="s">
        <v>462</v>
      </c>
    </row>
    <row r="29" spans="2:12" x14ac:dyDescent="0.25">
      <c r="B29" s="91" t="s">
        <v>585</v>
      </c>
      <c r="C29" s="94">
        <v>55</v>
      </c>
      <c r="D29" s="94">
        <v>55</v>
      </c>
      <c r="E29" s="91" t="s">
        <v>567</v>
      </c>
      <c r="F29" s="91">
        <v>4</v>
      </c>
      <c r="G29" s="91">
        <v>4</v>
      </c>
      <c r="H29" s="91" t="s">
        <v>564</v>
      </c>
      <c r="I29" s="91" t="s">
        <v>565</v>
      </c>
      <c r="J29" s="91">
        <v>1</v>
      </c>
      <c r="K29" s="91">
        <v>1</v>
      </c>
      <c r="L29" s="91" t="s">
        <v>462</v>
      </c>
    </row>
    <row r="30" spans="2:12" x14ac:dyDescent="0.25">
      <c r="B30" s="91" t="s">
        <v>571</v>
      </c>
      <c r="C30" s="94">
        <v>55</v>
      </c>
      <c r="D30" s="94">
        <v>55</v>
      </c>
      <c r="E30" s="91" t="s">
        <v>586</v>
      </c>
      <c r="F30" s="91">
        <v>5</v>
      </c>
      <c r="G30" s="91">
        <v>5</v>
      </c>
      <c r="H30" s="91" t="s">
        <v>564</v>
      </c>
      <c r="I30" s="91" t="s">
        <v>565</v>
      </c>
      <c r="J30" s="91">
        <v>1</v>
      </c>
      <c r="K30" s="91">
        <v>1</v>
      </c>
      <c r="L30" s="91" t="s">
        <v>462</v>
      </c>
    </row>
    <row r="31" spans="2:12" x14ac:dyDescent="0.25">
      <c r="B31" s="91" t="s">
        <v>572</v>
      </c>
      <c r="C31" s="94">
        <v>55</v>
      </c>
      <c r="D31" s="94">
        <v>55</v>
      </c>
      <c r="E31" s="91" t="s">
        <v>567</v>
      </c>
      <c r="F31" s="91">
        <v>4</v>
      </c>
      <c r="G31" s="91">
        <v>4</v>
      </c>
      <c r="H31" s="91" t="s">
        <v>564</v>
      </c>
      <c r="I31" s="91" t="s">
        <v>565</v>
      </c>
      <c r="J31" s="91">
        <v>1</v>
      </c>
      <c r="K31" s="91">
        <v>1</v>
      </c>
      <c r="L31" s="91" t="s">
        <v>462</v>
      </c>
    </row>
    <row r="32" spans="2:12" x14ac:dyDescent="0.25">
      <c r="B32" s="91" t="s">
        <v>573</v>
      </c>
      <c r="C32" s="94">
        <v>55</v>
      </c>
      <c r="D32" s="94">
        <v>55</v>
      </c>
      <c r="E32" s="91" t="s">
        <v>567</v>
      </c>
      <c r="F32" s="91">
        <v>4</v>
      </c>
      <c r="G32" s="91">
        <v>4</v>
      </c>
      <c r="H32" s="91" t="s">
        <v>564</v>
      </c>
      <c r="I32" s="91" t="s">
        <v>565</v>
      </c>
      <c r="J32" s="91">
        <v>1</v>
      </c>
      <c r="K32" s="91">
        <v>1</v>
      </c>
      <c r="L32" s="91" t="s">
        <v>462</v>
      </c>
    </row>
    <row r="33" spans="2:12" x14ac:dyDescent="0.25">
      <c r="B33" s="91" t="s">
        <v>574</v>
      </c>
      <c r="C33" s="94">
        <v>55</v>
      </c>
      <c r="D33" s="94">
        <v>55</v>
      </c>
      <c r="E33" s="91" t="s">
        <v>490</v>
      </c>
      <c r="F33" s="91">
        <v>3</v>
      </c>
      <c r="G33" s="91">
        <v>3</v>
      </c>
      <c r="H33" s="91" t="s">
        <v>564</v>
      </c>
      <c r="I33" s="91" t="s">
        <v>565</v>
      </c>
      <c r="J33" s="91">
        <v>1</v>
      </c>
      <c r="K33" s="91">
        <v>1</v>
      </c>
      <c r="L33" s="91" t="s">
        <v>462</v>
      </c>
    </row>
    <row r="34" spans="2:12" x14ac:dyDescent="0.25">
      <c r="B34" s="91" t="s">
        <v>575</v>
      </c>
      <c r="C34" s="94">
        <v>55</v>
      </c>
      <c r="D34" s="94">
        <v>55</v>
      </c>
      <c r="E34" s="91" t="s">
        <v>587</v>
      </c>
      <c r="F34" s="91">
        <v>6</v>
      </c>
      <c r="G34" s="91">
        <v>6</v>
      </c>
      <c r="H34" s="91" t="s">
        <v>564</v>
      </c>
      <c r="I34" s="91" t="s">
        <v>565</v>
      </c>
      <c r="J34" s="91">
        <v>2</v>
      </c>
      <c r="K34" s="91">
        <v>2</v>
      </c>
      <c r="L34" s="91" t="s">
        <v>462</v>
      </c>
    </row>
    <row r="35" spans="2:12" x14ac:dyDescent="0.25">
      <c r="B35" s="91" t="s">
        <v>576</v>
      </c>
      <c r="C35" s="94">
        <v>55</v>
      </c>
      <c r="D35" s="94">
        <v>55</v>
      </c>
      <c r="E35" s="91" t="s">
        <v>586</v>
      </c>
      <c r="F35" s="91">
        <v>5</v>
      </c>
      <c r="G35" s="91">
        <v>5</v>
      </c>
      <c r="H35" s="91" t="s">
        <v>564</v>
      </c>
      <c r="I35" s="91" t="s">
        <v>565</v>
      </c>
      <c r="J35" s="91">
        <v>1</v>
      </c>
      <c r="K35" s="91">
        <v>1</v>
      </c>
      <c r="L35" s="91" t="s">
        <v>462</v>
      </c>
    </row>
    <row r="36" spans="2:12" x14ac:dyDescent="0.25">
      <c r="B36" s="91" t="s">
        <v>577</v>
      </c>
      <c r="C36" s="94">
        <v>55</v>
      </c>
      <c r="D36" s="94">
        <v>55</v>
      </c>
      <c r="E36" s="91" t="s">
        <v>490</v>
      </c>
      <c r="F36" s="91">
        <v>3</v>
      </c>
      <c r="G36" s="91">
        <v>3</v>
      </c>
      <c r="H36" s="91" t="s">
        <v>564</v>
      </c>
      <c r="I36" s="91" t="s">
        <v>565</v>
      </c>
      <c r="J36" s="91">
        <v>1</v>
      </c>
      <c r="K36" s="91">
        <v>1</v>
      </c>
      <c r="L36" s="91" t="s">
        <v>555</v>
      </c>
    </row>
    <row r="37" spans="2:12" x14ac:dyDescent="0.25">
      <c r="B37" s="91" t="s">
        <v>578</v>
      </c>
      <c r="C37" s="94">
        <v>50</v>
      </c>
      <c r="D37" s="94">
        <v>50</v>
      </c>
      <c r="E37" s="91" t="s">
        <v>490</v>
      </c>
      <c r="F37" s="91">
        <v>3</v>
      </c>
      <c r="G37" s="91">
        <v>3</v>
      </c>
      <c r="H37" s="91" t="s">
        <v>564</v>
      </c>
      <c r="I37" s="91" t="s">
        <v>565</v>
      </c>
      <c r="J37" s="91">
        <v>1</v>
      </c>
      <c r="K37" s="91">
        <v>1</v>
      </c>
      <c r="L37" s="91" t="s">
        <v>462</v>
      </c>
    </row>
    <row r="38" spans="2:12" x14ac:dyDescent="0.25">
      <c r="B38" s="107" t="s">
        <v>470</v>
      </c>
      <c r="C38" s="108"/>
      <c r="D38" s="108"/>
      <c r="E38" s="108"/>
      <c r="F38" s="108"/>
      <c r="G38" s="108"/>
      <c r="H38" s="108"/>
      <c r="I38" s="108"/>
      <c r="J38" s="108"/>
      <c r="K38" s="108"/>
      <c r="L38" s="109"/>
    </row>
    <row r="39" spans="2:12" x14ac:dyDescent="0.25">
      <c r="B39" s="91" t="s">
        <v>580</v>
      </c>
      <c r="C39" s="94">
        <v>55</v>
      </c>
      <c r="D39" s="94">
        <v>55</v>
      </c>
      <c r="E39" s="91" t="s">
        <v>586</v>
      </c>
      <c r="F39" s="91">
        <v>5</v>
      </c>
      <c r="G39" s="91">
        <v>5</v>
      </c>
      <c r="H39" s="91" t="s">
        <v>564</v>
      </c>
      <c r="I39" s="91" t="s">
        <v>564</v>
      </c>
      <c r="J39" s="91">
        <v>1</v>
      </c>
      <c r="K39" s="91">
        <v>1</v>
      </c>
      <c r="L39" s="91" t="s">
        <v>462</v>
      </c>
    </row>
    <row r="40" spans="2:12" x14ac:dyDescent="0.25">
      <c r="B40" s="91" t="s">
        <v>581</v>
      </c>
      <c r="C40" s="94">
        <v>55</v>
      </c>
      <c r="D40" s="94">
        <v>55</v>
      </c>
      <c r="E40" s="91" t="s">
        <v>586</v>
      </c>
      <c r="F40" s="91">
        <v>5</v>
      </c>
      <c r="G40" s="91">
        <v>5</v>
      </c>
      <c r="H40" s="91" t="s">
        <v>564</v>
      </c>
      <c r="I40" s="91" t="s">
        <v>564</v>
      </c>
      <c r="J40" s="91">
        <v>1</v>
      </c>
      <c r="K40" s="91">
        <v>1</v>
      </c>
      <c r="L40" s="91" t="s">
        <v>462</v>
      </c>
    </row>
    <row r="41" spans="2:12" x14ac:dyDescent="0.25">
      <c r="B41" s="91" t="s">
        <v>582</v>
      </c>
      <c r="C41" s="94">
        <v>55</v>
      </c>
      <c r="D41" s="94">
        <v>55</v>
      </c>
      <c r="E41" s="91" t="s">
        <v>586</v>
      </c>
      <c r="F41" s="91">
        <v>5</v>
      </c>
      <c r="G41" s="91">
        <v>5</v>
      </c>
      <c r="H41" s="91" t="s">
        <v>564</v>
      </c>
      <c r="I41" s="91" t="s">
        <v>564</v>
      </c>
      <c r="J41" s="91">
        <v>1</v>
      </c>
      <c r="K41" s="91">
        <v>1</v>
      </c>
      <c r="L41" s="91" t="s">
        <v>462</v>
      </c>
    </row>
    <row r="42" spans="2:12" x14ac:dyDescent="0.25">
      <c r="B42" s="91" t="s">
        <v>583</v>
      </c>
      <c r="C42" s="94">
        <v>55</v>
      </c>
      <c r="D42" s="94">
        <v>55</v>
      </c>
      <c r="E42" s="91" t="s">
        <v>586</v>
      </c>
      <c r="F42" s="91">
        <v>5</v>
      </c>
      <c r="G42" s="91">
        <v>5</v>
      </c>
      <c r="H42" s="91" t="s">
        <v>564</v>
      </c>
      <c r="I42" s="91" t="s">
        <v>564</v>
      </c>
      <c r="J42" s="91">
        <v>1</v>
      </c>
      <c r="K42" s="91">
        <v>1</v>
      </c>
      <c r="L42" s="91" t="s">
        <v>462</v>
      </c>
    </row>
    <row r="43" spans="2:12" x14ac:dyDescent="0.25">
      <c r="B43" s="91" t="s">
        <v>560</v>
      </c>
      <c r="C43" s="94">
        <v>55</v>
      </c>
      <c r="D43" s="94">
        <v>55</v>
      </c>
      <c r="E43" s="91" t="s">
        <v>586</v>
      </c>
      <c r="F43" s="91">
        <v>5</v>
      </c>
      <c r="G43" s="91">
        <v>5</v>
      </c>
      <c r="H43" s="91" t="s">
        <v>564</v>
      </c>
      <c r="I43" s="91" t="s">
        <v>564</v>
      </c>
      <c r="J43" s="91">
        <v>1</v>
      </c>
      <c r="K43" s="91">
        <v>1</v>
      </c>
      <c r="L43" s="91" t="s">
        <v>462</v>
      </c>
    </row>
    <row r="44" spans="2:12" x14ac:dyDescent="0.25">
      <c r="B44" s="91" t="s">
        <v>561</v>
      </c>
      <c r="C44" s="94">
        <v>55</v>
      </c>
      <c r="D44" s="94">
        <v>55</v>
      </c>
      <c r="E44" s="91" t="s">
        <v>588</v>
      </c>
      <c r="F44" s="91">
        <v>7</v>
      </c>
      <c r="G44" s="91">
        <v>7</v>
      </c>
      <c r="H44" s="91" t="s">
        <v>563</v>
      </c>
      <c r="I44" s="91" t="s">
        <v>564</v>
      </c>
      <c r="J44" s="91">
        <v>2</v>
      </c>
      <c r="K44" s="91">
        <v>2</v>
      </c>
      <c r="L44" s="91" t="s">
        <v>462</v>
      </c>
    </row>
    <row r="45" spans="2:12" x14ac:dyDescent="0.25">
      <c r="B45" s="91" t="s">
        <v>566</v>
      </c>
      <c r="C45" s="94">
        <v>55</v>
      </c>
      <c r="D45" s="94">
        <v>55</v>
      </c>
      <c r="E45" s="91" t="s">
        <v>588</v>
      </c>
      <c r="F45" s="91">
        <v>7</v>
      </c>
      <c r="G45" s="91">
        <v>7</v>
      </c>
      <c r="H45" s="91" t="s">
        <v>564</v>
      </c>
      <c r="I45" s="91" t="s">
        <v>564</v>
      </c>
      <c r="J45" s="91">
        <v>2</v>
      </c>
      <c r="K45" s="91">
        <v>2</v>
      </c>
      <c r="L45" s="91" t="s">
        <v>462</v>
      </c>
    </row>
    <row r="46" spans="2:12" x14ac:dyDescent="0.25">
      <c r="B46" s="91" t="s">
        <v>584</v>
      </c>
      <c r="C46" s="94">
        <v>55</v>
      </c>
      <c r="D46" s="94">
        <v>55</v>
      </c>
      <c r="E46" s="91" t="s">
        <v>586</v>
      </c>
      <c r="F46" s="91">
        <v>5</v>
      </c>
      <c r="G46" s="91">
        <v>5</v>
      </c>
      <c r="H46" s="91" t="s">
        <v>564</v>
      </c>
      <c r="I46" s="91" t="s">
        <v>564</v>
      </c>
      <c r="J46" s="91">
        <v>1</v>
      </c>
      <c r="K46" s="91">
        <v>1</v>
      </c>
      <c r="L46" s="91" t="s">
        <v>462</v>
      </c>
    </row>
    <row r="47" spans="2:12" x14ac:dyDescent="0.25">
      <c r="B47" s="91" t="s">
        <v>585</v>
      </c>
      <c r="C47" s="94">
        <v>55</v>
      </c>
      <c r="D47" s="94">
        <v>55</v>
      </c>
      <c r="E47" s="91" t="s">
        <v>587</v>
      </c>
      <c r="F47" s="91">
        <v>6</v>
      </c>
      <c r="G47" s="91">
        <v>6</v>
      </c>
      <c r="H47" s="91" t="s">
        <v>564</v>
      </c>
      <c r="I47" s="91" t="s">
        <v>564</v>
      </c>
      <c r="J47" s="91">
        <v>2</v>
      </c>
      <c r="K47" s="91">
        <v>2</v>
      </c>
      <c r="L47" s="91" t="s">
        <v>462</v>
      </c>
    </row>
    <row r="48" spans="2:12" x14ac:dyDescent="0.25">
      <c r="B48" s="91" t="s">
        <v>571</v>
      </c>
      <c r="C48" s="94">
        <v>55</v>
      </c>
      <c r="D48" s="94">
        <v>55</v>
      </c>
      <c r="E48" s="91" t="s">
        <v>589</v>
      </c>
      <c r="F48" s="91">
        <v>8</v>
      </c>
      <c r="G48" s="91">
        <v>8</v>
      </c>
      <c r="H48" s="91" t="s">
        <v>564</v>
      </c>
      <c r="I48" s="91" t="s">
        <v>564</v>
      </c>
      <c r="J48" s="91">
        <v>3</v>
      </c>
      <c r="K48" s="91">
        <v>3</v>
      </c>
      <c r="L48" s="91" t="s">
        <v>462</v>
      </c>
    </row>
    <row r="49" spans="2:12" x14ac:dyDescent="0.25">
      <c r="B49" s="91" t="s">
        <v>572</v>
      </c>
      <c r="C49" s="94">
        <v>55</v>
      </c>
      <c r="D49" s="94">
        <v>55</v>
      </c>
      <c r="E49" s="91" t="s">
        <v>586</v>
      </c>
      <c r="F49" s="91">
        <v>5</v>
      </c>
      <c r="G49" s="91">
        <v>5</v>
      </c>
      <c r="H49" s="91" t="s">
        <v>564</v>
      </c>
      <c r="I49" s="91" t="s">
        <v>564</v>
      </c>
      <c r="J49" s="91">
        <v>1</v>
      </c>
      <c r="K49" s="91">
        <v>1</v>
      </c>
      <c r="L49" s="91" t="s">
        <v>462</v>
      </c>
    </row>
    <row r="50" spans="2:12" x14ac:dyDescent="0.25">
      <c r="B50" s="91" t="s">
        <v>573</v>
      </c>
      <c r="C50" s="94">
        <v>55</v>
      </c>
      <c r="D50" s="94">
        <v>55</v>
      </c>
      <c r="E50" s="91" t="s">
        <v>586</v>
      </c>
      <c r="F50" s="91">
        <v>5</v>
      </c>
      <c r="G50" s="91">
        <v>5</v>
      </c>
      <c r="H50" s="91" t="s">
        <v>564</v>
      </c>
      <c r="I50" s="91" t="s">
        <v>590</v>
      </c>
      <c r="J50" s="91">
        <v>1</v>
      </c>
      <c r="K50" s="91">
        <v>1</v>
      </c>
      <c r="L50" s="91" t="s">
        <v>462</v>
      </c>
    </row>
    <row r="51" spans="2:12" x14ac:dyDescent="0.25">
      <c r="B51" s="91" t="s">
        <v>574</v>
      </c>
      <c r="C51" s="94">
        <v>55</v>
      </c>
      <c r="D51" s="94">
        <v>55</v>
      </c>
      <c r="E51" s="91" t="s">
        <v>586</v>
      </c>
      <c r="F51" s="91">
        <v>5</v>
      </c>
      <c r="G51" s="91">
        <v>5</v>
      </c>
      <c r="H51" s="91" t="s">
        <v>564</v>
      </c>
      <c r="I51" s="91" t="s">
        <v>564</v>
      </c>
      <c r="J51" s="91">
        <v>1</v>
      </c>
      <c r="K51" s="91">
        <v>1</v>
      </c>
      <c r="L51" s="91" t="s">
        <v>462</v>
      </c>
    </row>
    <row r="52" spans="2:12" x14ac:dyDescent="0.25">
      <c r="B52" s="91" t="s">
        <v>575</v>
      </c>
      <c r="C52" s="94">
        <v>55</v>
      </c>
      <c r="D52" s="94">
        <v>55</v>
      </c>
      <c r="E52" s="91" t="s">
        <v>588</v>
      </c>
      <c r="F52" s="91">
        <v>7</v>
      </c>
      <c r="G52" s="91">
        <v>7</v>
      </c>
      <c r="H52" s="91" t="s">
        <v>564</v>
      </c>
      <c r="I52" s="91" t="s">
        <v>564</v>
      </c>
      <c r="J52" s="91">
        <v>2</v>
      </c>
      <c r="K52" s="91">
        <v>2</v>
      </c>
      <c r="L52" s="91" t="s">
        <v>462</v>
      </c>
    </row>
    <row r="53" spans="2:12" x14ac:dyDescent="0.25">
      <c r="B53" s="91" t="s">
        <v>576</v>
      </c>
      <c r="C53" s="94">
        <v>55</v>
      </c>
      <c r="D53" s="94">
        <v>55</v>
      </c>
      <c r="E53" s="91" t="s">
        <v>587</v>
      </c>
      <c r="F53" s="91">
        <v>6</v>
      </c>
      <c r="G53" s="91">
        <v>6</v>
      </c>
      <c r="H53" s="91" t="s">
        <v>564</v>
      </c>
      <c r="I53" s="91" t="s">
        <v>564</v>
      </c>
      <c r="J53" s="91">
        <v>2</v>
      </c>
      <c r="K53" s="91">
        <v>2</v>
      </c>
      <c r="L53" s="91" t="s">
        <v>462</v>
      </c>
    </row>
    <row r="54" spans="2:12" x14ac:dyDescent="0.25">
      <c r="B54" s="91" t="s">
        <v>577</v>
      </c>
      <c r="C54" s="94">
        <v>55</v>
      </c>
      <c r="D54" s="94">
        <v>55</v>
      </c>
      <c r="E54" s="91" t="s">
        <v>586</v>
      </c>
      <c r="F54" s="91">
        <v>5</v>
      </c>
      <c r="G54" s="91">
        <v>5</v>
      </c>
      <c r="H54" s="91" t="s">
        <v>564</v>
      </c>
      <c r="I54" s="91" t="s">
        <v>564</v>
      </c>
      <c r="J54" s="91">
        <v>1</v>
      </c>
      <c r="K54" s="91">
        <v>1</v>
      </c>
      <c r="L54" s="91" t="s">
        <v>462</v>
      </c>
    </row>
    <row r="55" spans="2:12" x14ac:dyDescent="0.25">
      <c r="B55" s="91" t="s">
        <v>578</v>
      </c>
      <c r="C55" s="94">
        <v>50</v>
      </c>
      <c r="D55" s="94">
        <v>50</v>
      </c>
      <c r="E55" s="91" t="s">
        <v>490</v>
      </c>
      <c r="F55" s="91">
        <v>3</v>
      </c>
      <c r="G55" s="91">
        <v>3</v>
      </c>
      <c r="H55" s="91" t="s">
        <v>564</v>
      </c>
      <c r="I55" s="91" t="s">
        <v>564</v>
      </c>
      <c r="J55" s="91">
        <v>1</v>
      </c>
      <c r="K55" s="91">
        <v>1</v>
      </c>
      <c r="L55" s="91" t="s">
        <v>462</v>
      </c>
    </row>
  </sheetData>
  <mergeCells count="6">
    <mergeCell ref="L1:L2"/>
    <mergeCell ref="B20:L20"/>
    <mergeCell ref="B38:L38"/>
    <mergeCell ref="B1:B2"/>
    <mergeCell ref="E1:G1"/>
    <mergeCell ref="H1:K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18"/>
  <sheetViews>
    <sheetView tabSelected="1" zoomScaleNormal="100" workbookViewId="0">
      <selection activeCell="T25" sqref="T25"/>
    </sheetView>
  </sheetViews>
  <sheetFormatPr defaultRowHeight="16.5" x14ac:dyDescent="0.25"/>
  <cols>
    <col min="1" max="1" width="5.5" style="100" bestFit="1" customWidth="1"/>
    <col min="2" max="2" width="5.875" style="100" bestFit="1" customWidth="1"/>
    <col min="3" max="4" width="8" style="100" bestFit="1" customWidth="1"/>
    <col min="5" max="5" width="12.25" style="100" bestFit="1" customWidth="1"/>
    <col min="6" max="8" width="5.5" style="100" bestFit="1" customWidth="1"/>
    <col min="9" max="9" width="6.625" style="100" bestFit="1" customWidth="1"/>
    <col min="10" max="12" width="7.25" style="100" bestFit="1" customWidth="1"/>
    <col min="13" max="13" width="5.5" style="100" bestFit="1" customWidth="1"/>
    <col min="14" max="14" width="7.5" style="100" bestFit="1" customWidth="1"/>
    <col min="15" max="15" width="8.375" style="104" bestFit="1" customWidth="1"/>
    <col min="16" max="16" width="36.375" style="105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6" x14ac:dyDescent="0.25">
      <c r="A1" s="106" t="s">
        <v>418</v>
      </c>
      <c r="B1" s="106" t="s">
        <v>436</v>
      </c>
      <c r="C1" s="106" t="s">
        <v>437</v>
      </c>
      <c r="D1" s="106" t="s">
        <v>438</v>
      </c>
      <c r="E1" s="106" t="s">
        <v>439</v>
      </c>
      <c r="F1" s="106" t="s">
        <v>439</v>
      </c>
      <c r="G1" s="106"/>
      <c r="H1" s="106"/>
      <c r="I1" s="106" t="s">
        <v>441</v>
      </c>
      <c r="J1" s="106" t="s">
        <v>442</v>
      </c>
      <c r="K1" s="106"/>
      <c r="L1" s="106"/>
      <c r="M1" s="106" t="s">
        <v>443</v>
      </c>
      <c r="N1" s="106" t="s">
        <v>444</v>
      </c>
      <c r="O1" s="110" t="s">
        <v>445</v>
      </c>
      <c r="P1" s="114" t="s">
        <v>646</v>
      </c>
    </row>
    <row r="2" spans="1:16" ht="17.25" thickBot="1" x14ac:dyDescent="0.3">
      <c r="A2" s="106"/>
      <c r="B2" s="106"/>
      <c r="C2" s="106"/>
      <c r="D2" s="106"/>
      <c r="E2" s="106"/>
      <c r="F2" s="100" t="s">
        <v>446</v>
      </c>
      <c r="G2" s="100" t="s">
        <v>447</v>
      </c>
      <c r="H2" s="100" t="s">
        <v>448</v>
      </c>
      <c r="I2" s="106"/>
      <c r="J2" s="100" t="s">
        <v>622</v>
      </c>
      <c r="K2" s="100" t="s">
        <v>447</v>
      </c>
      <c r="L2" s="100" t="s">
        <v>448</v>
      </c>
      <c r="M2" s="106"/>
      <c r="N2" s="106"/>
      <c r="O2" s="110"/>
      <c r="P2" s="115"/>
    </row>
    <row r="3" spans="1:16" ht="17.25" thickTop="1" x14ac:dyDescent="0.25">
      <c r="A3" s="106" t="s">
        <v>450</v>
      </c>
      <c r="B3" s="106" t="s">
        <v>451</v>
      </c>
      <c r="C3" s="106">
        <v>30</v>
      </c>
      <c r="D3" s="106">
        <v>60</v>
      </c>
      <c r="E3" s="100" t="s">
        <v>452</v>
      </c>
      <c r="F3" s="100" t="s">
        <v>648</v>
      </c>
      <c r="G3" s="100" t="s">
        <v>649</v>
      </c>
      <c r="H3" s="100" t="s">
        <v>455</v>
      </c>
      <c r="I3" s="106" t="s">
        <v>456</v>
      </c>
      <c r="J3" s="113" t="s">
        <v>458</v>
      </c>
      <c r="K3" s="113" t="s">
        <v>459</v>
      </c>
      <c r="L3" s="113" t="s">
        <v>458</v>
      </c>
      <c r="M3" s="106"/>
      <c r="N3" s="106"/>
      <c r="O3" s="110" t="s">
        <v>591</v>
      </c>
      <c r="P3" s="116" t="s">
        <v>746</v>
      </c>
    </row>
    <row r="4" spans="1:16" x14ac:dyDescent="0.25">
      <c r="A4" s="106"/>
      <c r="B4" s="106"/>
      <c r="C4" s="106"/>
      <c r="D4" s="106"/>
      <c r="E4" s="100" t="s">
        <v>460</v>
      </c>
      <c r="F4" s="100" t="s">
        <v>461</v>
      </c>
      <c r="G4" s="100" t="s">
        <v>462</v>
      </c>
      <c r="H4" s="100" t="s">
        <v>463</v>
      </c>
      <c r="I4" s="106"/>
      <c r="J4" s="106"/>
      <c r="K4" s="106"/>
      <c r="L4" s="106"/>
      <c r="M4" s="106"/>
      <c r="N4" s="106"/>
      <c r="O4" s="110"/>
      <c r="P4" s="117"/>
    </row>
    <row r="5" spans="1:16" x14ac:dyDescent="0.25">
      <c r="A5" s="106"/>
      <c r="B5" s="106"/>
      <c r="C5" s="106"/>
      <c r="D5" s="106"/>
      <c r="E5" s="100" t="s">
        <v>464</v>
      </c>
      <c r="F5" s="100" t="s">
        <v>463</v>
      </c>
      <c r="G5" s="100" t="s">
        <v>462</v>
      </c>
      <c r="H5" s="100" t="s">
        <v>461</v>
      </c>
      <c r="I5" s="106"/>
      <c r="J5" s="106"/>
      <c r="K5" s="106"/>
      <c r="L5" s="106"/>
      <c r="M5" s="106"/>
      <c r="N5" s="106"/>
      <c r="O5" s="110"/>
      <c r="P5" s="117"/>
    </row>
    <row r="6" spans="1:16" x14ac:dyDescent="0.25">
      <c r="A6" s="106"/>
      <c r="B6" s="106"/>
      <c r="C6" s="106"/>
      <c r="D6" s="106"/>
      <c r="E6" s="100" t="s">
        <v>465</v>
      </c>
      <c r="F6" s="100" t="s">
        <v>467</v>
      </c>
      <c r="G6" s="100" t="s">
        <v>468</v>
      </c>
      <c r="H6" s="100" t="s">
        <v>469</v>
      </c>
      <c r="I6" s="106"/>
      <c r="J6" s="106"/>
      <c r="K6" s="106"/>
      <c r="L6" s="106"/>
      <c r="M6" s="106"/>
      <c r="N6" s="106"/>
      <c r="O6" s="110"/>
      <c r="P6" s="117"/>
    </row>
    <row r="7" spans="1:16" x14ac:dyDescent="0.25">
      <c r="A7" s="106" t="s">
        <v>470</v>
      </c>
      <c r="B7" s="106" t="s">
        <v>471</v>
      </c>
      <c r="C7" s="106">
        <v>30</v>
      </c>
      <c r="D7" s="106">
        <v>60</v>
      </c>
      <c r="E7" s="100" t="s">
        <v>472</v>
      </c>
      <c r="F7" s="100" t="s">
        <v>468</v>
      </c>
      <c r="G7" s="100" t="s">
        <v>473</v>
      </c>
      <c r="H7" s="100" t="s">
        <v>466</v>
      </c>
      <c r="I7" s="106" t="s">
        <v>474</v>
      </c>
      <c r="J7" s="113" t="s">
        <v>475</v>
      </c>
      <c r="K7" s="113" t="s">
        <v>476</v>
      </c>
      <c r="L7" s="113" t="s">
        <v>726</v>
      </c>
      <c r="M7" s="106"/>
      <c r="N7" s="106"/>
      <c r="O7" s="110" t="s">
        <v>592</v>
      </c>
      <c r="P7" s="118" t="s">
        <v>747</v>
      </c>
    </row>
    <row r="8" spans="1:16" x14ac:dyDescent="0.25">
      <c r="A8" s="106"/>
      <c r="B8" s="106"/>
      <c r="C8" s="106"/>
      <c r="D8" s="106"/>
      <c r="E8" s="100" t="s">
        <v>460</v>
      </c>
      <c r="F8" s="100" t="s">
        <v>461</v>
      </c>
      <c r="G8" s="100" t="s">
        <v>461</v>
      </c>
      <c r="H8" s="100" t="s">
        <v>462</v>
      </c>
      <c r="I8" s="106"/>
      <c r="J8" s="106"/>
      <c r="K8" s="106"/>
      <c r="L8" s="106"/>
      <c r="M8" s="106"/>
      <c r="N8" s="106"/>
      <c r="O8" s="110"/>
      <c r="P8" s="117"/>
    </row>
    <row r="9" spans="1:16" x14ac:dyDescent="0.25">
      <c r="A9" s="106"/>
      <c r="B9" s="106"/>
      <c r="C9" s="106"/>
      <c r="D9" s="106"/>
      <c r="E9" s="100" t="s">
        <v>477</v>
      </c>
      <c r="F9" s="100" t="s">
        <v>462</v>
      </c>
      <c r="G9" s="100" t="s">
        <v>462</v>
      </c>
      <c r="H9" s="100" t="s">
        <v>462</v>
      </c>
      <c r="I9" s="106"/>
      <c r="J9" s="106"/>
      <c r="K9" s="106"/>
      <c r="L9" s="106"/>
      <c r="M9" s="106"/>
      <c r="N9" s="106"/>
      <c r="O9" s="110"/>
      <c r="P9" s="117"/>
    </row>
    <row r="10" spans="1:16" x14ac:dyDescent="0.25">
      <c r="A10" s="106"/>
      <c r="B10" s="106"/>
      <c r="C10" s="106"/>
      <c r="D10" s="106"/>
      <c r="E10" s="100" t="s">
        <v>465</v>
      </c>
      <c r="F10" s="100" t="s">
        <v>727</v>
      </c>
      <c r="G10" s="100" t="s">
        <v>647</v>
      </c>
      <c r="H10" s="100" t="s">
        <v>694</v>
      </c>
      <c r="I10" s="106"/>
      <c r="J10" s="106"/>
      <c r="K10" s="106"/>
      <c r="L10" s="106"/>
      <c r="M10" s="106"/>
      <c r="N10" s="106"/>
      <c r="O10" s="110"/>
      <c r="P10" s="117"/>
    </row>
    <row r="11" spans="1:16" x14ac:dyDescent="0.25">
      <c r="A11" s="106" t="s">
        <v>470</v>
      </c>
      <c r="B11" s="106" t="s">
        <v>479</v>
      </c>
      <c r="C11" s="106">
        <v>30</v>
      </c>
      <c r="D11" s="106">
        <v>60</v>
      </c>
      <c r="E11" s="100" t="s">
        <v>452</v>
      </c>
      <c r="F11" s="100" t="s">
        <v>469</v>
      </c>
      <c r="G11" s="100" t="s">
        <v>473</v>
      </c>
      <c r="H11" s="100" t="s">
        <v>469</v>
      </c>
      <c r="I11" s="106" t="s">
        <v>474</v>
      </c>
      <c r="J11" s="113" t="s">
        <v>475</v>
      </c>
      <c r="K11" s="113" t="s">
        <v>476</v>
      </c>
      <c r="L11" s="113" t="s">
        <v>475</v>
      </c>
      <c r="M11" s="106"/>
      <c r="N11" s="106"/>
      <c r="O11" s="110"/>
      <c r="P11" s="117" t="s">
        <v>645</v>
      </c>
    </row>
    <row r="12" spans="1:16" x14ac:dyDescent="0.25">
      <c r="A12" s="106"/>
      <c r="B12" s="106"/>
      <c r="C12" s="106"/>
      <c r="D12" s="106"/>
      <c r="E12" s="100" t="s">
        <v>480</v>
      </c>
      <c r="F12" s="100" t="s">
        <v>462</v>
      </c>
      <c r="G12" s="100" t="s">
        <v>462</v>
      </c>
      <c r="H12" s="100" t="s">
        <v>462</v>
      </c>
      <c r="I12" s="106"/>
      <c r="J12" s="106"/>
      <c r="K12" s="106"/>
      <c r="L12" s="106"/>
      <c r="M12" s="106"/>
      <c r="N12" s="106"/>
      <c r="O12" s="110"/>
      <c r="P12" s="117"/>
    </row>
    <row r="13" spans="1:16" x14ac:dyDescent="0.25">
      <c r="A13" s="106"/>
      <c r="B13" s="106"/>
      <c r="C13" s="106"/>
      <c r="D13" s="106"/>
      <c r="E13" s="100" t="s">
        <v>464</v>
      </c>
      <c r="F13" s="100" t="s">
        <v>461</v>
      </c>
      <c r="G13" s="100" t="s">
        <v>461</v>
      </c>
      <c r="H13" s="100" t="s">
        <v>463</v>
      </c>
      <c r="I13" s="106"/>
      <c r="J13" s="106"/>
      <c r="K13" s="106"/>
      <c r="L13" s="106"/>
      <c r="M13" s="106"/>
      <c r="N13" s="106"/>
      <c r="O13" s="110"/>
      <c r="P13" s="117"/>
    </row>
    <row r="14" spans="1:16" x14ac:dyDescent="0.25">
      <c r="A14" s="106"/>
      <c r="B14" s="106"/>
      <c r="C14" s="106"/>
      <c r="D14" s="106"/>
      <c r="E14" s="100" t="s">
        <v>465</v>
      </c>
      <c r="F14" s="100" t="s">
        <v>473</v>
      </c>
      <c r="G14" s="100" t="s">
        <v>454</v>
      </c>
      <c r="H14" s="100" t="s">
        <v>473</v>
      </c>
      <c r="I14" s="106"/>
      <c r="J14" s="106"/>
      <c r="K14" s="106"/>
      <c r="L14" s="106"/>
      <c r="M14" s="106"/>
      <c r="N14" s="106"/>
      <c r="O14" s="110"/>
      <c r="P14" s="117"/>
    </row>
    <row r="15" spans="1:16" x14ac:dyDescent="0.25">
      <c r="A15" s="106" t="s">
        <v>470</v>
      </c>
      <c r="B15" s="106" t="s">
        <v>481</v>
      </c>
      <c r="C15" s="106">
        <v>30</v>
      </c>
      <c r="D15" s="106">
        <v>60</v>
      </c>
      <c r="E15" s="100" t="s">
        <v>472</v>
      </c>
      <c r="F15" s="100" t="s">
        <v>469</v>
      </c>
      <c r="G15" s="100" t="s">
        <v>454</v>
      </c>
      <c r="H15" s="100" t="s">
        <v>468</v>
      </c>
      <c r="I15" s="106" t="s">
        <v>474</v>
      </c>
      <c r="J15" s="113" t="s">
        <v>475</v>
      </c>
      <c r="K15" s="113" t="s">
        <v>476</v>
      </c>
      <c r="L15" s="113" t="s">
        <v>475</v>
      </c>
      <c r="M15" s="106"/>
      <c r="N15" s="106"/>
      <c r="O15" s="110"/>
      <c r="P15" s="117" t="s">
        <v>645</v>
      </c>
    </row>
    <row r="16" spans="1:16" x14ac:dyDescent="0.25">
      <c r="A16" s="106"/>
      <c r="B16" s="106"/>
      <c r="C16" s="106"/>
      <c r="D16" s="106"/>
      <c r="E16" s="100" t="s">
        <v>460</v>
      </c>
      <c r="F16" s="100" t="s">
        <v>462</v>
      </c>
      <c r="G16" s="100" t="s">
        <v>462</v>
      </c>
      <c r="H16" s="100" t="s">
        <v>463</v>
      </c>
      <c r="I16" s="106"/>
      <c r="J16" s="106"/>
      <c r="K16" s="106"/>
      <c r="L16" s="106"/>
      <c r="M16" s="106"/>
      <c r="N16" s="106"/>
      <c r="O16" s="110"/>
      <c r="P16" s="117"/>
    </row>
    <row r="17" spans="1:16" x14ac:dyDescent="0.25">
      <c r="A17" s="106"/>
      <c r="B17" s="106"/>
      <c r="C17" s="106"/>
      <c r="D17" s="106"/>
      <c r="E17" s="100" t="s">
        <v>464</v>
      </c>
      <c r="F17" s="100" t="s">
        <v>462</v>
      </c>
      <c r="G17" s="100" t="s">
        <v>462</v>
      </c>
      <c r="H17" s="100" t="s">
        <v>462</v>
      </c>
      <c r="I17" s="106"/>
      <c r="J17" s="106"/>
      <c r="K17" s="106"/>
      <c r="L17" s="106"/>
      <c r="M17" s="106"/>
      <c r="N17" s="106"/>
      <c r="O17" s="110"/>
      <c r="P17" s="117"/>
    </row>
    <row r="18" spans="1:16" x14ac:dyDescent="0.25">
      <c r="A18" s="106"/>
      <c r="B18" s="106"/>
      <c r="C18" s="106"/>
      <c r="D18" s="106"/>
      <c r="E18" s="100" t="s">
        <v>465</v>
      </c>
      <c r="F18" s="100" t="s">
        <v>473</v>
      </c>
      <c r="G18" s="100" t="s">
        <v>473</v>
      </c>
      <c r="H18" s="100" t="s">
        <v>473</v>
      </c>
      <c r="I18" s="106"/>
      <c r="J18" s="106"/>
      <c r="K18" s="106"/>
      <c r="L18" s="106"/>
      <c r="M18" s="106"/>
      <c r="N18" s="106"/>
      <c r="O18" s="110"/>
      <c r="P18" s="117"/>
    </row>
    <row r="19" spans="1:16" x14ac:dyDescent="0.25">
      <c r="A19" s="106" t="s">
        <v>470</v>
      </c>
      <c r="B19" s="106" t="s">
        <v>482</v>
      </c>
      <c r="C19" s="106">
        <v>30</v>
      </c>
      <c r="D19" s="106">
        <v>60</v>
      </c>
      <c r="E19" s="100" t="s">
        <v>472</v>
      </c>
      <c r="F19" s="100" t="s">
        <v>468</v>
      </c>
      <c r="G19" s="100" t="s">
        <v>473</v>
      </c>
      <c r="H19" s="100" t="s">
        <v>469</v>
      </c>
      <c r="I19" s="106" t="s">
        <v>474</v>
      </c>
      <c r="J19" s="113" t="s">
        <v>475</v>
      </c>
      <c r="K19" s="113" t="s">
        <v>476</v>
      </c>
      <c r="L19" s="113" t="s">
        <v>475</v>
      </c>
      <c r="M19" s="106"/>
      <c r="N19" s="106"/>
      <c r="O19" s="110"/>
      <c r="P19" s="117" t="s">
        <v>645</v>
      </c>
    </row>
    <row r="20" spans="1:16" x14ac:dyDescent="0.25">
      <c r="A20" s="106"/>
      <c r="B20" s="106"/>
      <c r="C20" s="106"/>
      <c r="D20" s="106"/>
      <c r="E20" s="100" t="s">
        <v>480</v>
      </c>
      <c r="F20" s="100" t="s">
        <v>462</v>
      </c>
      <c r="G20" s="100" t="s">
        <v>462</v>
      </c>
      <c r="H20" s="100" t="s">
        <v>462</v>
      </c>
      <c r="I20" s="106"/>
      <c r="J20" s="106"/>
      <c r="K20" s="106"/>
      <c r="L20" s="106"/>
      <c r="M20" s="106"/>
      <c r="N20" s="106"/>
      <c r="O20" s="110"/>
      <c r="P20" s="117"/>
    </row>
    <row r="21" spans="1:16" x14ac:dyDescent="0.25">
      <c r="A21" s="106"/>
      <c r="B21" s="106"/>
      <c r="C21" s="106"/>
      <c r="D21" s="106"/>
      <c r="E21" s="100" t="s">
        <v>464</v>
      </c>
      <c r="F21" s="100" t="s">
        <v>462</v>
      </c>
      <c r="G21" s="100" t="s">
        <v>462</v>
      </c>
      <c r="H21" s="100" t="s">
        <v>462</v>
      </c>
      <c r="I21" s="106"/>
      <c r="J21" s="106"/>
      <c r="K21" s="106"/>
      <c r="L21" s="106"/>
      <c r="M21" s="106"/>
      <c r="N21" s="106"/>
      <c r="O21" s="110"/>
      <c r="P21" s="117"/>
    </row>
    <row r="22" spans="1:16" x14ac:dyDescent="0.25">
      <c r="A22" s="106"/>
      <c r="B22" s="106"/>
      <c r="C22" s="106"/>
      <c r="D22" s="106"/>
      <c r="E22" s="100" t="s">
        <v>465</v>
      </c>
      <c r="F22" s="100" t="s">
        <v>473</v>
      </c>
      <c r="G22" s="100" t="s">
        <v>473</v>
      </c>
      <c r="H22" s="100" t="s">
        <v>473</v>
      </c>
      <c r="I22" s="106"/>
      <c r="J22" s="106"/>
      <c r="K22" s="106"/>
      <c r="L22" s="106"/>
      <c r="M22" s="106"/>
      <c r="N22" s="106"/>
      <c r="O22" s="110"/>
      <c r="P22" s="117"/>
    </row>
    <row r="23" spans="1:16" x14ac:dyDescent="0.25">
      <c r="A23" s="106" t="s">
        <v>470</v>
      </c>
      <c r="B23" s="106" t="s">
        <v>483</v>
      </c>
      <c r="C23" s="106">
        <v>30</v>
      </c>
      <c r="D23" s="106">
        <v>60</v>
      </c>
      <c r="E23" s="100" t="s">
        <v>472</v>
      </c>
      <c r="F23" s="100" t="s">
        <v>468</v>
      </c>
      <c r="G23" s="100" t="s">
        <v>473</v>
      </c>
      <c r="H23" s="100" t="s">
        <v>455</v>
      </c>
      <c r="I23" s="106" t="s">
        <v>474</v>
      </c>
      <c r="J23" s="113" t="s">
        <v>475</v>
      </c>
      <c r="K23" s="113" t="s">
        <v>476</v>
      </c>
      <c r="L23" s="113" t="s">
        <v>475</v>
      </c>
      <c r="M23" s="106"/>
      <c r="N23" s="106"/>
      <c r="O23" s="110"/>
      <c r="P23" s="117" t="s">
        <v>734</v>
      </c>
    </row>
    <row r="24" spans="1:16" x14ac:dyDescent="0.25">
      <c r="A24" s="106"/>
      <c r="B24" s="106"/>
      <c r="C24" s="106"/>
      <c r="D24" s="106"/>
      <c r="E24" s="100" t="s">
        <v>480</v>
      </c>
      <c r="F24" s="100" t="s">
        <v>462</v>
      </c>
      <c r="G24" s="100" t="s">
        <v>461</v>
      </c>
      <c r="H24" s="100" t="s">
        <v>462</v>
      </c>
      <c r="I24" s="106"/>
      <c r="J24" s="106"/>
      <c r="K24" s="106"/>
      <c r="L24" s="106"/>
      <c r="M24" s="106"/>
      <c r="N24" s="106"/>
      <c r="O24" s="110"/>
      <c r="P24" s="117"/>
    </row>
    <row r="25" spans="1:16" x14ac:dyDescent="0.25">
      <c r="A25" s="106"/>
      <c r="B25" s="106"/>
      <c r="C25" s="106"/>
      <c r="D25" s="106"/>
      <c r="E25" s="100" t="s">
        <v>464</v>
      </c>
      <c r="F25" s="100" t="s">
        <v>462</v>
      </c>
      <c r="G25" s="100" t="s">
        <v>462</v>
      </c>
      <c r="H25" s="100" t="s">
        <v>462</v>
      </c>
      <c r="I25" s="106"/>
      <c r="J25" s="106"/>
      <c r="K25" s="106"/>
      <c r="L25" s="106"/>
      <c r="M25" s="106"/>
      <c r="N25" s="106"/>
      <c r="O25" s="110"/>
      <c r="P25" s="117"/>
    </row>
    <row r="26" spans="1:16" x14ac:dyDescent="0.25">
      <c r="A26" s="106"/>
      <c r="B26" s="106"/>
      <c r="C26" s="106"/>
      <c r="D26" s="106"/>
      <c r="E26" s="100" t="s">
        <v>465</v>
      </c>
      <c r="F26" s="100" t="s">
        <v>469</v>
      </c>
      <c r="G26" s="100" t="s">
        <v>468</v>
      </c>
      <c r="H26" s="100" t="s">
        <v>469</v>
      </c>
      <c r="I26" s="106"/>
      <c r="J26" s="106"/>
      <c r="K26" s="106"/>
      <c r="L26" s="106"/>
      <c r="M26" s="106"/>
      <c r="N26" s="106"/>
      <c r="O26" s="110"/>
      <c r="P26" s="117"/>
    </row>
    <row r="27" spans="1:16" x14ac:dyDescent="0.25">
      <c r="A27" s="106" t="s">
        <v>470</v>
      </c>
      <c r="B27" s="106" t="s">
        <v>484</v>
      </c>
      <c r="C27" s="106">
        <v>50</v>
      </c>
      <c r="D27" s="106">
        <v>70</v>
      </c>
      <c r="E27" s="100" t="s">
        <v>472</v>
      </c>
      <c r="F27" s="100" t="s">
        <v>485</v>
      </c>
      <c r="G27" s="100" t="s">
        <v>486</v>
      </c>
      <c r="H27" s="100" t="s">
        <v>485</v>
      </c>
      <c r="I27" s="106" t="s">
        <v>461</v>
      </c>
      <c r="J27" s="113" t="s">
        <v>475</v>
      </c>
      <c r="K27" s="113" t="s">
        <v>476</v>
      </c>
      <c r="L27" s="113" t="s">
        <v>475</v>
      </c>
      <c r="M27" s="106"/>
      <c r="N27" s="106"/>
      <c r="O27" s="110"/>
      <c r="P27" s="117" t="s">
        <v>748</v>
      </c>
    </row>
    <row r="28" spans="1:16" x14ac:dyDescent="0.25">
      <c r="A28" s="106"/>
      <c r="B28" s="106"/>
      <c r="C28" s="106"/>
      <c r="D28" s="106"/>
      <c r="E28" s="100" t="s">
        <v>480</v>
      </c>
      <c r="F28" s="100" t="s">
        <v>462</v>
      </c>
      <c r="G28" s="100" t="s">
        <v>462</v>
      </c>
      <c r="H28" s="100" t="s">
        <v>487</v>
      </c>
      <c r="I28" s="106"/>
      <c r="J28" s="106"/>
      <c r="K28" s="106"/>
      <c r="L28" s="106"/>
      <c r="M28" s="106"/>
      <c r="N28" s="106"/>
      <c r="O28" s="110"/>
      <c r="P28" s="117"/>
    </row>
    <row r="29" spans="1:16" x14ac:dyDescent="0.25">
      <c r="A29" s="106"/>
      <c r="B29" s="106"/>
      <c r="C29" s="106"/>
      <c r="D29" s="106"/>
      <c r="E29" s="100" t="s">
        <v>464</v>
      </c>
      <c r="F29" s="100" t="s">
        <v>462</v>
      </c>
      <c r="G29" s="100" t="s">
        <v>486</v>
      </c>
      <c r="H29" s="100" t="s">
        <v>462</v>
      </c>
      <c r="I29" s="106"/>
      <c r="J29" s="106"/>
      <c r="K29" s="106"/>
      <c r="L29" s="106"/>
      <c r="M29" s="106"/>
      <c r="N29" s="106"/>
      <c r="O29" s="110"/>
      <c r="P29" s="117"/>
    </row>
    <row r="30" spans="1:16" x14ac:dyDescent="0.25">
      <c r="A30" s="106"/>
      <c r="B30" s="106"/>
      <c r="C30" s="106"/>
      <c r="D30" s="106"/>
      <c r="E30" s="100" t="s">
        <v>465</v>
      </c>
      <c r="F30" s="100" t="s">
        <v>488</v>
      </c>
      <c r="G30" s="100" t="s">
        <v>485</v>
      </c>
      <c r="H30" s="100" t="s">
        <v>488</v>
      </c>
      <c r="I30" s="106"/>
      <c r="J30" s="106"/>
      <c r="K30" s="106"/>
      <c r="L30" s="106"/>
      <c r="M30" s="106"/>
      <c r="N30" s="106"/>
      <c r="O30" s="110"/>
      <c r="P30" s="117"/>
    </row>
    <row r="31" spans="1:16" x14ac:dyDescent="0.25">
      <c r="A31" s="106" t="s">
        <v>430</v>
      </c>
      <c r="B31" s="106" t="s">
        <v>489</v>
      </c>
      <c r="C31" s="106">
        <v>50</v>
      </c>
      <c r="D31" s="106">
        <v>70</v>
      </c>
      <c r="E31" s="100" t="s">
        <v>472</v>
      </c>
      <c r="F31" s="100" t="s">
        <v>490</v>
      </c>
      <c r="G31" s="100" t="s">
        <v>486</v>
      </c>
      <c r="H31" s="100" t="s">
        <v>485</v>
      </c>
      <c r="I31" s="106" t="s">
        <v>462</v>
      </c>
      <c r="J31" s="113" t="s">
        <v>475</v>
      </c>
      <c r="K31" s="113" t="s">
        <v>476</v>
      </c>
      <c r="L31" s="113" t="s">
        <v>475</v>
      </c>
      <c r="M31" s="106"/>
      <c r="N31" s="106"/>
      <c r="O31" s="110"/>
      <c r="P31" s="117" t="s">
        <v>645</v>
      </c>
    </row>
    <row r="32" spans="1:16" x14ac:dyDescent="0.25">
      <c r="A32" s="106"/>
      <c r="B32" s="106"/>
      <c r="C32" s="106"/>
      <c r="D32" s="106"/>
      <c r="E32" s="100" t="s">
        <v>480</v>
      </c>
      <c r="F32" s="100" t="s">
        <v>462</v>
      </c>
      <c r="G32" s="100" t="s">
        <v>462</v>
      </c>
      <c r="H32" s="100" t="s">
        <v>462</v>
      </c>
      <c r="I32" s="106"/>
      <c r="J32" s="106"/>
      <c r="K32" s="106"/>
      <c r="L32" s="106"/>
      <c r="M32" s="106"/>
      <c r="N32" s="106"/>
      <c r="O32" s="110"/>
      <c r="P32" s="117"/>
    </row>
    <row r="33" spans="1:16" x14ac:dyDescent="0.25">
      <c r="A33" s="106"/>
      <c r="B33" s="106"/>
      <c r="C33" s="106"/>
      <c r="D33" s="106"/>
      <c r="E33" s="100" t="s">
        <v>464</v>
      </c>
      <c r="F33" s="100" t="s">
        <v>462</v>
      </c>
      <c r="G33" s="100" t="s">
        <v>462</v>
      </c>
      <c r="H33" s="100" t="s">
        <v>462</v>
      </c>
      <c r="I33" s="106"/>
      <c r="J33" s="106"/>
      <c r="K33" s="106"/>
      <c r="L33" s="106"/>
      <c r="M33" s="106"/>
      <c r="N33" s="106"/>
      <c r="O33" s="110"/>
      <c r="P33" s="117"/>
    </row>
    <row r="34" spans="1:16" x14ac:dyDescent="0.25">
      <c r="A34" s="106"/>
      <c r="B34" s="106"/>
      <c r="C34" s="106"/>
      <c r="D34" s="106"/>
      <c r="E34" s="100" t="s">
        <v>465</v>
      </c>
      <c r="F34" s="100" t="s">
        <v>488</v>
      </c>
      <c r="G34" s="100" t="s">
        <v>485</v>
      </c>
      <c r="H34" s="100" t="s">
        <v>488</v>
      </c>
      <c r="I34" s="106"/>
      <c r="J34" s="106"/>
      <c r="K34" s="106"/>
      <c r="L34" s="106"/>
      <c r="M34" s="106"/>
      <c r="N34" s="106"/>
      <c r="O34" s="110"/>
      <c r="P34" s="117"/>
    </row>
    <row r="35" spans="1:16" x14ac:dyDescent="0.25">
      <c r="A35" s="106" t="s">
        <v>470</v>
      </c>
      <c r="B35" s="106" t="s">
        <v>491</v>
      </c>
      <c r="C35" s="106">
        <v>50</v>
      </c>
      <c r="D35" s="106">
        <v>70</v>
      </c>
      <c r="E35" s="100" t="s">
        <v>472</v>
      </c>
      <c r="F35" s="100" t="s">
        <v>492</v>
      </c>
      <c r="G35" s="100" t="s">
        <v>486</v>
      </c>
      <c r="H35" s="100" t="s">
        <v>485</v>
      </c>
      <c r="I35" s="106" t="s">
        <v>462</v>
      </c>
      <c r="J35" s="113" t="s">
        <v>475</v>
      </c>
      <c r="K35" s="113" t="s">
        <v>476</v>
      </c>
      <c r="L35" s="113" t="s">
        <v>475</v>
      </c>
      <c r="M35" s="106"/>
      <c r="N35" s="106"/>
      <c r="O35" s="110"/>
      <c r="P35" s="117" t="s">
        <v>749</v>
      </c>
    </row>
    <row r="36" spans="1:16" x14ac:dyDescent="0.25">
      <c r="A36" s="106"/>
      <c r="B36" s="106"/>
      <c r="C36" s="106"/>
      <c r="D36" s="106"/>
      <c r="E36" s="100" t="s">
        <v>480</v>
      </c>
      <c r="F36" s="100" t="s">
        <v>493</v>
      </c>
      <c r="G36" s="100" t="s">
        <v>462</v>
      </c>
      <c r="H36" s="100" t="s">
        <v>462</v>
      </c>
      <c r="I36" s="106"/>
      <c r="J36" s="106"/>
      <c r="K36" s="106"/>
      <c r="L36" s="106"/>
      <c r="M36" s="106"/>
      <c r="N36" s="106"/>
      <c r="O36" s="110"/>
      <c r="P36" s="117"/>
    </row>
    <row r="37" spans="1:16" x14ac:dyDescent="0.25">
      <c r="A37" s="106"/>
      <c r="B37" s="106"/>
      <c r="C37" s="106"/>
      <c r="D37" s="106"/>
      <c r="E37" s="100" t="s">
        <v>464</v>
      </c>
      <c r="F37" s="100" t="s">
        <v>462</v>
      </c>
      <c r="G37" s="100" t="s">
        <v>462</v>
      </c>
      <c r="H37" s="100" t="s">
        <v>462</v>
      </c>
      <c r="I37" s="106"/>
      <c r="J37" s="106"/>
      <c r="K37" s="106"/>
      <c r="L37" s="106"/>
      <c r="M37" s="106"/>
      <c r="N37" s="106"/>
      <c r="O37" s="110"/>
      <c r="P37" s="117"/>
    </row>
    <row r="38" spans="1:16" x14ac:dyDescent="0.25">
      <c r="A38" s="106"/>
      <c r="B38" s="106"/>
      <c r="C38" s="106"/>
      <c r="D38" s="106"/>
      <c r="E38" s="100" t="s">
        <v>465</v>
      </c>
      <c r="F38" s="100" t="s">
        <v>488</v>
      </c>
      <c r="G38" s="100" t="s">
        <v>485</v>
      </c>
      <c r="H38" s="100" t="s">
        <v>488</v>
      </c>
      <c r="I38" s="106"/>
      <c r="J38" s="106"/>
      <c r="K38" s="106"/>
      <c r="L38" s="106"/>
      <c r="M38" s="106"/>
      <c r="N38" s="106"/>
      <c r="O38" s="110"/>
      <c r="P38" s="117"/>
    </row>
    <row r="39" spans="1:16" x14ac:dyDescent="0.25">
      <c r="A39" s="106" t="s">
        <v>470</v>
      </c>
      <c r="B39" s="106" t="s">
        <v>494</v>
      </c>
      <c r="C39" s="106">
        <v>50</v>
      </c>
      <c r="D39" s="106">
        <v>70</v>
      </c>
      <c r="E39" s="100" t="s">
        <v>452</v>
      </c>
      <c r="F39" s="100" t="s">
        <v>485</v>
      </c>
      <c r="G39" s="100" t="s">
        <v>486</v>
      </c>
      <c r="H39" s="100" t="s">
        <v>485</v>
      </c>
      <c r="I39" s="106" t="s">
        <v>462</v>
      </c>
      <c r="J39" s="113" t="s">
        <v>475</v>
      </c>
      <c r="K39" s="113" t="s">
        <v>476</v>
      </c>
      <c r="L39" s="113" t="s">
        <v>475</v>
      </c>
      <c r="M39" s="106"/>
      <c r="N39" s="106"/>
      <c r="O39" s="110"/>
      <c r="P39" s="117" t="s">
        <v>750</v>
      </c>
    </row>
    <row r="40" spans="1:16" x14ac:dyDescent="0.25">
      <c r="A40" s="106"/>
      <c r="B40" s="106"/>
      <c r="C40" s="106"/>
      <c r="D40" s="106"/>
      <c r="E40" s="100" t="s">
        <v>480</v>
      </c>
      <c r="F40" s="100" t="s">
        <v>487</v>
      </c>
      <c r="G40" s="100" t="s">
        <v>462</v>
      </c>
      <c r="H40" s="100" t="s">
        <v>462</v>
      </c>
      <c r="I40" s="106"/>
      <c r="J40" s="106"/>
      <c r="K40" s="106"/>
      <c r="L40" s="106"/>
      <c r="M40" s="106"/>
      <c r="N40" s="106"/>
      <c r="O40" s="110"/>
      <c r="P40" s="117"/>
    </row>
    <row r="41" spans="1:16" x14ac:dyDescent="0.25">
      <c r="A41" s="106"/>
      <c r="B41" s="106"/>
      <c r="C41" s="106"/>
      <c r="D41" s="106"/>
      <c r="E41" s="100" t="s">
        <v>464</v>
      </c>
      <c r="F41" s="100" t="s">
        <v>462</v>
      </c>
      <c r="G41" s="100" t="s">
        <v>487</v>
      </c>
      <c r="H41" s="100" t="s">
        <v>462</v>
      </c>
      <c r="I41" s="106"/>
      <c r="J41" s="106"/>
      <c r="K41" s="106"/>
      <c r="L41" s="106"/>
      <c r="M41" s="106"/>
      <c r="N41" s="106"/>
      <c r="O41" s="110"/>
      <c r="P41" s="117"/>
    </row>
    <row r="42" spans="1:16" x14ac:dyDescent="0.25">
      <c r="A42" s="106"/>
      <c r="B42" s="106"/>
      <c r="C42" s="106"/>
      <c r="D42" s="106"/>
      <c r="E42" s="100" t="s">
        <v>465</v>
      </c>
      <c r="F42" s="100" t="s">
        <v>488</v>
      </c>
      <c r="G42" s="100" t="s">
        <v>490</v>
      </c>
      <c r="H42" s="100" t="s">
        <v>488</v>
      </c>
      <c r="I42" s="106"/>
      <c r="J42" s="106"/>
      <c r="K42" s="106"/>
      <c r="L42" s="106"/>
      <c r="M42" s="106"/>
      <c r="N42" s="106"/>
      <c r="O42" s="110"/>
      <c r="P42" s="117"/>
    </row>
    <row r="43" spans="1:16" x14ac:dyDescent="0.25">
      <c r="A43" s="106" t="s">
        <v>470</v>
      </c>
      <c r="B43" s="106" t="s">
        <v>495</v>
      </c>
      <c r="C43" s="106">
        <v>30</v>
      </c>
      <c r="D43" s="106">
        <v>60</v>
      </c>
      <c r="E43" s="100" t="s">
        <v>472</v>
      </c>
      <c r="F43" s="100" t="s">
        <v>468</v>
      </c>
      <c r="G43" s="100" t="s">
        <v>473</v>
      </c>
      <c r="H43" s="100" t="s">
        <v>468</v>
      </c>
      <c r="I43" s="106" t="s">
        <v>474</v>
      </c>
      <c r="J43" s="113" t="s">
        <v>475</v>
      </c>
      <c r="K43" s="113" t="s">
        <v>476</v>
      </c>
      <c r="L43" s="113" t="s">
        <v>475</v>
      </c>
      <c r="M43" s="106"/>
      <c r="N43" s="106"/>
      <c r="O43" s="110"/>
      <c r="P43" s="117" t="s">
        <v>734</v>
      </c>
    </row>
    <row r="44" spans="1:16" x14ac:dyDescent="0.25">
      <c r="A44" s="106"/>
      <c r="B44" s="106"/>
      <c r="C44" s="106"/>
      <c r="D44" s="106"/>
      <c r="E44" s="100" t="s">
        <v>480</v>
      </c>
      <c r="F44" s="100" t="s">
        <v>462</v>
      </c>
      <c r="G44" s="100" t="s">
        <v>462</v>
      </c>
      <c r="H44" s="100" t="s">
        <v>462</v>
      </c>
      <c r="I44" s="106"/>
      <c r="J44" s="106"/>
      <c r="K44" s="106"/>
      <c r="L44" s="106"/>
      <c r="M44" s="106"/>
      <c r="N44" s="106"/>
      <c r="O44" s="110"/>
      <c r="P44" s="117"/>
    </row>
    <row r="45" spans="1:16" x14ac:dyDescent="0.25">
      <c r="A45" s="106"/>
      <c r="B45" s="106"/>
      <c r="C45" s="106"/>
      <c r="D45" s="106"/>
      <c r="E45" s="100" t="s">
        <v>464</v>
      </c>
      <c r="F45" s="100" t="s">
        <v>462</v>
      </c>
      <c r="G45" s="100" t="s">
        <v>462</v>
      </c>
      <c r="H45" s="100" t="s">
        <v>462</v>
      </c>
      <c r="I45" s="106"/>
      <c r="J45" s="106"/>
      <c r="K45" s="106"/>
      <c r="L45" s="106"/>
      <c r="M45" s="106"/>
      <c r="N45" s="106"/>
      <c r="O45" s="110"/>
      <c r="P45" s="117"/>
    </row>
    <row r="46" spans="1:16" x14ac:dyDescent="0.25">
      <c r="A46" s="106"/>
      <c r="B46" s="106"/>
      <c r="C46" s="106"/>
      <c r="D46" s="106"/>
      <c r="E46" s="100" t="s">
        <v>465</v>
      </c>
      <c r="F46" s="100" t="s">
        <v>469</v>
      </c>
      <c r="G46" s="100" t="s">
        <v>468</v>
      </c>
      <c r="H46" s="100" t="s">
        <v>469</v>
      </c>
      <c r="I46" s="106"/>
      <c r="J46" s="106"/>
      <c r="K46" s="106"/>
      <c r="L46" s="106"/>
      <c r="M46" s="106"/>
      <c r="N46" s="106"/>
      <c r="O46" s="110"/>
      <c r="P46" s="117"/>
    </row>
    <row r="47" spans="1:16" x14ac:dyDescent="0.25">
      <c r="A47" s="106" t="s">
        <v>470</v>
      </c>
      <c r="B47" s="106" t="s">
        <v>496</v>
      </c>
      <c r="C47" s="106">
        <v>30</v>
      </c>
      <c r="D47" s="106">
        <v>60</v>
      </c>
      <c r="E47" s="100" t="s">
        <v>472</v>
      </c>
      <c r="F47" s="100" t="s">
        <v>468</v>
      </c>
      <c r="G47" s="100" t="s">
        <v>473</v>
      </c>
      <c r="H47" s="100" t="s">
        <v>468</v>
      </c>
      <c r="I47" s="106" t="s">
        <v>474</v>
      </c>
      <c r="J47" s="113" t="s">
        <v>475</v>
      </c>
      <c r="K47" s="113" t="s">
        <v>476</v>
      </c>
      <c r="L47" s="113" t="s">
        <v>475</v>
      </c>
      <c r="M47" s="106"/>
      <c r="N47" s="106"/>
      <c r="O47" s="110"/>
      <c r="P47" s="117" t="s">
        <v>751</v>
      </c>
    </row>
    <row r="48" spans="1:16" x14ac:dyDescent="0.25">
      <c r="A48" s="106"/>
      <c r="B48" s="106"/>
      <c r="C48" s="106"/>
      <c r="D48" s="106"/>
      <c r="E48" s="100" t="s">
        <v>480</v>
      </c>
      <c r="F48" s="100" t="s">
        <v>462</v>
      </c>
      <c r="G48" s="100" t="s">
        <v>462</v>
      </c>
      <c r="H48" s="100" t="s">
        <v>462</v>
      </c>
      <c r="I48" s="106"/>
      <c r="J48" s="106"/>
      <c r="K48" s="106"/>
      <c r="L48" s="106"/>
      <c r="M48" s="106"/>
      <c r="N48" s="106"/>
      <c r="O48" s="110"/>
      <c r="P48" s="117"/>
    </row>
    <row r="49" spans="1:16" x14ac:dyDescent="0.25">
      <c r="A49" s="106"/>
      <c r="B49" s="106"/>
      <c r="C49" s="106"/>
      <c r="D49" s="106"/>
      <c r="E49" s="100" t="s">
        <v>464</v>
      </c>
      <c r="F49" s="100" t="s">
        <v>462</v>
      </c>
      <c r="G49" s="100" t="s">
        <v>462</v>
      </c>
      <c r="H49" s="100" t="s">
        <v>462</v>
      </c>
      <c r="I49" s="106"/>
      <c r="J49" s="106"/>
      <c r="K49" s="106"/>
      <c r="L49" s="106"/>
      <c r="M49" s="106"/>
      <c r="N49" s="106"/>
      <c r="O49" s="110"/>
      <c r="P49" s="117"/>
    </row>
    <row r="50" spans="1:16" x14ac:dyDescent="0.25">
      <c r="A50" s="106"/>
      <c r="B50" s="106"/>
      <c r="C50" s="106"/>
      <c r="D50" s="106"/>
      <c r="E50" s="100" t="s">
        <v>465</v>
      </c>
      <c r="F50" s="100" t="s">
        <v>473</v>
      </c>
      <c r="G50" s="100" t="s">
        <v>473</v>
      </c>
      <c r="H50" s="100" t="s">
        <v>473</v>
      </c>
      <c r="I50" s="106"/>
      <c r="J50" s="106"/>
      <c r="K50" s="106"/>
      <c r="L50" s="106"/>
      <c r="M50" s="106"/>
      <c r="N50" s="106"/>
      <c r="O50" s="110"/>
      <c r="P50" s="117"/>
    </row>
    <row r="51" spans="1:16" x14ac:dyDescent="0.25">
      <c r="A51" s="106" t="s">
        <v>470</v>
      </c>
      <c r="B51" s="106" t="s">
        <v>497</v>
      </c>
      <c r="C51" s="106">
        <v>30</v>
      </c>
      <c r="D51" s="106">
        <v>60</v>
      </c>
      <c r="E51" s="100" t="s">
        <v>472</v>
      </c>
      <c r="F51" s="100" t="s">
        <v>469</v>
      </c>
      <c r="G51" s="100" t="s">
        <v>473</v>
      </c>
      <c r="H51" s="100" t="s">
        <v>469</v>
      </c>
      <c r="I51" s="106" t="s">
        <v>474</v>
      </c>
      <c r="J51" s="113" t="s">
        <v>475</v>
      </c>
      <c r="K51" s="113" t="s">
        <v>476</v>
      </c>
      <c r="L51" s="113" t="s">
        <v>475</v>
      </c>
      <c r="M51" s="106"/>
      <c r="N51" s="106"/>
      <c r="O51" s="110"/>
      <c r="P51" s="117" t="s">
        <v>645</v>
      </c>
    </row>
    <row r="52" spans="1:16" x14ac:dyDescent="0.25">
      <c r="A52" s="106"/>
      <c r="B52" s="106"/>
      <c r="C52" s="106"/>
      <c r="D52" s="106"/>
      <c r="E52" s="100" t="s">
        <v>480</v>
      </c>
      <c r="F52" s="100" t="s">
        <v>462</v>
      </c>
      <c r="G52" s="100" t="s">
        <v>462</v>
      </c>
      <c r="H52" s="100" t="s">
        <v>462</v>
      </c>
      <c r="I52" s="106"/>
      <c r="J52" s="106"/>
      <c r="K52" s="106"/>
      <c r="L52" s="106"/>
      <c r="M52" s="106"/>
      <c r="N52" s="106"/>
      <c r="O52" s="110"/>
      <c r="P52" s="117"/>
    </row>
    <row r="53" spans="1:16" x14ac:dyDescent="0.25">
      <c r="A53" s="106"/>
      <c r="B53" s="106"/>
      <c r="C53" s="106"/>
      <c r="D53" s="106"/>
      <c r="E53" s="100" t="s">
        <v>464</v>
      </c>
      <c r="F53" s="100" t="s">
        <v>462</v>
      </c>
      <c r="G53" s="100" t="s">
        <v>462</v>
      </c>
      <c r="H53" s="100" t="s">
        <v>462</v>
      </c>
      <c r="I53" s="106"/>
      <c r="J53" s="106"/>
      <c r="K53" s="106"/>
      <c r="L53" s="106"/>
      <c r="M53" s="106"/>
      <c r="N53" s="106"/>
      <c r="O53" s="110"/>
      <c r="P53" s="117"/>
    </row>
    <row r="54" spans="1:16" x14ac:dyDescent="0.25">
      <c r="A54" s="106"/>
      <c r="B54" s="106"/>
      <c r="C54" s="106"/>
      <c r="D54" s="106"/>
      <c r="E54" s="100" t="s">
        <v>465</v>
      </c>
      <c r="F54" s="100" t="s">
        <v>473</v>
      </c>
      <c r="G54" s="100" t="s">
        <v>473</v>
      </c>
      <c r="H54" s="100" t="s">
        <v>473</v>
      </c>
      <c r="I54" s="106"/>
      <c r="J54" s="106"/>
      <c r="K54" s="106"/>
      <c r="L54" s="106"/>
      <c r="M54" s="106"/>
      <c r="N54" s="106"/>
      <c r="O54" s="110"/>
      <c r="P54" s="117"/>
    </row>
    <row r="55" spans="1:16" x14ac:dyDescent="0.25">
      <c r="A55" s="106" t="s">
        <v>470</v>
      </c>
      <c r="B55" s="106" t="s">
        <v>498</v>
      </c>
      <c r="C55" s="106">
        <v>30</v>
      </c>
      <c r="D55" s="106">
        <v>60</v>
      </c>
      <c r="E55" s="100" t="s">
        <v>472</v>
      </c>
      <c r="F55" s="100" t="s">
        <v>469</v>
      </c>
      <c r="G55" s="100" t="s">
        <v>473</v>
      </c>
      <c r="H55" s="100" t="s">
        <v>469</v>
      </c>
      <c r="I55" s="106" t="s">
        <v>474</v>
      </c>
      <c r="J55" s="113" t="s">
        <v>475</v>
      </c>
      <c r="K55" s="113" t="s">
        <v>476</v>
      </c>
      <c r="L55" s="113" t="s">
        <v>475</v>
      </c>
      <c r="M55" s="106"/>
      <c r="N55" s="106"/>
      <c r="O55" s="110"/>
      <c r="P55" s="117" t="s">
        <v>752</v>
      </c>
    </row>
    <row r="56" spans="1:16" x14ac:dyDescent="0.25">
      <c r="A56" s="106"/>
      <c r="B56" s="106"/>
      <c r="C56" s="106"/>
      <c r="D56" s="106"/>
      <c r="E56" s="100" t="s">
        <v>480</v>
      </c>
      <c r="F56" s="100" t="s">
        <v>462</v>
      </c>
      <c r="G56" s="100" t="s">
        <v>462</v>
      </c>
      <c r="H56" s="100" t="s">
        <v>462</v>
      </c>
      <c r="I56" s="106"/>
      <c r="J56" s="106"/>
      <c r="K56" s="106"/>
      <c r="L56" s="106"/>
      <c r="M56" s="106"/>
      <c r="N56" s="106"/>
      <c r="O56" s="110"/>
      <c r="P56" s="117"/>
    </row>
    <row r="57" spans="1:16" x14ac:dyDescent="0.25">
      <c r="A57" s="106"/>
      <c r="B57" s="106"/>
      <c r="C57" s="106"/>
      <c r="D57" s="106"/>
      <c r="E57" s="100" t="s">
        <v>464</v>
      </c>
      <c r="F57" s="100" t="s">
        <v>462</v>
      </c>
      <c r="G57" s="100" t="s">
        <v>462</v>
      </c>
      <c r="H57" s="100" t="s">
        <v>462</v>
      </c>
      <c r="I57" s="106"/>
      <c r="J57" s="106"/>
      <c r="K57" s="106"/>
      <c r="L57" s="106"/>
      <c r="M57" s="106"/>
      <c r="N57" s="106"/>
      <c r="O57" s="110"/>
      <c r="P57" s="117"/>
    </row>
    <row r="58" spans="1:16" x14ac:dyDescent="0.25">
      <c r="A58" s="106"/>
      <c r="B58" s="106"/>
      <c r="C58" s="106"/>
      <c r="D58" s="106"/>
      <c r="E58" s="100" t="s">
        <v>465</v>
      </c>
      <c r="F58" s="100" t="s">
        <v>473</v>
      </c>
      <c r="G58" s="100" t="s">
        <v>473</v>
      </c>
      <c r="H58" s="100" t="s">
        <v>473</v>
      </c>
      <c r="I58" s="106"/>
      <c r="J58" s="106"/>
      <c r="K58" s="106"/>
      <c r="L58" s="106"/>
      <c r="M58" s="106"/>
      <c r="N58" s="106"/>
      <c r="O58" s="110"/>
      <c r="P58" s="117"/>
    </row>
    <row r="59" spans="1:16" x14ac:dyDescent="0.25">
      <c r="A59" s="106" t="s">
        <v>470</v>
      </c>
      <c r="B59" s="106" t="s">
        <v>499</v>
      </c>
      <c r="C59" s="106">
        <v>30</v>
      </c>
      <c r="D59" s="106">
        <v>60</v>
      </c>
      <c r="E59" s="100" t="s">
        <v>472</v>
      </c>
      <c r="F59" s="100" t="s">
        <v>469</v>
      </c>
      <c r="G59" s="100" t="s">
        <v>473</v>
      </c>
      <c r="H59" s="100" t="s">
        <v>468</v>
      </c>
      <c r="I59" s="106" t="s">
        <v>474</v>
      </c>
      <c r="J59" s="113" t="s">
        <v>475</v>
      </c>
      <c r="K59" s="113" t="s">
        <v>476</v>
      </c>
      <c r="L59" s="113" t="s">
        <v>475</v>
      </c>
      <c r="M59" s="106"/>
      <c r="N59" s="106"/>
      <c r="O59" s="110"/>
      <c r="P59" s="117" t="s">
        <v>645</v>
      </c>
    </row>
    <row r="60" spans="1:16" x14ac:dyDescent="0.25">
      <c r="A60" s="106"/>
      <c r="B60" s="106"/>
      <c r="C60" s="106"/>
      <c r="D60" s="106"/>
      <c r="E60" s="100" t="s">
        <v>480</v>
      </c>
      <c r="F60" s="100" t="s">
        <v>462</v>
      </c>
      <c r="G60" s="100" t="s">
        <v>462</v>
      </c>
      <c r="H60" s="100" t="s">
        <v>462</v>
      </c>
      <c r="I60" s="106"/>
      <c r="J60" s="106"/>
      <c r="K60" s="106"/>
      <c r="L60" s="106"/>
      <c r="M60" s="106"/>
      <c r="N60" s="106"/>
      <c r="O60" s="110"/>
      <c r="P60" s="117"/>
    </row>
    <row r="61" spans="1:16" x14ac:dyDescent="0.25">
      <c r="A61" s="106"/>
      <c r="B61" s="106"/>
      <c r="C61" s="106"/>
      <c r="D61" s="106"/>
      <c r="E61" s="100" t="s">
        <v>464</v>
      </c>
      <c r="F61" s="100" t="s">
        <v>462</v>
      </c>
      <c r="G61" s="100" t="s">
        <v>462</v>
      </c>
      <c r="H61" s="100" t="s">
        <v>462</v>
      </c>
      <c r="I61" s="106"/>
      <c r="J61" s="106"/>
      <c r="K61" s="106"/>
      <c r="L61" s="106"/>
      <c r="M61" s="106"/>
      <c r="N61" s="106"/>
      <c r="O61" s="110"/>
      <c r="P61" s="117"/>
    </row>
    <row r="62" spans="1:16" x14ac:dyDescent="0.25">
      <c r="A62" s="106"/>
      <c r="B62" s="106"/>
      <c r="C62" s="106"/>
      <c r="D62" s="106"/>
      <c r="E62" s="100" t="s">
        <v>465</v>
      </c>
      <c r="F62" s="100" t="s">
        <v>473</v>
      </c>
      <c r="G62" s="100" t="s">
        <v>473</v>
      </c>
      <c r="H62" s="100" t="s">
        <v>473</v>
      </c>
      <c r="I62" s="106"/>
      <c r="J62" s="106"/>
      <c r="K62" s="106"/>
      <c r="L62" s="106"/>
      <c r="M62" s="106"/>
      <c r="N62" s="106"/>
      <c r="O62" s="110"/>
      <c r="P62" s="117"/>
    </row>
    <row r="63" spans="1:16" x14ac:dyDescent="0.25">
      <c r="A63" s="106" t="s">
        <v>470</v>
      </c>
      <c r="B63" s="106" t="s">
        <v>500</v>
      </c>
      <c r="C63" s="106">
        <v>30</v>
      </c>
      <c r="D63" s="106">
        <v>60</v>
      </c>
      <c r="E63" s="100" t="s">
        <v>472</v>
      </c>
      <c r="F63" s="100" t="s">
        <v>468</v>
      </c>
      <c r="G63" s="100" t="s">
        <v>473</v>
      </c>
      <c r="H63" s="100" t="s">
        <v>468</v>
      </c>
      <c r="I63" s="106" t="s">
        <v>474</v>
      </c>
      <c r="J63" s="113" t="s">
        <v>475</v>
      </c>
      <c r="K63" s="113" t="s">
        <v>476</v>
      </c>
      <c r="L63" s="113" t="s">
        <v>475</v>
      </c>
      <c r="M63" s="106"/>
      <c r="N63" s="106"/>
      <c r="O63" s="110"/>
      <c r="P63" s="117" t="s">
        <v>695</v>
      </c>
    </row>
    <row r="64" spans="1:16" x14ac:dyDescent="0.25">
      <c r="A64" s="106"/>
      <c r="B64" s="106"/>
      <c r="C64" s="106"/>
      <c r="D64" s="106"/>
      <c r="E64" s="100" t="s">
        <v>480</v>
      </c>
      <c r="F64" s="100" t="s">
        <v>462</v>
      </c>
      <c r="G64" s="100" t="s">
        <v>462</v>
      </c>
      <c r="H64" s="100" t="s">
        <v>462</v>
      </c>
      <c r="I64" s="106"/>
      <c r="J64" s="106"/>
      <c r="K64" s="106"/>
      <c r="L64" s="106"/>
      <c r="M64" s="106"/>
      <c r="N64" s="106"/>
      <c r="O64" s="110"/>
      <c r="P64" s="117"/>
    </row>
    <row r="65" spans="1:16" x14ac:dyDescent="0.25">
      <c r="A65" s="106"/>
      <c r="B65" s="106"/>
      <c r="C65" s="106"/>
      <c r="D65" s="106"/>
      <c r="E65" s="100" t="s">
        <v>464</v>
      </c>
      <c r="F65" s="100" t="s">
        <v>462</v>
      </c>
      <c r="G65" s="100" t="s">
        <v>462</v>
      </c>
      <c r="H65" s="100" t="s">
        <v>462</v>
      </c>
      <c r="I65" s="106"/>
      <c r="J65" s="106"/>
      <c r="K65" s="106"/>
      <c r="L65" s="106"/>
      <c r="M65" s="106"/>
      <c r="N65" s="106"/>
      <c r="O65" s="110"/>
      <c r="P65" s="117"/>
    </row>
    <row r="66" spans="1:16" x14ac:dyDescent="0.25">
      <c r="A66" s="106"/>
      <c r="B66" s="106"/>
      <c r="C66" s="106"/>
      <c r="D66" s="106"/>
      <c r="E66" s="100" t="s">
        <v>465</v>
      </c>
      <c r="F66" s="100" t="s">
        <v>469</v>
      </c>
      <c r="G66" s="100" t="s">
        <v>468</v>
      </c>
      <c r="H66" s="100" t="s">
        <v>469</v>
      </c>
      <c r="I66" s="106"/>
      <c r="J66" s="106"/>
      <c r="K66" s="106"/>
      <c r="L66" s="106"/>
      <c r="M66" s="106"/>
      <c r="N66" s="106"/>
      <c r="O66" s="110"/>
      <c r="P66" s="117"/>
    </row>
    <row r="67" spans="1:16" x14ac:dyDescent="0.25">
      <c r="A67" s="106" t="s">
        <v>470</v>
      </c>
      <c r="B67" s="106" t="s">
        <v>501</v>
      </c>
      <c r="C67" s="106">
        <v>30</v>
      </c>
      <c r="D67" s="106">
        <v>60</v>
      </c>
      <c r="E67" s="100" t="s">
        <v>472</v>
      </c>
      <c r="F67" s="100" t="s">
        <v>469</v>
      </c>
      <c r="G67" s="100" t="s">
        <v>473</v>
      </c>
      <c r="H67" s="100" t="s">
        <v>469</v>
      </c>
      <c r="I67" s="106" t="s">
        <v>474</v>
      </c>
      <c r="J67" s="113" t="s">
        <v>475</v>
      </c>
      <c r="K67" s="113" t="s">
        <v>476</v>
      </c>
      <c r="L67" s="113" t="s">
        <v>475</v>
      </c>
      <c r="M67" s="106"/>
      <c r="N67" s="106"/>
      <c r="O67" s="110"/>
      <c r="P67" s="117" t="s">
        <v>753</v>
      </c>
    </row>
    <row r="68" spans="1:16" x14ac:dyDescent="0.25">
      <c r="A68" s="106"/>
      <c r="B68" s="106"/>
      <c r="C68" s="106"/>
      <c r="D68" s="106"/>
      <c r="E68" s="100" t="s">
        <v>480</v>
      </c>
      <c r="F68" s="100" t="s">
        <v>462</v>
      </c>
      <c r="G68" s="100" t="s">
        <v>462</v>
      </c>
      <c r="H68" s="100" t="s">
        <v>462</v>
      </c>
      <c r="I68" s="106"/>
      <c r="J68" s="106"/>
      <c r="K68" s="106"/>
      <c r="L68" s="106"/>
      <c r="M68" s="106"/>
      <c r="N68" s="106"/>
      <c r="O68" s="110"/>
      <c r="P68" s="117"/>
    </row>
    <row r="69" spans="1:16" x14ac:dyDescent="0.25">
      <c r="A69" s="106"/>
      <c r="B69" s="106"/>
      <c r="C69" s="106"/>
      <c r="D69" s="106"/>
      <c r="E69" s="100" t="s">
        <v>464</v>
      </c>
      <c r="F69" s="100" t="s">
        <v>462</v>
      </c>
      <c r="G69" s="100" t="s">
        <v>462</v>
      </c>
      <c r="H69" s="100" t="s">
        <v>462</v>
      </c>
      <c r="I69" s="106"/>
      <c r="J69" s="106"/>
      <c r="K69" s="106"/>
      <c r="L69" s="106"/>
      <c r="M69" s="106"/>
      <c r="N69" s="106"/>
      <c r="O69" s="110"/>
      <c r="P69" s="117"/>
    </row>
    <row r="70" spans="1:16" x14ac:dyDescent="0.25">
      <c r="A70" s="106"/>
      <c r="B70" s="106"/>
      <c r="C70" s="106"/>
      <c r="D70" s="106"/>
      <c r="E70" s="100" t="s">
        <v>465</v>
      </c>
      <c r="F70" s="100" t="s">
        <v>473</v>
      </c>
      <c r="G70" s="100" t="s">
        <v>473</v>
      </c>
      <c r="H70" s="100" t="s">
        <v>473</v>
      </c>
      <c r="I70" s="106"/>
      <c r="J70" s="106"/>
      <c r="K70" s="106"/>
      <c r="L70" s="106"/>
      <c r="M70" s="106"/>
      <c r="N70" s="106"/>
      <c r="O70" s="110"/>
      <c r="P70" s="117"/>
    </row>
    <row r="71" spans="1:16" x14ac:dyDescent="0.25">
      <c r="A71" s="106" t="s">
        <v>470</v>
      </c>
      <c r="B71" s="106" t="s">
        <v>502</v>
      </c>
      <c r="C71" s="106">
        <v>30</v>
      </c>
      <c r="D71" s="106">
        <v>60</v>
      </c>
      <c r="E71" s="100" t="s">
        <v>472</v>
      </c>
      <c r="F71" s="100" t="s">
        <v>469</v>
      </c>
      <c r="G71" s="100" t="s">
        <v>473</v>
      </c>
      <c r="H71" s="100" t="s">
        <v>469</v>
      </c>
      <c r="I71" s="106" t="s">
        <v>474</v>
      </c>
      <c r="J71" s="113" t="s">
        <v>475</v>
      </c>
      <c r="K71" s="113" t="s">
        <v>476</v>
      </c>
      <c r="L71" s="113" t="s">
        <v>475</v>
      </c>
      <c r="M71" s="106"/>
      <c r="N71" s="106"/>
      <c r="O71" s="110"/>
      <c r="P71" s="117" t="s">
        <v>645</v>
      </c>
    </row>
    <row r="72" spans="1:16" x14ac:dyDescent="0.25">
      <c r="A72" s="106"/>
      <c r="B72" s="106"/>
      <c r="C72" s="106"/>
      <c r="D72" s="106"/>
      <c r="E72" s="100" t="s">
        <v>480</v>
      </c>
      <c r="F72" s="100" t="s">
        <v>462</v>
      </c>
      <c r="G72" s="100" t="s">
        <v>462</v>
      </c>
      <c r="H72" s="100" t="s">
        <v>462</v>
      </c>
      <c r="I72" s="106"/>
      <c r="J72" s="106"/>
      <c r="K72" s="106"/>
      <c r="L72" s="106"/>
      <c r="M72" s="106"/>
      <c r="N72" s="106"/>
      <c r="O72" s="110"/>
      <c r="P72" s="117"/>
    </row>
    <row r="73" spans="1:16" x14ac:dyDescent="0.25">
      <c r="A73" s="106"/>
      <c r="B73" s="106"/>
      <c r="C73" s="106"/>
      <c r="D73" s="106"/>
      <c r="E73" s="100" t="s">
        <v>464</v>
      </c>
      <c r="F73" s="100" t="s">
        <v>462</v>
      </c>
      <c r="G73" s="100" t="s">
        <v>462</v>
      </c>
      <c r="H73" s="100" t="s">
        <v>462</v>
      </c>
      <c r="I73" s="106"/>
      <c r="J73" s="106"/>
      <c r="K73" s="106"/>
      <c r="L73" s="106"/>
      <c r="M73" s="106"/>
      <c r="N73" s="106"/>
      <c r="O73" s="110"/>
      <c r="P73" s="117"/>
    </row>
    <row r="74" spans="1:16" x14ac:dyDescent="0.25">
      <c r="A74" s="106"/>
      <c r="B74" s="106"/>
      <c r="C74" s="106"/>
      <c r="D74" s="106"/>
      <c r="E74" s="100" t="s">
        <v>465</v>
      </c>
      <c r="F74" s="100" t="s">
        <v>473</v>
      </c>
      <c r="G74" s="100" t="s">
        <v>473</v>
      </c>
      <c r="H74" s="100" t="s">
        <v>473</v>
      </c>
      <c r="I74" s="106"/>
      <c r="J74" s="106"/>
      <c r="K74" s="106"/>
      <c r="L74" s="106"/>
      <c r="M74" s="106"/>
      <c r="N74" s="106"/>
      <c r="O74" s="110"/>
      <c r="P74" s="117"/>
    </row>
    <row r="75" spans="1:16" x14ac:dyDescent="0.25">
      <c r="A75" s="106" t="s">
        <v>470</v>
      </c>
      <c r="B75" s="106" t="s">
        <v>503</v>
      </c>
      <c r="C75" s="106">
        <v>30</v>
      </c>
      <c r="D75" s="106">
        <v>60</v>
      </c>
      <c r="E75" s="100" t="s">
        <v>472</v>
      </c>
      <c r="F75" s="100" t="s">
        <v>469</v>
      </c>
      <c r="G75" s="100" t="s">
        <v>473</v>
      </c>
      <c r="H75" s="100" t="s">
        <v>469</v>
      </c>
      <c r="I75" s="106" t="s">
        <v>462</v>
      </c>
      <c r="J75" s="113" t="s">
        <v>475</v>
      </c>
      <c r="K75" s="113" t="s">
        <v>476</v>
      </c>
      <c r="L75" s="113" t="s">
        <v>475</v>
      </c>
      <c r="M75" s="106"/>
      <c r="N75" s="106"/>
      <c r="O75" s="110"/>
      <c r="P75" s="117" t="s">
        <v>734</v>
      </c>
    </row>
    <row r="76" spans="1:16" x14ac:dyDescent="0.25">
      <c r="A76" s="106"/>
      <c r="B76" s="106"/>
      <c r="C76" s="106"/>
      <c r="D76" s="106"/>
      <c r="E76" s="100" t="s">
        <v>480</v>
      </c>
      <c r="F76" s="100" t="s">
        <v>462</v>
      </c>
      <c r="G76" s="100" t="s">
        <v>462</v>
      </c>
      <c r="H76" s="100" t="s">
        <v>462</v>
      </c>
      <c r="I76" s="106"/>
      <c r="J76" s="106"/>
      <c r="K76" s="106"/>
      <c r="L76" s="106"/>
      <c r="M76" s="106"/>
      <c r="N76" s="106"/>
      <c r="O76" s="110"/>
      <c r="P76" s="117"/>
    </row>
    <row r="77" spans="1:16" x14ac:dyDescent="0.25">
      <c r="A77" s="106"/>
      <c r="B77" s="106"/>
      <c r="C77" s="106"/>
      <c r="D77" s="106"/>
      <c r="E77" s="100" t="s">
        <v>464</v>
      </c>
      <c r="F77" s="100" t="s">
        <v>462</v>
      </c>
      <c r="G77" s="100" t="s">
        <v>462</v>
      </c>
      <c r="H77" s="100" t="s">
        <v>462</v>
      </c>
      <c r="I77" s="106"/>
      <c r="J77" s="106"/>
      <c r="K77" s="106"/>
      <c r="L77" s="106"/>
      <c r="M77" s="106"/>
      <c r="N77" s="106"/>
      <c r="O77" s="110"/>
      <c r="P77" s="117"/>
    </row>
    <row r="78" spans="1:16" x14ac:dyDescent="0.25">
      <c r="A78" s="106"/>
      <c r="B78" s="106"/>
      <c r="C78" s="106"/>
      <c r="D78" s="106"/>
      <c r="E78" s="100" t="s">
        <v>465</v>
      </c>
      <c r="F78" s="100" t="s">
        <v>473</v>
      </c>
      <c r="G78" s="100" t="s">
        <v>469</v>
      </c>
      <c r="H78" s="100" t="s">
        <v>473</v>
      </c>
      <c r="I78" s="106"/>
      <c r="J78" s="106"/>
      <c r="K78" s="106"/>
      <c r="L78" s="106"/>
      <c r="M78" s="106"/>
      <c r="N78" s="106"/>
      <c r="O78" s="110"/>
      <c r="P78" s="117"/>
    </row>
    <row r="79" spans="1:16" x14ac:dyDescent="0.25">
      <c r="A79" s="106" t="s">
        <v>470</v>
      </c>
      <c r="B79" s="106" t="s">
        <v>504</v>
      </c>
      <c r="C79" s="106">
        <v>30</v>
      </c>
      <c r="D79" s="106">
        <v>60</v>
      </c>
      <c r="E79" s="100" t="s">
        <v>472</v>
      </c>
      <c r="F79" s="100" t="s">
        <v>469</v>
      </c>
      <c r="G79" s="100" t="s">
        <v>473</v>
      </c>
      <c r="H79" s="100" t="s">
        <v>469</v>
      </c>
      <c r="I79" s="106" t="s">
        <v>462</v>
      </c>
      <c r="J79" s="113" t="s">
        <v>475</v>
      </c>
      <c r="K79" s="113" t="s">
        <v>476</v>
      </c>
      <c r="L79" s="113" t="s">
        <v>475</v>
      </c>
      <c r="M79" s="106"/>
      <c r="N79" s="106"/>
      <c r="O79" s="110"/>
      <c r="P79" s="117" t="s">
        <v>734</v>
      </c>
    </row>
    <row r="80" spans="1:16" x14ac:dyDescent="0.25">
      <c r="A80" s="106"/>
      <c r="B80" s="106"/>
      <c r="C80" s="106"/>
      <c r="D80" s="106"/>
      <c r="E80" s="100" t="s">
        <v>480</v>
      </c>
      <c r="F80" s="100" t="s">
        <v>462</v>
      </c>
      <c r="G80" s="100" t="s">
        <v>462</v>
      </c>
      <c r="H80" s="100" t="s">
        <v>462</v>
      </c>
      <c r="I80" s="106"/>
      <c r="J80" s="106"/>
      <c r="K80" s="106"/>
      <c r="L80" s="106"/>
      <c r="M80" s="106"/>
      <c r="N80" s="106"/>
      <c r="O80" s="110"/>
      <c r="P80" s="117"/>
    </row>
    <row r="81" spans="1:16" x14ac:dyDescent="0.25">
      <c r="A81" s="106"/>
      <c r="B81" s="106"/>
      <c r="C81" s="106"/>
      <c r="D81" s="106"/>
      <c r="E81" s="100" t="s">
        <v>464</v>
      </c>
      <c r="F81" s="100" t="s">
        <v>462</v>
      </c>
      <c r="G81" s="100" t="s">
        <v>462</v>
      </c>
      <c r="H81" s="100" t="s">
        <v>462</v>
      </c>
      <c r="I81" s="106"/>
      <c r="J81" s="106"/>
      <c r="K81" s="106"/>
      <c r="L81" s="106"/>
      <c r="M81" s="106"/>
      <c r="N81" s="106"/>
      <c r="O81" s="110"/>
      <c r="P81" s="117"/>
    </row>
    <row r="82" spans="1:16" x14ac:dyDescent="0.25">
      <c r="A82" s="106"/>
      <c r="B82" s="106"/>
      <c r="C82" s="106"/>
      <c r="D82" s="106"/>
      <c r="E82" s="100" t="s">
        <v>465</v>
      </c>
      <c r="F82" s="100" t="s">
        <v>473</v>
      </c>
      <c r="G82" s="100" t="s">
        <v>469</v>
      </c>
      <c r="H82" s="100" t="s">
        <v>473</v>
      </c>
      <c r="I82" s="106"/>
      <c r="J82" s="106"/>
      <c r="K82" s="106"/>
      <c r="L82" s="106"/>
      <c r="M82" s="106"/>
      <c r="N82" s="106"/>
      <c r="O82" s="110"/>
      <c r="P82" s="117"/>
    </row>
    <row r="83" spans="1:16" x14ac:dyDescent="0.25">
      <c r="A83" s="106" t="s">
        <v>470</v>
      </c>
      <c r="B83" s="106" t="s">
        <v>505</v>
      </c>
      <c r="C83" s="106">
        <v>30</v>
      </c>
      <c r="D83" s="106">
        <v>60</v>
      </c>
      <c r="E83" s="100" t="s">
        <v>472</v>
      </c>
      <c r="F83" s="100" t="s">
        <v>469</v>
      </c>
      <c r="G83" s="100" t="s">
        <v>473</v>
      </c>
      <c r="H83" s="100" t="s">
        <v>469</v>
      </c>
      <c r="I83" s="106" t="s">
        <v>462</v>
      </c>
      <c r="J83" s="113" t="s">
        <v>475</v>
      </c>
      <c r="K83" s="113" t="s">
        <v>476</v>
      </c>
      <c r="L83" s="113" t="s">
        <v>475</v>
      </c>
      <c r="M83" s="106"/>
      <c r="N83" s="106"/>
      <c r="O83" s="110"/>
      <c r="P83" s="117" t="s">
        <v>645</v>
      </c>
    </row>
    <row r="84" spans="1:16" x14ac:dyDescent="0.25">
      <c r="A84" s="106"/>
      <c r="B84" s="106"/>
      <c r="C84" s="106"/>
      <c r="D84" s="106"/>
      <c r="E84" s="100" t="s">
        <v>480</v>
      </c>
      <c r="F84" s="100" t="s">
        <v>462</v>
      </c>
      <c r="G84" s="100" t="s">
        <v>462</v>
      </c>
      <c r="H84" s="100" t="s">
        <v>462</v>
      </c>
      <c r="I84" s="106"/>
      <c r="J84" s="106"/>
      <c r="K84" s="106"/>
      <c r="L84" s="106"/>
      <c r="M84" s="106"/>
      <c r="N84" s="106"/>
      <c r="O84" s="110"/>
      <c r="P84" s="117"/>
    </row>
    <row r="85" spans="1:16" x14ac:dyDescent="0.25">
      <c r="A85" s="106"/>
      <c r="B85" s="106"/>
      <c r="C85" s="106"/>
      <c r="D85" s="106"/>
      <c r="E85" s="100" t="s">
        <v>464</v>
      </c>
      <c r="F85" s="100" t="s">
        <v>462</v>
      </c>
      <c r="G85" s="100" t="s">
        <v>462</v>
      </c>
      <c r="H85" s="100" t="s">
        <v>462</v>
      </c>
      <c r="I85" s="106"/>
      <c r="J85" s="106"/>
      <c r="K85" s="106"/>
      <c r="L85" s="106"/>
      <c r="M85" s="106"/>
      <c r="N85" s="106"/>
      <c r="O85" s="110"/>
      <c r="P85" s="117"/>
    </row>
    <row r="86" spans="1:16" x14ac:dyDescent="0.25">
      <c r="A86" s="106"/>
      <c r="B86" s="106"/>
      <c r="C86" s="106"/>
      <c r="D86" s="106"/>
      <c r="E86" s="100" t="s">
        <v>465</v>
      </c>
      <c r="F86" s="100" t="s">
        <v>473</v>
      </c>
      <c r="G86" s="100" t="s">
        <v>469</v>
      </c>
      <c r="H86" s="100" t="s">
        <v>473</v>
      </c>
      <c r="I86" s="106"/>
      <c r="J86" s="106"/>
      <c r="K86" s="106"/>
      <c r="L86" s="106"/>
      <c r="M86" s="106"/>
      <c r="N86" s="106"/>
      <c r="O86" s="110"/>
      <c r="P86" s="117"/>
    </row>
    <row r="87" spans="1:16" x14ac:dyDescent="0.25">
      <c r="A87" s="106" t="s">
        <v>470</v>
      </c>
      <c r="B87" s="106" t="s">
        <v>506</v>
      </c>
      <c r="C87" s="106">
        <v>30</v>
      </c>
      <c r="D87" s="106">
        <v>60</v>
      </c>
      <c r="E87" s="100" t="s">
        <v>472</v>
      </c>
      <c r="F87" s="100" t="s">
        <v>469</v>
      </c>
      <c r="G87" s="100" t="s">
        <v>473</v>
      </c>
      <c r="H87" s="100" t="s">
        <v>469</v>
      </c>
      <c r="I87" s="106" t="s">
        <v>462</v>
      </c>
      <c r="J87" s="113" t="s">
        <v>475</v>
      </c>
      <c r="K87" s="113" t="s">
        <v>476</v>
      </c>
      <c r="L87" s="113" t="s">
        <v>475</v>
      </c>
      <c r="M87" s="106"/>
      <c r="N87" s="106"/>
      <c r="O87" s="110"/>
      <c r="P87" s="117" t="s">
        <v>749</v>
      </c>
    </row>
    <row r="88" spans="1:16" x14ac:dyDescent="0.25">
      <c r="A88" s="106"/>
      <c r="B88" s="106"/>
      <c r="C88" s="106"/>
      <c r="D88" s="106"/>
      <c r="E88" s="100" t="s">
        <v>480</v>
      </c>
      <c r="F88" s="100" t="s">
        <v>462</v>
      </c>
      <c r="G88" s="100" t="s">
        <v>462</v>
      </c>
      <c r="H88" s="100" t="s">
        <v>462</v>
      </c>
      <c r="I88" s="106"/>
      <c r="J88" s="106"/>
      <c r="K88" s="106"/>
      <c r="L88" s="106"/>
      <c r="M88" s="106"/>
      <c r="N88" s="106"/>
      <c r="O88" s="110"/>
      <c r="P88" s="117"/>
    </row>
    <row r="89" spans="1:16" x14ac:dyDescent="0.25">
      <c r="A89" s="106"/>
      <c r="B89" s="106"/>
      <c r="C89" s="106"/>
      <c r="D89" s="106"/>
      <c r="E89" s="100" t="s">
        <v>464</v>
      </c>
      <c r="F89" s="100" t="s">
        <v>462</v>
      </c>
      <c r="G89" s="100" t="s">
        <v>462</v>
      </c>
      <c r="H89" s="100" t="s">
        <v>462</v>
      </c>
      <c r="I89" s="106"/>
      <c r="J89" s="106"/>
      <c r="K89" s="106"/>
      <c r="L89" s="106"/>
      <c r="M89" s="106"/>
      <c r="N89" s="106"/>
      <c r="O89" s="110"/>
      <c r="P89" s="117"/>
    </row>
    <row r="90" spans="1:16" x14ac:dyDescent="0.25">
      <c r="A90" s="106"/>
      <c r="B90" s="106"/>
      <c r="C90" s="106"/>
      <c r="D90" s="106"/>
      <c r="E90" s="100" t="s">
        <v>465</v>
      </c>
      <c r="F90" s="100" t="s">
        <v>473</v>
      </c>
      <c r="G90" s="100" t="s">
        <v>469</v>
      </c>
      <c r="H90" s="100" t="s">
        <v>473</v>
      </c>
      <c r="I90" s="106"/>
      <c r="J90" s="106"/>
      <c r="K90" s="106"/>
      <c r="L90" s="106"/>
      <c r="M90" s="106"/>
      <c r="N90" s="106"/>
      <c r="O90" s="110"/>
      <c r="P90" s="117"/>
    </row>
    <row r="91" spans="1:16" x14ac:dyDescent="0.25">
      <c r="A91" s="106" t="s">
        <v>470</v>
      </c>
      <c r="B91" s="106" t="s">
        <v>507</v>
      </c>
      <c r="C91" s="106">
        <v>30</v>
      </c>
      <c r="D91" s="106">
        <v>60</v>
      </c>
      <c r="E91" s="100" t="s">
        <v>472</v>
      </c>
      <c r="F91" s="100" t="s">
        <v>469</v>
      </c>
      <c r="G91" s="100" t="s">
        <v>473</v>
      </c>
      <c r="H91" s="100" t="s">
        <v>469</v>
      </c>
      <c r="I91" s="106" t="s">
        <v>462</v>
      </c>
      <c r="J91" s="113" t="s">
        <v>475</v>
      </c>
      <c r="K91" s="113" t="s">
        <v>476</v>
      </c>
      <c r="L91" s="113" t="s">
        <v>475</v>
      </c>
      <c r="M91" s="106"/>
      <c r="N91" s="106"/>
      <c r="O91" s="110"/>
      <c r="P91" s="117" t="s">
        <v>645</v>
      </c>
    </row>
    <row r="92" spans="1:16" x14ac:dyDescent="0.25">
      <c r="A92" s="106"/>
      <c r="B92" s="106"/>
      <c r="C92" s="106"/>
      <c r="D92" s="106"/>
      <c r="E92" s="100" t="s">
        <v>480</v>
      </c>
      <c r="F92" s="100" t="s">
        <v>462</v>
      </c>
      <c r="G92" s="100" t="s">
        <v>462</v>
      </c>
      <c r="H92" s="100" t="s">
        <v>462</v>
      </c>
      <c r="I92" s="106"/>
      <c r="J92" s="106"/>
      <c r="K92" s="106"/>
      <c r="L92" s="106"/>
      <c r="M92" s="106"/>
      <c r="N92" s="106"/>
      <c r="O92" s="110"/>
      <c r="P92" s="117"/>
    </row>
    <row r="93" spans="1:16" x14ac:dyDescent="0.25">
      <c r="A93" s="106"/>
      <c r="B93" s="106"/>
      <c r="C93" s="106"/>
      <c r="D93" s="106"/>
      <c r="E93" s="100" t="s">
        <v>464</v>
      </c>
      <c r="F93" s="100" t="s">
        <v>462</v>
      </c>
      <c r="G93" s="100" t="s">
        <v>462</v>
      </c>
      <c r="H93" s="100" t="s">
        <v>462</v>
      </c>
      <c r="I93" s="106"/>
      <c r="J93" s="106"/>
      <c r="K93" s="106"/>
      <c r="L93" s="106"/>
      <c r="M93" s="106"/>
      <c r="N93" s="106"/>
      <c r="O93" s="110"/>
      <c r="P93" s="117"/>
    </row>
    <row r="94" spans="1:16" x14ac:dyDescent="0.25">
      <c r="A94" s="106"/>
      <c r="B94" s="106"/>
      <c r="C94" s="106"/>
      <c r="D94" s="106"/>
      <c r="E94" s="100" t="s">
        <v>465</v>
      </c>
      <c r="F94" s="100" t="s">
        <v>473</v>
      </c>
      <c r="G94" s="100" t="s">
        <v>469</v>
      </c>
      <c r="H94" s="100" t="s">
        <v>473</v>
      </c>
      <c r="I94" s="106"/>
      <c r="J94" s="106"/>
      <c r="K94" s="106"/>
      <c r="L94" s="106"/>
      <c r="M94" s="106"/>
      <c r="N94" s="106"/>
      <c r="O94" s="110"/>
      <c r="P94" s="117"/>
    </row>
    <row r="95" spans="1:16" x14ac:dyDescent="0.25">
      <c r="A95" s="106" t="s">
        <v>470</v>
      </c>
      <c r="B95" s="106" t="s">
        <v>508</v>
      </c>
      <c r="C95" s="106">
        <v>30</v>
      </c>
      <c r="D95" s="106">
        <v>60</v>
      </c>
      <c r="E95" s="100" t="s">
        <v>472</v>
      </c>
      <c r="F95" s="100" t="s">
        <v>469</v>
      </c>
      <c r="G95" s="100" t="s">
        <v>473</v>
      </c>
      <c r="H95" s="100" t="s">
        <v>469</v>
      </c>
      <c r="I95" s="106" t="s">
        <v>462</v>
      </c>
      <c r="J95" s="113" t="s">
        <v>475</v>
      </c>
      <c r="K95" s="113" t="s">
        <v>476</v>
      </c>
      <c r="L95" s="113" t="s">
        <v>475</v>
      </c>
      <c r="M95" s="106"/>
      <c r="N95" s="106"/>
      <c r="O95" s="110"/>
      <c r="P95" s="117" t="s">
        <v>749</v>
      </c>
    </row>
    <row r="96" spans="1:16" x14ac:dyDescent="0.25">
      <c r="A96" s="106"/>
      <c r="B96" s="106"/>
      <c r="C96" s="106"/>
      <c r="D96" s="106"/>
      <c r="E96" s="100" t="s">
        <v>480</v>
      </c>
      <c r="F96" s="100" t="s">
        <v>462</v>
      </c>
      <c r="G96" s="100" t="s">
        <v>462</v>
      </c>
      <c r="H96" s="100" t="s">
        <v>462</v>
      </c>
      <c r="I96" s="106"/>
      <c r="J96" s="106"/>
      <c r="K96" s="106"/>
      <c r="L96" s="106"/>
      <c r="M96" s="106"/>
      <c r="N96" s="106"/>
      <c r="O96" s="110"/>
      <c r="P96" s="117"/>
    </row>
    <row r="97" spans="1:16" x14ac:dyDescent="0.25">
      <c r="A97" s="106"/>
      <c r="B97" s="106"/>
      <c r="C97" s="106"/>
      <c r="D97" s="106"/>
      <c r="E97" s="100" t="s">
        <v>464</v>
      </c>
      <c r="F97" s="100" t="s">
        <v>462</v>
      </c>
      <c r="G97" s="100" t="s">
        <v>462</v>
      </c>
      <c r="H97" s="100" t="s">
        <v>462</v>
      </c>
      <c r="I97" s="106"/>
      <c r="J97" s="106"/>
      <c r="K97" s="106"/>
      <c r="L97" s="106"/>
      <c r="M97" s="106"/>
      <c r="N97" s="106"/>
      <c r="O97" s="110"/>
      <c r="P97" s="117"/>
    </row>
    <row r="98" spans="1:16" x14ac:dyDescent="0.25">
      <c r="A98" s="106"/>
      <c r="B98" s="106"/>
      <c r="C98" s="106"/>
      <c r="D98" s="106"/>
      <c r="E98" s="100" t="s">
        <v>465</v>
      </c>
      <c r="F98" s="100" t="s">
        <v>473</v>
      </c>
      <c r="G98" s="100" t="s">
        <v>469</v>
      </c>
      <c r="H98" s="100" t="s">
        <v>473</v>
      </c>
      <c r="I98" s="106"/>
      <c r="J98" s="106"/>
      <c r="K98" s="106"/>
      <c r="L98" s="106"/>
      <c r="M98" s="106"/>
      <c r="N98" s="106"/>
      <c r="O98" s="110"/>
      <c r="P98" s="117"/>
    </row>
    <row r="99" spans="1:16" x14ac:dyDescent="0.25">
      <c r="A99" s="106" t="s">
        <v>470</v>
      </c>
      <c r="B99" s="106" t="s">
        <v>509</v>
      </c>
      <c r="C99" s="106">
        <v>30</v>
      </c>
      <c r="D99" s="106">
        <v>60</v>
      </c>
      <c r="E99" s="100" t="s">
        <v>472</v>
      </c>
      <c r="F99" s="100" t="s">
        <v>469</v>
      </c>
      <c r="G99" s="100" t="s">
        <v>473</v>
      </c>
      <c r="H99" s="100" t="s">
        <v>469</v>
      </c>
      <c r="I99" s="106" t="s">
        <v>474</v>
      </c>
      <c r="J99" s="113" t="s">
        <v>475</v>
      </c>
      <c r="K99" s="113" t="s">
        <v>476</v>
      </c>
      <c r="L99" s="113" t="s">
        <v>475</v>
      </c>
      <c r="M99" s="106"/>
      <c r="N99" s="106"/>
      <c r="O99" s="110"/>
      <c r="P99" s="117" t="s">
        <v>734</v>
      </c>
    </row>
    <row r="100" spans="1:16" x14ac:dyDescent="0.25">
      <c r="A100" s="106"/>
      <c r="B100" s="106"/>
      <c r="C100" s="106"/>
      <c r="D100" s="106"/>
      <c r="E100" s="100" t="s">
        <v>480</v>
      </c>
      <c r="F100" s="100" t="s">
        <v>462</v>
      </c>
      <c r="G100" s="100" t="s">
        <v>462</v>
      </c>
      <c r="H100" s="100" t="s">
        <v>462</v>
      </c>
      <c r="I100" s="106"/>
      <c r="J100" s="106"/>
      <c r="K100" s="106"/>
      <c r="L100" s="106"/>
      <c r="M100" s="106"/>
      <c r="N100" s="106"/>
      <c r="O100" s="110"/>
      <c r="P100" s="117"/>
    </row>
    <row r="101" spans="1:16" x14ac:dyDescent="0.25">
      <c r="A101" s="106"/>
      <c r="B101" s="106"/>
      <c r="C101" s="106"/>
      <c r="D101" s="106"/>
      <c r="E101" s="100" t="s">
        <v>464</v>
      </c>
      <c r="F101" s="100" t="s">
        <v>462</v>
      </c>
      <c r="G101" s="100" t="s">
        <v>462</v>
      </c>
      <c r="H101" s="100" t="s">
        <v>462</v>
      </c>
      <c r="I101" s="106"/>
      <c r="J101" s="106"/>
      <c r="K101" s="106"/>
      <c r="L101" s="106"/>
      <c r="M101" s="106"/>
      <c r="N101" s="106"/>
      <c r="O101" s="110"/>
      <c r="P101" s="117"/>
    </row>
    <row r="102" spans="1:16" x14ac:dyDescent="0.25">
      <c r="A102" s="106"/>
      <c r="B102" s="106"/>
      <c r="C102" s="106"/>
      <c r="D102" s="106"/>
      <c r="E102" s="100" t="s">
        <v>465</v>
      </c>
      <c r="F102" s="100" t="s">
        <v>473</v>
      </c>
      <c r="G102" s="100" t="s">
        <v>473</v>
      </c>
      <c r="H102" s="100" t="s">
        <v>473</v>
      </c>
      <c r="I102" s="106"/>
      <c r="J102" s="106"/>
      <c r="K102" s="106"/>
      <c r="L102" s="106"/>
      <c r="M102" s="106"/>
      <c r="N102" s="106"/>
      <c r="O102" s="110"/>
      <c r="P102" s="117"/>
    </row>
    <row r="103" spans="1:16" x14ac:dyDescent="0.25">
      <c r="A103" s="106" t="s">
        <v>470</v>
      </c>
      <c r="B103" s="106" t="s">
        <v>510</v>
      </c>
      <c r="C103" s="106">
        <v>30</v>
      </c>
      <c r="D103" s="106">
        <v>60</v>
      </c>
      <c r="E103" s="100" t="s">
        <v>472</v>
      </c>
      <c r="F103" s="100" t="s">
        <v>469</v>
      </c>
      <c r="G103" s="100" t="s">
        <v>473</v>
      </c>
      <c r="H103" s="100" t="s">
        <v>469</v>
      </c>
      <c r="I103" s="106" t="s">
        <v>474</v>
      </c>
      <c r="J103" s="113" t="s">
        <v>475</v>
      </c>
      <c r="K103" s="113" t="s">
        <v>476</v>
      </c>
      <c r="L103" s="113" t="s">
        <v>475</v>
      </c>
      <c r="M103" s="106"/>
      <c r="N103" s="106"/>
      <c r="O103" s="110"/>
      <c r="P103" s="117" t="s">
        <v>754</v>
      </c>
    </row>
    <row r="104" spans="1:16" x14ac:dyDescent="0.25">
      <c r="A104" s="106"/>
      <c r="B104" s="106"/>
      <c r="C104" s="106"/>
      <c r="D104" s="106"/>
      <c r="E104" s="100" t="s">
        <v>480</v>
      </c>
      <c r="F104" s="100" t="s">
        <v>462</v>
      </c>
      <c r="G104" s="100" t="s">
        <v>462</v>
      </c>
      <c r="H104" s="100" t="s">
        <v>462</v>
      </c>
      <c r="I104" s="106"/>
      <c r="J104" s="106"/>
      <c r="K104" s="106"/>
      <c r="L104" s="106"/>
      <c r="M104" s="106"/>
      <c r="N104" s="106"/>
      <c r="O104" s="110"/>
      <c r="P104" s="117"/>
    </row>
    <row r="105" spans="1:16" x14ac:dyDescent="0.25">
      <c r="A105" s="106"/>
      <c r="B105" s="106"/>
      <c r="C105" s="106"/>
      <c r="D105" s="106"/>
      <c r="E105" s="100" t="s">
        <v>464</v>
      </c>
      <c r="F105" s="100" t="s">
        <v>462</v>
      </c>
      <c r="G105" s="100" t="s">
        <v>462</v>
      </c>
      <c r="H105" s="100" t="s">
        <v>462</v>
      </c>
      <c r="I105" s="106"/>
      <c r="J105" s="106"/>
      <c r="K105" s="106"/>
      <c r="L105" s="106"/>
      <c r="M105" s="106"/>
      <c r="N105" s="106"/>
      <c r="O105" s="110"/>
      <c r="P105" s="117"/>
    </row>
    <row r="106" spans="1:16" x14ac:dyDescent="0.25">
      <c r="A106" s="106"/>
      <c r="B106" s="106"/>
      <c r="C106" s="106"/>
      <c r="D106" s="106"/>
      <c r="E106" s="100" t="s">
        <v>465</v>
      </c>
      <c r="F106" s="100" t="s">
        <v>473</v>
      </c>
      <c r="G106" s="100" t="s">
        <v>473</v>
      </c>
      <c r="H106" s="100" t="s">
        <v>473</v>
      </c>
      <c r="I106" s="106"/>
      <c r="J106" s="106"/>
      <c r="K106" s="106"/>
      <c r="L106" s="106"/>
      <c r="M106" s="106"/>
      <c r="N106" s="106"/>
      <c r="O106" s="110"/>
      <c r="P106" s="117"/>
    </row>
    <row r="107" spans="1:16" x14ac:dyDescent="0.25">
      <c r="M107" s="106"/>
      <c r="N107" s="106"/>
      <c r="O107" s="110"/>
    </row>
    <row r="108" spans="1:16" x14ac:dyDescent="0.25">
      <c r="M108" s="106"/>
      <c r="N108" s="106"/>
      <c r="O108" s="110"/>
    </row>
    <row r="109" spans="1:16" x14ac:dyDescent="0.25">
      <c r="M109" s="106"/>
      <c r="N109" s="106"/>
      <c r="O109" s="110"/>
    </row>
    <row r="110" spans="1:16" x14ac:dyDescent="0.25">
      <c r="M110" s="106"/>
      <c r="N110" s="106"/>
      <c r="O110" s="110"/>
    </row>
    <row r="111" spans="1:16" x14ac:dyDescent="0.25">
      <c r="M111" s="106"/>
      <c r="N111" s="106"/>
      <c r="O111" s="110"/>
    </row>
    <row r="112" spans="1:16" x14ac:dyDescent="0.25">
      <c r="M112" s="106"/>
      <c r="N112" s="106"/>
      <c r="O112" s="110"/>
    </row>
    <row r="113" spans="13:15" x14ac:dyDescent="0.25">
      <c r="M113" s="106"/>
      <c r="N113" s="106"/>
      <c r="O113" s="110"/>
    </row>
    <row r="114" spans="13:15" x14ac:dyDescent="0.25">
      <c r="M114" s="106"/>
      <c r="N114" s="106"/>
      <c r="O114" s="110"/>
    </row>
    <row r="115" spans="13:15" x14ac:dyDescent="0.25">
      <c r="M115" s="106"/>
      <c r="N115" s="106"/>
      <c r="O115" s="110"/>
    </row>
    <row r="116" spans="13:15" x14ac:dyDescent="0.25">
      <c r="M116" s="106"/>
      <c r="N116" s="106"/>
      <c r="O116" s="110"/>
    </row>
    <row r="117" spans="13:15" x14ac:dyDescent="0.25">
      <c r="M117" s="106"/>
      <c r="N117" s="106"/>
      <c r="O117" s="110"/>
    </row>
    <row r="118" spans="13:15" x14ac:dyDescent="0.25">
      <c r="M118" s="106"/>
      <c r="N118" s="106"/>
      <c r="O118" s="110"/>
    </row>
  </sheetData>
  <mergeCells count="333">
    <mergeCell ref="P71:P74"/>
    <mergeCell ref="P75:P78"/>
    <mergeCell ref="P79:P82"/>
    <mergeCell ref="P83:P86"/>
    <mergeCell ref="P87:P90"/>
    <mergeCell ref="P91:P94"/>
    <mergeCell ref="P95:P98"/>
    <mergeCell ref="P99:P102"/>
    <mergeCell ref="P103:P106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M27:M30"/>
    <mergeCell ref="N27:N30"/>
    <mergeCell ref="O27:O30"/>
    <mergeCell ref="M31:M34"/>
    <mergeCell ref="N31:N34"/>
    <mergeCell ref="O31:O34"/>
    <mergeCell ref="M35:M38"/>
    <mergeCell ref="N35:N38"/>
    <mergeCell ref="O35:O38"/>
    <mergeCell ref="M39:M42"/>
    <mergeCell ref="N39:N42"/>
    <mergeCell ref="O39:O42"/>
    <mergeCell ref="M43:M46"/>
    <mergeCell ref="N43:N46"/>
    <mergeCell ref="O43:O46"/>
    <mergeCell ref="M47:M50"/>
    <mergeCell ref="N47:N50"/>
    <mergeCell ref="O47:O50"/>
    <mergeCell ref="M51:M54"/>
    <mergeCell ref="N51:N54"/>
    <mergeCell ref="O51:O54"/>
    <mergeCell ref="M55:M58"/>
    <mergeCell ref="N55:N58"/>
    <mergeCell ref="O55:O58"/>
    <mergeCell ref="M59:M62"/>
    <mergeCell ref="N59:N62"/>
    <mergeCell ref="O59:O62"/>
    <mergeCell ref="M63:M66"/>
    <mergeCell ref="N63:N66"/>
    <mergeCell ref="O63:O66"/>
    <mergeCell ref="M67:M70"/>
    <mergeCell ref="N67:N70"/>
    <mergeCell ref="O67:O70"/>
    <mergeCell ref="M71:M74"/>
    <mergeCell ref="N71:N74"/>
    <mergeCell ref="O71:O74"/>
    <mergeCell ref="M75:M78"/>
    <mergeCell ref="N75:N78"/>
    <mergeCell ref="O75:O78"/>
    <mergeCell ref="M79:M82"/>
    <mergeCell ref="N79:N82"/>
    <mergeCell ref="O79:O82"/>
    <mergeCell ref="M83:M86"/>
    <mergeCell ref="N83:N86"/>
    <mergeCell ref="O83:O86"/>
    <mergeCell ref="M87:M90"/>
    <mergeCell ref="N87:N90"/>
    <mergeCell ref="O87:O90"/>
    <mergeCell ref="M91:M94"/>
    <mergeCell ref="N91:N94"/>
    <mergeCell ref="O91:O94"/>
    <mergeCell ref="M95:M98"/>
    <mergeCell ref="N95:N98"/>
    <mergeCell ref="O95:O98"/>
    <mergeCell ref="M111:M114"/>
    <mergeCell ref="N111:N114"/>
    <mergeCell ref="O111:O114"/>
    <mergeCell ref="M115:M118"/>
    <mergeCell ref="N115:N118"/>
    <mergeCell ref="O115:O118"/>
    <mergeCell ref="M99:M102"/>
    <mergeCell ref="N99:N102"/>
    <mergeCell ref="O99:O102"/>
    <mergeCell ref="M103:M106"/>
    <mergeCell ref="N103:N106"/>
    <mergeCell ref="O103:O106"/>
    <mergeCell ref="M107:M110"/>
    <mergeCell ref="N107:N110"/>
    <mergeCell ref="O107:O110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  <drawing r:id="rId8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O106"/>
  <sheetViews>
    <sheetView workbookViewId="0">
      <selection activeCell="N15" sqref="N15:N18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  <col min="12" max="12" width="7.625" style="98" bestFit="1" customWidth="1"/>
    <col min="13" max="13" width="7.625" style="98" customWidth="1"/>
    <col min="14" max="14" width="7.625" style="98" bestFit="1" customWidth="1"/>
  </cols>
  <sheetData>
    <row r="1" spans="1:15" x14ac:dyDescent="0.25">
      <c r="A1" s="124" t="s">
        <v>511</v>
      </c>
      <c r="B1" s="120" t="s">
        <v>436</v>
      </c>
      <c r="C1" s="120" t="s">
        <v>512</v>
      </c>
      <c r="D1" s="120" t="s">
        <v>513</v>
      </c>
      <c r="E1" s="120" t="s">
        <v>514</v>
      </c>
      <c r="F1" s="122" t="s">
        <v>439</v>
      </c>
      <c r="G1" s="132"/>
      <c r="H1" s="133"/>
      <c r="I1" s="120" t="s">
        <v>440</v>
      </c>
      <c r="J1" s="122" t="s">
        <v>515</v>
      </c>
      <c r="K1" s="123"/>
      <c r="L1"/>
      <c r="M1" s="134" t="s">
        <v>443</v>
      </c>
      <c r="N1" s="134" t="s">
        <v>444</v>
      </c>
      <c r="O1" s="137" t="s">
        <v>445</v>
      </c>
    </row>
    <row r="2" spans="1:15" ht="17.25" thickBot="1" x14ac:dyDescent="0.3">
      <c r="A2" s="126"/>
      <c r="B2" s="121"/>
      <c r="C2" s="121"/>
      <c r="D2" s="121"/>
      <c r="E2" s="121"/>
      <c r="F2" s="88" t="s">
        <v>446</v>
      </c>
      <c r="G2" s="88" t="s">
        <v>447</v>
      </c>
      <c r="H2" s="88" t="s">
        <v>516</v>
      </c>
      <c r="I2" s="121"/>
      <c r="J2" s="88" t="s">
        <v>449</v>
      </c>
      <c r="K2" s="89" t="s">
        <v>447</v>
      </c>
      <c r="L2" s="96" t="s">
        <v>448</v>
      </c>
      <c r="M2" s="135"/>
      <c r="N2" s="136"/>
      <c r="O2" s="138"/>
    </row>
    <row r="3" spans="1:15" x14ac:dyDescent="0.25">
      <c r="A3" s="124" t="s">
        <v>517</v>
      </c>
      <c r="B3" s="120" t="s">
        <v>518</v>
      </c>
      <c r="C3" s="120">
        <v>30</v>
      </c>
      <c r="D3" s="120">
        <v>55</v>
      </c>
      <c r="E3" s="90" t="s">
        <v>452</v>
      </c>
      <c r="F3" s="90" t="s">
        <v>519</v>
      </c>
      <c r="G3" s="90" t="s">
        <v>454</v>
      </c>
      <c r="H3" s="90" t="s">
        <v>520</v>
      </c>
      <c r="I3" s="120" t="s">
        <v>521</v>
      </c>
      <c r="J3" s="128" t="s">
        <v>457</v>
      </c>
      <c r="K3" s="129" t="s">
        <v>459</v>
      </c>
      <c r="L3" s="128" t="s">
        <v>458</v>
      </c>
      <c r="M3" s="119"/>
      <c r="N3" s="119"/>
      <c r="O3" s="134" t="s">
        <v>591</v>
      </c>
    </row>
    <row r="4" spans="1:15" x14ac:dyDescent="0.25">
      <c r="A4" s="125"/>
      <c r="B4" s="127"/>
      <c r="C4" s="127"/>
      <c r="D4" s="127"/>
      <c r="E4" s="91" t="s">
        <v>522</v>
      </c>
      <c r="F4" s="91" t="s">
        <v>523</v>
      </c>
      <c r="G4" s="91" t="s">
        <v>461</v>
      </c>
      <c r="H4" s="91" t="s">
        <v>524</v>
      </c>
      <c r="I4" s="127"/>
      <c r="J4" s="127"/>
      <c r="K4" s="130"/>
      <c r="L4" s="127"/>
      <c r="M4" s="119"/>
      <c r="N4" s="119"/>
      <c r="O4" s="119"/>
    </row>
    <row r="5" spans="1:15" x14ac:dyDescent="0.25">
      <c r="A5" s="125"/>
      <c r="B5" s="127"/>
      <c r="C5" s="127"/>
      <c r="D5" s="127"/>
      <c r="E5" s="91" t="s">
        <v>525</v>
      </c>
      <c r="F5" s="91" t="s">
        <v>462</v>
      </c>
      <c r="G5" s="91" t="s">
        <v>523</v>
      </c>
      <c r="H5" s="91" t="s">
        <v>523</v>
      </c>
      <c r="I5" s="127"/>
      <c r="J5" s="127"/>
      <c r="K5" s="130"/>
      <c r="L5" s="127"/>
      <c r="M5" s="119"/>
      <c r="N5" s="119"/>
      <c r="O5" s="119"/>
    </row>
    <row r="6" spans="1:15" ht="17.25" thickBot="1" x14ac:dyDescent="0.3">
      <c r="A6" s="126"/>
      <c r="B6" s="121"/>
      <c r="C6" s="121"/>
      <c r="D6" s="121"/>
      <c r="E6" s="88" t="s">
        <v>465</v>
      </c>
      <c r="F6" s="88" t="s">
        <v>454</v>
      </c>
      <c r="G6" s="88" t="s">
        <v>526</v>
      </c>
      <c r="H6" s="88" t="s">
        <v>519</v>
      </c>
      <c r="I6" s="121"/>
      <c r="J6" s="121"/>
      <c r="K6" s="131"/>
      <c r="L6" s="121"/>
      <c r="M6" s="119"/>
      <c r="N6" s="119"/>
      <c r="O6" s="119"/>
    </row>
    <row r="7" spans="1:15" x14ac:dyDescent="0.25">
      <c r="A7" s="124" t="s">
        <v>430</v>
      </c>
      <c r="B7" s="120" t="s">
        <v>527</v>
      </c>
      <c r="C7" s="120">
        <v>30</v>
      </c>
      <c r="D7" s="120">
        <v>55</v>
      </c>
      <c r="E7" s="90" t="s">
        <v>472</v>
      </c>
      <c r="F7" s="90" t="s">
        <v>520</v>
      </c>
      <c r="G7" s="90" t="s">
        <v>454</v>
      </c>
      <c r="H7" s="90" t="s">
        <v>473</v>
      </c>
      <c r="I7" s="120" t="s">
        <v>523</v>
      </c>
      <c r="J7" s="128" t="s">
        <v>528</v>
      </c>
      <c r="K7" s="129" t="s">
        <v>529</v>
      </c>
      <c r="L7" s="128" t="s">
        <v>475</v>
      </c>
      <c r="M7" s="119"/>
      <c r="N7" s="119"/>
      <c r="O7" s="119" t="s">
        <v>592</v>
      </c>
    </row>
    <row r="8" spans="1:15" x14ac:dyDescent="0.25">
      <c r="A8" s="125"/>
      <c r="B8" s="127"/>
      <c r="C8" s="127"/>
      <c r="D8" s="127"/>
      <c r="E8" s="91" t="s">
        <v>522</v>
      </c>
      <c r="F8" s="91" t="s">
        <v>473</v>
      </c>
      <c r="G8" s="91" t="s">
        <v>523</v>
      </c>
      <c r="H8" s="91" t="s">
        <v>523</v>
      </c>
      <c r="I8" s="127"/>
      <c r="J8" s="127"/>
      <c r="K8" s="130"/>
      <c r="L8" s="127"/>
      <c r="M8" s="119"/>
      <c r="N8" s="119"/>
      <c r="O8" s="119"/>
    </row>
    <row r="9" spans="1:15" x14ac:dyDescent="0.25">
      <c r="A9" s="125"/>
      <c r="B9" s="127"/>
      <c r="C9" s="127"/>
      <c r="D9" s="127"/>
      <c r="E9" s="91" t="s">
        <v>525</v>
      </c>
      <c r="F9" s="91" t="s">
        <v>462</v>
      </c>
      <c r="G9" s="91" t="s">
        <v>461</v>
      </c>
      <c r="H9" s="91" t="s">
        <v>462</v>
      </c>
      <c r="I9" s="127"/>
      <c r="J9" s="127"/>
      <c r="K9" s="130"/>
      <c r="L9" s="127"/>
      <c r="M9" s="119"/>
      <c r="N9" s="119"/>
      <c r="O9" s="119"/>
    </row>
    <row r="10" spans="1:15" ht="17.25" thickBot="1" x14ac:dyDescent="0.3">
      <c r="A10" s="126"/>
      <c r="B10" s="121"/>
      <c r="C10" s="121"/>
      <c r="D10" s="121"/>
      <c r="E10" s="88" t="s">
        <v>465</v>
      </c>
      <c r="F10" s="88" t="s">
        <v>519</v>
      </c>
      <c r="G10" s="88" t="s">
        <v>530</v>
      </c>
      <c r="H10" s="88" t="s">
        <v>473</v>
      </c>
      <c r="I10" s="121"/>
      <c r="J10" s="121"/>
      <c r="K10" s="131"/>
      <c r="L10" s="121"/>
      <c r="M10" s="119"/>
      <c r="N10" s="119"/>
      <c r="O10" s="119"/>
    </row>
    <row r="11" spans="1:15" x14ac:dyDescent="0.25">
      <c r="A11" s="124" t="s">
        <v>470</v>
      </c>
      <c r="B11" s="120" t="s">
        <v>531</v>
      </c>
      <c r="C11" s="120">
        <v>30</v>
      </c>
      <c r="D11" s="120">
        <v>55</v>
      </c>
      <c r="E11" s="90" t="s">
        <v>472</v>
      </c>
      <c r="F11" s="90" t="s">
        <v>530</v>
      </c>
      <c r="G11" s="90" t="s">
        <v>532</v>
      </c>
      <c r="H11" s="90" t="s">
        <v>469</v>
      </c>
      <c r="I11" s="120" t="s">
        <v>462</v>
      </c>
      <c r="J11" s="128" t="s">
        <v>457</v>
      </c>
      <c r="K11" s="129" t="s">
        <v>459</v>
      </c>
      <c r="L11" s="128" t="s">
        <v>475</v>
      </c>
      <c r="M11" s="119"/>
      <c r="N11" s="119"/>
      <c r="O11" s="119"/>
    </row>
    <row r="12" spans="1:15" x14ac:dyDescent="0.25">
      <c r="A12" s="125"/>
      <c r="B12" s="127"/>
      <c r="C12" s="127"/>
      <c r="D12" s="127"/>
      <c r="E12" s="91" t="s">
        <v>480</v>
      </c>
      <c r="F12" s="91" t="s">
        <v>462</v>
      </c>
      <c r="G12" s="91" t="s">
        <v>462</v>
      </c>
      <c r="H12" s="91" t="s">
        <v>523</v>
      </c>
      <c r="I12" s="127"/>
      <c r="J12" s="127"/>
      <c r="K12" s="130"/>
      <c r="L12" s="127"/>
      <c r="M12" s="119"/>
      <c r="N12" s="119"/>
      <c r="O12" s="119"/>
    </row>
    <row r="13" spans="1:15" x14ac:dyDescent="0.25">
      <c r="A13" s="125"/>
      <c r="B13" s="127"/>
      <c r="C13" s="127"/>
      <c r="D13" s="127"/>
      <c r="E13" s="91" t="s">
        <v>464</v>
      </c>
      <c r="F13" s="91" t="s">
        <v>462</v>
      </c>
      <c r="G13" s="91" t="s">
        <v>462</v>
      </c>
      <c r="H13" s="91" t="s">
        <v>462</v>
      </c>
      <c r="I13" s="127"/>
      <c r="J13" s="127"/>
      <c r="K13" s="130"/>
      <c r="L13" s="127"/>
      <c r="M13" s="119"/>
      <c r="N13" s="119"/>
      <c r="O13" s="119"/>
    </row>
    <row r="14" spans="1:15" ht="17.25" thickBot="1" x14ac:dyDescent="0.3">
      <c r="A14" s="126"/>
      <c r="B14" s="121"/>
      <c r="C14" s="121"/>
      <c r="D14" s="121"/>
      <c r="E14" s="88" t="s">
        <v>533</v>
      </c>
      <c r="F14" s="88" t="s">
        <v>473</v>
      </c>
      <c r="G14" s="88" t="s">
        <v>469</v>
      </c>
      <c r="H14" s="88" t="s">
        <v>473</v>
      </c>
      <c r="I14" s="121"/>
      <c r="J14" s="121"/>
      <c r="K14" s="131"/>
      <c r="L14" s="121"/>
      <c r="M14" s="119"/>
      <c r="N14" s="119"/>
      <c r="O14" s="119"/>
    </row>
    <row r="15" spans="1:15" x14ac:dyDescent="0.25">
      <c r="A15" s="124" t="s">
        <v>470</v>
      </c>
      <c r="B15" s="120" t="s">
        <v>534</v>
      </c>
      <c r="C15" s="120">
        <v>30</v>
      </c>
      <c r="D15" s="120">
        <v>55</v>
      </c>
      <c r="E15" s="90" t="s">
        <v>472</v>
      </c>
      <c r="F15" s="90" t="s">
        <v>469</v>
      </c>
      <c r="G15" s="90" t="s">
        <v>473</v>
      </c>
      <c r="H15" s="90" t="s">
        <v>530</v>
      </c>
      <c r="I15" s="120" t="s">
        <v>461</v>
      </c>
      <c r="J15" s="128" t="s">
        <v>457</v>
      </c>
      <c r="K15" s="129" t="s">
        <v>476</v>
      </c>
      <c r="L15" s="128" t="s">
        <v>475</v>
      </c>
      <c r="M15" s="119"/>
      <c r="N15" s="119"/>
      <c r="O15" s="119"/>
    </row>
    <row r="16" spans="1:15" x14ac:dyDescent="0.25">
      <c r="A16" s="125"/>
      <c r="B16" s="127"/>
      <c r="C16" s="127"/>
      <c r="D16" s="127"/>
      <c r="E16" s="91" t="s">
        <v>480</v>
      </c>
      <c r="F16" s="91" t="s">
        <v>462</v>
      </c>
      <c r="G16" s="91" t="s">
        <v>462</v>
      </c>
      <c r="H16" s="91" t="s">
        <v>462</v>
      </c>
      <c r="I16" s="127"/>
      <c r="J16" s="127"/>
      <c r="K16" s="130"/>
      <c r="L16" s="127"/>
      <c r="M16" s="119"/>
      <c r="N16" s="119"/>
      <c r="O16" s="119"/>
    </row>
    <row r="17" spans="1:15" x14ac:dyDescent="0.25">
      <c r="A17" s="125"/>
      <c r="B17" s="127"/>
      <c r="C17" s="127"/>
      <c r="D17" s="127"/>
      <c r="E17" s="91" t="s">
        <v>464</v>
      </c>
      <c r="F17" s="91" t="s">
        <v>462</v>
      </c>
      <c r="G17" s="91" t="s">
        <v>462</v>
      </c>
      <c r="H17" s="91" t="s">
        <v>462</v>
      </c>
      <c r="I17" s="127"/>
      <c r="J17" s="127"/>
      <c r="K17" s="130"/>
      <c r="L17" s="127"/>
      <c r="M17" s="119"/>
      <c r="N17" s="119"/>
      <c r="O17" s="119"/>
    </row>
    <row r="18" spans="1:15" ht="17.25" thickBot="1" x14ac:dyDescent="0.3">
      <c r="A18" s="126"/>
      <c r="B18" s="121"/>
      <c r="C18" s="121"/>
      <c r="D18" s="121"/>
      <c r="E18" s="88" t="s">
        <v>465</v>
      </c>
      <c r="F18" s="88" t="s">
        <v>473</v>
      </c>
      <c r="G18" s="88" t="s">
        <v>469</v>
      </c>
      <c r="H18" s="88" t="s">
        <v>473</v>
      </c>
      <c r="I18" s="121"/>
      <c r="J18" s="121"/>
      <c r="K18" s="131"/>
      <c r="L18" s="121"/>
      <c r="M18" s="119"/>
      <c r="N18" s="119"/>
      <c r="O18" s="119"/>
    </row>
    <row r="19" spans="1:15" x14ac:dyDescent="0.25">
      <c r="A19" s="124" t="s">
        <v>470</v>
      </c>
      <c r="B19" s="120" t="s">
        <v>535</v>
      </c>
      <c r="C19" s="120">
        <v>30</v>
      </c>
      <c r="D19" s="120">
        <v>55</v>
      </c>
      <c r="E19" s="90" t="s">
        <v>472</v>
      </c>
      <c r="F19" s="90" t="s">
        <v>530</v>
      </c>
      <c r="G19" s="90" t="s">
        <v>473</v>
      </c>
      <c r="H19" s="90" t="s">
        <v>469</v>
      </c>
      <c r="I19" s="120" t="s">
        <v>462</v>
      </c>
      <c r="J19" s="128" t="s">
        <v>475</v>
      </c>
      <c r="K19" s="129" t="s">
        <v>476</v>
      </c>
      <c r="L19" s="128" t="s">
        <v>475</v>
      </c>
      <c r="M19" s="119"/>
      <c r="N19" s="119"/>
      <c r="O19" s="119"/>
    </row>
    <row r="20" spans="1:15" x14ac:dyDescent="0.25">
      <c r="A20" s="125"/>
      <c r="B20" s="127"/>
      <c r="C20" s="127"/>
      <c r="D20" s="127"/>
      <c r="E20" s="91" t="s">
        <v>480</v>
      </c>
      <c r="F20" s="91" t="s">
        <v>462</v>
      </c>
      <c r="G20" s="91" t="s">
        <v>462</v>
      </c>
      <c r="H20" s="91" t="s">
        <v>462</v>
      </c>
      <c r="I20" s="127"/>
      <c r="J20" s="127"/>
      <c r="K20" s="130"/>
      <c r="L20" s="127"/>
      <c r="M20" s="119"/>
      <c r="N20" s="119"/>
      <c r="O20" s="119"/>
    </row>
    <row r="21" spans="1:15" x14ac:dyDescent="0.25">
      <c r="A21" s="125"/>
      <c r="B21" s="127"/>
      <c r="C21" s="127"/>
      <c r="D21" s="127"/>
      <c r="E21" s="91" t="s">
        <v>464</v>
      </c>
      <c r="F21" s="91" t="s">
        <v>462</v>
      </c>
      <c r="G21" s="91" t="s">
        <v>462</v>
      </c>
      <c r="H21" s="91" t="s">
        <v>462</v>
      </c>
      <c r="I21" s="127"/>
      <c r="J21" s="127"/>
      <c r="K21" s="130"/>
      <c r="L21" s="127"/>
      <c r="M21" s="119"/>
      <c r="N21" s="119"/>
      <c r="O21" s="119"/>
    </row>
    <row r="22" spans="1:15" ht="17.25" thickBot="1" x14ac:dyDescent="0.3">
      <c r="A22" s="126"/>
      <c r="B22" s="121"/>
      <c r="C22" s="121"/>
      <c r="D22" s="121"/>
      <c r="E22" s="88" t="s">
        <v>465</v>
      </c>
      <c r="F22" s="88" t="s">
        <v>473</v>
      </c>
      <c r="G22" s="88" t="s">
        <v>469</v>
      </c>
      <c r="H22" s="88" t="s">
        <v>473</v>
      </c>
      <c r="I22" s="121"/>
      <c r="J22" s="121"/>
      <c r="K22" s="131"/>
      <c r="L22" s="121"/>
      <c r="M22" s="119"/>
      <c r="N22" s="119"/>
      <c r="O22" s="119"/>
    </row>
    <row r="23" spans="1:15" ht="17.25" thickBot="1" x14ac:dyDescent="0.3">
      <c r="A23" s="124" t="s">
        <v>430</v>
      </c>
      <c r="B23" s="120" t="s">
        <v>536</v>
      </c>
      <c r="C23" s="120">
        <v>30</v>
      </c>
      <c r="D23" s="120">
        <v>55</v>
      </c>
      <c r="E23" s="90" t="s">
        <v>472</v>
      </c>
      <c r="F23" s="88" t="s">
        <v>469</v>
      </c>
      <c r="G23" s="90" t="s">
        <v>473</v>
      </c>
      <c r="H23" s="90" t="s">
        <v>530</v>
      </c>
      <c r="I23" s="120" t="s">
        <v>462</v>
      </c>
      <c r="J23" s="128" t="s">
        <v>475</v>
      </c>
      <c r="K23" s="129" t="s">
        <v>476</v>
      </c>
      <c r="L23" s="128" t="s">
        <v>475</v>
      </c>
      <c r="M23" s="119"/>
      <c r="N23" s="119"/>
      <c r="O23" s="119"/>
    </row>
    <row r="24" spans="1:15" x14ac:dyDescent="0.25">
      <c r="A24" s="125"/>
      <c r="B24" s="127"/>
      <c r="C24" s="127"/>
      <c r="D24" s="127"/>
      <c r="E24" s="91" t="s">
        <v>480</v>
      </c>
      <c r="F24" s="91" t="s">
        <v>462</v>
      </c>
      <c r="G24" s="91" t="s">
        <v>462</v>
      </c>
      <c r="H24" s="91" t="s">
        <v>462</v>
      </c>
      <c r="I24" s="127"/>
      <c r="J24" s="127"/>
      <c r="K24" s="130"/>
      <c r="L24" s="127"/>
      <c r="M24" s="119"/>
      <c r="N24" s="119"/>
      <c r="O24" s="119"/>
    </row>
    <row r="25" spans="1:15" x14ac:dyDescent="0.25">
      <c r="A25" s="125"/>
      <c r="B25" s="127"/>
      <c r="C25" s="127"/>
      <c r="D25" s="127"/>
      <c r="E25" s="91" t="s">
        <v>464</v>
      </c>
      <c r="F25" s="91" t="s">
        <v>462</v>
      </c>
      <c r="G25" s="91" t="s">
        <v>462</v>
      </c>
      <c r="H25" s="91" t="s">
        <v>462</v>
      </c>
      <c r="I25" s="127"/>
      <c r="J25" s="127"/>
      <c r="K25" s="130"/>
      <c r="L25" s="127"/>
      <c r="M25" s="119"/>
      <c r="N25" s="119"/>
      <c r="O25" s="119"/>
    </row>
    <row r="26" spans="1:15" ht="17.25" thickBot="1" x14ac:dyDescent="0.3">
      <c r="A26" s="126"/>
      <c r="B26" s="121"/>
      <c r="C26" s="121"/>
      <c r="D26" s="121"/>
      <c r="E26" s="88" t="s">
        <v>465</v>
      </c>
      <c r="F26" s="88" t="s">
        <v>473</v>
      </c>
      <c r="G26" s="88" t="s">
        <v>469</v>
      </c>
      <c r="H26" s="88" t="s">
        <v>473</v>
      </c>
      <c r="I26" s="121"/>
      <c r="J26" s="121"/>
      <c r="K26" s="131"/>
      <c r="L26" s="121"/>
      <c r="M26" s="119"/>
      <c r="N26" s="119"/>
      <c r="O26" s="119"/>
    </row>
    <row r="27" spans="1:15" ht="17.25" thickBot="1" x14ac:dyDescent="0.3">
      <c r="A27" s="124" t="s">
        <v>470</v>
      </c>
      <c r="B27" s="120" t="s">
        <v>537</v>
      </c>
      <c r="C27" s="120">
        <v>30</v>
      </c>
      <c r="D27" s="120">
        <v>55</v>
      </c>
      <c r="E27" s="90" t="s">
        <v>472</v>
      </c>
      <c r="F27" s="88" t="s">
        <v>473</v>
      </c>
      <c r="G27" s="90" t="s">
        <v>473</v>
      </c>
      <c r="H27" s="90" t="s">
        <v>530</v>
      </c>
      <c r="I27" s="120" t="s">
        <v>462</v>
      </c>
      <c r="J27" s="128" t="s">
        <v>475</v>
      </c>
      <c r="K27" s="129" t="s">
        <v>476</v>
      </c>
      <c r="L27" s="128" t="s">
        <v>475</v>
      </c>
      <c r="M27" s="119"/>
      <c r="N27" s="119"/>
      <c r="O27" s="119"/>
    </row>
    <row r="28" spans="1:15" x14ac:dyDescent="0.25">
      <c r="A28" s="125"/>
      <c r="B28" s="127"/>
      <c r="C28" s="127"/>
      <c r="D28" s="127"/>
      <c r="E28" s="91" t="s">
        <v>480</v>
      </c>
      <c r="F28" s="91" t="s">
        <v>462</v>
      </c>
      <c r="G28" s="91" t="s">
        <v>462</v>
      </c>
      <c r="H28" s="91" t="s">
        <v>473</v>
      </c>
      <c r="I28" s="127"/>
      <c r="J28" s="127"/>
      <c r="K28" s="130"/>
      <c r="L28" s="127"/>
      <c r="M28" s="119"/>
      <c r="N28" s="119"/>
      <c r="O28" s="119"/>
    </row>
    <row r="29" spans="1:15" x14ac:dyDescent="0.25">
      <c r="A29" s="125"/>
      <c r="B29" s="127"/>
      <c r="C29" s="127"/>
      <c r="D29" s="127"/>
      <c r="E29" s="91" t="s">
        <v>464</v>
      </c>
      <c r="F29" s="91" t="s">
        <v>462</v>
      </c>
      <c r="G29" s="91" t="s">
        <v>462</v>
      </c>
      <c r="H29" s="91" t="s">
        <v>462</v>
      </c>
      <c r="I29" s="127"/>
      <c r="J29" s="127"/>
      <c r="K29" s="130"/>
      <c r="L29" s="127"/>
      <c r="M29" s="119"/>
      <c r="N29" s="119"/>
      <c r="O29" s="119"/>
    </row>
    <row r="30" spans="1:15" ht="17.25" thickBot="1" x14ac:dyDescent="0.3">
      <c r="A30" s="126"/>
      <c r="B30" s="121"/>
      <c r="C30" s="121"/>
      <c r="D30" s="121"/>
      <c r="E30" s="88" t="s">
        <v>465</v>
      </c>
      <c r="F30" s="88" t="s">
        <v>473</v>
      </c>
      <c r="G30" s="88" t="s">
        <v>530</v>
      </c>
      <c r="H30" s="88" t="s">
        <v>473</v>
      </c>
      <c r="I30" s="121"/>
      <c r="J30" s="121"/>
      <c r="K30" s="131"/>
      <c r="L30" s="121"/>
      <c r="M30" s="119"/>
      <c r="N30" s="119"/>
      <c r="O30" s="119"/>
    </row>
    <row r="31" spans="1:15" ht="17.25" thickBot="1" x14ac:dyDescent="0.3">
      <c r="A31" s="124" t="s">
        <v>470</v>
      </c>
      <c r="B31" s="120" t="s">
        <v>538</v>
      </c>
      <c r="C31" s="120">
        <v>30</v>
      </c>
      <c r="D31" s="120">
        <v>55</v>
      </c>
      <c r="E31" s="90" t="s">
        <v>472</v>
      </c>
      <c r="F31" s="90" t="s">
        <v>530</v>
      </c>
      <c r="G31" s="90" t="s">
        <v>473</v>
      </c>
      <c r="H31" s="88" t="s">
        <v>473</v>
      </c>
      <c r="I31" s="120" t="s">
        <v>462</v>
      </c>
      <c r="J31" s="128" t="s">
        <v>475</v>
      </c>
      <c r="K31" s="129" t="s">
        <v>476</v>
      </c>
      <c r="L31" s="128" t="s">
        <v>475</v>
      </c>
      <c r="M31" s="92"/>
    </row>
    <row r="32" spans="1:15" x14ac:dyDescent="0.25">
      <c r="A32" s="125"/>
      <c r="B32" s="127"/>
      <c r="C32" s="127"/>
      <c r="D32" s="127"/>
      <c r="E32" s="91" t="s">
        <v>480</v>
      </c>
      <c r="F32" s="91" t="s">
        <v>473</v>
      </c>
      <c r="G32" s="91" t="s">
        <v>462</v>
      </c>
      <c r="H32" s="91" t="s">
        <v>462</v>
      </c>
      <c r="I32" s="127"/>
      <c r="J32" s="127"/>
      <c r="K32" s="130"/>
      <c r="L32" s="127"/>
      <c r="M32" s="93"/>
    </row>
    <row r="33" spans="1:13" x14ac:dyDescent="0.25">
      <c r="A33" s="125"/>
      <c r="B33" s="127"/>
      <c r="C33" s="127"/>
      <c r="D33" s="127"/>
      <c r="E33" s="91" t="s">
        <v>464</v>
      </c>
      <c r="F33" s="91" t="s">
        <v>462</v>
      </c>
      <c r="G33" s="91" t="s">
        <v>462</v>
      </c>
      <c r="H33" s="91" t="s">
        <v>462</v>
      </c>
      <c r="I33" s="127"/>
      <c r="J33" s="127"/>
      <c r="K33" s="130"/>
      <c r="L33" s="127"/>
      <c r="M33" s="93"/>
    </row>
    <row r="34" spans="1:13" ht="17.25" thickBot="1" x14ac:dyDescent="0.3">
      <c r="A34" s="126"/>
      <c r="B34" s="121"/>
      <c r="C34" s="121"/>
      <c r="D34" s="121"/>
      <c r="E34" s="88" t="s">
        <v>465</v>
      </c>
      <c r="F34" s="88" t="s">
        <v>473</v>
      </c>
      <c r="G34" s="88" t="s">
        <v>530</v>
      </c>
      <c r="H34" s="88" t="s">
        <v>473</v>
      </c>
      <c r="I34" s="121"/>
      <c r="J34" s="121"/>
      <c r="K34" s="131"/>
      <c r="L34" s="121"/>
      <c r="M34" s="93"/>
    </row>
    <row r="35" spans="1:13" x14ac:dyDescent="0.25">
      <c r="L35" s="128" t="s">
        <v>475</v>
      </c>
      <c r="M35" s="92"/>
    </row>
    <row r="36" spans="1:13" x14ac:dyDescent="0.25">
      <c r="L36" s="127"/>
      <c r="M36" s="93"/>
    </row>
    <row r="37" spans="1:13" x14ac:dyDescent="0.25">
      <c r="L37" s="127"/>
      <c r="M37" s="93"/>
    </row>
    <row r="38" spans="1:13" ht="17.25" thickBot="1" x14ac:dyDescent="0.3">
      <c r="L38" s="121"/>
      <c r="M38" s="93"/>
    </row>
    <row r="39" spans="1:13" x14ac:dyDescent="0.25">
      <c r="L39" s="128" t="s">
        <v>475</v>
      </c>
      <c r="M39" s="92"/>
    </row>
    <row r="40" spans="1:13" x14ac:dyDescent="0.25">
      <c r="L40" s="127"/>
      <c r="M40" s="93"/>
    </row>
    <row r="41" spans="1:13" x14ac:dyDescent="0.25">
      <c r="L41" s="127"/>
      <c r="M41" s="93"/>
    </row>
    <row r="42" spans="1:13" ht="17.25" thickBot="1" x14ac:dyDescent="0.3">
      <c r="L42" s="121"/>
      <c r="M42" s="93"/>
    </row>
    <row r="43" spans="1:13" x14ac:dyDescent="0.25">
      <c r="L43" s="128" t="s">
        <v>475</v>
      </c>
      <c r="M43" s="92"/>
    </row>
    <row r="44" spans="1:13" x14ac:dyDescent="0.25">
      <c r="L44" s="127"/>
      <c r="M44" s="93"/>
    </row>
    <row r="45" spans="1:13" x14ac:dyDescent="0.25">
      <c r="L45" s="127"/>
      <c r="M45" s="93"/>
    </row>
    <row r="46" spans="1:13" ht="17.25" thickBot="1" x14ac:dyDescent="0.3">
      <c r="L46" s="121"/>
      <c r="M46" s="93"/>
    </row>
    <row r="47" spans="1:13" x14ac:dyDescent="0.25">
      <c r="L47" s="128" t="s">
        <v>475</v>
      </c>
      <c r="M47" s="92"/>
    </row>
    <row r="48" spans="1:13" x14ac:dyDescent="0.25">
      <c r="L48" s="127"/>
      <c r="M48" s="93"/>
    </row>
    <row r="49" spans="12:13" x14ac:dyDescent="0.25">
      <c r="L49" s="127"/>
      <c r="M49" s="93"/>
    </row>
    <row r="50" spans="12:13" ht="17.25" thickBot="1" x14ac:dyDescent="0.3">
      <c r="L50" s="121"/>
      <c r="M50" s="93"/>
    </row>
    <row r="51" spans="12:13" x14ac:dyDescent="0.25">
      <c r="L51" s="128" t="s">
        <v>475</v>
      </c>
      <c r="M51" s="92"/>
    </row>
    <row r="52" spans="12:13" x14ac:dyDescent="0.25">
      <c r="L52" s="127"/>
      <c r="M52" s="93"/>
    </row>
    <row r="53" spans="12:13" x14ac:dyDescent="0.25">
      <c r="L53" s="127"/>
      <c r="M53" s="93"/>
    </row>
    <row r="54" spans="12:13" ht="17.25" thickBot="1" x14ac:dyDescent="0.3">
      <c r="L54" s="121"/>
      <c r="M54" s="93"/>
    </row>
    <row r="55" spans="12:13" x14ac:dyDescent="0.25">
      <c r="L55" s="128" t="s">
        <v>475</v>
      </c>
      <c r="M55" s="92"/>
    </row>
    <row r="56" spans="12:13" x14ac:dyDescent="0.25">
      <c r="L56" s="127"/>
      <c r="M56" s="93"/>
    </row>
    <row r="57" spans="12:13" x14ac:dyDescent="0.25">
      <c r="L57" s="127"/>
      <c r="M57" s="93"/>
    </row>
    <row r="58" spans="12:13" ht="17.25" thickBot="1" x14ac:dyDescent="0.3">
      <c r="L58" s="121"/>
      <c r="M58" s="93"/>
    </row>
    <row r="59" spans="12:13" x14ac:dyDescent="0.25">
      <c r="L59" s="128" t="s">
        <v>475</v>
      </c>
      <c r="M59" s="92"/>
    </row>
    <row r="60" spans="12:13" x14ac:dyDescent="0.25">
      <c r="L60" s="127"/>
      <c r="M60" s="93"/>
    </row>
    <row r="61" spans="12:13" x14ac:dyDescent="0.25">
      <c r="L61" s="127"/>
      <c r="M61" s="93"/>
    </row>
    <row r="62" spans="12:13" ht="17.25" thickBot="1" x14ac:dyDescent="0.3">
      <c r="L62" s="121"/>
      <c r="M62" s="93"/>
    </row>
    <row r="63" spans="12:13" x14ac:dyDescent="0.25">
      <c r="L63" s="128" t="s">
        <v>475</v>
      </c>
      <c r="M63" s="92"/>
    </row>
    <row r="64" spans="12:13" x14ac:dyDescent="0.25">
      <c r="L64" s="127"/>
      <c r="M64" s="93"/>
    </row>
    <row r="65" spans="12:13" x14ac:dyDescent="0.25">
      <c r="L65" s="127"/>
      <c r="M65" s="93"/>
    </row>
    <row r="66" spans="12:13" ht="17.25" thickBot="1" x14ac:dyDescent="0.3">
      <c r="L66" s="121"/>
      <c r="M66" s="93"/>
    </row>
    <row r="67" spans="12:13" x14ac:dyDescent="0.25">
      <c r="L67" s="128" t="s">
        <v>475</v>
      </c>
      <c r="M67" s="92"/>
    </row>
    <row r="68" spans="12:13" x14ac:dyDescent="0.25">
      <c r="L68" s="127"/>
      <c r="M68" s="93"/>
    </row>
    <row r="69" spans="12:13" x14ac:dyDescent="0.25">
      <c r="L69" s="127"/>
      <c r="M69" s="93"/>
    </row>
    <row r="70" spans="12:13" ht="17.25" thickBot="1" x14ac:dyDescent="0.3">
      <c r="L70" s="121"/>
      <c r="M70" s="93"/>
    </row>
    <row r="71" spans="12:13" x14ac:dyDescent="0.25">
      <c r="L71" s="128" t="s">
        <v>475</v>
      </c>
      <c r="M71" s="92"/>
    </row>
    <row r="72" spans="12:13" x14ac:dyDescent="0.25">
      <c r="L72" s="127"/>
      <c r="M72" s="93"/>
    </row>
    <row r="73" spans="12:13" x14ac:dyDescent="0.25">
      <c r="L73" s="127"/>
      <c r="M73" s="93"/>
    </row>
    <row r="74" spans="12:13" ht="17.25" thickBot="1" x14ac:dyDescent="0.3">
      <c r="L74" s="121"/>
      <c r="M74" s="93"/>
    </row>
    <row r="75" spans="12:13" x14ac:dyDescent="0.25">
      <c r="L75" s="128" t="s">
        <v>475</v>
      </c>
      <c r="M75" s="92"/>
    </row>
    <row r="76" spans="12:13" x14ac:dyDescent="0.25">
      <c r="L76" s="127"/>
      <c r="M76" s="93"/>
    </row>
    <row r="77" spans="12:13" x14ac:dyDescent="0.25">
      <c r="L77" s="127"/>
      <c r="M77" s="93"/>
    </row>
    <row r="78" spans="12:13" ht="17.25" thickBot="1" x14ac:dyDescent="0.3">
      <c r="L78" s="121"/>
      <c r="M78" s="93"/>
    </row>
    <row r="79" spans="12:13" x14ac:dyDescent="0.25">
      <c r="L79" s="128" t="s">
        <v>475</v>
      </c>
      <c r="M79" s="92"/>
    </row>
    <row r="80" spans="12:13" x14ac:dyDescent="0.25">
      <c r="L80" s="127"/>
      <c r="M80" s="93"/>
    </row>
    <row r="81" spans="12:13" x14ac:dyDescent="0.25">
      <c r="L81" s="127"/>
      <c r="M81" s="93"/>
    </row>
    <row r="82" spans="12:13" ht="17.25" thickBot="1" x14ac:dyDescent="0.3">
      <c r="L82" s="121"/>
      <c r="M82" s="93"/>
    </row>
    <row r="83" spans="12:13" x14ac:dyDescent="0.25">
      <c r="L83" s="128" t="s">
        <v>475</v>
      </c>
      <c r="M83" s="92"/>
    </row>
    <row r="84" spans="12:13" x14ac:dyDescent="0.25">
      <c r="L84" s="127"/>
      <c r="M84" s="93"/>
    </row>
    <row r="85" spans="12:13" x14ac:dyDescent="0.25">
      <c r="L85" s="127"/>
      <c r="M85" s="93"/>
    </row>
    <row r="86" spans="12:13" ht="17.25" thickBot="1" x14ac:dyDescent="0.3">
      <c r="L86" s="121"/>
      <c r="M86" s="93"/>
    </row>
    <row r="87" spans="12:13" x14ac:dyDescent="0.25">
      <c r="L87" s="128" t="s">
        <v>475</v>
      </c>
      <c r="M87" s="92"/>
    </row>
    <row r="88" spans="12:13" x14ac:dyDescent="0.25">
      <c r="L88" s="127"/>
      <c r="M88" s="93"/>
    </row>
    <row r="89" spans="12:13" x14ac:dyDescent="0.25">
      <c r="L89" s="127"/>
      <c r="M89" s="93"/>
    </row>
    <row r="90" spans="12:13" ht="17.25" thickBot="1" x14ac:dyDescent="0.3">
      <c r="L90" s="121"/>
      <c r="M90" s="93"/>
    </row>
    <row r="91" spans="12:13" x14ac:dyDescent="0.25">
      <c r="L91" s="128" t="s">
        <v>475</v>
      </c>
      <c r="M91" s="92"/>
    </row>
    <row r="92" spans="12:13" x14ac:dyDescent="0.25">
      <c r="L92" s="127"/>
      <c r="M92" s="93"/>
    </row>
    <row r="93" spans="12:13" x14ac:dyDescent="0.25">
      <c r="L93" s="127"/>
      <c r="M93" s="93"/>
    </row>
    <row r="94" spans="12:13" ht="17.25" thickBot="1" x14ac:dyDescent="0.3">
      <c r="L94" s="121"/>
      <c r="M94" s="93"/>
    </row>
    <row r="95" spans="12:13" x14ac:dyDescent="0.25">
      <c r="L95" s="128" t="s">
        <v>475</v>
      </c>
      <c r="M95" s="92"/>
    </row>
    <row r="96" spans="12:13" x14ac:dyDescent="0.25">
      <c r="L96" s="127"/>
      <c r="M96" s="93"/>
    </row>
    <row r="97" spans="12:13" x14ac:dyDescent="0.25">
      <c r="L97" s="127"/>
      <c r="M97" s="93"/>
    </row>
    <row r="98" spans="12:13" ht="17.25" thickBot="1" x14ac:dyDescent="0.3">
      <c r="L98" s="121"/>
      <c r="M98" s="93"/>
    </row>
    <row r="99" spans="12:13" x14ac:dyDescent="0.25">
      <c r="L99" s="128" t="s">
        <v>475</v>
      </c>
      <c r="M99" s="92"/>
    </row>
    <row r="100" spans="12:13" x14ac:dyDescent="0.25">
      <c r="L100" s="127"/>
      <c r="M100" s="93"/>
    </row>
    <row r="101" spans="12:13" x14ac:dyDescent="0.25">
      <c r="L101" s="127"/>
      <c r="M101" s="93"/>
    </row>
    <row r="102" spans="12:13" ht="17.25" thickBot="1" x14ac:dyDescent="0.3">
      <c r="L102" s="121"/>
      <c r="M102" s="93"/>
    </row>
    <row r="103" spans="12:13" x14ac:dyDescent="0.25">
      <c r="L103" s="128" t="s">
        <v>475</v>
      </c>
      <c r="M103" s="92"/>
    </row>
    <row r="104" spans="12:13" x14ac:dyDescent="0.25">
      <c r="L104" s="127"/>
      <c r="M104" s="93"/>
    </row>
    <row r="105" spans="12:13" x14ac:dyDescent="0.25">
      <c r="L105" s="127"/>
      <c r="M105" s="93"/>
    </row>
    <row r="106" spans="12:13" ht="17.25" thickBot="1" x14ac:dyDescent="0.3">
      <c r="L106" s="121"/>
      <c r="M106" s="93"/>
    </row>
  </sheetData>
  <mergeCells count="114"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L7:L10"/>
    <mergeCell ref="M7:M10"/>
    <mergeCell ref="N7:N10"/>
    <mergeCell ref="O7:O10"/>
    <mergeCell ref="L11:L14"/>
    <mergeCell ref="M11:M14"/>
    <mergeCell ref="N11:N14"/>
    <mergeCell ref="O11:O14"/>
    <mergeCell ref="M1:M2"/>
    <mergeCell ref="N1:N2"/>
    <mergeCell ref="O1:O2"/>
    <mergeCell ref="L3:L6"/>
    <mergeCell ref="M3:M6"/>
    <mergeCell ref="N3:N6"/>
    <mergeCell ref="O3:O6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M27:M30"/>
    <mergeCell ref="N27:N30"/>
    <mergeCell ref="O27:O30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  <hyperlink ref="L35" r:id="rId25"/>
    <hyperlink ref="L39" r:id="rId26"/>
    <hyperlink ref="L43" r:id="rId27"/>
    <hyperlink ref="L51" r:id="rId28"/>
    <hyperlink ref="L55" r:id="rId29"/>
    <hyperlink ref="L59" r:id="rId30"/>
    <hyperlink ref="L63" r:id="rId31"/>
    <hyperlink ref="L67" r:id="rId32"/>
    <hyperlink ref="L71" r:id="rId33"/>
    <hyperlink ref="L75" r:id="rId34"/>
    <hyperlink ref="L79" r:id="rId35"/>
    <hyperlink ref="L83" r:id="rId36"/>
    <hyperlink ref="L87" r:id="rId37"/>
    <hyperlink ref="L91" r:id="rId38"/>
    <hyperlink ref="L95" r:id="rId39"/>
    <hyperlink ref="L99" r:id="rId40"/>
    <hyperlink ref="L103" r:id="rId41"/>
    <hyperlink ref="L47" r:id="rId4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Y106"/>
  <sheetViews>
    <sheetView workbookViewId="0">
      <selection activeCell="Q12" sqref="Q12"/>
    </sheetView>
  </sheetViews>
  <sheetFormatPr defaultRowHeight="16.5" x14ac:dyDescent="0.25"/>
  <cols>
    <col min="1" max="1" width="5.5" style="98" bestFit="1" customWidth="1"/>
    <col min="2" max="2" width="5.875" style="98" bestFit="1" customWidth="1"/>
    <col min="3" max="4" width="8" style="98" bestFit="1" customWidth="1"/>
    <col min="5" max="5" width="12.25" style="98" bestFit="1" customWidth="1"/>
    <col min="6" max="8" width="5.5" style="98" bestFit="1" customWidth="1"/>
    <col min="9" max="9" width="6.625" style="98" bestFit="1" customWidth="1"/>
    <col min="10" max="12" width="7.25" style="98" bestFit="1" customWidth="1"/>
    <col min="13" max="13" width="5.5" style="98" bestFit="1" customWidth="1"/>
    <col min="14" max="14" width="7.5" style="98" bestFit="1" customWidth="1"/>
    <col min="15" max="15" width="8.375" bestFit="1" customWidth="1"/>
    <col min="26" max="34" width="9" style="98"/>
    <col min="35" max="35" width="13.5" style="98" bestFit="1" customWidth="1"/>
    <col min="36" max="16384" width="9" style="98"/>
  </cols>
  <sheetData>
    <row r="1" spans="1:15" x14ac:dyDescent="0.25">
      <c r="A1" s="139" t="s">
        <v>418</v>
      </c>
      <c r="B1" s="124" t="s">
        <v>436</v>
      </c>
      <c r="C1" s="120" t="s">
        <v>437</v>
      </c>
      <c r="D1" s="120" t="s">
        <v>438</v>
      </c>
      <c r="E1" s="120" t="s">
        <v>439</v>
      </c>
      <c r="F1" s="122" t="s">
        <v>439</v>
      </c>
      <c r="G1" s="132"/>
      <c r="H1" s="133"/>
      <c r="I1" s="120" t="s">
        <v>441</v>
      </c>
      <c r="J1" s="110" t="s">
        <v>442</v>
      </c>
      <c r="K1" s="111"/>
      <c r="L1" s="112"/>
      <c r="M1" s="134" t="s">
        <v>443</v>
      </c>
      <c r="N1" s="134" t="s">
        <v>444</v>
      </c>
      <c r="O1" s="137" t="s">
        <v>445</v>
      </c>
    </row>
    <row r="2" spans="1:15" ht="17.25" thickBot="1" x14ac:dyDescent="0.3">
      <c r="A2" s="141"/>
      <c r="B2" s="126"/>
      <c r="C2" s="121"/>
      <c r="D2" s="121"/>
      <c r="E2" s="121"/>
      <c r="F2" s="88" t="s">
        <v>446</v>
      </c>
      <c r="G2" s="88" t="s">
        <v>447</v>
      </c>
      <c r="H2" s="88" t="s">
        <v>448</v>
      </c>
      <c r="I2" s="121"/>
      <c r="J2" s="96" t="s">
        <v>622</v>
      </c>
      <c r="K2" s="97" t="s">
        <v>447</v>
      </c>
      <c r="L2" s="96" t="s">
        <v>448</v>
      </c>
      <c r="M2" s="135"/>
      <c r="N2" s="136"/>
      <c r="O2" s="138"/>
    </row>
    <row r="3" spans="1:15" x14ac:dyDescent="0.25">
      <c r="A3" s="139" t="s">
        <v>450</v>
      </c>
      <c r="B3" s="124" t="s">
        <v>451</v>
      </c>
      <c r="C3" s="120">
        <v>30</v>
      </c>
      <c r="D3" s="120">
        <v>60</v>
      </c>
      <c r="E3" s="90" t="s">
        <v>452</v>
      </c>
      <c r="F3" s="90" t="s">
        <v>453</v>
      </c>
      <c r="G3" s="90" t="s">
        <v>638</v>
      </c>
      <c r="H3" s="90" t="s">
        <v>455</v>
      </c>
      <c r="I3" s="120" t="s">
        <v>456</v>
      </c>
      <c r="J3" s="128" t="s">
        <v>458</v>
      </c>
      <c r="K3" s="129" t="s">
        <v>459</v>
      </c>
      <c r="L3" s="128" t="s">
        <v>458</v>
      </c>
      <c r="M3" s="119"/>
      <c r="N3" s="119"/>
      <c r="O3" s="134" t="s">
        <v>591</v>
      </c>
    </row>
    <row r="4" spans="1:15" x14ac:dyDescent="0.25">
      <c r="A4" s="140"/>
      <c r="B4" s="125"/>
      <c r="C4" s="127"/>
      <c r="D4" s="127"/>
      <c r="E4" s="95" t="s">
        <v>460</v>
      </c>
      <c r="F4" s="95" t="s">
        <v>461</v>
      </c>
      <c r="G4" s="95" t="s">
        <v>462</v>
      </c>
      <c r="H4" s="95" t="s">
        <v>463</v>
      </c>
      <c r="I4" s="127"/>
      <c r="J4" s="127"/>
      <c r="K4" s="130"/>
      <c r="L4" s="127"/>
      <c r="M4" s="119"/>
      <c r="N4" s="119"/>
      <c r="O4" s="119"/>
    </row>
    <row r="5" spans="1:15" x14ac:dyDescent="0.25">
      <c r="A5" s="140"/>
      <c r="B5" s="125"/>
      <c r="C5" s="127"/>
      <c r="D5" s="127"/>
      <c r="E5" s="95" t="s">
        <v>464</v>
      </c>
      <c r="F5" s="95" t="s">
        <v>463</v>
      </c>
      <c r="G5" s="95" t="s">
        <v>462</v>
      </c>
      <c r="H5" s="95" t="s">
        <v>461</v>
      </c>
      <c r="I5" s="127"/>
      <c r="J5" s="127"/>
      <c r="K5" s="130"/>
      <c r="L5" s="127"/>
      <c r="M5" s="119"/>
      <c r="N5" s="119"/>
      <c r="O5" s="119"/>
    </row>
    <row r="6" spans="1:15" ht="17.25" thickBot="1" x14ac:dyDescent="0.3">
      <c r="A6" s="141"/>
      <c r="B6" s="126"/>
      <c r="C6" s="121"/>
      <c r="D6" s="121"/>
      <c r="E6" s="88" t="s">
        <v>465</v>
      </c>
      <c r="F6" s="88" t="s">
        <v>467</v>
      </c>
      <c r="G6" s="88" t="s">
        <v>468</v>
      </c>
      <c r="H6" s="88" t="s">
        <v>469</v>
      </c>
      <c r="I6" s="121"/>
      <c r="J6" s="121"/>
      <c r="K6" s="131"/>
      <c r="L6" s="121"/>
      <c r="M6" s="119"/>
      <c r="N6" s="119"/>
      <c r="O6" s="119"/>
    </row>
    <row r="7" spans="1:15" x14ac:dyDescent="0.25">
      <c r="A7" s="139" t="s">
        <v>470</v>
      </c>
      <c r="B7" s="124" t="s">
        <v>471</v>
      </c>
      <c r="C7" s="120">
        <v>30</v>
      </c>
      <c r="D7" s="120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20" t="s">
        <v>474</v>
      </c>
      <c r="J7" s="128" t="s">
        <v>475</v>
      </c>
      <c r="K7" s="129" t="s">
        <v>476</v>
      </c>
      <c r="L7" s="128" t="s">
        <v>475</v>
      </c>
      <c r="M7" s="119"/>
      <c r="N7" s="119"/>
      <c r="O7" s="119" t="s">
        <v>592</v>
      </c>
    </row>
    <row r="8" spans="1:15" x14ac:dyDescent="0.25">
      <c r="A8" s="140"/>
      <c r="B8" s="125"/>
      <c r="C8" s="127"/>
      <c r="D8" s="127"/>
      <c r="E8" s="95" t="s">
        <v>460</v>
      </c>
      <c r="F8" s="95" t="s">
        <v>461</v>
      </c>
      <c r="G8" s="95" t="s">
        <v>461</v>
      </c>
      <c r="H8" s="95" t="s">
        <v>462</v>
      </c>
      <c r="I8" s="127"/>
      <c r="J8" s="127"/>
      <c r="K8" s="130"/>
      <c r="L8" s="127"/>
      <c r="M8" s="119"/>
      <c r="N8" s="119"/>
      <c r="O8" s="119"/>
    </row>
    <row r="9" spans="1:15" x14ac:dyDescent="0.25">
      <c r="A9" s="140"/>
      <c r="B9" s="125"/>
      <c r="C9" s="127"/>
      <c r="D9" s="127"/>
      <c r="E9" s="95" t="s">
        <v>477</v>
      </c>
      <c r="F9" s="95" t="s">
        <v>462</v>
      </c>
      <c r="G9" s="95" t="s">
        <v>462</v>
      </c>
      <c r="H9" s="95" t="s">
        <v>462</v>
      </c>
      <c r="I9" s="127"/>
      <c r="J9" s="127"/>
      <c r="K9" s="130"/>
      <c r="L9" s="127"/>
      <c r="M9" s="119"/>
      <c r="N9" s="119"/>
      <c r="O9" s="119"/>
    </row>
    <row r="10" spans="1:15" ht="17.25" thickBot="1" x14ac:dyDescent="0.3">
      <c r="A10" s="141"/>
      <c r="B10" s="126"/>
      <c r="C10" s="121"/>
      <c r="D10" s="121"/>
      <c r="E10" s="88" t="s">
        <v>465</v>
      </c>
      <c r="F10" s="88" t="s">
        <v>473</v>
      </c>
      <c r="G10" s="88" t="s">
        <v>473</v>
      </c>
      <c r="H10" s="88" t="s">
        <v>478</v>
      </c>
      <c r="I10" s="121"/>
      <c r="J10" s="121"/>
      <c r="K10" s="131"/>
      <c r="L10" s="121"/>
      <c r="M10" s="119"/>
      <c r="N10" s="119"/>
      <c r="O10" s="119"/>
    </row>
    <row r="11" spans="1:15" x14ac:dyDescent="0.25">
      <c r="A11" s="139" t="s">
        <v>470</v>
      </c>
      <c r="B11" s="124" t="s">
        <v>479</v>
      </c>
      <c r="C11" s="120">
        <v>30</v>
      </c>
      <c r="D11" s="120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20" t="s">
        <v>474</v>
      </c>
      <c r="J11" s="128" t="s">
        <v>475</v>
      </c>
      <c r="K11" s="129" t="s">
        <v>476</v>
      </c>
      <c r="L11" s="128" t="s">
        <v>475</v>
      </c>
      <c r="M11" s="119"/>
      <c r="N11" s="119"/>
      <c r="O11" s="119"/>
    </row>
    <row r="12" spans="1:15" x14ac:dyDescent="0.25">
      <c r="A12" s="140"/>
      <c r="B12" s="125"/>
      <c r="C12" s="127"/>
      <c r="D12" s="127"/>
      <c r="E12" s="95" t="s">
        <v>480</v>
      </c>
      <c r="F12" s="95" t="s">
        <v>462</v>
      </c>
      <c r="G12" s="95" t="s">
        <v>462</v>
      </c>
      <c r="H12" s="95" t="s">
        <v>462</v>
      </c>
      <c r="I12" s="127"/>
      <c r="J12" s="127"/>
      <c r="K12" s="130"/>
      <c r="L12" s="127"/>
      <c r="M12" s="119"/>
      <c r="N12" s="119"/>
      <c r="O12" s="119"/>
    </row>
    <row r="13" spans="1:15" x14ac:dyDescent="0.25">
      <c r="A13" s="140"/>
      <c r="B13" s="125"/>
      <c r="C13" s="127"/>
      <c r="D13" s="127"/>
      <c r="E13" s="95" t="s">
        <v>464</v>
      </c>
      <c r="F13" s="95" t="s">
        <v>461</v>
      </c>
      <c r="G13" s="95" t="s">
        <v>461</v>
      </c>
      <c r="H13" s="95" t="s">
        <v>463</v>
      </c>
      <c r="I13" s="127"/>
      <c r="J13" s="127"/>
      <c r="K13" s="130"/>
      <c r="L13" s="127"/>
      <c r="M13" s="119"/>
      <c r="N13" s="119"/>
      <c r="O13" s="119"/>
    </row>
    <row r="14" spans="1:15" ht="17.25" thickBot="1" x14ac:dyDescent="0.3">
      <c r="A14" s="141"/>
      <c r="B14" s="126"/>
      <c r="C14" s="121"/>
      <c r="D14" s="121"/>
      <c r="E14" s="88" t="s">
        <v>465</v>
      </c>
      <c r="F14" s="88" t="s">
        <v>473</v>
      </c>
      <c r="G14" s="88" t="s">
        <v>454</v>
      </c>
      <c r="H14" s="88" t="s">
        <v>473</v>
      </c>
      <c r="I14" s="121"/>
      <c r="J14" s="121"/>
      <c r="K14" s="131"/>
      <c r="L14" s="121"/>
      <c r="M14" s="119"/>
      <c r="N14" s="119"/>
      <c r="O14" s="119"/>
    </row>
    <row r="15" spans="1:15" x14ac:dyDescent="0.25">
      <c r="A15" s="139" t="s">
        <v>470</v>
      </c>
      <c r="B15" s="124" t="s">
        <v>481</v>
      </c>
      <c r="C15" s="120">
        <v>30</v>
      </c>
      <c r="D15" s="120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20" t="s">
        <v>474</v>
      </c>
      <c r="J15" s="128" t="s">
        <v>475</v>
      </c>
      <c r="K15" s="129" t="s">
        <v>476</v>
      </c>
      <c r="L15" s="128" t="s">
        <v>475</v>
      </c>
      <c r="M15" s="92"/>
    </row>
    <row r="16" spans="1:15" x14ac:dyDescent="0.25">
      <c r="A16" s="140"/>
      <c r="B16" s="125"/>
      <c r="C16" s="127"/>
      <c r="D16" s="127"/>
      <c r="E16" s="95" t="s">
        <v>460</v>
      </c>
      <c r="F16" s="95" t="s">
        <v>462</v>
      </c>
      <c r="G16" s="95" t="s">
        <v>462</v>
      </c>
      <c r="H16" s="95" t="s">
        <v>463</v>
      </c>
      <c r="I16" s="127"/>
      <c r="J16" s="127"/>
      <c r="K16" s="130"/>
      <c r="L16" s="127"/>
      <c r="M16" s="93"/>
    </row>
    <row r="17" spans="1:13" x14ac:dyDescent="0.25">
      <c r="A17" s="140"/>
      <c r="B17" s="125"/>
      <c r="C17" s="127"/>
      <c r="D17" s="127"/>
      <c r="E17" s="95" t="s">
        <v>464</v>
      </c>
      <c r="F17" s="95" t="s">
        <v>462</v>
      </c>
      <c r="G17" s="95" t="s">
        <v>462</v>
      </c>
      <c r="H17" s="95" t="s">
        <v>462</v>
      </c>
      <c r="I17" s="127"/>
      <c r="J17" s="127"/>
      <c r="K17" s="130"/>
      <c r="L17" s="127"/>
      <c r="M17" s="93"/>
    </row>
    <row r="18" spans="1:13" ht="17.25" thickBot="1" x14ac:dyDescent="0.3">
      <c r="A18" s="141"/>
      <c r="B18" s="126"/>
      <c r="C18" s="121"/>
      <c r="D18" s="121"/>
      <c r="E18" s="88" t="s">
        <v>465</v>
      </c>
      <c r="F18" s="88" t="s">
        <v>473</v>
      </c>
      <c r="G18" s="88" t="s">
        <v>473</v>
      </c>
      <c r="H18" s="88" t="s">
        <v>473</v>
      </c>
      <c r="I18" s="121"/>
      <c r="J18" s="121"/>
      <c r="K18" s="131"/>
      <c r="L18" s="121"/>
      <c r="M18" s="93"/>
    </row>
    <row r="19" spans="1:13" x14ac:dyDescent="0.25">
      <c r="A19" s="139" t="s">
        <v>470</v>
      </c>
      <c r="B19" s="124" t="s">
        <v>482</v>
      </c>
      <c r="C19" s="120">
        <v>30</v>
      </c>
      <c r="D19" s="120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20" t="s">
        <v>474</v>
      </c>
      <c r="J19" s="128" t="s">
        <v>475</v>
      </c>
      <c r="K19" s="129" t="s">
        <v>476</v>
      </c>
      <c r="L19" s="128" t="s">
        <v>475</v>
      </c>
      <c r="M19" s="92"/>
    </row>
    <row r="20" spans="1:13" x14ac:dyDescent="0.25">
      <c r="A20" s="140"/>
      <c r="B20" s="125"/>
      <c r="C20" s="127"/>
      <c r="D20" s="127"/>
      <c r="E20" s="95" t="s">
        <v>480</v>
      </c>
      <c r="F20" s="95" t="s">
        <v>462</v>
      </c>
      <c r="G20" s="95" t="s">
        <v>462</v>
      </c>
      <c r="H20" s="95" t="s">
        <v>462</v>
      </c>
      <c r="I20" s="127"/>
      <c r="J20" s="127"/>
      <c r="K20" s="130"/>
      <c r="L20" s="127"/>
      <c r="M20" s="93"/>
    </row>
    <row r="21" spans="1:13" x14ac:dyDescent="0.25">
      <c r="A21" s="140"/>
      <c r="B21" s="125"/>
      <c r="C21" s="127"/>
      <c r="D21" s="127"/>
      <c r="E21" s="95" t="s">
        <v>464</v>
      </c>
      <c r="F21" s="95" t="s">
        <v>462</v>
      </c>
      <c r="G21" s="95" t="s">
        <v>462</v>
      </c>
      <c r="H21" s="95" t="s">
        <v>462</v>
      </c>
      <c r="I21" s="127"/>
      <c r="J21" s="127"/>
      <c r="K21" s="130"/>
      <c r="L21" s="127"/>
      <c r="M21" s="93"/>
    </row>
    <row r="22" spans="1:13" ht="17.25" thickBot="1" x14ac:dyDescent="0.3">
      <c r="A22" s="141"/>
      <c r="B22" s="126"/>
      <c r="C22" s="121"/>
      <c r="D22" s="121"/>
      <c r="E22" s="88" t="s">
        <v>465</v>
      </c>
      <c r="F22" s="88" t="s">
        <v>473</v>
      </c>
      <c r="G22" s="88" t="s">
        <v>473</v>
      </c>
      <c r="H22" s="88" t="s">
        <v>473</v>
      </c>
      <c r="I22" s="121"/>
      <c r="J22" s="121"/>
      <c r="K22" s="131"/>
      <c r="L22" s="121"/>
      <c r="M22" s="93"/>
    </row>
    <row r="23" spans="1:13" x14ac:dyDescent="0.25">
      <c r="A23" s="139" t="s">
        <v>470</v>
      </c>
      <c r="B23" s="124" t="s">
        <v>483</v>
      </c>
      <c r="C23" s="120">
        <v>30</v>
      </c>
      <c r="D23" s="120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20" t="s">
        <v>474</v>
      </c>
      <c r="J23" s="128" t="s">
        <v>475</v>
      </c>
      <c r="K23" s="129" t="s">
        <v>476</v>
      </c>
      <c r="L23" s="128" t="s">
        <v>475</v>
      </c>
      <c r="M23" s="92"/>
    </row>
    <row r="24" spans="1:13" x14ac:dyDescent="0.25">
      <c r="A24" s="140"/>
      <c r="B24" s="125"/>
      <c r="C24" s="127"/>
      <c r="D24" s="127"/>
      <c r="E24" s="95" t="s">
        <v>480</v>
      </c>
      <c r="F24" s="95" t="s">
        <v>462</v>
      </c>
      <c r="G24" s="95" t="s">
        <v>461</v>
      </c>
      <c r="H24" s="95" t="s">
        <v>462</v>
      </c>
      <c r="I24" s="127"/>
      <c r="J24" s="127"/>
      <c r="K24" s="130"/>
      <c r="L24" s="127"/>
      <c r="M24" s="93"/>
    </row>
    <row r="25" spans="1:13" x14ac:dyDescent="0.25">
      <c r="A25" s="140"/>
      <c r="B25" s="125"/>
      <c r="C25" s="127"/>
      <c r="D25" s="127"/>
      <c r="E25" s="95" t="s">
        <v>464</v>
      </c>
      <c r="F25" s="95" t="s">
        <v>462</v>
      </c>
      <c r="G25" s="95" t="s">
        <v>462</v>
      </c>
      <c r="H25" s="95" t="s">
        <v>462</v>
      </c>
      <c r="I25" s="127"/>
      <c r="J25" s="127"/>
      <c r="K25" s="130"/>
      <c r="L25" s="127"/>
      <c r="M25" s="93"/>
    </row>
    <row r="26" spans="1:13" ht="17.25" thickBot="1" x14ac:dyDescent="0.3">
      <c r="A26" s="141"/>
      <c r="B26" s="126"/>
      <c r="C26" s="121"/>
      <c r="D26" s="121"/>
      <c r="E26" s="88" t="s">
        <v>465</v>
      </c>
      <c r="F26" s="88" t="s">
        <v>469</v>
      </c>
      <c r="G26" s="88" t="s">
        <v>468</v>
      </c>
      <c r="H26" s="88" t="s">
        <v>469</v>
      </c>
      <c r="I26" s="121"/>
      <c r="J26" s="121"/>
      <c r="K26" s="131"/>
      <c r="L26" s="121"/>
      <c r="M26" s="93"/>
    </row>
    <row r="27" spans="1:13" ht="17.25" thickBot="1" x14ac:dyDescent="0.3">
      <c r="A27" s="139" t="s">
        <v>470</v>
      </c>
      <c r="B27" s="124" t="s">
        <v>484</v>
      </c>
      <c r="C27" s="120">
        <v>50</v>
      </c>
      <c r="D27" s="120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20" t="s">
        <v>461</v>
      </c>
      <c r="J27" s="128" t="s">
        <v>475</v>
      </c>
      <c r="K27" s="129" t="s">
        <v>476</v>
      </c>
      <c r="L27" s="128" t="s">
        <v>475</v>
      </c>
      <c r="M27" s="92"/>
    </row>
    <row r="28" spans="1:13" x14ac:dyDescent="0.25">
      <c r="A28" s="140"/>
      <c r="B28" s="125"/>
      <c r="C28" s="127"/>
      <c r="D28" s="127"/>
      <c r="E28" s="95" t="s">
        <v>480</v>
      </c>
      <c r="F28" s="95" t="s">
        <v>462</v>
      </c>
      <c r="G28" s="95" t="s">
        <v>462</v>
      </c>
      <c r="H28" s="90" t="s">
        <v>487</v>
      </c>
      <c r="I28" s="127"/>
      <c r="J28" s="127"/>
      <c r="K28" s="130"/>
      <c r="L28" s="127"/>
      <c r="M28" s="93"/>
    </row>
    <row r="29" spans="1:13" x14ac:dyDescent="0.25">
      <c r="A29" s="140"/>
      <c r="B29" s="125"/>
      <c r="C29" s="127"/>
      <c r="D29" s="127"/>
      <c r="E29" s="95" t="s">
        <v>464</v>
      </c>
      <c r="F29" s="95" t="s">
        <v>462</v>
      </c>
      <c r="G29" s="95" t="s">
        <v>486</v>
      </c>
      <c r="H29" s="95" t="s">
        <v>462</v>
      </c>
      <c r="I29" s="127"/>
      <c r="J29" s="127"/>
      <c r="K29" s="130"/>
      <c r="L29" s="127"/>
      <c r="M29" s="93"/>
    </row>
    <row r="30" spans="1:13" ht="17.25" thickBot="1" x14ac:dyDescent="0.3">
      <c r="A30" s="141"/>
      <c r="B30" s="126"/>
      <c r="C30" s="121"/>
      <c r="D30" s="121"/>
      <c r="E30" s="88" t="s">
        <v>465</v>
      </c>
      <c r="F30" s="88" t="s">
        <v>488</v>
      </c>
      <c r="G30" s="88" t="s">
        <v>485</v>
      </c>
      <c r="H30" s="88" t="s">
        <v>488</v>
      </c>
      <c r="I30" s="121"/>
      <c r="J30" s="121"/>
      <c r="K30" s="131"/>
      <c r="L30" s="121"/>
      <c r="M30" s="93"/>
    </row>
    <row r="31" spans="1:13" x14ac:dyDescent="0.25">
      <c r="A31" s="139" t="s">
        <v>430</v>
      </c>
      <c r="B31" s="124" t="s">
        <v>489</v>
      </c>
      <c r="C31" s="120">
        <v>50</v>
      </c>
      <c r="D31" s="120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20" t="s">
        <v>462</v>
      </c>
      <c r="J31" s="128" t="s">
        <v>475</v>
      </c>
      <c r="K31" s="129" t="s">
        <v>476</v>
      </c>
      <c r="L31" s="128" t="s">
        <v>475</v>
      </c>
      <c r="M31" s="92"/>
    </row>
    <row r="32" spans="1:13" x14ac:dyDescent="0.25">
      <c r="A32" s="140"/>
      <c r="B32" s="125"/>
      <c r="C32" s="127"/>
      <c r="D32" s="127"/>
      <c r="E32" s="95" t="s">
        <v>480</v>
      </c>
      <c r="F32" s="95" t="s">
        <v>462</v>
      </c>
      <c r="G32" s="95" t="s">
        <v>462</v>
      </c>
      <c r="H32" s="95" t="s">
        <v>462</v>
      </c>
      <c r="I32" s="127"/>
      <c r="J32" s="127"/>
      <c r="K32" s="130"/>
      <c r="L32" s="127"/>
      <c r="M32" s="93"/>
    </row>
    <row r="33" spans="1:13" x14ac:dyDescent="0.25">
      <c r="A33" s="140"/>
      <c r="B33" s="125"/>
      <c r="C33" s="127"/>
      <c r="D33" s="127"/>
      <c r="E33" s="95" t="s">
        <v>464</v>
      </c>
      <c r="F33" s="95" t="s">
        <v>462</v>
      </c>
      <c r="G33" s="95" t="s">
        <v>462</v>
      </c>
      <c r="H33" s="95" t="s">
        <v>462</v>
      </c>
      <c r="I33" s="127"/>
      <c r="J33" s="127"/>
      <c r="K33" s="130"/>
      <c r="L33" s="127"/>
      <c r="M33" s="93"/>
    </row>
    <row r="34" spans="1:13" ht="17.25" thickBot="1" x14ac:dyDescent="0.3">
      <c r="A34" s="141"/>
      <c r="B34" s="126"/>
      <c r="C34" s="121"/>
      <c r="D34" s="121"/>
      <c r="E34" s="88" t="s">
        <v>465</v>
      </c>
      <c r="F34" s="88" t="s">
        <v>488</v>
      </c>
      <c r="G34" s="88" t="s">
        <v>485</v>
      </c>
      <c r="H34" s="88" t="s">
        <v>488</v>
      </c>
      <c r="I34" s="121"/>
      <c r="J34" s="121"/>
      <c r="K34" s="131"/>
      <c r="L34" s="121"/>
      <c r="M34" s="93"/>
    </row>
    <row r="35" spans="1:13" ht="17.25" thickBot="1" x14ac:dyDescent="0.3">
      <c r="A35" s="139" t="s">
        <v>470</v>
      </c>
      <c r="B35" s="124" t="s">
        <v>491</v>
      </c>
      <c r="C35" s="120">
        <v>50</v>
      </c>
      <c r="D35" s="120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20" t="s">
        <v>462</v>
      </c>
      <c r="J35" s="128" t="s">
        <v>475</v>
      </c>
      <c r="K35" s="129" t="s">
        <v>476</v>
      </c>
      <c r="L35" s="128" t="s">
        <v>475</v>
      </c>
      <c r="M35" s="92"/>
    </row>
    <row r="36" spans="1:13" x14ac:dyDescent="0.25">
      <c r="A36" s="140"/>
      <c r="B36" s="125"/>
      <c r="C36" s="127"/>
      <c r="D36" s="127"/>
      <c r="E36" s="95" t="s">
        <v>480</v>
      </c>
      <c r="F36" s="90" t="s">
        <v>493</v>
      </c>
      <c r="G36" s="95" t="s">
        <v>462</v>
      </c>
      <c r="H36" s="95" t="s">
        <v>462</v>
      </c>
      <c r="I36" s="127"/>
      <c r="J36" s="127"/>
      <c r="K36" s="130"/>
      <c r="L36" s="127"/>
      <c r="M36" s="93"/>
    </row>
    <row r="37" spans="1:13" x14ac:dyDescent="0.25">
      <c r="A37" s="140"/>
      <c r="B37" s="125"/>
      <c r="C37" s="127"/>
      <c r="D37" s="127"/>
      <c r="E37" s="95" t="s">
        <v>464</v>
      </c>
      <c r="F37" s="95" t="s">
        <v>462</v>
      </c>
      <c r="G37" s="95" t="s">
        <v>462</v>
      </c>
      <c r="H37" s="95" t="s">
        <v>462</v>
      </c>
      <c r="I37" s="127"/>
      <c r="J37" s="127"/>
      <c r="K37" s="130"/>
      <c r="L37" s="127"/>
      <c r="M37" s="93"/>
    </row>
    <row r="38" spans="1:13" ht="17.25" thickBot="1" x14ac:dyDescent="0.3">
      <c r="A38" s="141"/>
      <c r="B38" s="126"/>
      <c r="C38" s="121"/>
      <c r="D38" s="121"/>
      <c r="E38" s="88" t="s">
        <v>465</v>
      </c>
      <c r="F38" s="88" t="s">
        <v>488</v>
      </c>
      <c r="G38" s="88" t="s">
        <v>485</v>
      </c>
      <c r="H38" s="88" t="s">
        <v>488</v>
      </c>
      <c r="I38" s="121"/>
      <c r="J38" s="121"/>
      <c r="K38" s="131"/>
      <c r="L38" s="121"/>
      <c r="M38" s="93"/>
    </row>
    <row r="39" spans="1:13" ht="17.25" thickBot="1" x14ac:dyDescent="0.3">
      <c r="A39" s="139" t="s">
        <v>470</v>
      </c>
      <c r="B39" s="124" t="s">
        <v>494</v>
      </c>
      <c r="C39" s="120">
        <v>50</v>
      </c>
      <c r="D39" s="120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20" t="s">
        <v>462</v>
      </c>
      <c r="J39" s="128" t="s">
        <v>475</v>
      </c>
      <c r="K39" s="129" t="s">
        <v>476</v>
      </c>
      <c r="L39" s="128" t="s">
        <v>475</v>
      </c>
      <c r="M39" s="92"/>
    </row>
    <row r="40" spans="1:13" x14ac:dyDescent="0.25">
      <c r="A40" s="140"/>
      <c r="B40" s="125"/>
      <c r="C40" s="127"/>
      <c r="D40" s="127"/>
      <c r="E40" s="95" t="s">
        <v>480</v>
      </c>
      <c r="F40" s="90" t="s">
        <v>487</v>
      </c>
      <c r="G40" s="95" t="s">
        <v>462</v>
      </c>
      <c r="H40" s="95" t="s">
        <v>462</v>
      </c>
      <c r="I40" s="127"/>
      <c r="J40" s="127"/>
      <c r="K40" s="130"/>
      <c r="L40" s="127"/>
      <c r="M40" s="93"/>
    </row>
    <row r="41" spans="1:13" x14ac:dyDescent="0.25">
      <c r="A41" s="140"/>
      <c r="B41" s="125"/>
      <c r="C41" s="127"/>
      <c r="D41" s="127"/>
      <c r="E41" s="95" t="s">
        <v>464</v>
      </c>
      <c r="F41" s="95" t="s">
        <v>462</v>
      </c>
      <c r="G41" s="95" t="s">
        <v>487</v>
      </c>
      <c r="H41" s="95" t="s">
        <v>462</v>
      </c>
      <c r="I41" s="127"/>
      <c r="J41" s="127"/>
      <c r="K41" s="130"/>
      <c r="L41" s="127"/>
      <c r="M41" s="93"/>
    </row>
    <row r="42" spans="1:13" ht="17.25" thickBot="1" x14ac:dyDescent="0.3">
      <c r="A42" s="141"/>
      <c r="B42" s="126"/>
      <c r="C42" s="121"/>
      <c r="D42" s="121"/>
      <c r="E42" s="88" t="s">
        <v>465</v>
      </c>
      <c r="F42" s="88" t="s">
        <v>488</v>
      </c>
      <c r="G42" s="88" t="s">
        <v>490</v>
      </c>
      <c r="H42" s="88" t="s">
        <v>488</v>
      </c>
      <c r="I42" s="121"/>
      <c r="J42" s="121"/>
      <c r="K42" s="131"/>
      <c r="L42" s="121"/>
      <c r="M42" s="93"/>
    </row>
    <row r="43" spans="1:13" x14ac:dyDescent="0.25">
      <c r="A43" s="139" t="s">
        <v>470</v>
      </c>
      <c r="B43" s="124" t="s">
        <v>495</v>
      </c>
      <c r="C43" s="120">
        <v>30</v>
      </c>
      <c r="D43" s="120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20" t="s">
        <v>474</v>
      </c>
      <c r="J43" s="128" t="s">
        <v>475</v>
      </c>
      <c r="K43" s="129" t="s">
        <v>476</v>
      </c>
      <c r="L43" s="128" t="s">
        <v>475</v>
      </c>
      <c r="M43" s="92"/>
    </row>
    <row r="44" spans="1:13" x14ac:dyDescent="0.25">
      <c r="A44" s="140"/>
      <c r="B44" s="125"/>
      <c r="C44" s="127"/>
      <c r="D44" s="127"/>
      <c r="E44" s="95" t="s">
        <v>480</v>
      </c>
      <c r="F44" s="95" t="s">
        <v>462</v>
      </c>
      <c r="G44" s="95" t="s">
        <v>462</v>
      </c>
      <c r="H44" s="95" t="s">
        <v>462</v>
      </c>
      <c r="I44" s="127"/>
      <c r="J44" s="127"/>
      <c r="K44" s="130"/>
      <c r="L44" s="127"/>
      <c r="M44" s="93"/>
    </row>
    <row r="45" spans="1:13" x14ac:dyDescent="0.25">
      <c r="A45" s="140"/>
      <c r="B45" s="125"/>
      <c r="C45" s="127"/>
      <c r="D45" s="127"/>
      <c r="E45" s="95" t="s">
        <v>464</v>
      </c>
      <c r="F45" s="95" t="s">
        <v>462</v>
      </c>
      <c r="G45" s="95" t="s">
        <v>462</v>
      </c>
      <c r="H45" s="95" t="s">
        <v>462</v>
      </c>
      <c r="I45" s="127"/>
      <c r="J45" s="127"/>
      <c r="K45" s="130"/>
      <c r="L45" s="127"/>
      <c r="M45" s="93"/>
    </row>
    <row r="46" spans="1:13" ht="17.25" thickBot="1" x14ac:dyDescent="0.3">
      <c r="A46" s="141"/>
      <c r="B46" s="126"/>
      <c r="C46" s="121"/>
      <c r="D46" s="121"/>
      <c r="E46" s="88" t="s">
        <v>465</v>
      </c>
      <c r="F46" s="88" t="s">
        <v>469</v>
      </c>
      <c r="G46" s="88" t="s">
        <v>468</v>
      </c>
      <c r="H46" s="88" t="s">
        <v>469</v>
      </c>
      <c r="I46" s="121"/>
      <c r="J46" s="121"/>
      <c r="K46" s="131"/>
      <c r="L46" s="121"/>
      <c r="M46" s="93"/>
    </row>
    <row r="47" spans="1:13" x14ac:dyDescent="0.25">
      <c r="A47" s="139" t="s">
        <v>470</v>
      </c>
      <c r="B47" s="124" t="s">
        <v>496</v>
      </c>
      <c r="C47" s="120">
        <v>30</v>
      </c>
      <c r="D47" s="120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20" t="s">
        <v>474</v>
      </c>
      <c r="J47" s="128" t="s">
        <v>475</v>
      </c>
      <c r="K47" s="129" t="s">
        <v>476</v>
      </c>
      <c r="L47" s="128" t="s">
        <v>475</v>
      </c>
      <c r="M47" s="92"/>
    </row>
    <row r="48" spans="1:13" x14ac:dyDescent="0.25">
      <c r="A48" s="140"/>
      <c r="B48" s="125"/>
      <c r="C48" s="127"/>
      <c r="D48" s="127"/>
      <c r="E48" s="95" t="s">
        <v>480</v>
      </c>
      <c r="F48" s="95" t="s">
        <v>462</v>
      </c>
      <c r="G48" s="95" t="s">
        <v>462</v>
      </c>
      <c r="H48" s="95" t="s">
        <v>462</v>
      </c>
      <c r="I48" s="127"/>
      <c r="J48" s="127"/>
      <c r="K48" s="130"/>
      <c r="L48" s="127"/>
      <c r="M48" s="93"/>
    </row>
    <row r="49" spans="1:13" x14ac:dyDescent="0.25">
      <c r="A49" s="140"/>
      <c r="B49" s="125"/>
      <c r="C49" s="127"/>
      <c r="D49" s="127"/>
      <c r="E49" s="95" t="s">
        <v>464</v>
      </c>
      <c r="F49" s="95" t="s">
        <v>462</v>
      </c>
      <c r="G49" s="95" t="s">
        <v>462</v>
      </c>
      <c r="H49" s="95" t="s">
        <v>462</v>
      </c>
      <c r="I49" s="127"/>
      <c r="J49" s="127"/>
      <c r="K49" s="130"/>
      <c r="L49" s="127"/>
      <c r="M49" s="93"/>
    </row>
    <row r="50" spans="1:13" ht="17.25" thickBot="1" x14ac:dyDescent="0.3">
      <c r="A50" s="141"/>
      <c r="B50" s="126"/>
      <c r="C50" s="121"/>
      <c r="D50" s="121"/>
      <c r="E50" s="88" t="s">
        <v>465</v>
      </c>
      <c r="F50" s="88" t="s">
        <v>473</v>
      </c>
      <c r="G50" s="88" t="s">
        <v>473</v>
      </c>
      <c r="H50" s="88" t="s">
        <v>473</v>
      </c>
      <c r="I50" s="121"/>
      <c r="J50" s="121"/>
      <c r="K50" s="131"/>
      <c r="L50" s="121"/>
      <c r="M50" s="93"/>
    </row>
    <row r="51" spans="1:13" x14ac:dyDescent="0.25">
      <c r="A51" s="139" t="s">
        <v>470</v>
      </c>
      <c r="B51" s="124" t="s">
        <v>497</v>
      </c>
      <c r="C51" s="120">
        <v>30</v>
      </c>
      <c r="D51" s="120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20" t="s">
        <v>474</v>
      </c>
      <c r="J51" s="128" t="s">
        <v>475</v>
      </c>
      <c r="K51" s="129" t="s">
        <v>476</v>
      </c>
      <c r="L51" s="128" t="s">
        <v>475</v>
      </c>
      <c r="M51" s="92"/>
    </row>
    <row r="52" spans="1:13" x14ac:dyDescent="0.25">
      <c r="A52" s="140"/>
      <c r="B52" s="125"/>
      <c r="C52" s="127"/>
      <c r="D52" s="127"/>
      <c r="E52" s="95" t="s">
        <v>480</v>
      </c>
      <c r="F52" s="95" t="s">
        <v>462</v>
      </c>
      <c r="G52" s="95" t="s">
        <v>462</v>
      </c>
      <c r="H52" s="95" t="s">
        <v>462</v>
      </c>
      <c r="I52" s="127"/>
      <c r="J52" s="127"/>
      <c r="K52" s="130"/>
      <c r="L52" s="127"/>
      <c r="M52" s="93"/>
    </row>
    <row r="53" spans="1:13" x14ac:dyDescent="0.25">
      <c r="A53" s="140"/>
      <c r="B53" s="125"/>
      <c r="C53" s="127"/>
      <c r="D53" s="127"/>
      <c r="E53" s="95" t="s">
        <v>464</v>
      </c>
      <c r="F53" s="95" t="s">
        <v>462</v>
      </c>
      <c r="G53" s="95" t="s">
        <v>462</v>
      </c>
      <c r="H53" s="95" t="s">
        <v>462</v>
      </c>
      <c r="I53" s="127"/>
      <c r="J53" s="127"/>
      <c r="K53" s="130"/>
      <c r="L53" s="127"/>
      <c r="M53" s="93"/>
    </row>
    <row r="54" spans="1:13" ht="17.25" thickBot="1" x14ac:dyDescent="0.3">
      <c r="A54" s="141"/>
      <c r="B54" s="126"/>
      <c r="C54" s="121"/>
      <c r="D54" s="121"/>
      <c r="E54" s="88" t="s">
        <v>465</v>
      </c>
      <c r="F54" s="88" t="s">
        <v>473</v>
      </c>
      <c r="G54" s="88" t="s">
        <v>473</v>
      </c>
      <c r="H54" s="88" t="s">
        <v>473</v>
      </c>
      <c r="I54" s="121"/>
      <c r="J54" s="121"/>
      <c r="K54" s="131"/>
      <c r="L54" s="121"/>
      <c r="M54" s="93"/>
    </row>
    <row r="55" spans="1:13" x14ac:dyDescent="0.25">
      <c r="A55" s="139" t="s">
        <v>470</v>
      </c>
      <c r="B55" s="124" t="s">
        <v>498</v>
      </c>
      <c r="C55" s="120">
        <v>30</v>
      </c>
      <c r="D55" s="120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20" t="s">
        <v>474</v>
      </c>
      <c r="J55" s="128" t="s">
        <v>475</v>
      </c>
      <c r="K55" s="129" t="s">
        <v>476</v>
      </c>
      <c r="L55" s="128" t="s">
        <v>475</v>
      </c>
      <c r="M55" s="92"/>
    </row>
    <row r="56" spans="1:13" x14ac:dyDescent="0.25">
      <c r="A56" s="140"/>
      <c r="B56" s="125"/>
      <c r="C56" s="127"/>
      <c r="D56" s="127"/>
      <c r="E56" s="95" t="s">
        <v>480</v>
      </c>
      <c r="F56" s="95" t="s">
        <v>462</v>
      </c>
      <c r="G56" s="95" t="s">
        <v>462</v>
      </c>
      <c r="H56" s="95" t="s">
        <v>462</v>
      </c>
      <c r="I56" s="127"/>
      <c r="J56" s="127"/>
      <c r="K56" s="130"/>
      <c r="L56" s="127"/>
      <c r="M56" s="93"/>
    </row>
    <row r="57" spans="1:13" x14ac:dyDescent="0.25">
      <c r="A57" s="140"/>
      <c r="B57" s="125"/>
      <c r="C57" s="127"/>
      <c r="D57" s="127"/>
      <c r="E57" s="95" t="s">
        <v>464</v>
      </c>
      <c r="F57" s="95" t="s">
        <v>462</v>
      </c>
      <c r="G57" s="95" t="s">
        <v>462</v>
      </c>
      <c r="H57" s="95" t="s">
        <v>462</v>
      </c>
      <c r="I57" s="127"/>
      <c r="J57" s="127"/>
      <c r="K57" s="130"/>
      <c r="L57" s="127"/>
      <c r="M57" s="93"/>
    </row>
    <row r="58" spans="1:13" ht="17.25" thickBot="1" x14ac:dyDescent="0.3">
      <c r="A58" s="141"/>
      <c r="B58" s="126"/>
      <c r="C58" s="121"/>
      <c r="D58" s="121"/>
      <c r="E58" s="88" t="s">
        <v>465</v>
      </c>
      <c r="F58" s="88" t="s">
        <v>473</v>
      </c>
      <c r="G58" s="88" t="s">
        <v>473</v>
      </c>
      <c r="H58" s="88" t="s">
        <v>473</v>
      </c>
      <c r="I58" s="121"/>
      <c r="J58" s="121"/>
      <c r="K58" s="131"/>
      <c r="L58" s="121"/>
      <c r="M58" s="93"/>
    </row>
    <row r="59" spans="1:13" x14ac:dyDescent="0.25">
      <c r="A59" s="139" t="s">
        <v>470</v>
      </c>
      <c r="B59" s="124" t="s">
        <v>499</v>
      </c>
      <c r="C59" s="120">
        <v>30</v>
      </c>
      <c r="D59" s="120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20" t="s">
        <v>474</v>
      </c>
      <c r="J59" s="128" t="s">
        <v>475</v>
      </c>
      <c r="K59" s="129" t="s">
        <v>476</v>
      </c>
      <c r="L59" s="128" t="s">
        <v>475</v>
      </c>
      <c r="M59" s="92"/>
    </row>
    <row r="60" spans="1:13" x14ac:dyDescent="0.25">
      <c r="A60" s="140"/>
      <c r="B60" s="125"/>
      <c r="C60" s="127"/>
      <c r="D60" s="127"/>
      <c r="E60" s="95" t="s">
        <v>480</v>
      </c>
      <c r="F60" s="95" t="s">
        <v>462</v>
      </c>
      <c r="G60" s="95" t="s">
        <v>462</v>
      </c>
      <c r="H60" s="95" t="s">
        <v>462</v>
      </c>
      <c r="I60" s="127"/>
      <c r="J60" s="127"/>
      <c r="K60" s="130"/>
      <c r="L60" s="127"/>
      <c r="M60" s="93"/>
    </row>
    <row r="61" spans="1:13" x14ac:dyDescent="0.25">
      <c r="A61" s="140"/>
      <c r="B61" s="125"/>
      <c r="C61" s="127"/>
      <c r="D61" s="127"/>
      <c r="E61" s="95" t="s">
        <v>464</v>
      </c>
      <c r="F61" s="95" t="s">
        <v>462</v>
      </c>
      <c r="G61" s="95" t="s">
        <v>462</v>
      </c>
      <c r="H61" s="95" t="s">
        <v>462</v>
      </c>
      <c r="I61" s="127"/>
      <c r="J61" s="127"/>
      <c r="K61" s="130"/>
      <c r="L61" s="127"/>
      <c r="M61" s="93"/>
    </row>
    <row r="62" spans="1:13" ht="17.25" thickBot="1" x14ac:dyDescent="0.3">
      <c r="A62" s="141"/>
      <c r="B62" s="126"/>
      <c r="C62" s="121"/>
      <c r="D62" s="121"/>
      <c r="E62" s="88" t="s">
        <v>465</v>
      </c>
      <c r="F62" s="88" t="s">
        <v>473</v>
      </c>
      <c r="G62" s="88" t="s">
        <v>473</v>
      </c>
      <c r="H62" s="88" t="s">
        <v>473</v>
      </c>
      <c r="I62" s="121"/>
      <c r="J62" s="121"/>
      <c r="K62" s="131"/>
      <c r="L62" s="121"/>
      <c r="M62" s="93"/>
    </row>
    <row r="63" spans="1:13" x14ac:dyDescent="0.25">
      <c r="A63" s="139" t="s">
        <v>470</v>
      </c>
      <c r="B63" s="124" t="s">
        <v>500</v>
      </c>
      <c r="C63" s="120">
        <v>30</v>
      </c>
      <c r="D63" s="120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20" t="s">
        <v>474</v>
      </c>
      <c r="J63" s="128" t="s">
        <v>475</v>
      </c>
      <c r="K63" s="129" t="s">
        <v>476</v>
      </c>
      <c r="L63" s="128" t="s">
        <v>475</v>
      </c>
      <c r="M63" s="92"/>
    </row>
    <row r="64" spans="1:13" x14ac:dyDescent="0.25">
      <c r="A64" s="140"/>
      <c r="B64" s="125"/>
      <c r="C64" s="127"/>
      <c r="D64" s="127"/>
      <c r="E64" s="95" t="s">
        <v>480</v>
      </c>
      <c r="F64" s="95" t="s">
        <v>462</v>
      </c>
      <c r="G64" s="95" t="s">
        <v>462</v>
      </c>
      <c r="H64" s="95" t="s">
        <v>462</v>
      </c>
      <c r="I64" s="127"/>
      <c r="J64" s="127"/>
      <c r="K64" s="130"/>
      <c r="L64" s="127"/>
      <c r="M64" s="93"/>
    </row>
    <row r="65" spans="1:13" x14ac:dyDescent="0.25">
      <c r="A65" s="140"/>
      <c r="B65" s="125"/>
      <c r="C65" s="127"/>
      <c r="D65" s="127"/>
      <c r="E65" s="95" t="s">
        <v>464</v>
      </c>
      <c r="F65" s="95" t="s">
        <v>462</v>
      </c>
      <c r="G65" s="95" t="s">
        <v>462</v>
      </c>
      <c r="H65" s="95" t="s">
        <v>462</v>
      </c>
      <c r="I65" s="127"/>
      <c r="J65" s="127"/>
      <c r="K65" s="130"/>
      <c r="L65" s="127"/>
      <c r="M65" s="93"/>
    </row>
    <row r="66" spans="1:13" ht="17.25" thickBot="1" x14ac:dyDescent="0.3">
      <c r="A66" s="141"/>
      <c r="B66" s="126"/>
      <c r="C66" s="121"/>
      <c r="D66" s="121"/>
      <c r="E66" s="88" t="s">
        <v>465</v>
      </c>
      <c r="F66" s="88" t="s">
        <v>469</v>
      </c>
      <c r="G66" s="88" t="s">
        <v>468</v>
      </c>
      <c r="H66" s="88" t="s">
        <v>469</v>
      </c>
      <c r="I66" s="121"/>
      <c r="J66" s="121"/>
      <c r="K66" s="131"/>
      <c r="L66" s="121"/>
      <c r="M66" s="93"/>
    </row>
    <row r="67" spans="1:13" x14ac:dyDescent="0.25">
      <c r="A67" s="139" t="s">
        <v>470</v>
      </c>
      <c r="B67" s="124" t="s">
        <v>501</v>
      </c>
      <c r="C67" s="120">
        <v>30</v>
      </c>
      <c r="D67" s="120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20" t="s">
        <v>474</v>
      </c>
      <c r="J67" s="128" t="s">
        <v>475</v>
      </c>
      <c r="K67" s="129" t="s">
        <v>476</v>
      </c>
      <c r="L67" s="128" t="s">
        <v>475</v>
      </c>
      <c r="M67" s="92"/>
    </row>
    <row r="68" spans="1:13" x14ac:dyDescent="0.25">
      <c r="A68" s="140"/>
      <c r="B68" s="125"/>
      <c r="C68" s="127"/>
      <c r="D68" s="127"/>
      <c r="E68" s="95" t="s">
        <v>480</v>
      </c>
      <c r="F68" s="95" t="s">
        <v>462</v>
      </c>
      <c r="G68" s="95" t="s">
        <v>462</v>
      </c>
      <c r="H68" s="95" t="s">
        <v>462</v>
      </c>
      <c r="I68" s="127"/>
      <c r="J68" s="127"/>
      <c r="K68" s="130"/>
      <c r="L68" s="127"/>
      <c r="M68" s="93"/>
    </row>
    <row r="69" spans="1:13" x14ac:dyDescent="0.25">
      <c r="A69" s="140"/>
      <c r="B69" s="125"/>
      <c r="C69" s="127"/>
      <c r="D69" s="127"/>
      <c r="E69" s="95" t="s">
        <v>464</v>
      </c>
      <c r="F69" s="95" t="s">
        <v>462</v>
      </c>
      <c r="G69" s="95" t="s">
        <v>462</v>
      </c>
      <c r="H69" s="95" t="s">
        <v>462</v>
      </c>
      <c r="I69" s="127"/>
      <c r="J69" s="127"/>
      <c r="K69" s="130"/>
      <c r="L69" s="127"/>
      <c r="M69" s="93"/>
    </row>
    <row r="70" spans="1:13" ht="17.25" thickBot="1" x14ac:dyDescent="0.3">
      <c r="A70" s="141"/>
      <c r="B70" s="126"/>
      <c r="C70" s="121"/>
      <c r="D70" s="121"/>
      <c r="E70" s="88" t="s">
        <v>465</v>
      </c>
      <c r="F70" s="88" t="s">
        <v>473</v>
      </c>
      <c r="G70" s="88" t="s">
        <v>473</v>
      </c>
      <c r="H70" s="88" t="s">
        <v>473</v>
      </c>
      <c r="I70" s="121"/>
      <c r="J70" s="121"/>
      <c r="K70" s="131"/>
      <c r="L70" s="121"/>
      <c r="M70" s="93"/>
    </row>
    <row r="71" spans="1:13" x14ac:dyDescent="0.25">
      <c r="A71" s="139" t="s">
        <v>470</v>
      </c>
      <c r="B71" s="124" t="s">
        <v>502</v>
      </c>
      <c r="C71" s="120">
        <v>30</v>
      </c>
      <c r="D71" s="120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20" t="s">
        <v>474</v>
      </c>
      <c r="J71" s="128" t="s">
        <v>475</v>
      </c>
      <c r="K71" s="129" t="s">
        <v>476</v>
      </c>
      <c r="L71" s="128" t="s">
        <v>475</v>
      </c>
      <c r="M71" s="92"/>
    </row>
    <row r="72" spans="1:13" x14ac:dyDescent="0.25">
      <c r="A72" s="140"/>
      <c r="B72" s="125"/>
      <c r="C72" s="127"/>
      <c r="D72" s="127"/>
      <c r="E72" s="95" t="s">
        <v>480</v>
      </c>
      <c r="F72" s="95" t="s">
        <v>462</v>
      </c>
      <c r="G72" s="95" t="s">
        <v>462</v>
      </c>
      <c r="H72" s="95" t="s">
        <v>462</v>
      </c>
      <c r="I72" s="127"/>
      <c r="J72" s="127"/>
      <c r="K72" s="130"/>
      <c r="L72" s="127"/>
      <c r="M72" s="93"/>
    </row>
    <row r="73" spans="1:13" x14ac:dyDescent="0.25">
      <c r="A73" s="140"/>
      <c r="B73" s="125"/>
      <c r="C73" s="127"/>
      <c r="D73" s="127"/>
      <c r="E73" s="95" t="s">
        <v>464</v>
      </c>
      <c r="F73" s="95" t="s">
        <v>462</v>
      </c>
      <c r="G73" s="95" t="s">
        <v>462</v>
      </c>
      <c r="H73" s="95" t="s">
        <v>462</v>
      </c>
      <c r="I73" s="127"/>
      <c r="J73" s="127"/>
      <c r="K73" s="130"/>
      <c r="L73" s="127"/>
      <c r="M73" s="93"/>
    </row>
    <row r="74" spans="1:13" ht="17.25" thickBot="1" x14ac:dyDescent="0.3">
      <c r="A74" s="141"/>
      <c r="B74" s="126"/>
      <c r="C74" s="121"/>
      <c r="D74" s="121"/>
      <c r="E74" s="88" t="s">
        <v>465</v>
      </c>
      <c r="F74" s="88" t="s">
        <v>473</v>
      </c>
      <c r="G74" s="88" t="s">
        <v>473</v>
      </c>
      <c r="H74" s="88" t="s">
        <v>473</v>
      </c>
      <c r="I74" s="121"/>
      <c r="J74" s="121"/>
      <c r="K74" s="131"/>
      <c r="L74" s="121"/>
      <c r="M74" s="93"/>
    </row>
    <row r="75" spans="1:13" x14ac:dyDescent="0.25">
      <c r="A75" s="139" t="s">
        <v>470</v>
      </c>
      <c r="B75" s="124" t="s">
        <v>503</v>
      </c>
      <c r="C75" s="120">
        <v>30</v>
      </c>
      <c r="D75" s="120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20" t="s">
        <v>462</v>
      </c>
      <c r="J75" s="128" t="s">
        <v>475</v>
      </c>
      <c r="K75" s="129" t="s">
        <v>476</v>
      </c>
      <c r="L75" s="128" t="s">
        <v>475</v>
      </c>
      <c r="M75" s="92"/>
    </row>
    <row r="76" spans="1:13" x14ac:dyDescent="0.25">
      <c r="A76" s="140"/>
      <c r="B76" s="125"/>
      <c r="C76" s="127"/>
      <c r="D76" s="127"/>
      <c r="E76" s="95" t="s">
        <v>480</v>
      </c>
      <c r="F76" s="95" t="s">
        <v>462</v>
      </c>
      <c r="G76" s="95" t="s">
        <v>462</v>
      </c>
      <c r="H76" s="95" t="s">
        <v>462</v>
      </c>
      <c r="I76" s="127"/>
      <c r="J76" s="127"/>
      <c r="K76" s="130"/>
      <c r="L76" s="127"/>
      <c r="M76" s="93"/>
    </row>
    <row r="77" spans="1:13" x14ac:dyDescent="0.25">
      <c r="A77" s="140"/>
      <c r="B77" s="125"/>
      <c r="C77" s="127"/>
      <c r="D77" s="127"/>
      <c r="E77" s="95" t="s">
        <v>464</v>
      </c>
      <c r="F77" s="95" t="s">
        <v>462</v>
      </c>
      <c r="G77" s="95" t="s">
        <v>462</v>
      </c>
      <c r="H77" s="95" t="s">
        <v>462</v>
      </c>
      <c r="I77" s="127"/>
      <c r="J77" s="127"/>
      <c r="K77" s="130"/>
      <c r="L77" s="127"/>
      <c r="M77" s="93"/>
    </row>
    <row r="78" spans="1:13" ht="17.25" thickBot="1" x14ac:dyDescent="0.3">
      <c r="A78" s="141"/>
      <c r="B78" s="126"/>
      <c r="C78" s="121"/>
      <c r="D78" s="121"/>
      <c r="E78" s="88" t="s">
        <v>465</v>
      </c>
      <c r="F78" s="88" t="s">
        <v>473</v>
      </c>
      <c r="G78" s="88" t="s">
        <v>469</v>
      </c>
      <c r="H78" s="88" t="s">
        <v>473</v>
      </c>
      <c r="I78" s="121"/>
      <c r="J78" s="121"/>
      <c r="K78" s="131"/>
      <c r="L78" s="121"/>
      <c r="M78" s="93"/>
    </row>
    <row r="79" spans="1:13" x14ac:dyDescent="0.25">
      <c r="A79" s="139" t="s">
        <v>470</v>
      </c>
      <c r="B79" s="124" t="s">
        <v>504</v>
      </c>
      <c r="C79" s="120">
        <v>30</v>
      </c>
      <c r="D79" s="120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20" t="s">
        <v>462</v>
      </c>
      <c r="J79" s="128" t="s">
        <v>475</v>
      </c>
      <c r="K79" s="129" t="s">
        <v>476</v>
      </c>
      <c r="L79" s="128" t="s">
        <v>475</v>
      </c>
      <c r="M79" s="92"/>
    </row>
    <row r="80" spans="1:13" x14ac:dyDescent="0.25">
      <c r="A80" s="140"/>
      <c r="B80" s="125"/>
      <c r="C80" s="127"/>
      <c r="D80" s="127"/>
      <c r="E80" s="95" t="s">
        <v>480</v>
      </c>
      <c r="F80" s="95" t="s">
        <v>462</v>
      </c>
      <c r="G80" s="95" t="s">
        <v>462</v>
      </c>
      <c r="H80" s="95" t="s">
        <v>462</v>
      </c>
      <c r="I80" s="127"/>
      <c r="J80" s="127"/>
      <c r="K80" s="130"/>
      <c r="L80" s="127"/>
      <c r="M80" s="93"/>
    </row>
    <row r="81" spans="1:13" x14ac:dyDescent="0.25">
      <c r="A81" s="140"/>
      <c r="B81" s="125"/>
      <c r="C81" s="127"/>
      <c r="D81" s="127"/>
      <c r="E81" s="95" t="s">
        <v>464</v>
      </c>
      <c r="F81" s="95" t="s">
        <v>462</v>
      </c>
      <c r="G81" s="95" t="s">
        <v>462</v>
      </c>
      <c r="H81" s="95" t="s">
        <v>462</v>
      </c>
      <c r="I81" s="127"/>
      <c r="J81" s="127"/>
      <c r="K81" s="130"/>
      <c r="L81" s="127"/>
      <c r="M81" s="93"/>
    </row>
    <row r="82" spans="1:13" ht="17.25" thickBot="1" x14ac:dyDescent="0.3">
      <c r="A82" s="141"/>
      <c r="B82" s="126"/>
      <c r="C82" s="121"/>
      <c r="D82" s="121"/>
      <c r="E82" s="88" t="s">
        <v>465</v>
      </c>
      <c r="F82" s="88" t="s">
        <v>473</v>
      </c>
      <c r="G82" s="88" t="s">
        <v>469</v>
      </c>
      <c r="H82" s="88" t="s">
        <v>473</v>
      </c>
      <c r="I82" s="121"/>
      <c r="J82" s="121"/>
      <c r="K82" s="131"/>
      <c r="L82" s="121"/>
      <c r="M82" s="93"/>
    </row>
    <row r="83" spans="1:13" x14ac:dyDescent="0.25">
      <c r="A83" s="139" t="s">
        <v>470</v>
      </c>
      <c r="B83" s="124" t="s">
        <v>505</v>
      </c>
      <c r="C83" s="120">
        <v>30</v>
      </c>
      <c r="D83" s="120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20" t="s">
        <v>462</v>
      </c>
      <c r="J83" s="128" t="s">
        <v>475</v>
      </c>
      <c r="K83" s="129" t="s">
        <v>476</v>
      </c>
      <c r="L83" s="128" t="s">
        <v>475</v>
      </c>
      <c r="M83" s="92"/>
    </row>
    <row r="84" spans="1:13" x14ac:dyDescent="0.25">
      <c r="A84" s="140"/>
      <c r="B84" s="125"/>
      <c r="C84" s="127"/>
      <c r="D84" s="127"/>
      <c r="E84" s="95" t="s">
        <v>480</v>
      </c>
      <c r="F84" s="95" t="s">
        <v>462</v>
      </c>
      <c r="G84" s="95" t="s">
        <v>462</v>
      </c>
      <c r="H84" s="95" t="s">
        <v>462</v>
      </c>
      <c r="I84" s="127"/>
      <c r="J84" s="127"/>
      <c r="K84" s="130"/>
      <c r="L84" s="127"/>
      <c r="M84" s="93"/>
    </row>
    <row r="85" spans="1:13" x14ac:dyDescent="0.25">
      <c r="A85" s="140"/>
      <c r="B85" s="125"/>
      <c r="C85" s="127"/>
      <c r="D85" s="127"/>
      <c r="E85" s="95" t="s">
        <v>464</v>
      </c>
      <c r="F85" s="95" t="s">
        <v>462</v>
      </c>
      <c r="G85" s="95" t="s">
        <v>462</v>
      </c>
      <c r="H85" s="95" t="s">
        <v>462</v>
      </c>
      <c r="I85" s="127"/>
      <c r="J85" s="127"/>
      <c r="K85" s="130"/>
      <c r="L85" s="127"/>
      <c r="M85" s="93"/>
    </row>
    <row r="86" spans="1:13" ht="17.25" thickBot="1" x14ac:dyDescent="0.3">
      <c r="A86" s="141"/>
      <c r="B86" s="126"/>
      <c r="C86" s="121"/>
      <c r="D86" s="121"/>
      <c r="E86" s="88" t="s">
        <v>465</v>
      </c>
      <c r="F86" s="88" t="s">
        <v>473</v>
      </c>
      <c r="G86" s="88" t="s">
        <v>469</v>
      </c>
      <c r="H86" s="88" t="s">
        <v>473</v>
      </c>
      <c r="I86" s="121"/>
      <c r="J86" s="121"/>
      <c r="K86" s="131"/>
      <c r="L86" s="121"/>
      <c r="M86" s="93"/>
    </row>
    <row r="87" spans="1:13" x14ac:dyDescent="0.25">
      <c r="A87" s="139" t="s">
        <v>470</v>
      </c>
      <c r="B87" s="124" t="s">
        <v>506</v>
      </c>
      <c r="C87" s="120">
        <v>30</v>
      </c>
      <c r="D87" s="120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20" t="s">
        <v>462</v>
      </c>
      <c r="J87" s="128" t="s">
        <v>475</v>
      </c>
      <c r="K87" s="129" t="s">
        <v>476</v>
      </c>
      <c r="L87" s="128" t="s">
        <v>475</v>
      </c>
      <c r="M87" s="92"/>
    </row>
    <row r="88" spans="1:13" x14ac:dyDescent="0.25">
      <c r="A88" s="140"/>
      <c r="B88" s="125"/>
      <c r="C88" s="127"/>
      <c r="D88" s="127"/>
      <c r="E88" s="95" t="s">
        <v>480</v>
      </c>
      <c r="F88" s="95" t="s">
        <v>462</v>
      </c>
      <c r="G88" s="95" t="s">
        <v>462</v>
      </c>
      <c r="H88" s="95" t="s">
        <v>462</v>
      </c>
      <c r="I88" s="127"/>
      <c r="J88" s="127"/>
      <c r="K88" s="130"/>
      <c r="L88" s="127"/>
      <c r="M88" s="93"/>
    </row>
    <row r="89" spans="1:13" x14ac:dyDescent="0.25">
      <c r="A89" s="140"/>
      <c r="B89" s="125"/>
      <c r="C89" s="127"/>
      <c r="D89" s="127"/>
      <c r="E89" s="95" t="s">
        <v>464</v>
      </c>
      <c r="F89" s="95" t="s">
        <v>462</v>
      </c>
      <c r="G89" s="95" t="s">
        <v>462</v>
      </c>
      <c r="H89" s="95" t="s">
        <v>462</v>
      </c>
      <c r="I89" s="127"/>
      <c r="J89" s="127"/>
      <c r="K89" s="130"/>
      <c r="L89" s="127"/>
      <c r="M89" s="93"/>
    </row>
    <row r="90" spans="1:13" ht="17.25" thickBot="1" x14ac:dyDescent="0.3">
      <c r="A90" s="141"/>
      <c r="B90" s="126"/>
      <c r="C90" s="121"/>
      <c r="D90" s="121"/>
      <c r="E90" s="88" t="s">
        <v>465</v>
      </c>
      <c r="F90" s="88" t="s">
        <v>473</v>
      </c>
      <c r="G90" s="88" t="s">
        <v>469</v>
      </c>
      <c r="H90" s="88" t="s">
        <v>473</v>
      </c>
      <c r="I90" s="121"/>
      <c r="J90" s="121"/>
      <c r="K90" s="131"/>
      <c r="L90" s="121"/>
      <c r="M90" s="93"/>
    </row>
    <row r="91" spans="1:13" x14ac:dyDescent="0.25">
      <c r="A91" s="139" t="s">
        <v>470</v>
      </c>
      <c r="B91" s="124" t="s">
        <v>507</v>
      </c>
      <c r="C91" s="120">
        <v>30</v>
      </c>
      <c r="D91" s="120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20" t="s">
        <v>462</v>
      </c>
      <c r="J91" s="128" t="s">
        <v>475</v>
      </c>
      <c r="K91" s="129" t="s">
        <v>476</v>
      </c>
      <c r="L91" s="128" t="s">
        <v>475</v>
      </c>
      <c r="M91" s="92"/>
    </row>
    <row r="92" spans="1:13" x14ac:dyDescent="0.25">
      <c r="A92" s="140"/>
      <c r="B92" s="125"/>
      <c r="C92" s="127"/>
      <c r="D92" s="127"/>
      <c r="E92" s="95" t="s">
        <v>480</v>
      </c>
      <c r="F92" s="95" t="s">
        <v>462</v>
      </c>
      <c r="G92" s="95" t="s">
        <v>462</v>
      </c>
      <c r="H92" s="95" t="s">
        <v>462</v>
      </c>
      <c r="I92" s="127"/>
      <c r="J92" s="127"/>
      <c r="K92" s="130"/>
      <c r="L92" s="127"/>
      <c r="M92" s="93"/>
    </row>
    <row r="93" spans="1:13" x14ac:dyDescent="0.25">
      <c r="A93" s="140"/>
      <c r="B93" s="125"/>
      <c r="C93" s="127"/>
      <c r="D93" s="127"/>
      <c r="E93" s="95" t="s">
        <v>464</v>
      </c>
      <c r="F93" s="95" t="s">
        <v>462</v>
      </c>
      <c r="G93" s="95" t="s">
        <v>462</v>
      </c>
      <c r="H93" s="95" t="s">
        <v>462</v>
      </c>
      <c r="I93" s="127"/>
      <c r="J93" s="127"/>
      <c r="K93" s="130"/>
      <c r="L93" s="127"/>
      <c r="M93" s="93"/>
    </row>
    <row r="94" spans="1:13" ht="17.25" thickBot="1" x14ac:dyDescent="0.3">
      <c r="A94" s="141"/>
      <c r="B94" s="126"/>
      <c r="C94" s="121"/>
      <c r="D94" s="121"/>
      <c r="E94" s="88" t="s">
        <v>465</v>
      </c>
      <c r="F94" s="88" t="s">
        <v>473</v>
      </c>
      <c r="G94" s="88" t="s">
        <v>469</v>
      </c>
      <c r="H94" s="88" t="s">
        <v>473</v>
      </c>
      <c r="I94" s="121"/>
      <c r="J94" s="121"/>
      <c r="K94" s="131"/>
      <c r="L94" s="121"/>
      <c r="M94" s="93"/>
    </row>
    <row r="95" spans="1:13" x14ac:dyDescent="0.25">
      <c r="A95" s="139" t="s">
        <v>470</v>
      </c>
      <c r="B95" s="124" t="s">
        <v>508</v>
      </c>
      <c r="C95" s="120">
        <v>30</v>
      </c>
      <c r="D95" s="120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20" t="s">
        <v>462</v>
      </c>
      <c r="J95" s="128" t="s">
        <v>475</v>
      </c>
      <c r="K95" s="129" t="s">
        <v>476</v>
      </c>
      <c r="L95" s="128" t="s">
        <v>475</v>
      </c>
      <c r="M95" s="92"/>
    </row>
    <row r="96" spans="1:13" x14ac:dyDescent="0.25">
      <c r="A96" s="140"/>
      <c r="B96" s="125"/>
      <c r="C96" s="127"/>
      <c r="D96" s="127"/>
      <c r="E96" s="95" t="s">
        <v>480</v>
      </c>
      <c r="F96" s="95" t="s">
        <v>462</v>
      </c>
      <c r="G96" s="95" t="s">
        <v>462</v>
      </c>
      <c r="H96" s="95" t="s">
        <v>462</v>
      </c>
      <c r="I96" s="127"/>
      <c r="J96" s="127"/>
      <c r="K96" s="130"/>
      <c r="L96" s="127"/>
      <c r="M96" s="93"/>
    </row>
    <row r="97" spans="1:13" x14ac:dyDescent="0.25">
      <c r="A97" s="140"/>
      <c r="B97" s="125"/>
      <c r="C97" s="127"/>
      <c r="D97" s="127"/>
      <c r="E97" s="95" t="s">
        <v>464</v>
      </c>
      <c r="F97" s="95" t="s">
        <v>462</v>
      </c>
      <c r="G97" s="95" t="s">
        <v>462</v>
      </c>
      <c r="H97" s="95" t="s">
        <v>462</v>
      </c>
      <c r="I97" s="127"/>
      <c r="J97" s="127"/>
      <c r="K97" s="130"/>
      <c r="L97" s="127"/>
      <c r="M97" s="93"/>
    </row>
    <row r="98" spans="1:13" ht="17.25" thickBot="1" x14ac:dyDescent="0.3">
      <c r="A98" s="141"/>
      <c r="B98" s="126"/>
      <c r="C98" s="121"/>
      <c r="D98" s="121"/>
      <c r="E98" s="88" t="s">
        <v>465</v>
      </c>
      <c r="F98" s="88" t="s">
        <v>473</v>
      </c>
      <c r="G98" s="88" t="s">
        <v>469</v>
      </c>
      <c r="H98" s="88" t="s">
        <v>473</v>
      </c>
      <c r="I98" s="121"/>
      <c r="J98" s="121"/>
      <c r="K98" s="131"/>
      <c r="L98" s="121"/>
      <c r="M98" s="93"/>
    </row>
    <row r="99" spans="1:13" x14ac:dyDescent="0.25">
      <c r="A99" s="139" t="s">
        <v>470</v>
      </c>
      <c r="B99" s="124" t="s">
        <v>509</v>
      </c>
      <c r="C99" s="120">
        <v>30</v>
      </c>
      <c r="D99" s="120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20" t="s">
        <v>474</v>
      </c>
      <c r="J99" s="128" t="s">
        <v>475</v>
      </c>
      <c r="K99" s="129" t="s">
        <v>476</v>
      </c>
      <c r="L99" s="128" t="s">
        <v>475</v>
      </c>
      <c r="M99" s="92"/>
    </row>
    <row r="100" spans="1:13" x14ac:dyDescent="0.25">
      <c r="A100" s="140"/>
      <c r="B100" s="125"/>
      <c r="C100" s="127"/>
      <c r="D100" s="127"/>
      <c r="E100" s="95" t="s">
        <v>480</v>
      </c>
      <c r="F100" s="95" t="s">
        <v>462</v>
      </c>
      <c r="G100" s="95" t="s">
        <v>462</v>
      </c>
      <c r="H100" s="95" t="s">
        <v>462</v>
      </c>
      <c r="I100" s="127"/>
      <c r="J100" s="127"/>
      <c r="K100" s="130"/>
      <c r="L100" s="127"/>
      <c r="M100" s="93"/>
    </row>
    <row r="101" spans="1:13" x14ac:dyDescent="0.25">
      <c r="A101" s="140"/>
      <c r="B101" s="125"/>
      <c r="C101" s="127"/>
      <c r="D101" s="127"/>
      <c r="E101" s="95" t="s">
        <v>464</v>
      </c>
      <c r="F101" s="95" t="s">
        <v>462</v>
      </c>
      <c r="G101" s="95" t="s">
        <v>462</v>
      </c>
      <c r="H101" s="95" t="s">
        <v>462</v>
      </c>
      <c r="I101" s="127"/>
      <c r="J101" s="127"/>
      <c r="K101" s="130"/>
      <c r="L101" s="127"/>
      <c r="M101" s="93"/>
    </row>
    <row r="102" spans="1:13" ht="17.25" thickBot="1" x14ac:dyDescent="0.3">
      <c r="A102" s="141"/>
      <c r="B102" s="126"/>
      <c r="C102" s="121"/>
      <c r="D102" s="121"/>
      <c r="E102" s="88" t="s">
        <v>465</v>
      </c>
      <c r="F102" s="88" t="s">
        <v>473</v>
      </c>
      <c r="G102" s="88" t="s">
        <v>473</v>
      </c>
      <c r="H102" s="88" t="s">
        <v>473</v>
      </c>
      <c r="I102" s="121"/>
      <c r="J102" s="121"/>
      <c r="K102" s="131"/>
      <c r="L102" s="121"/>
      <c r="M102" s="93"/>
    </row>
    <row r="103" spans="1:13" x14ac:dyDescent="0.25">
      <c r="A103" s="139" t="s">
        <v>470</v>
      </c>
      <c r="B103" s="124" t="s">
        <v>510</v>
      </c>
      <c r="C103" s="120">
        <v>30</v>
      </c>
      <c r="D103" s="120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20" t="s">
        <v>474</v>
      </c>
      <c r="J103" s="128" t="s">
        <v>475</v>
      </c>
      <c r="K103" s="129" t="s">
        <v>476</v>
      </c>
      <c r="L103" s="128" t="s">
        <v>475</v>
      </c>
      <c r="M103" s="92"/>
    </row>
    <row r="104" spans="1:13" x14ac:dyDescent="0.25">
      <c r="A104" s="140"/>
      <c r="B104" s="125"/>
      <c r="C104" s="127"/>
      <c r="D104" s="127"/>
      <c r="E104" s="95" t="s">
        <v>480</v>
      </c>
      <c r="F104" s="95" t="s">
        <v>462</v>
      </c>
      <c r="G104" s="95" t="s">
        <v>462</v>
      </c>
      <c r="H104" s="95" t="s">
        <v>462</v>
      </c>
      <c r="I104" s="127"/>
      <c r="J104" s="127"/>
      <c r="K104" s="130"/>
      <c r="L104" s="127"/>
      <c r="M104" s="93"/>
    </row>
    <row r="105" spans="1:13" x14ac:dyDescent="0.25">
      <c r="A105" s="140"/>
      <c r="B105" s="125"/>
      <c r="C105" s="127"/>
      <c r="D105" s="127"/>
      <c r="E105" s="95" t="s">
        <v>464</v>
      </c>
      <c r="F105" s="95" t="s">
        <v>462</v>
      </c>
      <c r="G105" s="95" t="s">
        <v>462</v>
      </c>
      <c r="H105" s="95" t="s">
        <v>462</v>
      </c>
      <c r="I105" s="127"/>
      <c r="J105" s="127"/>
      <c r="K105" s="130"/>
      <c r="L105" s="127"/>
      <c r="M105" s="93"/>
    </row>
    <row r="106" spans="1:13" ht="17.25" thickBot="1" x14ac:dyDescent="0.3">
      <c r="A106" s="141"/>
      <c r="B106" s="126"/>
      <c r="C106" s="121"/>
      <c r="D106" s="121"/>
      <c r="E106" s="88" t="s">
        <v>465</v>
      </c>
      <c r="F106" s="88" t="s">
        <v>473</v>
      </c>
      <c r="G106" s="88" t="s">
        <v>473</v>
      </c>
      <c r="H106" s="88" t="s">
        <v>473</v>
      </c>
      <c r="I106" s="121"/>
      <c r="J106" s="121"/>
      <c r="K106" s="131"/>
      <c r="L106" s="121"/>
      <c r="M106" s="93"/>
    </row>
  </sheetData>
  <mergeCells count="228"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J7:J10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94" sqref="I94"/>
    </sheetView>
  </sheetViews>
  <sheetFormatPr defaultRowHeight="16.5" x14ac:dyDescent="0.25"/>
  <sheetData>
    <row r="1" spans="1:15" x14ac:dyDescent="0.25">
      <c r="A1" t="s">
        <v>696</v>
      </c>
      <c r="B1" t="s">
        <v>697</v>
      </c>
      <c r="C1" t="s">
        <v>728</v>
      </c>
      <c r="D1" t="s">
        <v>698</v>
      </c>
      <c r="E1" t="s">
        <v>699</v>
      </c>
      <c r="F1" t="s">
        <v>699</v>
      </c>
      <c r="I1" t="s">
        <v>700</v>
      </c>
      <c r="J1" t="s">
        <v>701</v>
      </c>
      <c r="M1" t="s">
        <v>729</v>
      </c>
      <c r="N1" t="s">
        <v>702</v>
      </c>
      <c r="O1" t="s">
        <v>703</v>
      </c>
    </row>
    <row r="2" spans="1:15" x14ac:dyDescent="0.25">
      <c r="F2" t="s">
        <v>704</v>
      </c>
      <c r="G2" t="s">
        <v>705</v>
      </c>
      <c r="H2" t="s">
        <v>706</v>
      </c>
      <c r="J2" t="s">
        <v>704</v>
      </c>
      <c r="K2" t="s">
        <v>705</v>
      </c>
      <c r="L2" t="s">
        <v>706</v>
      </c>
    </row>
    <row r="3" spans="1:15" x14ac:dyDescent="0.25">
      <c r="A3" t="s">
        <v>707</v>
      </c>
      <c r="B3" t="s">
        <v>708</v>
      </c>
      <c r="C3">
        <v>30</v>
      </c>
      <c r="D3">
        <v>60</v>
      </c>
      <c r="E3" t="s">
        <v>709</v>
      </c>
      <c r="F3" t="s">
        <v>710</v>
      </c>
      <c r="G3" t="s">
        <v>711</v>
      </c>
      <c r="H3" t="s">
        <v>712</v>
      </c>
      <c r="I3" t="s">
        <v>713</v>
      </c>
      <c r="J3" t="s">
        <v>714</v>
      </c>
      <c r="K3" t="s">
        <v>715</v>
      </c>
      <c r="L3" t="s">
        <v>714</v>
      </c>
      <c r="O3" t="s">
        <v>716</v>
      </c>
    </row>
    <row r="4" spans="1:15" x14ac:dyDescent="0.25">
      <c r="E4" t="s">
        <v>717</v>
      </c>
      <c r="F4" t="s">
        <v>735</v>
      </c>
      <c r="G4" t="s">
        <v>718</v>
      </c>
      <c r="H4" t="s">
        <v>718</v>
      </c>
    </row>
    <row r="5" spans="1:15" x14ac:dyDescent="0.25">
      <c r="E5" t="s">
        <v>719</v>
      </c>
      <c r="F5" t="s">
        <v>718</v>
      </c>
      <c r="G5" t="s">
        <v>718</v>
      </c>
      <c r="H5" t="s">
        <v>718</v>
      </c>
    </row>
    <row r="6" spans="1:15" x14ac:dyDescent="0.25">
      <c r="E6" t="s">
        <v>725</v>
      </c>
      <c r="F6" t="s">
        <v>710</v>
      </c>
      <c r="G6" t="s">
        <v>712</v>
      </c>
      <c r="H6" t="s">
        <v>710</v>
      </c>
    </row>
    <row r="7" spans="1:15" x14ac:dyDescent="0.25">
      <c r="A7" t="s">
        <v>707</v>
      </c>
      <c r="B7" t="s">
        <v>730</v>
      </c>
      <c r="C7">
        <v>30</v>
      </c>
      <c r="D7">
        <v>60</v>
      </c>
      <c r="E7" t="s">
        <v>709</v>
      </c>
      <c r="F7" t="s">
        <v>667</v>
      </c>
      <c r="G7" t="s">
        <v>711</v>
      </c>
      <c r="H7" t="s">
        <v>710</v>
      </c>
      <c r="I7" t="s">
        <v>713</v>
      </c>
      <c r="J7" t="s">
        <v>714</v>
      </c>
      <c r="K7" t="s">
        <v>736</v>
      </c>
      <c r="L7" t="s">
        <v>731</v>
      </c>
      <c r="O7" t="s">
        <v>720</v>
      </c>
    </row>
    <row r="8" spans="1:15" x14ac:dyDescent="0.25">
      <c r="E8" t="s">
        <v>670</v>
      </c>
      <c r="F8" t="s">
        <v>660</v>
      </c>
      <c r="G8" t="s">
        <v>735</v>
      </c>
      <c r="H8" t="s">
        <v>718</v>
      </c>
    </row>
    <row r="9" spans="1:15" x14ac:dyDescent="0.25">
      <c r="E9" t="s">
        <v>719</v>
      </c>
      <c r="F9" t="s">
        <v>718</v>
      </c>
      <c r="G9" t="s">
        <v>718</v>
      </c>
      <c r="H9" t="s">
        <v>718</v>
      </c>
    </row>
    <row r="10" spans="1:15" x14ac:dyDescent="0.25">
      <c r="E10" t="s">
        <v>725</v>
      </c>
      <c r="F10" t="s">
        <v>721</v>
      </c>
      <c r="G10" t="s">
        <v>721</v>
      </c>
      <c r="H10" t="s">
        <v>711</v>
      </c>
    </row>
    <row r="11" spans="1:15" x14ac:dyDescent="0.25">
      <c r="A11" t="s">
        <v>707</v>
      </c>
      <c r="B11" t="s">
        <v>732</v>
      </c>
      <c r="C11">
        <v>30</v>
      </c>
      <c r="D11">
        <v>60</v>
      </c>
      <c r="E11" t="s">
        <v>709</v>
      </c>
      <c r="F11" t="s">
        <v>664</v>
      </c>
      <c r="G11" t="s">
        <v>711</v>
      </c>
      <c r="H11" t="s">
        <v>737</v>
      </c>
      <c r="I11" t="s">
        <v>713</v>
      </c>
      <c r="J11" t="s">
        <v>714</v>
      </c>
      <c r="K11" t="s">
        <v>715</v>
      </c>
      <c r="L11" t="s">
        <v>662</v>
      </c>
    </row>
    <row r="12" spans="1:15" x14ac:dyDescent="0.25">
      <c r="E12" t="s">
        <v>717</v>
      </c>
      <c r="F12" t="s">
        <v>718</v>
      </c>
      <c r="G12" t="s">
        <v>718</v>
      </c>
      <c r="H12" t="s">
        <v>718</v>
      </c>
    </row>
    <row r="13" spans="1:15" x14ac:dyDescent="0.25">
      <c r="E13" t="s">
        <v>719</v>
      </c>
      <c r="F13" t="s">
        <v>718</v>
      </c>
      <c r="G13" t="s">
        <v>660</v>
      </c>
      <c r="H13" t="s">
        <v>718</v>
      </c>
    </row>
    <row r="14" spans="1:15" x14ac:dyDescent="0.25">
      <c r="E14" t="s">
        <v>663</v>
      </c>
      <c r="F14" t="s">
        <v>711</v>
      </c>
      <c r="G14" t="s">
        <v>711</v>
      </c>
      <c r="H14" t="s">
        <v>711</v>
      </c>
    </row>
    <row r="15" spans="1:15" x14ac:dyDescent="0.25">
      <c r="A15" t="s">
        <v>707</v>
      </c>
      <c r="B15" t="s">
        <v>691</v>
      </c>
      <c r="C15">
        <v>30</v>
      </c>
      <c r="D15">
        <v>60</v>
      </c>
      <c r="E15" t="s">
        <v>709</v>
      </c>
      <c r="F15" t="s">
        <v>664</v>
      </c>
      <c r="G15" t="s">
        <v>711</v>
      </c>
      <c r="H15" t="s">
        <v>712</v>
      </c>
      <c r="I15" t="s">
        <v>713</v>
      </c>
      <c r="J15" t="s">
        <v>662</v>
      </c>
      <c r="K15" t="s">
        <v>715</v>
      </c>
      <c r="L15" t="s">
        <v>714</v>
      </c>
    </row>
    <row r="16" spans="1:15" x14ac:dyDescent="0.25">
      <c r="E16" t="s">
        <v>717</v>
      </c>
      <c r="F16" t="s">
        <v>718</v>
      </c>
      <c r="G16" t="s">
        <v>718</v>
      </c>
      <c r="H16" t="s">
        <v>718</v>
      </c>
    </row>
    <row r="17" spans="1:12" x14ac:dyDescent="0.25">
      <c r="E17" t="s">
        <v>668</v>
      </c>
      <c r="F17" t="s">
        <v>660</v>
      </c>
      <c r="G17" t="s">
        <v>660</v>
      </c>
      <c r="H17" t="s">
        <v>718</v>
      </c>
    </row>
    <row r="18" spans="1:12" x14ac:dyDescent="0.25">
      <c r="E18" t="s">
        <v>663</v>
      </c>
      <c r="F18" t="s">
        <v>666</v>
      </c>
      <c r="G18" t="s">
        <v>738</v>
      </c>
      <c r="H18" t="s">
        <v>666</v>
      </c>
    </row>
    <row r="19" spans="1:12" x14ac:dyDescent="0.25">
      <c r="A19" t="s">
        <v>707</v>
      </c>
      <c r="B19" t="s">
        <v>739</v>
      </c>
      <c r="C19">
        <v>30</v>
      </c>
      <c r="D19">
        <v>60</v>
      </c>
      <c r="E19" t="s">
        <v>709</v>
      </c>
      <c r="F19" t="s">
        <v>712</v>
      </c>
      <c r="G19" t="s">
        <v>666</v>
      </c>
      <c r="H19" t="s">
        <v>710</v>
      </c>
      <c r="I19" t="s">
        <v>713</v>
      </c>
      <c r="J19" t="s">
        <v>714</v>
      </c>
      <c r="K19" t="s">
        <v>715</v>
      </c>
      <c r="L19" t="s">
        <v>714</v>
      </c>
    </row>
    <row r="20" spans="1:12" x14ac:dyDescent="0.25">
      <c r="E20" t="s">
        <v>670</v>
      </c>
      <c r="F20" t="s">
        <v>660</v>
      </c>
      <c r="G20" t="s">
        <v>718</v>
      </c>
      <c r="H20" t="s">
        <v>660</v>
      </c>
    </row>
    <row r="21" spans="1:12" x14ac:dyDescent="0.25">
      <c r="E21" t="s">
        <v>719</v>
      </c>
      <c r="F21" t="s">
        <v>718</v>
      </c>
      <c r="G21" t="s">
        <v>718</v>
      </c>
      <c r="H21" t="s">
        <v>718</v>
      </c>
    </row>
    <row r="22" spans="1:12" x14ac:dyDescent="0.25">
      <c r="E22" t="s">
        <v>725</v>
      </c>
      <c r="F22" t="s">
        <v>666</v>
      </c>
      <c r="G22" t="s">
        <v>666</v>
      </c>
      <c r="H22" t="s">
        <v>666</v>
      </c>
    </row>
    <row r="23" spans="1:12" x14ac:dyDescent="0.25">
      <c r="A23" t="s">
        <v>661</v>
      </c>
      <c r="B23" t="s">
        <v>740</v>
      </c>
      <c r="C23">
        <v>30</v>
      </c>
      <c r="D23">
        <v>60</v>
      </c>
      <c r="E23" t="s">
        <v>669</v>
      </c>
      <c r="F23" t="s">
        <v>667</v>
      </c>
      <c r="G23" t="s">
        <v>711</v>
      </c>
      <c r="H23" t="s">
        <v>667</v>
      </c>
      <c r="I23" t="s">
        <v>713</v>
      </c>
      <c r="J23" t="s">
        <v>662</v>
      </c>
      <c r="K23" t="s">
        <v>715</v>
      </c>
      <c r="L23" t="s">
        <v>714</v>
      </c>
    </row>
    <row r="24" spans="1:12" x14ac:dyDescent="0.25">
      <c r="E24" t="s">
        <v>670</v>
      </c>
      <c r="F24" t="s">
        <v>660</v>
      </c>
      <c r="G24" t="s">
        <v>660</v>
      </c>
      <c r="H24" t="s">
        <v>718</v>
      </c>
    </row>
    <row r="25" spans="1:12" x14ac:dyDescent="0.25">
      <c r="E25" t="s">
        <v>719</v>
      </c>
      <c r="F25" t="s">
        <v>718</v>
      </c>
      <c r="G25" t="s">
        <v>660</v>
      </c>
      <c r="H25" t="s">
        <v>660</v>
      </c>
    </row>
    <row r="26" spans="1:12" x14ac:dyDescent="0.25">
      <c r="E26" t="s">
        <v>725</v>
      </c>
      <c r="F26" t="s">
        <v>664</v>
      </c>
      <c r="G26" t="s">
        <v>712</v>
      </c>
      <c r="H26" t="s">
        <v>664</v>
      </c>
    </row>
    <row r="27" spans="1:12" x14ac:dyDescent="0.25">
      <c r="A27" t="s">
        <v>661</v>
      </c>
      <c r="B27" t="s">
        <v>722</v>
      </c>
      <c r="C27">
        <v>50</v>
      </c>
      <c r="D27">
        <v>70</v>
      </c>
      <c r="E27" t="s">
        <v>669</v>
      </c>
      <c r="F27" t="s">
        <v>671</v>
      </c>
      <c r="G27" t="s">
        <v>741</v>
      </c>
      <c r="H27" t="s">
        <v>723</v>
      </c>
      <c r="I27" t="s">
        <v>660</v>
      </c>
      <c r="J27" t="s">
        <v>714</v>
      </c>
      <c r="K27" t="s">
        <v>665</v>
      </c>
      <c r="L27" t="s">
        <v>662</v>
      </c>
    </row>
    <row r="28" spans="1:12" x14ac:dyDescent="0.25">
      <c r="E28" t="s">
        <v>670</v>
      </c>
      <c r="F28" t="s">
        <v>660</v>
      </c>
      <c r="G28" t="s">
        <v>660</v>
      </c>
      <c r="H28" t="s">
        <v>724</v>
      </c>
    </row>
    <row r="29" spans="1:12" x14ac:dyDescent="0.25">
      <c r="E29" t="s">
        <v>719</v>
      </c>
      <c r="F29" t="s">
        <v>660</v>
      </c>
      <c r="G29" t="s">
        <v>741</v>
      </c>
      <c r="H29" t="s">
        <v>718</v>
      </c>
    </row>
    <row r="30" spans="1:12" x14ac:dyDescent="0.25">
      <c r="E30" t="s">
        <v>725</v>
      </c>
      <c r="F30" t="s">
        <v>733</v>
      </c>
      <c r="G30" t="s">
        <v>723</v>
      </c>
      <c r="H30" t="s">
        <v>673</v>
      </c>
    </row>
    <row r="31" spans="1:12" x14ac:dyDescent="0.25">
      <c r="A31" t="s">
        <v>661</v>
      </c>
      <c r="B31" t="s">
        <v>742</v>
      </c>
      <c r="C31">
        <v>50</v>
      </c>
      <c r="D31">
        <v>70</v>
      </c>
      <c r="E31" t="s">
        <v>709</v>
      </c>
      <c r="F31" t="s">
        <v>676</v>
      </c>
      <c r="G31" t="s">
        <v>741</v>
      </c>
      <c r="H31" t="s">
        <v>671</v>
      </c>
      <c r="I31" t="s">
        <v>660</v>
      </c>
      <c r="J31" t="s">
        <v>714</v>
      </c>
      <c r="K31" t="s">
        <v>715</v>
      </c>
      <c r="L31" t="s">
        <v>714</v>
      </c>
    </row>
    <row r="32" spans="1:12" x14ac:dyDescent="0.25">
      <c r="E32" t="s">
        <v>670</v>
      </c>
      <c r="F32" t="s">
        <v>660</v>
      </c>
      <c r="G32" t="s">
        <v>660</v>
      </c>
      <c r="H32" t="s">
        <v>660</v>
      </c>
    </row>
    <row r="33" spans="1:12" x14ac:dyDescent="0.25">
      <c r="E33" t="s">
        <v>668</v>
      </c>
      <c r="F33" t="s">
        <v>718</v>
      </c>
      <c r="G33" t="s">
        <v>660</v>
      </c>
      <c r="H33" t="s">
        <v>718</v>
      </c>
    </row>
    <row r="34" spans="1:12" x14ac:dyDescent="0.25">
      <c r="E34" t="s">
        <v>725</v>
      </c>
      <c r="F34" t="s">
        <v>673</v>
      </c>
      <c r="G34" t="s">
        <v>671</v>
      </c>
      <c r="H34" t="s">
        <v>673</v>
      </c>
    </row>
    <row r="35" spans="1:12" x14ac:dyDescent="0.25">
      <c r="A35" t="s">
        <v>707</v>
      </c>
      <c r="B35" t="s">
        <v>743</v>
      </c>
      <c r="C35">
        <v>50</v>
      </c>
      <c r="D35">
        <v>70</v>
      </c>
      <c r="E35" t="s">
        <v>709</v>
      </c>
      <c r="F35" t="s">
        <v>692</v>
      </c>
      <c r="G35" t="s">
        <v>672</v>
      </c>
      <c r="H35" t="s">
        <v>671</v>
      </c>
      <c r="I35" t="s">
        <v>660</v>
      </c>
      <c r="J35" t="s">
        <v>662</v>
      </c>
      <c r="K35" t="s">
        <v>665</v>
      </c>
      <c r="L35" t="s">
        <v>714</v>
      </c>
    </row>
    <row r="36" spans="1:12" x14ac:dyDescent="0.25">
      <c r="E36" t="s">
        <v>670</v>
      </c>
      <c r="F36" t="s">
        <v>674</v>
      </c>
      <c r="G36" t="s">
        <v>660</v>
      </c>
      <c r="H36" t="s">
        <v>660</v>
      </c>
    </row>
    <row r="37" spans="1:12" x14ac:dyDescent="0.25">
      <c r="E37" t="s">
        <v>668</v>
      </c>
      <c r="F37" t="s">
        <v>660</v>
      </c>
      <c r="G37" t="s">
        <v>718</v>
      </c>
      <c r="H37" t="s">
        <v>660</v>
      </c>
    </row>
    <row r="38" spans="1:12" x14ac:dyDescent="0.25">
      <c r="E38" t="s">
        <v>663</v>
      </c>
      <c r="F38" t="s">
        <v>673</v>
      </c>
      <c r="G38" t="s">
        <v>671</v>
      </c>
      <c r="H38" t="s">
        <v>673</v>
      </c>
    </row>
    <row r="39" spans="1:12" x14ac:dyDescent="0.25">
      <c r="A39" t="s">
        <v>661</v>
      </c>
      <c r="B39" t="s">
        <v>675</v>
      </c>
      <c r="C39">
        <v>50</v>
      </c>
      <c r="D39">
        <v>70</v>
      </c>
      <c r="E39" t="s">
        <v>709</v>
      </c>
      <c r="F39" t="s">
        <v>671</v>
      </c>
      <c r="G39" t="s">
        <v>741</v>
      </c>
      <c r="H39" t="s">
        <v>671</v>
      </c>
      <c r="I39" t="s">
        <v>660</v>
      </c>
      <c r="J39" t="s">
        <v>662</v>
      </c>
      <c r="K39" t="s">
        <v>665</v>
      </c>
      <c r="L39" t="s">
        <v>714</v>
      </c>
    </row>
    <row r="40" spans="1:12" x14ac:dyDescent="0.25">
      <c r="E40" t="s">
        <v>670</v>
      </c>
      <c r="F40" t="s">
        <v>674</v>
      </c>
      <c r="G40" t="s">
        <v>660</v>
      </c>
      <c r="H40" t="s">
        <v>660</v>
      </c>
    </row>
    <row r="41" spans="1:12" x14ac:dyDescent="0.25">
      <c r="E41" t="s">
        <v>719</v>
      </c>
      <c r="F41" t="s">
        <v>718</v>
      </c>
      <c r="G41" t="s">
        <v>674</v>
      </c>
      <c r="H41" t="s">
        <v>718</v>
      </c>
    </row>
    <row r="42" spans="1:12" x14ac:dyDescent="0.25">
      <c r="E42" t="s">
        <v>663</v>
      </c>
      <c r="F42" t="s">
        <v>673</v>
      </c>
      <c r="G42" t="s">
        <v>676</v>
      </c>
      <c r="H42" t="s">
        <v>673</v>
      </c>
    </row>
    <row r="43" spans="1:12" x14ac:dyDescent="0.25">
      <c r="A43" t="s">
        <v>661</v>
      </c>
      <c r="B43" t="s">
        <v>677</v>
      </c>
      <c r="C43">
        <v>30</v>
      </c>
      <c r="D43">
        <v>60</v>
      </c>
      <c r="E43" t="s">
        <v>709</v>
      </c>
      <c r="F43" t="s">
        <v>712</v>
      </c>
      <c r="G43" t="s">
        <v>711</v>
      </c>
      <c r="H43" t="s">
        <v>667</v>
      </c>
      <c r="I43" t="s">
        <v>678</v>
      </c>
      <c r="J43" t="s">
        <v>714</v>
      </c>
      <c r="K43" t="s">
        <v>715</v>
      </c>
      <c r="L43" t="s">
        <v>662</v>
      </c>
    </row>
    <row r="44" spans="1:12" x14ac:dyDescent="0.25">
      <c r="E44" t="s">
        <v>670</v>
      </c>
      <c r="F44" t="s">
        <v>660</v>
      </c>
      <c r="G44" t="s">
        <v>660</v>
      </c>
      <c r="H44" t="s">
        <v>660</v>
      </c>
    </row>
    <row r="45" spans="1:12" x14ac:dyDescent="0.25">
      <c r="E45" t="s">
        <v>719</v>
      </c>
      <c r="F45" t="s">
        <v>660</v>
      </c>
      <c r="G45" t="s">
        <v>718</v>
      </c>
      <c r="H45" t="s">
        <v>660</v>
      </c>
    </row>
    <row r="46" spans="1:12" x14ac:dyDescent="0.25">
      <c r="E46" t="s">
        <v>663</v>
      </c>
      <c r="F46" t="s">
        <v>664</v>
      </c>
      <c r="G46" t="s">
        <v>667</v>
      </c>
      <c r="H46" t="s">
        <v>664</v>
      </c>
    </row>
    <row r="47" spans="1:12" x14ac:dyDescent="0.25">
      <c r="A47" t="s">
        <v>707</v>
      </c>
      <c r="B47" t="s">
        <v>679</v>
      </c>
      <c r="C47">
        <v>30</v>
      </c>
      <c r="D47">
        <v>60</v>
      </c>
      <c r="E47" t="s">
        <v>669</v>
      </c>
      <c r="F47" t="s">
        <v>712</v>
      </c>
      <c r="G47" t="s">
        <v>711</v>
      </c>
      <c r="H47" t="s">
        <v>667</v>
      </c>
      <c r="I47" t="s">
        <v>713</v>
      </c>
      <c r="J47" t="s">
        <v>662</v>
      </c>
      <c r="K47" t="s">
        <v>665</v>
      </c>
      <c r="L47" t="s">
        <v>662</v>
      </c>
    </row>
    <row r="48" spans="1:12" x14ac:dyDescent="0.25">
      <c r="E48" t="s">
        <v>670</v>
      </c>
      <c r="F48" t="s">
        <v>660</v>
      </c>
      <c r="G48" t="s">
        <v>660</v>
      </c>
      <c r="H48" t="s">
        <v>660</v>
      </c>
    </row>
    <row r="49" spans="1:12" x14ac:dyDescent="0.25">
      <c r="E49" t="s">
        <v>668</v>
      </c>
      <c r="F49" t="s">
        <v>660</v>
      </c>
      <c r="G49" t="s">
        <v>660</v>
      </c>
      <c r="H49" t="s">
        <v>660</v>
      </c>
    </row>
    <row r="50" spans="1:12" x14ac:dyDescent="0.25">
      <c r="E50" t="s">
        <v>663</v>
      </c>
      <c r="F50" t="s">
        <v>666</v>
      </c>
      <c r="G50" t="s">
        <v>666</v>
      </c>
      <c r="H50" t="s">
        <v>666</v>
      </c>
    </row>
    <row r="51" spans="1:12" x14ac:dyDescent="0.25">
      <c r="A51" t="s">
        <v>661</v>
      </c>
      <c r="B51" t="s">
        <v>680</v>
      </c>
      <c r="C51">
        <v>30</v>
      </c>
      <c r="D51">
        <v>60</v>
      </c>
      <c r="E51" t="s">
        <v>709</v>
      </c>
      <c r="F51" t="s">
        <v>664</v>
      </c>
      <c r="G51" t="s">
        <v>666</v>
      </c>
      <c r="H51" t="s">
        <v>710</v>
      </c>
      <c r="I51" t="s">
        <v>713</v>
      </c>
      <c r="J51" t="s">
        <v>662</v>
      </c>
      <c r="K51" t="s">
        <v>665</v>
      </c>
      <c r="L51" t="s">
        <v>662</v>
      </c>
    </row>
    <row r="52" spans="1:12" x14ac:dyDescent="0.25">
      <c r="E52" t="s">
        <v>670</v>
      </c>
      <c r="F52" t="s">
        <v>660</v>
      </c>
      <c r="G52" t="s">
        <v>718</v>
      </c>
      <c r="H52" t="s">
        <v>718</v>
      </c>
    </row>
    <row r="53" spans="1:12" x14ac:dyDescent="0.25">
      <c r="E53" t="s">
        <v>719</v>
      </c>
      <c r="F53" t="s">
        <v>660</v>
      </c>
      <c r="G53" t="s">
        <v>660</v>
      </c>
      <c r="H53" t="s">
        <v>660</v>
      </c>
    </row>
    <row r="54" spans="1:12" x14ac:dyDescent="0.25">
      <c r="E54" t="s">
        <v>663</v>
      </c>
      <c r="F54" t="s">
        <v>666</v>
      </c>
      <c r="G54" t="s">
        <v>666</v>
      </c>
      <c r="H54" t="s">
        <v>711</v>
      </c>
    </row>
    <row r="55" spans="1:12" x14ac:dyDescent="0.25">
      <c r="A55" t="s">
        <v>661</v>
      </c>
      <c r="B55" t="s">
        <v>744</v>
      </c>
      <c r="C55">
        <v>30</v>
      </c>
      <c r="D55">
        <v>60</v>
      </c>
      <c r="E55" t="s">
        <v>669</v>
      </c>
      <c r="F55" t="s">
        <v>664</v>
      </c>
      <c r="G55" t="s">
        <v>666</v>
      </c>
      <c r="H55" t="s">
        <v>664</v>
      </c>
      <c r="I55" t="s">
        <v>678</v>
      </c>
      <c r="J55" t="s">
        <v>662</v>
      </c>
      <c r="K55" t="s">
        <v>665</v>
      </c>
      <c r="L55" t="s">
        <v>662</v>
      </c>
    </row>
    <row r="56" spans="1:12" x14ac:dyDescent="0.25">
      <c r="E56" t="s">
        <v>670</v>
      </c>
      <c r="F56" t="s">
        <v>718</v>
      </c>
      <c r="G56" t="s">
        <v>660</v>
      </c>
      <c r="H56" t="s">
        <v>718</v>
      </c>
    </row>
    <row r="57" spans="1:12" x14ac:dyDescent="0.25">
      <c r="E57" t="s">
        <v>719</v>
      </c>
      <c r="F57" t="s">
        <v>660</v>
      </c>
      <c r="G57" t="s">
        <v>660</v>
      </c>
      <c r="H57" t="s">
        <v>660</v>
      </c>
    </row>
    <row r="58" spans="1:12" x14ac:dyDescent="0.25">
      <c r="E58" t="s">
        <v>663</v>
      </c>
      <c r="F58" t="s">
        <v>666</v>
      </c>
      <c r="G58" t="s">
        <v>666</v>
      </c>
      <c r="H58" t="s">
        <v>666</v>
      </c>
    </row>
    <row r="59" spans="1:12" x14ac:dyDescent="0.25">
      <c r="A59" t="s">
        <v>707</v>
      </c>
      <c r="B59" t="s">
        <v>681</v>
      </c>
      <c r="C59">
        <v>30</v>
      </c>
      <c r="D59">
        <v>60</v>
      </c>
      <c r="E59" t="s">
        <v>669</v>
      </c>
      <c r="F59" t="s">
        <v>664</v>
      </c>
      <c r="G59" t="s">
        <v>666</v>
      </c>
      <c r="H59" t="s">
        <v>667</v>
      </c>
      <c r="I59" t="s">
        <v>713</v>
      </c>
      <c r="J59" t="s">
        <v>662</v>
      </c>
      <c r="K59" t="s">
        <v>665</v>
      </c>
      <c r="L59" t="s">
        <v>662</v>
      </c>
    </row>
    <row r="60" spans="1:12" x14ac:dyDescent="0.25">
      <c r="E60" t="s">
        <v>670</v>
      </c>
      <c r="F60" t="s">
        <v>718</v>
      </c>
      <c r="G60" t="s">
        <v>660</v>
      </c>
      <c r="H60" t="s">
        <v>660</v>
      </c>
    </row>
    <row r="61" spans="1:12" x14ac:dyDescent="0.25">
      <c r="E61" t="s">
        <v>719</v>
      </c>
      <c r="F61" t="s">
        <v>660</v>
      </c>
      <c r="G61" t="s">
        <v>660</v>
      </c>
      <c r="H61" t="s">
        <v>660</v>
      </c>
    </row>
    <row r="62" spans="1:12" x14ac:dyDescent="0.25">
      <c r="E62" t="s">
        <v>725</v>
      </c>
      <c r="F62" t="s">
        <v>666</v>
      </c>
      <c r="G62" t="s">
        <v>666</v>
      </c>
      <c r="H62" t="s">
        <v>666</v>
      </c>
    </row>
    <row r="63" spans="1:12" x14ac:dyDescent="0.25">
      <c r="A63" t="s">
        <v>661</v>
      </c>
      <c r="B63" t="s">
        <v>682</v>
      </c>
      <c r="C63">
        <v>30</v>
      </c>
      <c r="D63">
        <v>60</v>
      </c>
      <c r="E63" t="s">
        <v>669</v>
      </c>
      <c r="F63" t="s">
        <v>667</v>
      </c>
      <c r="G63" t="s">
        <v>666</v>
      </c>
      <c r="H63" t="s">
        <v>667</v>
      </c>
      <c r="I63" t="s">
        <v>678</v>
      </c>
      <c r="J63" t="s">
        <v>662</v>
      </c>
      <c r="K63" t="s">
        <v>715</v>
      </c>
      <c r="L63" t="s">
        <v>662</v>
      </c>
    </row>
    <row r="64" spans="1:12" x14ac:dyDescent="0.25">
      <c r="E64" t="s">
        <v>670</v>
      </c>
      <c r="F64" t="s">
        <v>660</v>
      </c>
      <c r="G64" t="s">
        <v>660</v>
      </c>
      <c r="H64" t="s">
        <v>660</v>
      </c>
    </row>
    <row r="65" spans="1:12" x14ac:dyDescent="0.25">
      <c r="E65" t="s">
        <v>668</v>
      </c>
      <c r="F65" t="s">
        <v>660</v>
      </c>
      <c r="G65" t="s">
        <v>660</v>
      </c>
      <c r="H65" t="s">
        <v>660</v>
      </c>
    </row>
    <row r="66" spans="1:12" x14ac:dyDescent="0.25">
      <c r="E66" t="s">
        <v>663</v>
      </c>
      <c r="F66" t="s">
        <v>664</v>
      </c>
      <c r="G66" t="s">
        <v>667</v>
      </c>
      <c r="H66" t="s">
        <v>710</v>
      </c>
    </row>
    <row r="67" spans="1:12" x14ac:dyDescent="0.25">
      <c r="A67" t="s">
        <v>661</v>
      </c>
      <c r="B67" t="s">
        <v>683</v>
      </c>
      <c r="C67">
        <v>30</v>
      </c>
      <c r="D67">
        <v>60</v>
      </c>
      <c r="E67" t="s">
        <v>669</v>
      </c>
      <c r="F67" t="s">
        <v>664</v>
      </c>
      <c r="G67" t="s">
        <v>666</v>
      </c>
      <c r="H67" t="s">
        <v>664</v>
      </c>
      <c r="I67" t="s">
        <v>678</v>
      </c>
      <c r="J67" t="s">
        <v>714</v>
      </c>
      <c r="K67" t="s">
        <v>665</v>
      </c>
      <c r="L67" t="s">
        <v>662</v>
      </c>
    </row>
    <row r="68" spans="1:12" x14ac:dyDescent="0.25">
      <c r="E68" t="s">
        <v>670</v>
      </c>
      <c r="F68" t="s">
        <v>660</v>
      </c>
      <c r="G68" t="s">
        <v>660</v>
      </c>
      <c r="H68" t="s">
        <v>660</v>
      </c>
    </row>
    <row r="69" spans="1:12" x14ac:dyDescent="0.25">
      <c r="E69" t="s">
        <v>668</v>
      </c>
      <c r="F69" t="s">
        <v>660</v>
      </c>
      <c r="G69" t="s">
        <v>718</v>
      </c>
      <c r="H69" t="s">
        <v>660</v>
      </c>
    </row>
    <row r="70" spans="1:12" x14ac:dyDescent="0.25">
      <c r="E70" t="s">
        <v>725</v>
      </c>
      <c r="F70" t="s">
        <v>666</v>
      </c>
      <c r="G70" t="s">
        <v>666</v>
      </c>
      <c r="H70" t="s">
        <v>711</v>
      </c>
    </row>
    <row r="71" spans="1:12" x14ac:dyDescent="0.25">
      <c r="A71" t="s">
        <v>661</v>
      </c>
      <c r="B71" t="s">
        <v>684</v>
      </c>
      <c r="C71">
        <v>30</v>
      </c>
      <c r="D71">
        <v>60</v>
      </c>
      <c r="E71" t="s">
        <v>669</v>
      </c>
      <c r="F71" t="s">
        <v>664</v>
      </c>
      <c r="G71" t="s">
        <v>666</v>
      </c>
      <c r="H71" t="s">
        <v>664</v>
      </c>
      <c r="I71" t="s">
        <v>713</v>
      </c>
      <c r="J71" t="s">
        <v>662</v>
      </c>
      <c r="K71" t="s">
        <v>665</v>
      </c>
      <c r="L71" t="s">
        <v>714</v>
      </c>
    </row>
    <row r="72" spans="1:12" x14ac:dyDescent="0.25">
      <c r="E72" t="s">
        <v>717</v>
      </c>
      <c r="F72" t="s">
        <v>660</v>
      </c>
      <c r="G72" t="s">
        <v>660</v>
      </c>
      <c r="H72" t="s">
        <v>660</v>
      </c>
    </row>
    <row r="73" spans="1:12" x14ac:dyDescent="0.25">
      <c r="E73" t="s">
        <v>668</v>
      </c>
      <c r="F73" t="s">
        <v>660</v>
      </c>
      <c r="G73" t="s">
        <v>660</v>
      </c>
      <c r="H73" t="s">
        <v>660</v>
      </c>
    </row>
    <row r="74" spans="1:12" x14ac:dyDescent="0.25">
      <c r="E74" t="s">
        <v>663</v>
      </c>
      <c r="F74" t="s">
        <v>666</v>
      </c>
      <c r="G74" t="s">
        <v>666</v>
      </c>
      <c r="H74" t="s">
        <v>666</v>
      </c>
    </row>
    <row r="75" spans="1:12" x14ac:dyDescent="0.25">
      <c r="A75" t="s">
        <v>661</v>
      </c>
      <c r="B75" t="s">
        <v>685</v>
      </c>
      <c r="C75">
        <v>30</v>
      </c>
      <c r="D75">
        <v>60</v>
      </c>
      <c r="E75" t="s">
        <v>709</v>
      </c>
      <c r="F75" t="s">
        <v>664</v>
      </c>
      <c r="G75" t="s">
        <v>666</v>
      </c>
      <c r="H75" t="s">
        <v>664</v>
      </c>
      <c r="I75" t="s">
        <v>660</v>
      </c>
      <c r="J75" t="s">
        <v>662</v>
      </c>
      <c r="K75" t="s">
        <v>665</v>
      </c>
      <c r="L75" t="s">
        <v>662</v>
      </c>
    </row>
    <row r="76" spans="1:12" x14ac:dyDescent="0.25">
      <c r="E76" t="s">
        <v>670</v>
      </c>
      <c r="F76" t="s">
        <v>718</v>
      </c>
      <c r="G76" t="s">
        <v>660</v>
      </c>
      <c r="H76" t="s">
        <v>660</v>
      </c>
    </row>
    <row r="77" spans="1:12" x14ac:dyDescent="0.25">
      <c r="E77" t="s">
        <v>719</v>
      </c>
      <c r="F77" t="s">
        <v>660</v>
      </c>
      <c r="G77" t="s">
        <v>660</v>
      </c>
      <c r="H77" t="s">
        <v>660</v>
      </c>
    </row>
    <row r="78" spans="1:12" x14ac:dyDescent="0.25">
      <c r="E78" t="s">
        <v>663</v>
      </c>
      <c r="F78" t="s">
        <v>666</v>
      </c>
      <c r="G78" t="s">
        <v>710</v>
      </c>
      <c r="H78" t="s">
        <v>666</v>
      </c>
    </row>
    <row r="79" spans="1:12" x14ac:dyDescent="0.25">
      <c r="A79" t="s">
        <v>661</v>
      </c>
      <c r="B79" t="s">
        <v>686</v>
      </c>
      <c r="C79">
        <v>30</v>
      </c>
      <c r="D79">
        <v>60</v>
      </c>
      <c r="E79" t="s">
        <v>669</v>
      </c>
      <c r="F79" t="s">
        <v>664</v>
      </c>
      <c r="G79" t="s">
        <v>666</v>
      </c>
      <c r="H79" t="s">
        <v>664</v>
      </c>
      <c r="I79" t="s">
        <v>718</v>
      </c>
      <c r="J79" t="s">
        <v>714</v>
      </c>
      <c r="K79" t="s">
        <v>715</v>
      </c>
      <c r="L79" t="s">
        <v>662</v>
      </c>
    </row>
    <row r="80" spans="1:12" x14ac:dyDescent="0.25">
      <c r="E80" t="s">
        <v>670</v>
      </c>
      <c r="F80" t="s">
        <v>660</v>
      </c>
      <c r="G80" t="s">
        <v>660</v>
      </c>
      <c r="H80" t="s">
        <v>660</v>
      </c>
    </row>
    <row r="81" spans="1:12" x14ac:dyDescent="0.25">
      <c r="E81" t="s">
        <v>668</v>
      </c>
      <c r="F81" t="s">
        <v>660</v>
      </c>
      <c r="G81" t="s">
        <v>660</v>
      </c>
      <c r="H81" t="s">
        <v>660</v>
      </c>
    </row>
    <row r="82" spans="1:12" x14ac:dyDescent="0.25">
      <c r="E82" t="s">
        <v>663</v>
      </c>
      <c r="F82" t="s">
        <v>666</v>
      </c>
      <c r="G82" t="s">
        <v>664</v>
      </c>
      <c r="H82" t="s">
        <v>666</v>
      </c>
    </row>
    <row r="83" spans="1:12" x14ac:dyDescent="0.25">
      <c r="A83" t="s">
        <v>661</v>
      </c>
      <c r="B83" t="s">
        <v>687</v>
      </c>
      <c r="C83">
        <v>30</v>
      </c>
      <c r="D83">
        <v>60</v>
      </c>
      <c r="E83" t="s">
        <v>669</v>
      </c>
      <c r="F83" t="s">
        <v>664</v>
      </c>
      <c r="G83" t="s">
        <v>666</v>
      </c>
      <c r="H83" t="s">
        <v>664</v>
      </c>
      <c r="I83" t="s">
        <v>660</v>
      </c>
      <c r="J83" t="s">
        <v>714</v>
      </c>
      <c r="K83" t="s">
        <v>665</v>
      </c>
      <c r="L83" t="s">
        <v>714</v>
      </c>
    </row>
    <row r="84" spans="1:12" x14ac:dyDescent="0.25">
      <c r="E84" t="s">
        <v>670</v>
      </c>
      <c r="F84" t="s">
        <v>660</v>
      </c>
      <c r="G84" t="s">
        <v>660</v>
      </c>
      <c r="H84" t="s">
        <v>660</v>
      </c>
    </row>
    <row r="85" spans="1:12" x14ac:dyDescent="0.25">
      <c r="E85" t="s">
        <v>668</v>
      </c>
      <c r="F85" t="s">
        <v>718</v>
      </c>
      <c r="G85" t="s">
        <v>660</v>
      </c>
      <c r="H85" t="s">
        <v>660</v>
      </c>
    </row>
    <row r="86" spans="1:12" x14ac:dyDescent="0.25">
      <c r="E86" t="s">
        <v>663</v>
      </c>
      <c r="F86" t="s">
        <v>666</v>
      </c>
      <c r="G86" t="s">
        <v>710</v>
      </c>
      <c r="H86" t="s">
        <v>666</v>
      </c>
    </row>
    <row r="87" spans="1:12" x14ac:dyDescent="0.25">
      <c r="A87" t="s">
        <v>661</v>
      </c>
      <c r="B87" t="s">
        <v>693</v>
      </c>
      <c r="C87">
        <v>30</v>
      </c>
      <c r="D87">
        <v>60</v>
      </c>
      <c r="E87" t="s">
        <v>669</v>
      </c>
      <c r="F87" t="s">
        <v>664</v>
      </c>
      <c r="G87" t="s">
        <v>666</v>
      </c>
      <c r="H87" t="s">
        <v>664</v>
      </c>
      <c r="I87" t="s">
        <v>660</v>
      </c>
      <c r="J87" t="s">
        <v>662</v>
      </c>
      <c r="K87" t="s">
        <v>665</v>
      </c>
      <c r="L87" t="s">
        <v>714</v>
      </c>
    </row>
    <row r="88" spans="1:12" x14ac:dyDescent="0.25">
      <c r="E88" t="s">
        <v>670</v>
      </c>
      <c r="F88" t="s">
        <v>660</v>
      </c>
      <c r="G88" t="s">
        <v>718</v>
      </c>
      <c r="H88" t="s">
        <v>660</v>
      </c>
    </row>
    <row r="89" spans="1:12" x14ac:dyDescent="0.25">
      <c r="E89" t="s">
        <v>668</v>
      </c>
      <c r="F89" t="s">
        <v>660</v>
      </c>
      <c r="G89" t="s">
        <v>718</v>
      </c>
      <c r="H89" t="s">
        <v>660</v>
      </c>
    </row>
    <row r="90" spans="1:12" x14ac:dyDescent="0.25">
      <c r="E90" t="s">
        <v>725</v>
      </c>
      <c r="F90" t="s">
        <v>666</v>
      </c>
      <c r="G90" t="s">
        <v>664</v>
      </c>
      <c r="H90" t="s">
        <v>666</v>
      </c>
    </row>
    <row r="91" spans="1:12" x14ac:dyDescent="0.25">
      <c r="A91" t="s">
        <v>661</v>
      </c>
      <c r="B91" t="s">
        <v>745</v>
      </c>
      <c r="C91">
        <v>30</v>
      </c>
      <c r="D91">
        <v>60</v>
      </c>
      <c r="E91" t="s">
        <v>669</v>
      </c>
      <c r="F91" t="s">
        <v>664</v>
      </c>
      <c r="G91" t="s">
        <v>666</v>
      </c>
      <c r="H91" t="s">
        <v>664</v>
      </c>
      <c r="I91" t="s">
        <v>660</v>
      </c>
      <c r="J91" t="s">
        <v>662</v>
      </c>
      <c r="K91" t="s">
        <v>715</v>
      </c>
      <c r="L91" t="s">
        <v>662</v>
      </c>
    </row>
    <row r="92" spans="1:12" x14ac:dyDescent="0.25">
      <c r="E92" t="s">
        <v>670</v>
      </c>
      <c r="F92" t="s">
        <v>660</v>
      </c>
      <c r="G92" t="s">
        <v>660</v>
      </c>
      <c r="H92" t="s">
        <v>660</v>
      </c>
    </row>
    <row r="93" spans="1:12" x14ac:dyDescent="0.25">
      <c r="E93" t="s">
        <v>668</v>
      </c>
      <c r="F93" t="s">
        <v>660</v>
      </c>
      <c r="G93" t="s">
        <v>660</v>
      </c>
      <c r="H93" t="s">
        <v>660</v>
      </c>
    </row>
    <row r="94" spans="1:12" x14ac:dyDescent="0.25">
      <c r="E94" t="s">
        <v>663</v>
      </c>
      <c r="F94" t="s">
        <v>666</v>
      </c>
      <c r="G94" t="s">
        <v>664</v>
      </c>
      <c r="H94" t="s">
        <v>666</v>
      </c>
    </row>
    <row r="95" spans="1:12" x14ac:dyDescent="0.25">
      <c r="A95" t="s">
        <v>661</v>
      </c>
      <c r="B95" t="s">
        <v>688</v>
      </c>
      <c r="C95">
        <v>30</v>
      </c>
      <c r="D95">
        <v>60</v>
      </c>
      <c r="E95" t="s">
        <v>669</v>
      </c>
      <c r="F95" t="s">
        <v>664</v>
      </c>
      <c r="G95" t="s">
        <v>666</v>
      </c>
      <c r="H95" t="s">
        <v>664</v>
      </c>
      <c r="I95" t="s">
        <v>718</v>
      </c>
      <c r="J95" t="s">
        <v>662</v>
      </c>
      <c r="K95" t="s">
        <v>665</v>
      </c>
      <c r="L95" t="s">
        <v>662</v>
      </c>
    </row>
    <row r="96" spans="1:12" x14ac:dyDescent="0.25">
      <c r="E96" t="s">
        <v>670</v>
      </c>
      <c r="F96" t="s">
        <v>660</v>
      </c>
      <c r="G96" t="s">
        <v>660</v>
      </c>
      <c r="H96" t="s">
        <v>660</v>
      </c>
    </row>
    <row r="97" spans="1:12" x14ac:dyDescent="0.25">
      <c r="E97" t="s">
        <v>668</v>
      </c>
      <c r="F97" t="s">
        <v>660</v>
      </c>
      <c r="G97" t="s">
        <v>660</v>
      </c>
      <c r="H97" t="s">
        <v>660</v>
      </c>
    </row>
    <row r="98" spans="1:12" x14ac:dyDescent="0.25">
      <c r="E98" t="s">
        <v>663</v>
      </c>
      <c r="F98" t="s">
        <v>666</v>
      </c>
      <c r="G98" t="s">
        <v>664</v>
      </c>
      <c r="H98" t="s">
        <v>711</v>
      </c>
    </row>
    <row r="99" spans="1:12" x14ac:dyDescent="0.25">
      <c r="A99" t="s">
        <v>661</v>
      </c>
      <c r="B99" t="s">
        <v>689</v>
      </c>
      <c r="C99">
        <v>30</v>
      </c>
      <c r="D99">
        <v>60</v>
      </c>
      <c r="E99" t="s">
        <v>669</v>
      </c>
      <c r="F99" t="s">
        <v>710</v>
      </c>
      <c r="G99" t="s">
        <v>666</v>
      </c>
      <c r="H99" t="s">
        <v>664</v>
      </c>
      <c r="I99" t="s">
        <v>713</v>
      </c>
      <c r="J99" t="s">
        <v>662</v>
      </c>
      <c r="K99" t="s">
        <v>665</v>
      </c>
      <c r="L99" t="s">
        <v>662</v>
      </c>
    </row>
    <row r="100" spans="1:12" x14ac:dyDescent="0.25">
      <c r="E100" t="s">
        <v>670</v>
      </c>
      <c r="F100" t="s">
        <v>718</v>
      </c>
      <c r="G100" t="s">
        <v>660</v>
      </c>
      <c r="H100" t="s">
        <v>660</v>
      </c>
    </row>
    <row r="101" spans="1:12" x14ac:dyDescent="0.25">
      <c r="E101" t="s">
        <v>668</v>
      </c>
      <c r="F101" t="s">
        <v>660</v>
      </c>
      <c r="G101" t="s">
        <v>660</v>
      </c>
      <c r="H101" t="s">
        <v>660</v>
      </c>
    </row>
    <row r="102" spans="1:12" x14ac:dyDescent="0.25">
      <c r="E102" t="s">
        <v>663</v>
      </c>
      <c r="F102" t="s">
        <v>711</v>
      </c>
      <c r="G102" t="s">
        <v>666</v>
      </c>
      <c r="H102" t="s">
        <v>711</v>
      </c>
    </row>
    <row r="103" spans="1:12" x14ac:dyDescent="0.25">
      <c r="A103" t="s">
        <v>707</v>
      </c>
      <c r="B103" t="s">
        <v>690</v>
      </c>
      <c r="C103">
        <v>30</v>
      </c>
      <c r="D103">
        <v>60</v>
      </c>
      <c r="E103" t="s">
        <v>669</v>
      </c>
      <c r="F103" t="s">
        <v>664</v>
      </c>
      <c r="G103" t="s">
        <v>666</v>
      </c>
      <c r="H103" t="s">
        <v>664</v>
      </c>
      <c r="I103" t="s">
        <v>678</v>
      </c>
      <c r="J103" t="s">
        <v>662</v>
      </c>
      <c r="K103" t="s">
        <v>665</v>
      </c>
      <c r="L103" t="s">
        <v>662</v>
      </c>
    </row>
    <row r="104" spans="1:12" x14ac:dyDescent="0.25">
      <c r="E104" t="s">
        <v>670</v>
      </c>
      <c r="F104" t="s">
        <v>718</v>
      </c>
      <c r="G104" t="s">
        <v>660</v>
      </c>
      <c r="H104" t="s">
        <v>660</v>
      </c>
    </row>
    <row r="105" spans="1:12" x14ac:dyDescent="0.25">
      <c r="E105" t="s">
        <v>719</v>
      </c>
      <c r="F105" t="s">
        <v>660</v>
      </c>
      <c r="G105" t="s">
        <v>660</v>
      </c>
      <c r="H105" t="s">
        <v>660</v>
      </c>
    </row>
    <row r="106" spans="1:12" x14ac:dyDescent="0.25">
      <c r="E106" t="s">
        <v>663</v>
      </c>
      <c r="F106" t="s">
        <v>666</v>
      </c>
      <c r="G106" t="s">
        <v>711</v>
      </c>
      <c r="H106" t="s">
        <v>666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柱</vt:lpstr>
      <vt:lpstr>大梁配筋</vt:lpstr>
      <vt:lpstr>小梁配筋</vt:lpstr>
      <vt:lpstr>地梁配筋</vt:lpstr>
      <vt:lpstr>Echo 大梁配筋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skyran</cp:lastModifiedBy>
  <cp:lastPrinted>2017-05-16T02:06:44Z</cp:lastPrinted>
  <dcterms:created xsi:type="dcterms:W3CDTF">2017-05-14T12:57:37Z</dcterms:created>
  <dcterms:modified xsi:type="dcterms:W3CDTF">2017-06-05T01:56:37Z</dcterms:modified>
</cp:coreProperties>
</file>