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oogle Drive\02 Life Manage\01 GAME\10 PESCM\"/>
    </mc:Choice>
  </mc:AlternateContent>
  <bookViews>
    <workbookView xWindow="0" yWindow="0" windowWidth="15360" windowHeight="20475" activeTab="13"/>
  </bookViews>
  <sheets>
    <sheet name="GK" sheetId="7" r:id="rId1"/>
    <sheet name="CB" sheetId="8" r:id="rId2"/>
    <sheet name="LB" sheetId="9" r:id="rId3"/>
    <sheet name="RB" sheetId="10" r:id="rId4"/>
    <sheet name="DMF" sheetId="11" r:id="rId5"/>
    <sheet name="CMF" sheetId="12" r:id="rId6"/>
    <sheet name="LMF" sheetId="22" r:id="rId7"/>
    <sheet name="RMF" sheetId="23" r:id="rId8"/>
    <sheet name="AMF" sheetId="13" r:id="rId9"/>
    <sheet name="LWF" sheetId="17" r:id="rId10"/>
    <sheet name="RWF" sheetId="14" r:id="rId11"/>
    <sheet name="SS" sheetId="18" r:id="rId12"/>
    <sheet name="CF" sheetId="15" r:id="rId13"/>
    <sheet name="SUM" sheetId="16" r:id="rId14"/>
    <sheet name="USED" sheetId="21" r:id="rId15"/>
    <sheet name="T" sheetId="20" r:id="rId16"/>
  </sheets>
  <definedNames>
    <definedName name="_xlnm._FilterDatabase" localSheetId="8" hidden="1">AMF!$A$1:$V$13</definedName>
    <definedName name="_xlnm._FilterDatabase" localSheetId="5" hidden="1">CMF!$A$1:$V$13</definedName>
    <definedName name="_xlnm._FilterDatabase" localSheetId="2" hidden="1">LB!$A$1:$V$9</definedName>
  </definedNames>
  <calcPr calcId="162913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9" i="16" l="1"/>
  <c r="C8" i="16"/>
  <c r="J10" i="17"/>
  <c r="J7" i="17"/>
  <c r="J4" i="9"/>
  <c r="J21" i="9"/>
  <c r="J11" i="7"/>
  <c r="J17" i="7"/>
  <c r="J12" i="7"/>
  <c r="J13" i="7"/>
  <c r="J1" i="10"/>
  <c r="J14" i="10"/>
  <c r="J37" i="8"/>
  <c r="J11" i="8"/>
  <c r="J9" i="8"/>
  <c r="J65" i="8"/>
  <c r="J27" i="8"/>
  <c r="J2" i="22"/>
  <c r="J3" i="23"/>
  <c r="J16" i="11"/>
  <c r="J28" i="11"/>
  <c r="J11" i="11"/>
  <c r="J21" i="12"/>
  <c r="J5" i="12"/>
  <c r="J38" i="12"/>
  <c r="J18" i="13"/>
  <c r="J41" i="13"/>
  <c r="J25" i="13"/>
  <c r="J34" i="13"/>
  <c r="J45" i="13"/>
  <c r="J17" i="17"/>
  <c r="J19" i="17"/>
  <c r="J21" i="17"/>
  <c r="J6" i="17"/>
  <c r="J2" i="18"/>
  <c r="J1" i="18"/>
  <c r="J6" i="18"/>
  <c r="J7" i="18"/>
  <c r="J4" i="18"/>
  <c r="J18" i="7"/>
  <c r="J4" i="7"/>
  <c r="J6" i="9"/>
  <c r="J36" i="9"/>
  <c r="J15" i="9"/>
  <c r="J27" i="10"/>
  <c r="J5" i="10"/>
  <c r="J34" i="10"/>
  <c r="J70" i="8"/>
  <c r="J12" i="8"/>
  <c r="J4" i="8"/>
  <c r="J74" i="8"/>
  <c r="J21" i="11"/>
  <c r="J30" i="11"/>
  <c r="J43" i="12"/>
  <c r="J31" i="12"/>
  <c r="J39" i="12"/>
  <c r="J27" i="13"/>
  <c r="J47" i="13"/>
  <c r="J18" i="17"/>
  <c r="J4" i="15"/>
  <c r="J32" i="15"/>
  <c r="J26" i="15"/>
  <c r="J54" i="15"/>
  <c r="J52" i="15"/>
  <c r="J37" i="15"/>
  <c r="J19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57" i="15"/>
  <c r="J56" i="15"/>
  <c r="J43" i="8"/>
  <c r="J1" i="11"/>
  <c r="J9" i="10"/>
  <c r="J30" i="12"/>
  <c r="J72" i="8"/>
  <c r="J18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23" i="14"/>
  <c r="J21" i="14"/>
  <c r="J2" i="14"/>
  <c r="J17" i="14"/>
  <c r="J6" i="14"/>
  <c r="J7" i="11"/>
  <c r="J43" i="15"/>
  <c r="J33" i="9"/>
  <c r="J53" i="15"/>
  <c r="J44" i="12"/>
  <c r="J46" i="13"/>
  <c r="J22" i="14"/>
  <c r="J76" i="8"/>
  <c r="J38" i="9"/>
  <c r="J43" i="7"/>
  <c r="J5" i="14"/>
  <c r="J34" i="9"/>
  <c r="J35" i="10"/>
  <c r="J20" i="17"/>
  <c r="J58" i="8"/>
  <c r="J42" i="7"/>
  <c r="J6" i="7"/>
  <c r="J40" i="7"/>
  <c r="J75" i="21"/>
  <c r="J74" i="21"/>
  <c r="J73" i="21"/>
  <c r="J72" i="21"/>
  <c r="J28" i="8"/>
  <c r="J36" i="12"/>
  <c r="J12" i="12"/>
  <c r="J7" i="9"/>
  <c r="J2" i="23"/>
  <c r="J35" i="8"/>
  <c r="J41" i="8"/>
  <c r="J13" i="14"/>
  <c r="J9" i="11"/>
  <c r="J3" i="15"/>
  <c r="J34" i="11"/>
  <c r="J27" i="7"/>
  <c r="J28" i="13"/>
  <c r="J14" i="15"/>
  <c r="J37" i="10"/>
  <c r="J7" i="12"/>
  <c r="J15" i="14"/>
  <c r="J32" i="11"/>
  <c r="J75" i="8"/>
  <c r="J77" i="8"/>
  <c r="J29" i="12"/>
  <c r="J29" i="10"/>
  <c r="J24" i="15"/>
  <c r="J25" i="9"/>
  <c r="J9" i="22"/>
  <c r="J10" i="18"/>
  <c r="J20" i="13"/>
  <c r="J37" i="13"/>
  <c r="J14" i="7"/>
  <c r="J20" i="8"/>
  <c r="J25" i="10"/>
  <c r="J24" i="8"/>
  <c r="J31" i="7"/>
  <c r="J36" i="15"/>
  <c r="J16" i="12"/>
  <c r="J17" i="12"/>
  <c r="J47" i="15"/>
  <c r="J25" i="11"/>
  <c r="J9" i="13"/>
  <c r="J7" i="10"/>
  <c r="J59" i="8"/>
  <c r="J31" i="13"/>
  <c r="J11" i="18"/>
  <c r="J47" i="8"/>
  <c r="J11" i="12"/>
  <c r="J34" i="15"/>
  <c r="J1" i="7"/>
  <c r="J20" i="12"/>
  <c r="J20" i="15"/>
  <c r="J32" i="8"/>
  <c r="J7" i="22"/>
  <c r="J33" i="11"/>
  <c r="J40" i="15"/>
  <c r="J25" i="15"/>
  <c r="J63" i="8"/>
  <c r="J27" i="12"/>
  <c r="J21" i="13"/>
  <c r="J46" i="15"/>
  <c r="J32" i="7"/>
  <c r="J2" i="7"/>
  <c r="J62" i="8"/>
  <c r="J26" i="11"/>
  <c r="J12" i="18"/>
  <c r="J2" i="8"/>
  <c r="J39" i="15"/>
  <c r="J27" i="15"/>
  <c r="J28" i="10"/>
  <c r="J68" i="8"/>
  <c r="J15" i="13"/>
  <c r="J1" i="13"/>
  <c r="J5" i="13"/>
  <c r="J14" i="11"/>
  <c r="J32" i="13"/>
  <c r="J3" i="7"/>
  <c r="J61" i="8"/>
  <c r="J26" i="12"/>
  <c r="J16" i="10"/>
  <c r="J22" i="15"/>
  <c r="J1" i="8"/>
  <c r="J8" i="13"/>
  <c r="J7" i="8"/>
  <c r="J12" i="15"/>
  <c r="J11" i="15"/>
  <c r="J10" i="15"/>
  <c r="J3" i="10"/>
  <c r="J3" i="14"/>
  <c r="J25" i="8"/>
  <c r="J16" i="17"/>
  <c r="J44" i="8"/>
  <c r="J18" i="9"/>
  <c r="J9" i="17"/>
  <c r="J9" i="14"/>
  <c r="J23" i="10"/>
  <c r="J29" i="9"/>
  <c r="J30" i="7"/>
  <c r="J55" i="8"/>
  <c r="J15" i="15"/>
  <c r="J9" i="15"/>
  <c r="J4" i="11"/>
  <c r="J4" i="14"/>
  <c r="J3" i="17"/>
  <c r="J11" i="9"/>
  <c r="J4" i="10"/>
  <c r="J7" i="23"/>
  <c r="J13" i="13"/>
  <c r="J49" i="15"/>
  <c r="J15" i="11"/>
  <c r="J11" i="23"/>
  <c r="J36" i="10"/>
  <c r="J8" i="14"/>
  <c r="J21" i="15"/>
  <c r="J8" i="8"/>
  <c r="J29" i="8"/>
  <c r="J41" i="7"/>
  <c r="J73" i="8"/>
  <c r="J12" i="22"/>
  <c r="J22" i="10"/>
  <c r="J12" i="23"/>
  <c r="J38" i="7"/>
  <c r="J30" i="10"/>
  <c r="J71" i="21"/>
  <c r="J70" i="21"/>
  <c r="J69" i="21"/>
  <c r="J68" i="21"/>
  <c r="J32" i="10"/>
  <c r="J39" i="7"/>
  <c r="J20" i="14"/>
  <c r="J14" i="18"/>
  <c r="J35" i="9"/>
  <c r="J19" i="10"/>
  <c r="J19" i="11"/>
  <c r="J42" i="13"/>
  <c r="J17" i="11"/>
  <c r="J2" i="11"/>
  <c r="J4" i="23"/>
  <c r="J26" i="13"/>
  <c r="J17" i="8"/>
  <c r="J13" i="18"/>
  <c r="J19" i="8"/>
  <c r="J50" i="8"/>
  <c r="J41" i="15"/>
  <c r="J46" i="8"/>
  <c r="J21" i="8"/>
  <c r="J23" i="15"/>
  <c r="J23" i="9"/>
  <c r="J10" i="14"/>
  <c r="J5" i="22"/>
  <c r="J1" i="14"/>
  <c r="J2" i="17"/>
  <c r="J24" i="10"/>
  <c r="J7" i="13"/>
  <c r="J1" i="23"/>
  <c r="J33" i="10"/>
  <c r="J31" i="11"/>
  <c r="J20" i="7"/>
  <c r="J33" i="12"/>
  <c r="J37" i="9"/>
  <c r="J17" i="13"/>
  <c r="J20" i="10"/>
  <c r="J18" i="12"/>
  <c r="J14" i="17"/>
  <c r="J8" i="23"/>
  <c r="J37" i="12"/>
  <c r="J3" i="8"/>
  <c r="J26" i="10"/>
  <c r="J64" i="8"/>
  <c r="J2" i="13"/>
  <c r="J5" i="15"/>
  <c r="J29" i="13"/>
  <c r="J16" i="9"/>
  <c r="J67" i="21"/>
  <c r="J48" i="13"/>
  <c r="J19" i="14"/>
  <c r="J49" i="13"/>
  <c r="J8" i="22"/>
  <c r="J16" i="14"/>
  <c r="J66" i="21"/>
  <c r="J65" i="21"/>
  <c r="F9" i="16"/>
  <c r="F8" i="16"/>
  <c r="F7" i="16"/>
  <c r="F6" i="16"/>
  <c r="F5" i="16"/>
  <c r="F4" i="16"/>
  <c r="E9" i="16"/>
  <c r="E8" i="16"/>
  <c r="D9" i="16"/>
  <c r="D8" i="16"/>
  <c r="B9" i="16"/>
  <c r="B8" i="16"/>
  <c r="B7" i="16"/>
  <c r="J11" i="22"/>
  <c r="J1" i="22"/>
  <c r="J4" i="22"/>
  <c r="J6" i="22"/>
  <c r="J10" i="22"/>
  <c r="J10" i="23"/>
  <c r="J6" i="23"/>
  <c r="J3" i="22"/>
  <c r="J9" i="23"/>
  <c r="J5" i="23"/>
  <c r="J14" i="14"/>
  <c r="G9" i="16"/>
  <c r="G8" i="16"/>
  <c r="J64" i="21"/>
  <c r="J3" i="18"/>
  <c r="J18" i="15"/>
  <c r="J63" i="21"/>
  <c r="J62" i="21"/>
  <c r="J61" i="21"/>
  <c r="J60" i="21"/>
  <c r="J59" i="21"/>
  <c r="J44" i="13"/>
  <c r="J30" i="15"/>
  <c r="J45" i="15"/>
  <c r="J55" i="21"/>
  <c r="J56" i="21"/>
  <c r="J57" i="21"/>
  <c r="J58" i="21"/>
  <c r="J23" i="11"/>
  <c r="J24" i="11"/>
  <c r="J28" i="15"/>
  <c r="J26" i="7"/>
  <c r="J33" i="7"/>
  <c r="J31" i="9"/>
  <c r="J49" i="21"/>
  <c r="J50" i="21"/>
  <c r="J51" i="21"/>
  <c r="J52" i="21"/>
  <c r="J53" i="21"/>
  <c r="J54" i="21"/>
  <c r="J48" i="15"/>
  <c r="J14" i="13"/>
  <c r="J71" i="8"/>
  <c r="J45" i="21"/>
  <c r="J46" i="21"/>
  <c r="J47" i="21"/>
  <c r="J48" i="21"/>
  <c r="J25" i="7"/>
  <c r="J19" i="7"/>
  <c r="J41" i="21"/>
  <c r="J42" i="21"/>
  <c r="J43" i="21"/>
  <c r="J44" i="21"/>
  <c r="I40" i="21"/>
  <c r="J51" i="8"/>
  <c r="I39" i="21"/>
  <c r="J21" i="7"/>
  <c r="J15" i="10"/>
  <c r="J48" i="8"/>
  <c r="J35" i="13"/>
  <c r="I38" i="21"/>
  <c r="I37" i="21"/>
  <c r="I36" i="21"/>
  <c r="I35" i="21"/>
  <c r="I34" i="21"/>
  <c r="I33" i="21"/>
  <c r="J31" i="8"/>
  <c r="J15" i="7"/>
  <c r="J7" i="14"/>
  <c r="J17" i="9"/>
  <c r="J12" i="14"/>
  <c r="I32" i="21"/>
  <c r="I31" i="21"/>
  <c r="I30" i="21"/>
  <c r="I29" i="21"/>
  <c r="I28" i="21"/>
  <c r="I27" i="21"/>
  <c r="I26" i="21"/>
  <c r="I25" i="21"/>
  <c r="I24" i="21"/>
  <c r="I23" i="21"/>
  <c r="J14" i="8"/>
  <c r="J60" i="8"/>
  <c r="J69" i="8"/>
  <c r="J27" i="9"/>
  <c r="J2" i="15"/>
  <c r="J35" i="15"/>
  <c r="J18" i="11"/>
  <c r="J32" i="9"/>
  <c r="I22" i="21"/>
  <c r="I21" i="21"/>
  <c r="I20" i="21"/>
  <c r="I19" i="21"/>
  <c r="I18" i="21"/>
  <c r="I17" i="21"/>
  <c r="I16" i="21"/>
  <c r="I15" i="21"/>
  <c r="I14" i="21"/>
  <c r="I13" i="21"/>
  <c r="I12" i="21"/>
  <c r="I11" i="21"/>
  <c r="I10" i="21"/>
  <c r="I9" i="21"/>
  <c r="I8" i="21"/>
  <c r="I7" i="21"/>
  <c r="I6" i="21"/>
  <c r="I5" i="21"/>
  <c r="J13" i="15"/>
  <c r="J9" i="18"/>
  <c r="J1" i="9"/>
  <c r="I4" i="21"/>
  <c r="J7" i="15"/>
  <c r="J2" i="12"/>
  <c r="J4" i="12"/>
  <c r="J14" i="12"/>
  <c r="J42" i="12"/>
  <c r="J15" i="12"/>
  <c r="J13" i="12"/>
  <c r="J34" i="12"/>
  <c r="J41" i="12"/>
  <c r="J40" i="12"/>
  <c r="J22" i="12"/>
  <c r="J25" i="12"/>
  <c r="J23" i="12"/>
  <c r="J33" i="13"/>
  <c r="J16" i="13"/>
  <c r="J50" i="13"/>
  <c r="J13" i="10"/>
  <c r="I3" i="21"/>
  <c r="I2" i="21"/>
  <c r="I1" i="21"/>
  <c r="J17" i="10"/>
  <c r="J14" i="9"/>
  <c r="J22" i="7"/>
  <c r="J38" i="8"/>
  <c r="J42" i="8"/>
  <c r="J6" i="8"/>
  <c r="J8" i="15"/>
  <c r="J12" i="17"/>
  <c r="J11" i="17"/>
  <c r="J4" i="17"/>
  <c r="J13" i="17"/>
  <c r="J1" i="17"/>
  <c r="J5" i="11"/>
  <c r="J3" i="9"/>
  <c r="J5" i="9"/>
  <c r="J9" i="9"/>
  <c r="J8" i="9"/>
  <c r="J10" i="9"/>
  <c r="J12" i="9"/>
  <c r="J13" i="9"/>
  <c r="J20" i="9"/>
  <c r="J19" i="9"/>
  <c r="J28" i="9"/>
  <c r="J26" i="9"/>
  <c r="J24" i="9"/>
  <c r="J22" i="9"/>
  <c r="J30" i="9"/>
  <c r="J2" i="9"/>
  <c r="A2" i="16"/>
  <c r="J8" i="17"/>
  <c r="J15" i="17"/>
  <c r="J5" i="17"/>
  <c r="J11" i="14"/>
  <c r="J5" i="18"/>
  <c r="J8" i="18"/>
  <c r="J6" i="15"/>
  <c r="J16" i="15"/>
  <c r="J17" i="15"/>
  <c r="J29" i="15"/>
  <c r="J31" i="15"/>
  <c r="J33" i="15"/>
  <c r="J42" i="15"/>
  <c r="J38" i="15"/>
  <c r="J44" i="15"/>
  <c r="J50" i="15"/>
  <c r="J55" i="15"/>
  <c r="J51" i="15"/>
  <c r="J1" i="15"/>
  <c r="J6" i="13"/>
  <c r="J4" i="13"/>
  <c r="J10" i="13"/>
  <c r="J11" i="13"/>
  <c r="J12" i="13"/>
  <c r="J19" i="13"/>
  <c r="J23" i="13"/>
  <c r="J24" i="13"/>
  <c r="J22" i="13"/>
  <c r="J36" i="13"/>
  <c r="J39" i="13"/>
  <c r="J38" i="13"/>
  <c r="J30" i="13"/>
  <c r="J40" i="13"/>
  <c r="J43" i="13"/>
  <c r="J3" i="13"/>
  <c r="J3" i="12"/>
  <c r="J6" i="12"/>
  <c r="J10" i="12"/>
  <c r="J9" i="12"/>
  <c r="J8" i="12"/>
  <c r="J19" i="12"/>
  <c r="J24" i="12"/>
  <c r="J32" i="12"/>
  <c r="J28" i="12"/>
  <c r="J35" i="12"/>
  <c r="J1" i="12"/>
  <c r="J6" i="11"/>
  <c r="J8" i="11"/>
  <c r="J10" i="11"/>
  <c r="J12" i="11"/>
  <c r="J13" i="11"/>
  <c r="J22" i="11"/>
  <c r="J20" i="11"/>
  <c r="J27" i="11"/>
  <c r="J29" i="11"/>
  <c r="J3" i="11"/>
  <c r="J8" i="10"/>
  <c r="J6" i="10"/>
  <c r="J11" i="10"/>
  <c r="J10" i="10"/>
  <c r="J12" i="10"/>
  <c r="J18" i="10"/>
  <c r="J21" i="10"/>
  <c r="J31" i="10"/>
  <c r="J2" i="10"/>
  <c r="J7" i="7"/>
  <c r="J9" i="7"/>
  <c r="J8" i="7"/>
  <c r="J5" i="7"/>
  <c r="J16" i="7"/>
  <c r="J28" i="7"/>
  <c r="J29" i="7"/>
  <c r="J24" i="7"/>
  <c r="J23" i="7"/>
  <c r="J36" i="7"/>
  <c r="J35" i="7"/>
  <c r="J37" i="7"/>
  <c r="J34" i="7"/>
  <c r="J10" i="7"/>
  <c r="J5" i="8"/>
  <c r="J10" i="8"/>
  <c r="J13" i="8"/>
  <c r="J18" i="8"/>
  <c r="J16" i="8"/>
  <c r="J15" i="8"/>
  <c r="J26" i="8"/>
  <c r="J23" i="8"/>
  <c r="J22" i="8"/>
  <c r="J30" i="8"/>
  <c r="J34" i="8"/>
  <c r="J33" i="8"/>
  <c r="J36" i="8"/>
  <c r="J45" i="8"/>
  <c r="J40" i="8"/>
  <c r="J39" i="8"/>
  <c r="J52" i="8"/>
  <c r="J56" i="8"/>
  <c r="J57" i="8"/>
  <c r="J53" i="8"/>
  <c r="J49" i="8"/>
  <c r="J54" i="8"/>
  <c r="J67" i="8"/>
  <c r="J66" i="8"/>
  <c r="D14" i="16"/>
  <c r="D13" i="16"/>
  <c r="D12" i="16"/>
  <c r="D11" i="16"/>
  <c r="D10" i="16"/>
  <c r="D7" i="16"/>
  <c r="D6" i="16"/>
  <c r="D5" i="16"/>
  <c r="D4" i="16"/>
  <c r="D3" i="16"/>
  <c r="D2" i="16"/>
  <c r="F14" i="16"/>
  <c r="F13" i="16"/>
  <c r="F12" i="16"/>
  <c r="F11" i="16"/>
  <c r="E11" i="16"/>
  <c r="F10" i="16"/>
  <c r="F3" i="16"/>
  <c r="F2" i="16"/>
  <c r="E14" i="16"/>
  <c r="E13" i="16"/>
  <c r="E12" i="16"/>
  <c r="E10" i="16"/>
  <c r="E7" i="16"/>
  <c r="E6" i="16"/>
  <c r="E5" i="16"/>
  <c r="E4" i="16"/>
  <c r="E3" i="16"/>
  <c r="E2" i="16"/>
  <c r="C3" i="16"/>
  <c r="C14" i="16"/>
  <c r="C13" i="16"/>
  <c r="C12" i="16"/>
  <c r="C11" i="16"/>
  <c r="C10" i="16"/>
  <c r="C7" i="16"/>
  <c r="C6" i="16"/>
  <c r="C5" i="16"/>
  <c r="C4" i="16"/>
  <c r="C2" i="16"/>
  <c r="B2" i="16"/>
  <c r="B13" i="16"/>
  <c r="B14" i="16"/>
  <c r="B12" i="16"/>
  <c r="B11" i="16"/>
  <c r="B10" i="16"/>
  <c r="B6" i="16"/>
  <c r="B5" i="16"/>
  <c r="B4" i="16"/>
  <c r="B3" i="16"/>
  <c r="G3" i="16"/>
  <c r="G5" i="16"/>
  <c r="G13" i="16"/>
  <c r="G7" i="16"/>
  <c r="G11" i="16"/>
  <c r="G14" i="16"/>
  <c r="G2" i="16"/>
  <c r="G4" i="16"/>
  <c r="G6" i="16"/>
  <c r="G12" i="16"/>
  <c r="E15" i="16"/>
  <c r="G10" i="16"/>
  <c r="F15" i="16"/>
  <c r="C15" i="16"/>
  <c r="B15" i="16"/>
  <c r="D15" i="16"/>
  <c r="G15" i="16"/>
  <c r="H8" i="16"/>
  <c r="H12" i="16"/>
  <c r="I12" i="16"/>
  <c r="H4" i="16"/>
  <c r="I4" i="16"/>
  <c r="H3" i="16"/>
  <c r="I3" i="16"/>
  <c r="H10" i="16"/>
  <c r="I10" i="16"/>
  <c r="H2" i="16"/>
  <c r="H6" i="16"/>
  <c r="I6" i="16"/>
  <c r="H14" i="16"/>
  <c r="I14" i="16"/>
  <c r="H11" i="16"/>
  <c r="I11" i="16"/>
  <c r="H9" i="16"/>
  <c r="I9" i="16"/>
  <c r="I8" i="16"/>
  <c r="H5" i="16"/>
  <c r="I5" i="16"/>
  <c r="H13" i="16"/>
  <c r="I13" i="16"/>
  <c r="H7" i="16"/>
  <c r="I7" i="16"/>
  <c r="H15" i="16"/>
  <c r="I2" i="16"/>
</calcChain>
</file>

<file path=xl/sharedStrings.xml><?xml version="1.0" encoding="utf-8"?>
<sst xmlns="http://schemas.openxmlformats.org/spreadsheetml/2006/main" count="3789" uniqueCount="1653">
  <si>
    <t>AMF</t>
    <phoneticPr fontId="1" type="noConversion"/>
  </si>
  <si>
    <t>LB</t>
    <phoneticPr fontId="1" type="noConversion"/>
  </si>
  <si>
    <t>RMF</t>
    <phoneticPr fontId="1" type="noConversion"/>
  </si>
  <si>
    <t>GK</t>
  </si>
  <si>
    <t>LB</t>
  </si>
  <si>
    <t>CMF</t>
  </si>
  <si>
    <t>DMF</t>
  </si>
  <si>
    <t>LWF</t>
  </si>
  <si>
    <t>GK</t>
    <phoneticPr fontId="1" type="noConversion"/>
  </si>
  <si>
    <t>D.B</t>
    <phoneticPr fontId="1" type="noConversion"/>
  </si>
  <si>
    <t>防守型守門員</t>
    <phoneticPr fontId="1" type="noConversion"/>
  </si>
  <si>
    <t>R.V</t>
    <phoneticPr fontId="1" type="noConversion"/>
  </si>
  <si>
    <t>W.S</t>
    <phoneticPr fontId="1" type="noConversion"/>
  </si>
  <si>
    <t>低軌跡球</t>
    <phoneticPr fontId="1" type="noConversion"/>
  </si>
  <si>
    <t>CB</t>
    <phoneticPr fontId="1" type="noConversion"/>
  </si>
  <si>
    <t>E.G</t>
    <phoneticPr fontId="1" type="noConversion"/>
  </si>
  <si>
    <t>F.M</t>
    <phoneticPr fontId="1" type="noConversion"/>
  </si>
  <si>
    <t>建立</t>
    <phoneticPr fontId="1" type="noConversion"/>
  </si>
  <si>
    <t>I.M</t>
    <phoneticPr fontId="1" type="noConversion"/>
  </si>
  <si>
    <t>L.B</t>
    <phoneticPr fontId="1" type="noConversion"/>
  </si>
  <si>
    <t>盯人</t>
  </si>
  <si>
    <t>N</t>
    <phoneticPr fontId="1" type="noConversion"/>
  </si>
  <si>
    <t>額外前鋒</t>
    <phoneticPr fontId="1" type="noConversion"/>
  </si>
  <si>
    <t>落葉球射門</t>
    <phoneticPr fontId="1" type="noConversion"/>
  </si>
  <si>
    <t>P.J</t>
    <phoneticPr fontId="1" type="noConversion"/>
  </si>
  <si>
    <t>S.S</t>
    <phoneticPr fontId="1" type="noConversion"/>
  </si>
  <si>
    <t>W.B</t>
    <phoneticPr fontId="1" type="noConversion"/>
  </si>
  <si>
    <t>LB</t>
    <phoneticPr fontId="1" type="noConversion"/>
  </si>
  <si>
    <t>A</t>
    <phoneticPr fontId="1" type="noConversion"/>
  </si>
  <si>
    <t>進攻型後衛</t>
    <phoneticPr fontId="1" type="noConversion"/>
  </si>
  <si>
    <t>剪刀腳假動作、遠距離抽射</t>
    <phoneticPr fontId="1" type="noConversion"/>
  </si>
  <si>
    <t>G.S</t>
    <phoneticPr fontId="1" type="noConversion"/>
  </si>
  <si>
    <t>J.B</t>
    <phoneticPr fontId="1" type="noConversion"/>
  </si>
  <si>
    <t>雜技般入球</t>
    <phoneticPr fontId="1" type="noConversion"/>
  </si>
  <si>
    <t>M.R</t>
    <phoneticPr fontId="1" type="noConversion"/>
  </si>
  <si>
    <t>長距離投擲、壓迫</t>
    <phoneticPr fontId="1" type="noConversion"/>
  </si>
  <si>
    <t>K.W</t>
    <phoneticPr fontId="1" type="noConversion"/>
  </si>
  <si>
    <t>RB</t>
    <phoneticPr fontId="1" type="noConversion"/>
  </si>
  <si>
    <t>M.D</t>
    <phoneticPr fontId="1" type="noConversion"/>
  </si>
  <si>
    <t>V</t>
    <phoneticPr fontId="1" type="noConversion"/>
  </si>
  <si>
    <t>DMF</t>
    <phoneticPr fontId="1" type="noConversion"/>
  </si>
  <si>
    <t>A.P</t>
    <phoneticPr fontId="1" type="noConversion"/>
  </si>
  <si>
    <t>破壞型中場</t>
    <phoneticPr fontId="1" type="noConversion"/>
  </si>
  <si>
    <t>盯人、戰鬥精神</t>
    <phoneticPr fontId="1" type="noConversion"/>
  </si>
  <si>
    <t>M.C</t>
    <phoneticPr fontId="1" type="noConversion"/>
  </si>
  <si>
    <t>W</t>
    <phoneticPr fontId="1" type="noConversion"/>
  </si>
  <si>
    <t>單觸傳球、加重傳球</t>
    <phoneticPr fontId="1" type="noConversion"/>
  </si>
  <si>
    <t>CMF</t>
    <phoneticPr fontId="1" type="noConversion"/>
  </si>
  <si>
    <t>L.M</t>
    <phoneticPr fontId="1" type="noConversion"/>
  </si>
  <si>
    <t>R.B</t>
    <phoneticPr fontId="1" type="noConversion"/>
  </si>
  <si>
    <t>有創意的中場指揮官</t>
    <phoneticPr fontId="1" type="noConversion"/>
  </si>
  <si>
    <t>向後切球並轉身</t>
    <phoneticPr fontId="1" type="noConversion"/>
  </si>
  <si>
    <t>影子前鋒</t>
    <phoneticPr fontId="1" type="noConversion"/>
  </si>
  <si>
    <t>I.R</t>
    <phoneticPr fontId="1" type="noConversion"/>
  </si>
  <si>
    <t>J</t>
    <phoneticPr fontId="1" type="noConversion"/>
  </si>
  <si>
    <t>L.S</t>
    <phoneticPr fontId="1" type="noConversion"/>
  </si>
  <si>
    <t>R</t>
    <phoneticPr fontId="1" type="noConversion"/>
  </si>
  <si>
    <t>傳統十號位置</t>
    <phoneticPr fontId="1" type="noConversion"/>
  </si>
  <si>
    <t>全能中場</t>
    <phoneticPr fontId="1" type="noConversion"/>
  </si>
  <si>
    <t>高產翼鋒</t>
    <phoneticPr fontId="1" type="noConversion"/>
  </si>
  <si>
    <t>RWF</t>
    <phoneticPr fontId="1" type="noConversion"/>
  </si>
  <si>
    <t>首次射球、單觸傳球</t>
    <phoneticPr fontId="1" type="noConversion"/>
  </si>
  <si>
    <t>盯人、隊長</t>
    <phoneticPr fontId="1" type="noConversion"/>
  </si>
  <si>
    <t>K.M</t>
    <phoneticPr fontId="1" type="noConversion"/>
  </si>
  <si>
    <t>牛擺尾</t>
    <phoneticPr fontId="1" type="noConversion"/>
  </si>
  <si>
    <t>M</t>
    <phoneticPr fontId="1" type="noConversion"/>
  </si>
  <si>
    <t>S.M</t>
    <phoneticPr fontId="1" type="noConversion"/>
  </si>
  <si>
    <t>A.M</t>
    <phoneticPr fontId="1" type="noConversion"/>
  </si>
  <si>
    <t>D.M</t>
    <phoneticPr fontId="1" type="noConversion"/>
  </si>
  <si>
    <t>CF</t>
    <phoneticPr fontId="1" type="noConversion"/>
  </si>
  <si>
    <t>偷獵者</t>
    <phoneticPr fontId="1" type="noConversion"/>
  </si>
  <si>
    <t>首次射球</t>
  </si>
  <si>
    <t>目標中鋒</t>
    <phoneticPr fontId="1" type="noConversion"/>
  </si>
  <si>
    <t>K.C</t>
    <phoneticPr fontId="1" type="noConversion"/>
  </si>
  <si>
    <t>T.G</t>
    <phoneticPr fontId="1" type="noConversion"/>
  </si>
  <si>
    <t>S.P</t>
    <phoneticPr fontId="1" type="noConversion"/>
  </si>
  <si>
    <t>剪刀腳假動作、施丹轉身、雜技般入球、單觸傳球、外部弧線球</t>
    <phoneticPr fontId="1" type="noConversion"/>
  </si>
  <si>
    <t>施丹轉身</t>
    <phoneticPr fontId="1" type="noConversion"/>
  </si>
  <si>
    <t>LMF</t>
    <phoneticPr fontId="1" type="noConversion"/>
  </si>
  <si>
    <t>RMF</t>
    <phoneticPr fontId="1" type="noConversion"/>
  </si>
  <si>
    <t>D.C</t>
    <phoneticPr fontId="1" type="noConversion"/>
  </si>
  <si>
    <t>SS</t>
    <phoneticPr fontId="1" type="noConversion"/>
  </si>
  <si>
    <t>向後切球並轉身、單觸傳球、加重傳球、外部弧線球、長距離投擲、壓迫</t>
    <phoneticPr fontId="1" type="noConversion"/>
  </si>
  <si>
    <t>J.M</t>
    <phoneticPr fontId="1" type="noConversion"/>
  </si>
  <si>
    <t>F.B</t>
    <phoneticPr fontId="1" type="noConversion"/>
  </si>
  <si>
    <t>戰鬥精神</t>
  </si>
  <si>
    <t>G.F</t>
    <phoneticPr fontId="1" type="noConversion"/>
  </si>
  <si>
    <t>G.D</t>
    <phoneticPr fontId="1" type="noConversion"/>
  </si>
  <si>
    <t>雜技般入球</t>
  </si>
  <si>
    <t>LWF</t>
    <phoneticPr fontId="1" type="noConversion"/>
  </si>
  <si>
    <t>A.A</t>
    <phoneticPr fontId="1" type="noConversion"/>
  </si>
  <si>
    <t>M.S</t>
    <phoneticPr fontId="1" type="noConversion"/>
  </si>
  <si>
    <t>虛假跑位</t>
    <phoneticPr fontId="1" type="noConversion"/>
  </si>
  <si>
    <t>CB</t>
    <phoneticPr fontId="1" type="noConversion"/>
  </si>
  <si>
    <t>G.C</t>
    <phoneticPr fontId="1" type="noConversion"/>
  </si>
  <si>
    <t>L.B</t>
    <phoneticPr fontId="1" type="noConversion"/>
  </si>
  <si>
    <t>海底撈月、向後切球並轉身、精確橫傳球</t>
    <phoneticPr fontId="1" type="noConversion"/>
  </si>
  <si>
    <t>向後切球並轉身、首次射球、單觸傳球、加重傳球、外部弧線球、隊長、戰鬥精神</t>
    <phoneticPr fontId="1" type="noConversion"/>
  </si>
  <si>
    <t>C</t>
    <phoneticPr fontId="1" type="noConversion"/>
  </si>
  <si>
    <t>D.S</t>
    <phoneticPr fontId="1" type="noConversion"/>
  </si>
  <si>
    <t>N</t>
    <phoneticPr fontId="1" type="noConversion"/>
  </si>
  <si>
    <t>L.D</t>
    <phoneticPr fontId="1" type="noConversion"/>
  </si>
  <si>
    <t>隊長</t>
  </si>
  <si>
    <t>D</t>
    <phoneticPr fontId="1" type="noConversion"/>
  </si>
  <si>
    <t>M.G</t>
    <phoneticPr fontId="1" type="noConversion"/>
  </si>
  <si>
    <t>施丹轉身、向後切球並轉身、戰鬥精神</t>
    <phoneticPr fontId="1" type="noConversion"/>
  </si>
  <si>
    <t>精確橫傳球</t>
    <phoneticPr fontId="1" type="noConversion"/>
  </si>
  <si>
    <t>單觸傳球</t>
  </si>
  <si>
    <t>GK</t>
    <phoneticPr fontId="1" type="noConversion"/>
  </si>
  <si>
    <t>進攻型守門員</t>
    <phoneticPr fontId="1" type="noConversion"/>
  </si>
  <si>
    <t>M</t>
    <phoneticPr fontId="1" type="noConversion"/>
  </si>
  <si>
    <t>K.R</t>
    <phoneticPr fontId="1" type="noConversion"/>
  </si>
  <si>
    <t>施丹轉身</t>
  </si>
  <si>
    <t>F.C</t>
    <phoneticPr fontId="1" type="noConversion"/>
  </si>
  <si>
    <t>C.M</t>
    <phoneticPr fontId="1" type="noConversion"/>
  </si>
  <si>
    <t>H.C</t>
    <phoneticPr fontId="1" type="noConversion"/>
  </si>
  <si>
    <t>W.S</t>
    <phoneticPr fontId="1" type="noConversion"/>
  </si>
  <si>
    <t>M.A</t>
    <phoneticPr fontId="1" type="noConversion"/>
  </si>
  <si>
    <t>D.G</t>
    <phoneticPr fontId="1" type="noConversion"/>
  </si>
  <si>
    <t>外部弧線球</t>
    <phoneticPr fontId="1" type="noConversion"/>
  </si>
  <si>
    <t>禁區之狐</t>
    <phoneticPr fontId="1" type="noConversion"/>
  </si>
  <si>
    <t>AMF</t>
  </si>
  <si>
    <t>M.E</t>
  </si>
  <si>
    <t>單觸傳球、外部弧線球</t>
  </si>
  <si>
    <t>CB</t>
  </si>
  <si>
    <t>P.M</t>
  </si>
  <si>
    <t>內部彈起、雜技般入球、盯人</t>
  </si>
  <si>
    <t>SS</t>
  </si>
  <si>
    <t>雜技般入球、首次射球</t>
  </si>
  <si>
    <t>J.M</t>
  </si>
  <si>
    <t>L.B</t>
  </si>
  <si>
    <t>M.K</t>
  </si>
  <si>
    <t>RB</t>
  </si>
  <si>
    <t>施丹轉身、外部弧線球</t>
  </si>
  <si>
    <t>長距離投擲、盯人、隊長</t>
  </si>
  <si>
    <t>外部弧線球、隊長</t>
  </si>
  <si>
    <t>S.R</t>
  </si>
  <si>
    <t>雜技般入球、盯人、戰鬥精神</t>
  </si>
  <si>
    <t>D.C</t>
  </si>
  <si>
    <t>施丹轉身、海底撈月、向後切球並轉身、單觸傳球、精確橫傳球、外部弧線球</t>
  </si>
  <si>
    <t>長距離投擲、盯人、隊長、戰鬥精神</t>
  </si>
  <si>
    <t>CF</t>
  </si>
  <si>
    <t>B.D</t>
  </si>
  <si>
    <t>雜技般入球、首次射球、加重傳球</t>
  </si>
  <si>
    <t>M.S</t>
  </si>
  <si>
    <t>A.R</t>
  </si>
  <si>
    <t>J</t>
  </si>
  <si>
    <t>M</t>
  </si>
  <si>
    <t>M.D</t>
  </si>
  <si>
    <t>C</t>
  </si>
  <si>
    <t>J.C</t>
  </si>
  <si>
    <t>B</t>
  </si>
  <si>
    <t>I</t>
  </si>
  <si>
    <t>E.M</t>
  </si>
  <si>
    <t>I.M</t>
  </si>
  <si>
    <t>C.A</t>
  </si>
  <si>
    <t>長距離投擲</t>
  </si>
  <si>
    <t>L.J</t>
  </si>
  <si>
    <t>長距離投擲、隊長</t>
  </si>
  <si>
    <t>S.E</t>
  </si>
  <si>
    <t>剪刀腳假動作、施丹轉身、落葉球射門</t>
  </si>
  <si>
    <t>剪刀腳假動作、施丹轉身、向後切球並轉身、首次射球、外部弧線球、壓迫</t>
  </si>
  <si>
    <t>A.M</t>
  </si>
  <si>
    <t>加重傳球、長距離投擲</t>
  </si>
  <si>
    <t>L.C</t>
  </si>
  <si>
    <t>靠山</t>
  </si>
  <si>
    <t>遠距離抽射、長距離投擲、盯人、壓迫</t>
  </si>
  <si>
    <t>J.W</t>
  </si>
  <si>
    <t>向後切球並轉身、單觸傳球、外部弧線球、戰鬥精神</t>
  </si>
  <si>
    <t>M.C</t>
  </si>
  <si>
    <t>位置</t>
  </si>
  <si>
    <t>全部</t>
  </si>
  <si>
    <t>四星以下</t>
  </si>
  <si>
    <t>五星以上</t>
  </si>
  <si>
    <t>T</t>
  </si>
  <si>
    <t>K.S</t>
  </si>
  <si>
    <t>D</t>
  </si>
  <si>
    <t>長距離投擲、盯人</t>
  </si>
  <si>
    <t>B.S</t>
  </si>
  <si>
    <t>精確橫傳球、壓迫</t>
  </si>
  <si>
    <t>O</t>
  </si>
  <si>
    <t>外部弧線球</t>
  </si>
  <si>
    <t>R.R</t>
  </si>
  <si>
    <t>M.L</t>
  </si>
  <si>
    <t>有創意的中場指揮官</t>
  </si>
  <si>
    <t>全能中場</t>
  </si>
  <si>
    <t>破壞型中場</t>
  </si>
  <si>
    <t>F.B</t>
  </si>
  <si>
    <t>剪刀腳假動作、施丹轉身、雜技般入球、單觸傳球、外部弧線球</t>
  </si>
  <si>
    <t>E.C</t>
  </si>
  <si>
    <t>精確橫傳球、戰鬥精神</t>
  </si>
  <si>
    <t>盯人、戰鬥精神</t>
  </si>
  <si>
    <t>GK 長距離投擲 、隊長、戰鬥精神</t>
  </si>
  <si>
    <t>I.D</t>
  </si>
  <si>
    <t>單觸傳球、加重傳球</t>
  </si>
  <si>
    <t>單觸傳球、壓迫</t>
  </si>
  <si>
    <t>E.H</t>
  </si>
  <si>
    <t>落葉球射門、加重傳球、盯人</t>
  </si>
  <si>
    <t>M.M</t>
  </si>
  <si>
    <t>A</t>
  </si>
  <si>
    <t>剪刀腳假動作、雜技般入球</t>
  </si>
  <si>
    <t>落葉球射門、加重傳球、精確橫傳球</t>
  </si>
  <si>
    <t>落葉球射門、精確橫傳球、長距離投擲、隊長</t>
  </si>
  <si>
    <t>五星</t>
  </si>
  <si>
    <t>六星</t>
  </si>
  <si>
    <t>七星</t>
  </si>
  <si>
    <t>M.B</t>
  </si>
  <si>
    <t>G.B</t>
  </si>
  <si>
    <t>向後切球並轉身</t>
  </si>
  <si>
    <t>加重傳球、盯人、壓迫、戰鬥精神</t>
  </si>
  <si>
    <t>J.V</t>
  </si>
  <si>
    <t>P.Z</t>
  </si>
  <si>
    <t>A.A</t>
  </si>
  <si>
    <t>雜技般入球、加重傳球</t>
  </si>
  <si>
    <t>J.H</t>
  </si>
  <si>
    <t>進攻型後衛</t>
  </si>
  <si>
    <t>S.Z</t>
  </si>
  <si>
    <t>C.J</t>
  </si>
  <si>
    <t>K</t>
  </si>
  <si>
    <t>向後切球並轉身、單觸傳球、加重傳球、戰鬥精神</t>
  </si>
  <si>
    <t>剪刀腳假動作、精確橫傳球、壓迫、戰鬥精神</t>
  </si>
  <si>
    <t>向後切球並轉身、單觸傳球、加重傳球、精確橫傳球、外部弧線球</t>
  </si>
  <si>
    <t>遠距離抽射、落葉球射門</t>
  </si>
  <si>
    <t>R.K</t>
  </si>
  <si>
    <t>雜技般入球、隊長</t>
  </si>
  <si>
    <t>C.F</t>
  </si>
  <si>
    <t>精確橫傳球、長距離投擲、隊長</t>
  </si>
  <si>
    <t>H.C</t>
  </si>
  <si>
    <t>遠距離抽射、落葉球射門、精確橫傳球</t>
  </si>
  <si>
    <t>落葉球射門、戰鬥精神</t>
  </si>
  <si>
    <t>P.E</t>
  </si>
  <si>
    <t>S.V</t>
  </si>
  <si>
    <t>S.M</t>
  </si>
  <si>
    <t>N.C</t>
  </si>
  <si>
    <t>精確橫傳球、外部弧線球</t>
  </si>
  <si>
    <t>F.C</t>
  </si>
  <si>
    <t>剪刀腳假動作、牛擺尾、外部弧線球</t>
  </si>
  <si>
    <t>B.E</t>
  </si>
  <si>
    <t>牛擺尾</t>
  </si>
  <si>
    <t>精確橫傳球</t>
  </si>
  <si>
    <t>A.S</t>
  </si>
  <si>
    <t>首次射球、戰鬥精神</t>
  </si>
  <si>
    <t>剪刀腳假動作、</t>
  </si>
  <si>
    <t>牛擺尾、</t>
  </si>
  <si>
    <t>施丹轉身、</t>
  </si>
  <si>
    <t>海底撈月、</t>
  </si>
  <si>
    <t>向後切球並轉身、</t>
  </si>
  <si>
    <t>內部彈起、</t>
  </si>
  <si>
    <t>遠距離抽射、</t>
  </si>
  <si>
    <t>落葉球射門、</t>
  </si>
  <si>
    <t>雜技般入球、</t>
  </si>
  <si>
    <t>單觸傳球、</t>
  </si>
  <si>
    <t>加重傳球、</t>
  </si>
  <si>
    <t>精確橫傳球、</t>
  </si>
  <si>
    <t>外部弧線球、</t>
  </si>
  <si>
    <t>低軌跡球、</t>
  </si>
  <si>
    <t>長距離投擲、</t>
  </si>
  <si>
    <t>GK長距離投擲、</t>
  </si>
  <si>
    <t>盯人、</t>
  </si>
  <si>
    <t>壓迫、</t>
  </si>
  <si>
    <t>隊長、</t>
  </si>
  <si>
    <t>超級候補、</t>
  </si>
  <si>
    <t>S.F</t>
  </si>
  <si>
    <t>遠距離抽射、外部弧線球、超級候補</t>
  </si>
  <si>
    <t>外部弧線球、超級候補</t>
  </si>
  <si>
    <t>GK 長距離投擲</t>
  </si>
  <si>
    <t>低軌跡球、GK 長距離投擲</t>
  </si>
  <si>
    <t>L.T</t>
  </si>
  <si>
    <t>防守型後衛</t>
  </si>
  <si>
    <t>盯人、隊長、戰鬥精神</t>
  </si>
  <si>
    <t>A.B</t>
  </si>
  <si>
    <t>G.W</t>
  </si>
  <si>
    <t>剪刀腳假動作、施丹轉身</t>
  </si>
  <si>
    <t>D.N</t>
  </si>
  <si>
    <t>F.G</t>
  </si>
  <si>
    <t>M.F</t>
  </si>
  <si>
    <t>E.B</t>
  </si>
  <si>
    <t>K.A</t>
  </si>
  <si>
    <t>剪刀腳假動作、雜技般入球、外部弧線球</t>
  </si>
  <si>
    <t>A.D</t>
  </si>
  <si>
    <t>施丹轉身、向後切球並轉身、雜技般入球、外部弧線球、隊長</t>
  </si>
  <si>
    <t>剪刀腳假動作、牛擺尾、施丹轉身、精確橫傳球、外部弧線球</t>
  </si>
  <si>
    <t>盯人、隊長</t>
  </si>
  <si>
    <t>B.C</t>
  </si>
  <si>
    <t>R.B</t>
  </si>
  <si>
    <t>剪刀腳假動作</t>
  </si>
  <si>
    <t>J.B</t>
  </si>
  <si>
    <t>D.O</t>
  </si>
  <si>
    <t>LMF</t>
  </si>
  <si>
    <t>V.D</t>
  </si>
  <si>
    <t>加重傳球、盯人、壓迫</t>
  </si>
  <si>
    <t>W.R</t>
  </si>
  <si>
    <t>F</t>
  </si>
  <si>
    <t>J.O</t>
  </si>
  <si>
    <t>W.C</t>
  </si>
  <si>
    <t>M.G</t>
  </si>
  <si>
    <t>向後切球並轉身、雜技般入球、單觸傳球</t>
  </si>
  <si>
    <t>R.S</t>
  </si>
  <si>
    <t>RB</t>
    <phoneticPr fontId="1" type="noConversion"/>
  </si>
  <si>
    <t>S.A</t>
    <phoneticPr fontId="1" type="noConversion"/>
  </si>
  <si>
    <t>S.C</t>
    <phoneticPr fontId="1" type="noConversion"/>
  </si>
  <si>
    <t>單觸傳球、加重傳球</t>
    <phoneticPr fontId="1" type="noConversion"/>
  </si>
  <si>
    <t>CMF</t>
    <phoneticPr fontId="1" type="noConversion"/>
  </si>
  <si>
    <t>A.V</t>
    <phoneticPr fontId="1" type="noConversion"/>
  </si>
  <si>
    <t>施丹轉身、遠距離抽射、落葉球射門、雜技般入球、外部弧線球</t>
    <phoneticPr fontId="1" type="noConversion"/>
  </si>
  <si>
    <t>牛擺尾、施丹轉身、向後切球並轉身、雜技般入球、單觸傳球、外部弧線球</t>
    <phoneticPr fontId="1" type="noConversion"/>
  </si>
  <si>
    <t>隊長、戰鬥精神</t>
    <phoneticPr fontId="1" type="noConversion"/>
  </si>
  <si>
    <t>落葉球射門、首次射球、單觸傳球、隊長、戰鬥精神</t>
    <phoneticPr fontId="1" type="noConversion"/>
  </si>
  <si>
    <t>CF</t>
    <phoneticPr fontId="1" type="noConversion"/>
  </si>
  <si>
    <t>O.G</t>
    <phoneticPr fontId="1" type="noConversion"/>
  </si>
  <si>
    <t>遠距離抽射、雜技般入球、首次射球、單觸傳球、壓迫、戰鬥精神</t>
    <phoneticPr fontId="1" type="noConversion"/>
  </si>
  <si>
    <t>雜技般入球、首次射球、單觸傳球、壓迫、戰鬥精神</t>
    <phoneticPr fontId="1" type="noConversion"/>
  </si>
  <si>
    <t>M.S</t>
    <phoneticPr fontId="1" type="noConversion"/>
  </si>
  <si>
    <t>LB</t>
    <phoneticPr fontId="1" type="noConversion"/>
  </si>
  <si>
    <t>R.C</t>
    <phoneticPr fontId="1" type="noConversion"/>
  </si>
  <si>
    <t>加重傳球、精確橫傳球、盯人</t>
    <phoneticPr fontId="1" type="noConversion"/>
  </si>
  <si>
    <t>施丹轉身、海底撈月、向後切球並轉身、單觸傳球、精確橫傳球、外部弧線球</t>
    <phoneticPr fontId="1" type="noConversion"/>
  </si>
  <si>
    <t>單觸傳球、精確橫傳球、長距離投擲、盯人</t>
    <phoneticPr fontId="1" type="noConversion"/>
  </si>
  <si>
    <t>落葉球射門、精確橫傳球、外部弧線球、長距離投擲</t>
    <phoneticPr fontId="1" type="noConversion"/>
  </si>
  <si>
    <t>A.K</t>
    <phoneticPr fontId="1" type="noConversion"/>
  </si>
  <si>
    <t>DMF</t>
    <phoneticPr fontId="1" type="noConversion"/>
  </si>
  <si>
    <t>L</t>
    <phoneticPr fontId="1" type="noConversion"/>
  </si>
  <si>
    <t>CB</t>
    <phoneticPr fontId="1" type="noConversion"/>
  </si>
  <si>
    <t>H.M</t>
    <phoneticPr fontId="1" type="noConversion"/>
  </si>
  <si>
    <t>CF</t>
    <phoneticPr fontId="1" type="noConversion"/>
  </si>
  <si>
    <t>M</t>
    <phoneticPr fontId="1" type="noConversion"/>
  </si>
  <si>
    <t>C.B</t>
    <phoneticPr fontId="1" type="noConversion"/>
  </si>
  <si>
    <t>向後切球並轉身、內部彈起、首次射球、單觸傳球、外部弧線球、超級候補</t>
    <phoneticPr fontId="1" type="noConversion"/>
  </si>
  <si>
    <t>RMF</t>
    <phoneticPr fontId="1" type="noConversion"/>
  </si>
  <si>
    <t>A.F</t>
    <phoneticPr fontId="1" type="noConversion"/>
  </si>
  <si>
    <t>雜技般入球、隊長、超級候補、戰鬥精神</t>
    <phoneticPr fontId="1" type="noConversion"/>
  </si>
  <si>
    <t>AMF</t>
    <phoneticPr fontId="1" type="noConversion"/>
  </si>
  <si>
    <t>R.P</t>
    <phoneticPr fontId="1" type="noConversion"/>
  </si>
  <si>
    <t>DMF</t>
    <phoneticPr fontId="1" type="noConversion"/>
  </si>
  <si>
    <t>J.K</t>
    <phoneticPr fontId="1" type="noConversion"/>
  </si>
  <si>
    <t>LB</t>
    <phoneticPr fontId="1" type="noConversion"/>
  </si>
  <si>
    <t>LMF</t>
    <phoneticPr fontId="1" type="noConversion"/>
  </si>
  <si>
    <t>F.R</t>
    <phoneticPr fontId="1" type="noConversion"/>
  </si>
  <si>
    <t>剪刀腳假動作、牛擺尾、施丹轉身、向後切球並轉身、內部彈起、戰鬥精神</t>
    <phoneticPr fontId="1" type="noConversion"/>
  </si>
  <si>
    <t>A.M</t>
    <phoneticPr fontId="1" type="noConversion"/>
  </si>
  <si>
    <t>加重傳球、精確橫傳球、盯人</t>
    <phoneticPr fontId="1" type="noConversion"/>
  </si>
  <si>
    <t>加重傳球、長距離投擲</t>
    <phoneticPr fontId="1" type="noConversion"/>
  </si>
  <si>
    <t>L.S</t>
    <phoneticPr fontId="1" type="noConversion"/>
  </si>
  <si>
    <t>向後切球並轉身</t>
    <phoneticPr fontId="1" type="noConversion"/>
  </si>
  <si>
    <t>J.F</t>
    <phoneticPr fontId="1" type="noConversion"/>
  </si>
  <si>
    <t>R</t>
    <phoneticPr fontId="1" type="noConversion"/>
  </si>
  <si>
    <t>施丹轉身、雜技般入球、首次射球、超級候補</t>
    <phoneticPr fontId="1" type="noConversion"/>
  </si>
  <si>
    <t>向後切球並轉身、雜技般入球、首次射球</t>
    <phoneticPr fontId="1" type="noConversion"/>
  </si>
  <si>
    <t>S</t>
    <phoneticPr fontId="1" type="noConversion"/>
  </si>
  <si>
    <t>F.C</t>
    <phoneticPr fontId="1" type="noConversion"/>
  </si>
  <si>
    <t>剪刀腳假動作、牛擺尾、外部弧線球</t>
    <phoneticPr fontId="1" type="noConversion"/>
  </si>
  <si>
    <t>CB</t>
    <phoneticPr fontId="1" type="noConversion"/>
  </si>
  <si>
    <t>G.S</t>
    <phoneticPr fontId="1" type="noConversion"/>
  </si>
  <si>
    <t>K</t>
    <phoneticPr fontId="1" type="noConversion"/>
  </si>
  <si>
    <t>D.D</t>
    <phoneticPr fontId="1" type="noConversion"/>
  </si>
  <si>
    <t>CB</t>
    <phoneticPr fontId="1" type="noConversion"/>
  </si>
  <si>
    <t>D.L</t>
    <phoneticPr fontId="1" type="noConversion"/>
  </si>
  <si>
    <t>盯人、戰鬥精神</t>
    <phoneticPr fontId="1" type="noConversion"/>
  </si>
  <si>
    <t>施丹轉身、落葉球射門、雜技般入球、長距離投擲、盯人、戰鬥精神</t>
    <phoneticPr fontId="1" type="noConversion"/>
  </si>
  <si>
    <t>RB</t>
    <phoneticPr fontId="1" type="noConversion"/>
  </si>
  <si>
    <t>J.G</t>
    <phoneticPr fontId="1" type="noConversion"/>
  </si>
  <si>
    <t>長距離投擲、隊長</t>
    <phoneticPr fontId="1" type="noConversion"/>
  </si>
  <si>
    <t>LB</t>
    <phoneticPr fontId="1" type="noConversion"/>
  </si>
  <si>
    <t>V.G</t>
    <phoneticPr fontId="1" type="noConversion"/>
  </si>
  <si>
    <t>RWF</t>
    <phoneticPr fontId="1" type="noConversion"/>
  </si>
  <si>
    <t>J.I</t>
    <phoneticPr fontId="1" type="noConversion"/>
  </si>
  <si>
    <t>剪刀腳假動作、向後切球並轉身、落葉球射門、</t>
    <phoneticPr fontId="1" type="noConversion"/>
  </si>
  <si>
    <t>GK</t>
    <phoneticPr fontId="1" type="noConversion"/>
  </si>
  <si>
    <t>M.T</t>
    <phoneticPr fontId="1" type="noConversion"/>
  </si>
  <si>
    <t>CB</t>
    <phoneticPr fontId="1" type="noConversion"/>
  </si>
  <si>
    <t>M.S</t>
    <phoneticPr fontId="1" type="noConversion"/>
  </si>
  <si>
    <t>防守型後衛</t>
    <phoneticPr fontId="1" type="noConversion"/>
  </si>
  <si>
    <t>盯人、隊長、戰鬥精神</t>
    <phoneticPr fontId="1" type="noConversion"/>
  </si>
  <si>
    <t>CMF</t>
    <phoneticPr fontId="1" type="noConversion"/>
  </si>
  <si>
    <t>T</t>
    <phoneticPr fontId="1" type="noConversion"/>
  </si>
  <si>
    <t>雜技般入球、戰鬥精神</t>
    <phoneticPr fontId="1" type="noConversion"/>
  </si>
  <si>
    <t>S.N</t>
    <phoneticPr fontId="1" type="noConversion"/>
  </si>
  <si>
    <t>L</t>
    <phoneticPr fontId="1" type="noConversion"/>
  </si>
  <si>
    <t>CF</t>
    <phoneticPr fontId="1" type="noConversion"/>
  </si>
  <si>
    <t>M.K</t>
    <phoneticPr fontId="1" type="noConversion"/>
  </si>
  <si>
    <t>內部彈起、首次射球、隊長</t>
    <phoneticPr fontId="1" type="noConversion"/>
  </si>
  <si>
    <t>內部彈起、首次射球</t>
  </si>
  <si>
    <t>RMF</t>
    <phoneticPr fontId="1" type="noConversion"/>
  </si>
  <si>
    <t>S.P</t>
    <phoneticPr fontId="1" type="noConversion"/>
  </si>
  <si>
    <t>H.Z</t>
    <phoneticPr fontId="1" type="noConversion"/>
  </si>
  <si>
    <t>遠距離抽射</t>
  </si>
  <si>
    <t>DMF</t>
    <phoneticPr fontId="1" type="noConversion"/>
  </si>
  <si>
    <t>V.W</t>
    <phoneticPr fontId="1" type="noConversion"/>
  </si>
  <si>
    <t>CB</t>
    <phoneticPr fontId="1" type="noConversion"/>
  </si>
  <si>
    <t>Y.K</t>
    <phoneticPr fontId="1" type="noConversion"/>
  </si>
  <si>
    <t>RB</t>
    <phoneticPr fontId="1" type="noConversion"/>
  </si>
  <si>
    <t>S.A</t>
    <phoneticPr fontId="1" type="noConversion"/>
  </si>
  <si>
    <t>施丹轉身、盯人</t>
    <phoneticPr fontId="1" type="noConversion"/>
  </si>
  <si>
    <t>LMF</t>
    <phoneticPr fontId="1" type="noConversion"/>
  </si>
  <si>
    <t>T.G</t>
    <phoneticPr fontId="1" type="noConversion"/>
  </si>
  <si>
    <t>剪刀腳假動作、施丹轉身、海底撈月、向後切球並轉身、內部彈起、首次射球、加重傳球、外部弧線球</t>
    <phoneticPr fontId="1" type="noConversion"/>
  </si>
  <si>
    <t>M.R</t>
    <phoneticPr fontId="1" type="noConversion"/>
  </si>
  <si>
    <t>雜技般入球、首次射球、加重傳球、外部弧線球、隊長</t>
  </si>
  <si>
    <t>LWF</t>
    <phoneticPr fontId="1" type="noConversion"/>
  </si>
  <si>
    <t>J</t>
    <phoneticPr fontId="1" type="noConversion"/>
  </si>
  <si>
    <t>施丹轉身、海底撈月、精確橫傳球、壓迫</t>
  </si>
  <si>
    <t>GK</t>
    <phoneticPr fontId="1" type="noConversion"/>
  </si>
  <si>
    <t>K.A</t>
    <phoneticPr fontId="1" type="noConversion"/>
  </si>
  <si>
    <t>CB</t>
    <phoneticPr fontId="1" type="noConversion"/>
  </si>
  <si>
    <t>R.V</t>
    <phoneticPr fontId="1" type="noConversion"/>
  </si>
  <si>
    <t>晚成</t>
    <phoneticPr fontId="1" type="noConversion"/>
  </si>
  <si>
    <t>遠距離抽射、隊長、戰鬥精神</t>
    <phoneticPr fontId="1" type="noConversion"/>
  </si>
  <si>
    <t>中距離射門</t>
    <phoneticPr fontId="1" type="noConversion"/>
  </si>
  <si>
    <t>LMF</t>
    <phoneticPr fontId="1" type="noConversion"/>
  </si>
  <si>
    <t>E.H</t>
    <phoneticPr fontId="1" type="noConversion"/>
  </si>
  <si>
    <t>影子前鋒</t>
    <phoneticPr fontId="1" type="noConversion"/>
  </si>
  <si>
    <t>剪刀腳假動作、向後切球並轉身、內部彈起、單觸傳球</t>
    <phoneticPr fontId="1" type="noConversion"/>
  </si>
  <si>
    <t>CB</t>
    <phoneticPr fontId="1" type="noConversion"/>
  </si>
  <si>
    <t>DMF</t>
    <phoneticPr fontId="1" type="noConversion"/>
  </si>
  <si>
    <t>DMF</t>
    <phoneticPr fontId="1" type="noConversion"/>
  </si>
  <si>
    <t>DMF</t>
    <phoneticPr fontId="1" type="noConversion"/>
  </si>
  <si>
    <t>CMF</t>
    <phoneticPr fontId="1" type="noConversion"/>
  </si>
  <si>
    <t>AMF</t>
    <phoneticPr fontId="1" type="noConversion"/>
  </si>
  <si>
    <t>RMF</t>
    <phoneticPr fontId="1" type="noConversion"/>
  </si>
  <si>
    <t>AMF</t>
    <phoneticPr fontId="1" type="noConversion"/>
  </si>
  <si>
    <t>CF</t>
    <phoneticPr fontId="1" type="noConversion"/>
  </si>
  <si>
    <t>RWF</t>
    <phoneticPr fontId="1" type="noConversion"/>
  </si>
  <si>
    <t>LMF</t>
    <phoneticPr fontId="1" type="noConversion"/>
  </si>
  <si>
    <t>LWF</t>
    <phoneticPr fontId="1" type="noConversion"/>
  </si>
  <si>
    <t>GK</t>
    <phoneticPr fontId="1" type="noConversion"/>
  </si>
  <si>
    <t>M.P</t>
    <phoneticPr fontId="1" type="noConversion"/>
  </si>
  <si>
    <t>防守型守門員</t>
    <phoneticPr fontId="1" type="noConversion"/>
  </si>
  <si>
    <t>M.L</t>
    <phoneticPr fontId="1" type="noConversion"/>
  </si>
  <si>
    <t>S.M</t>
    <phoneticPr fontId="1" type="noConversion"/>
  </si>
  <si>
    <t>M.T</t>
    <phoneticPr fontId="1" type="noConversion"/>
  </si>
  <si>
    <t>R.V</t>
    <phoneticPr fontId="1" type="noConversion"/>
  </si>
  <si>
    <t>F</t>
    <phoneticPr fontId="1" type="noConversion"/>
  </si>
  <si>
    <t>GK</t>
    <phoneticPr fontId="1" type="noConversion"/>
  </si>
  <si>
    <t>V.M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</si>
  <si>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</si>
  <si>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</si>
  <si>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</si>
  <si>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04</t>
    <phoneticPr fontId="1" type="noConversion"/>
  </si>
  <si>
    <t>05</t>
    <phoneticPr fontId="1" type="noConversion"/>
  </si>
  <si>
    <t>06</t>
    <phoneticPr fontId="1" type="noConversion"/>
  </si>
  <si>
    <t>07</t>
    <phoneticPr fontId="1" type="noConversion"/>
  </si>
  <si>
    <t>08</t>
    <phoneticPr fontId="1" type="noConversion"/>
  </si>
  <si>
    <t>09</t>
    <phoneticPr fontId="1" type="noConversion"/>
  </si>
  <si>
    <t>首次射球、</t>
  </si>
  <si>
    <t>戰鬥精神、</t>
  </si>
  <si>
    <t>GK</t>
    <phoneticPr fontId="1" type="noConversion"/>
  </si>
  <si>
    <t>J</t>
    <phoneticPr fontId="1" type="noConversion"/>
  </si>
  <si>
    <t>標準成長</t>
    <phoneticPr fontId="1" type="noConversion"/>
  </si>
  <si>
    <t>GK</t>
    <phoneticPr fontId="1" type="noConversion"/>
  </si>
  <si>
    <t>R</t>
    <phoneticPr fontId="1" type="noConversion"/>
  </si>
  <si>
    <t>晚成</t>
    <phoneticPr fontId="1" type="noConversion"/>
  </si>
  <si>
    <t>早熟</t>
    <phoneticPr fontId="1" type="noConversion"/>
  </si>
  <si>
    <t>盯人、</t>
    <phoneticPr fontId="1" type="noConversion"/>
  </si>
  <si>
    <t>GK長距離投擲、隊長</t>
    <phoneticPr fontId="1" type="noConversion"/>
  </si>
  <si>
    <t>低軌跡球、GK長距離投擲</t>
    <phoneticPr fontId="1" type="noConversion"/>
  </si>
  <si>
    <t>遠距離抽射</t>
    <phoneticPr fontId="1" type="noConversion"/>
  </si>
  <si>
    <t>隊長</t>
    <phoneticPr fontId="1" type="noConversion"/>
  </si>
  <si>
    <t>GK</t>
    <phoneticPr fontId="1" type="noConversion"/>
  </si>
  <si>
    <t>R.B</t>
    <phoneticPr fontId="1" type="noConversion"/>
  </si>
  <si>
    <t>標準成長</t>
    <phoneticPr fontId="1" type="noConversion"/>
  </si>
  <si>
    <t>CB</t>
    <phoneticPr fontId="1" type="noConversion"/>
  </si>
  <si>
    <t>F.A</t>
    <phoneticPr fontId="1" type="noConversion"/>
  </si>
  <si>
    <t>標準成長</t>
    <phoneticPr fontId="1" type="noConversion"/>
  </si>
  <si>
    <t>GK</t>
    <phoneticPr fontId="1" type="noConversion"/>
  </si>
  <si>
    <t>A</t>
    <phoneticPr fontId="1" type="noConversion"/>
  </si>
  <si>
    <t>防守型守門員</t>
    <phoneticPr fontId="1" type="noConversion"/>
  </si>
  <si>
    <t>標準成長</t>
    <phoneticPr fontId="1" type="noConversion"/>
  </si>
  <si>
    <t>CF</t>
    <phoneticPr fontId="1" type="noConversion"/>
  </si>
  <si>
    <t>N.D</t>
    <phoneticPr fontId="1" type="noConversion"/>
  </si>
  <si>
    <t>遠距離抽射</t>
    <phoneticPr fontId="1" type="noConversion"/>
  </si>
  <si>
    <t>標準成長</t>
    <phoneticPr fontId="1" type="noConversion"/>
  </si>
  <si>
    <t>中距離射門</t>
    <phoneticPr fontId="1" type="noConversion"/>
  </si>
  <si>
    <t>AMF</t>
    <phoneticPr fontId="1" type="noConversion"/>
  </si>
  <si>
    <t>Z</t>
    <phoneticPr fontId="1" type="noConversion"/>
  </si>
  <si>
    <t>外部弧線球、隊長、戰鬥精神</t>
    <phoneticPr fontId="1" type="noConversion"/>
  </si>
  <si>
    <t>標準成長</t>
    <phoneticPr fontId="1" type="noConversion"/>
  </si>
  <si>
    <t>GK</t>
    <phoneticPr fontId="1" type="noConversion"/>
  </si>
  <si>
    <t>B.T</t>
    <phoneticPr fontId="1" type="noConversion"/>
  </si>
  <si>
    <t>進攻型後衛</t>
    <phoneticPr fontId="1" type="noConversion"/>
  </si>
  <si>
    <t>盤球（和假動作）、盤球（和轉身）、盤球（向前突破）、盤球（內切）</t>
    <phoneticPr fontId="1" type="noConversion"/>
  </si>
  <si>
    <t>盤球（和假動作）、</t>
    <phoneticPr fontId="1" type="noConversion"/>
  </si>
  <si>
    <t>盤球（和轉身）、</t>
    <phoneticPr fontId="1" type="noConversion"/>
  </si>
  <si>
    <t>盤球（向前突破）、</t>
    <phoneticPr fontId="1" type="noConversion"/>
  </si>
  <si>
    <t>盤球（內切）、</t>
    <phoneticPr fontId="1" type="noConversion"/>
  </si>
  <si>
    <t>快傳、</t>
    <phoneticPr fontId="1" type="noConversion"/>
  </si>
  <si>
    <t>盤球（和轉身）、盤球（向前突破）、快傳</t>
    <phoneticPr fontId="1" type="noConversion"/>
  </si>
  <si>
    <t>單觸傳球、精確橫傳球</t>
    <phoneticPr fontId="1" type="noConversion"/>
  </si>
  <si>
    <t>標準成長</t>
    <phoneticPr fontId="1" type="noConversion"/>
  </si>
  <si>
    <t>RB</t>
    <phoneticPr fontId="1" type="noConversion"/>
  </si>
  <si>
    <t>G.S</t>
    <phoneticPr fontId="1" type="noConversion"/>
  </si>
  <si>
    <t>早熟</t>
    <phoneticPr fontId="1" type="noConversion"/>
  </si>
  <si>
    <t>K.V</t>
    <phoneticPr fontId="1" type="noConversion"/>
  </si>
  <si>
    <t>進攻型守門員</t>
    <phoneticPr fontId="1" type="noConversion"/>
  </si>
  <si>
    <t>低軌跡球</t>
    <phoneticPr fontId="1" type="noConversion"/>
  </si>
  <si>
    <t>R.B</t>
    <phoneticPr fontId="1" type="noConversion"/>
  </si>
  <si>
    <t>N.K</t>
    <phoneticPr fontId="1" type="noConversion"/>
  </si>
  <si>
    <t>雜技般入球、首次射球、壓迫、戰鬥精神</t>
    <phoneticPr fontId="1" type="noConversion"/>
  </si>
  <si>
    <t>RWF</t>
    <phoneticPr fontId="1" type="noConversion"/>
  </si>
  <si>
    <t>J.A</t>
    <phoneticPr fontId="1" type="noConversion"/>
  </si>
  <si>
    <t>標準成長</t>
    <phoneticPr fontId="1" type="noConversion"/>
  </si>
  <si>
    <t>CF</t>
    <phoneticPr fontId="1" type="noConversion"/>
  </si>
  <si>
    <t>R.F</t>
    <phoneticPr fontId="1" type="noConversion"/>
  </si>
  <si>
    <t>施丹轉身、雜技般入球、首次射球</t>
    <phoneticPr fontId="1" type="noConversion"/>
  </si>
  <si>
    <t>標準成長</t>
    <phoneticPr fontId="1" type="noConversion"/>
  </si>
  <si>
    <t>RMF</t>
    <phoneticPr fontId="1" type="noConversion"/>
  </si>
  <si>
    <t>L</t>
    <phoneticPr fontId="1" type="noConversion"/>
  </si>
  <si>
    <t>全能中場</t>
    <phoneticPr fontId="1" type="noConversion"/>
  </si>
  <si>
    <t>單觸傳球、壓迫、隊長、戰鬥精神</t>
    <phoneticPr fontId="1" type="noConversion"/>
  </si>
  <si>
    <t>標準成長</t>
    <phoneticPr fontId="1" type="noConversion"/>
  </si>
  <si>
    <t>長傳、</t>
    <phoneticPr fontId="1" type="noConversion"/>
  </si>
  <si>
    <t>盤球（向前突破）、中距離射</t>
    <phoneticPr fontId="1" type="noConversion"/>
  </si>
  <si>
    <t>盤球（和假動作）、長傳</t>
    <phoneticPr fontId="1" type="noConversion"/>
  </si>
  <si>
    <t>中距離射</t>
    <phoneticPr fontId="1" type="noConversion"/>
  </si>
  <si>
    <t>盤球（和假動作）、盤球（和轉身）、盤球（內切）</t>
    <phoneticPr fontId="1" type="noConversion"/>
  </si>
  <si>
    <t>盤球（內切）</t>
    <phoneticPr fontId="1" type="noConversion"/>
  </si>
  <si>
    <t>CF</t>
    <phoneticPr fontId="1" type="noConversion"/>
  </si>
  <si>
    <t>I.S</t>
    <phoneticPr fontId="1" type="noConversion"/>
  </si>
  <si>
    <t>禁區之狐</t>
    <phoneticPr fontId="1" type="noConversion"/>
  </si>
  <si>
    <t>首次射球、戰鬥精神</t>
    <phoneticPr fontId="1" type="noConversion"/>
  </si>
  <si>
    <t>標準成長</t>
    <phoneticPr fontId="1" type="noConversion"/>
  </si>
  <si>
    <t>AMF</t>
    <phoneticPr fontId="1" type="noConversion"/>
  </si>
  <si>
    <t>傳統十號位置</t>
    <phoneticPr fontId="1" type="noConversion"/>
  </si>
  <si>
    <t>盤球（和轉身）、盤球（內切）</t>
    <phoneticPr fontId="1" type="noConversion"/>
  </si>
  <si>
    <t>施丹轉身、海底撈月、向後切球並轉身、內部彈起、雜技般入球、單觸傳球</t>
    <phoneticPr fontId="1" type="noConversion"/>
  </si>
  <si>
    <t>CMF</t>
    <phoneticPr fontId="1" type="noConversion"/>
  </si>
  <si>
    <t>S</t>
    <phoneticPr fontId="1" type="noConversion"/>
  </si>
  <si>
    <t>影子前鋒</t>
    <phoneticPr fontId="1" type="noConversion"/>
  </si>
  <si>
    <t>盤球（和假動作）</t>
    <phoneticPr fontId="1" type="noConversion"/>
  </si>
  <si>
    <t>單觸傳球、精確橫傳球</t>
    <phoneticPr fontId="1" type="noConversion"/>
  </si>
  <si>
    <t>晚成</t>
    <phoneticPr fontId="1" type="noConversion"/>
  </si>
  <si>
    <t>RB</t>
    <phoneticPr fontId="1" type="noConversion"/>
  </si>
  <si>
    <t>CF</t>
    <phoneticPr fontId="1" type="noConversion"/>
  </si>
  <si>
    <t>CMF</t>
    <phoneticPr fontId="1" type="noConversion"/>
  </si>
  <si>
    <t>LB</t>
    <phoneticPr fontId="1" type="noConversion"/>
  </si>
  <si>
    <t>DMF</t>
    <phoneticPr fontId="1" type="noConversion"/>
  </si>
  <si>
    <t>CB</t>
    <phoneticPr fontId="1" type="noConversion"/>
  </si>
  <si>
    <t>CF</t>
    <phoneticPr fontId="1" type="noConversion"/>
  </si>
  <si>
    <t>K.G</t>
    <phoneticPr fontId="1" type="noConversion"/>
  </si>
  <si>
    <t>偷獵者</t>
    <phoneticPr fontId="1" type="noConversion"/>
  </si>
  <si>
    <t>盤球（和轉身）、盤球（向前突破）、盤球（內切）</t>
    <phoneticPr fontId="1" type="noConversion"/>
  </si>
  <si>
    <t>雜技般入球、壓迫、超級候補</t>
    <phoneticPr fontId="1" type="noConversion"/>
  </si>
  <si>
    <t>標準成長</t>
    <phoneticPr fontId="1" type="noConversion"/>
  </si>
  <si>
    <t>SS</t>
    <phoneticPr fontId="1" type="noConversion"/>
  </si>
  <si>
    <t>R.P</t>
    <phoneticPr fontId="1" type="noConversion"/>
  </si>
  <si>
    <t>偷獵者</t>
    <phoneticPr fontId="1" type="noConversion"/>
  </si>
  <si>
    <t>盤球（和轉身）、盤球（內切）</t>
    <phoneticPr fontId="1" type="noConversion"/>
  </si>
  <si>
    <t>首次射球、壓迫</t>
    <phoneticPr fontId="1" type="noConversion"/>
  </si>
  <si>
    <t>晚成</t>
    <phoneticPr fontId="1" type="noConversion"/>
  </si>
  <si>
    <t>CMF</t>
    <phoneticPr fontId="1" type="noConversion"/>
  </si>
  <si>
    <t>V.B</t>
    <phoneticPr fontId="1" type="noConversion"/>
  </si>
  <si>
    <t>建立</t>
    <phoneticPr fontId="1" type="noConversion"/>
  </si>
  <si>
    <t>長傳、中距離射</t>
    <phoneticPr fontId="1" type="noConversion"/>
  </si>
  <si>
    <t>標準成長</t>
    <phoneticPr fontId="1" type="noConversion"/>
  </si>
  <si>
    <t>RWF</t>
    <phoneticPr fontId="1" type="noConversion"/>
  </si>
  <si>
    <t>A.C</t>
    <phoneticPr fontId="1" type="noConversion"/>
  </si>
  <si>
    <t>盤球（向前突破）、盤球（內切）、快傳、中距離射</t>
    <phoneticPr fontId="1" type="noConversion"/>
  </si>
  <si>
    <t>剪刀腳假動作、內部彈起、遠距離抽射、首次射球、外部弧線球</t>
    <phoneticPr fontId="1" type="noConversion"/>
  </si>
  <si>
    <t>標準成長</t>
    <phoneticPr fontId="1" type="noConversion"/>
  </si>
  <si>
    <t>LMF</t>
    <phoneticPr fontId="1" type="noConversion"/>
  </si>
  <si>
    <t>RMF</t>
    <phoneticPr fontId="1" type="noConversion"/>
  </si>
  <si>
    <t>RWF</t>
    <phoneticPr fontId="1" type="noConversion"/>
  </si>
  <si>
    <t>J.C</t>
    <phoneticPr fontId="1" type="noConversion"/>
  </si>
  <si>
    <t>高產翼鋒</t>
    <phoneticPr fontId="1" type="noConversion"/>
  </si>
  <si>
    <t>盤球（和假動作）、盤球（向前突破）、盤球（內切）</t>
    <phoneticPr fontId="1" type="noConversion"/>
  </si>
  <si>
    <t>剪刀腳假動作、向後切球並轉身、外部弧線球、壓迫</t>
    <phoneticPr fontId="1" type="noConversion"/>
  </si>
  <si>
    <t>標準成長</t>
    <phoneticPr fontId="1" type="noConversion"/>
  </si>
  <si>
    <t>LWF</t>
    <phoneticPr fontId="1" type="noConversion"/>
  </si>
  <si>
    <t>J</t>
    <phoneticPr fontId="1" type="noConversion"/>
  </si>
  <si>
    <t>偷獵者</t>
    <phoneticPr fontId="1" type="noConversion"/>
  </si>
  <si>
    <t>盤球（和轉身）、盤球（向前突破）</t>
    <phoneticPr fontId="1" type="noConversion"/>
  </si>
  <si>
    <t>施丹轉身、海底撈月、精確橫傳球、壓迫</t>
    <phoneticPr fontId="1" type="noConversion"/>
  </si>
  <si>
    <t>標準成長</t>
    <phoneticPr fontId="1" type="noConversion"/>
  </si>
  <si>
    <t>中距離射</t>
    <phoneticPr fontId="1" type="noConversion"/>
  </si>
  <si>
    <t>S</t>
    <phoneticPr fontId="1" type="noConversion"/>
  </si>
  <si>
    <t>LMF</t>
    <phoneticPr fontId="1" type="noConversion"/>
  </si>
  <si>
    <t>AMF</t>
    <phoneticPr fontId="1" type="noConversion"/>
  </si>
  <si>
    <t>S.D</t>
    <phoneticPr fontId="1" type="noConversion"/>
  </si>
  <si>
    <t>RWF</t>
    <phoneticPr fontId="1" type="noConversion"/>
  </si>
  <si>
    <t>R.G</t>
    <phoneticPr fontId="1" type="noConversion"/>
  </si>
  <si>
    <t>有創意的中場指揮官</t>
    <phoneticPr fontId="1" type="noConversion"/>
  </si>
  <si>
    <t>盤球（內切）、快傳</t>
    <phoneticPr fontId="1" type="noConversion"/>
  </si>
  <si>
    <t>標準成長</t>
    <phoneticPr fontId="1" type="noConversion"/>
  </si>
  <si>
    <t>AMF</t>
    <phoneticPr fontId="1" type="noConversion"/>
  </si>
  <si>
    <t>T.L</t>
    <phoneticPr fontId="1" type="noConversion"/>
  </si>
  <si>
    <t>標準成長</t>
    <phoneticPr fontId="1" type="noConversion"/>
  </si>
  <si>
    <t>SS</t>
    <phoneticPr fontId="1" type="noConversion"/>
  </si>
  <si>
    <t>LWF</t>
    <phoneticPr fontId="1" type="noConversion"/>
  </si>
  <si>
    <t>AMF</t>
    <phoneticPr fontId="1" type="noConversion"/>
  </si>
  <si>
    <t>AMF</t>
    <phoneticPr fontId="1" type="noConversion"/>
  </si>
  <si>
    <t>AMF</t>
    <phoneticPr fontId="1" type="noConversion"/>
  </si>
  <si>
    <t>RMF、AMF</t>
    <phoneticPr fontId="1" type="noConversion"/>
  </si>
  <si>
    <t>LWF</t>
    <phoneticPr fontId="1" type="noConversion"/>
  </si>
  <si>
    <t>CF</t>
    <phoneticPr fontId="1" type="noConversion"/>
  </si>
  <si>
    <t>K.G</t>
    <phoneticPr fontId="1" type="noConversion"/>
  </si>
  <si>
    <t>偷獵者</t>
    <phoneticPr fontId="1" type="noConversion"/>
  </si>
  <si>
    <t>盤球（和轉身）、盤球（向前突破）、盤球（內切）</t>
    <phoneticPr fontId="1" type="noConversion"/>
  </si>
  <si>
    <t>雜技般入球、壓迫、超級候補</t>
    <phoneticPr fontId="1" type="noConversion"/>
  </si>
  <si>
    <t>標準成長</t>
    <phoneticPr fontId="1" type="noConversion"/>
  </si>
  <si>
    <t>LB</t>
    <phoneticPr fontId="1" type="noConversion"/>
  </si>
  <si>
    <t>F.N</t>
    <phoneticPr fontId="1" type="noConversion"/>
  </si>
  <si>
    <t>快傳</t>
    <phoneticPr fontId="1" type="noConversion"/>
  </si>
  <si>
    <t>戰鬥精神</t>
    <phoneticPr fontId="1" type="noConversion"/>
  </si>
  <si>
    <t>標準成長</t>
    <phoneticPr fontId="1" type="noConversion"/>
  </si>
  <si>
    <t>AMF</t>
    <phoneticPr fontId="1" type="noConversion"/>
  </si>
  <si>
    <t>R</t>
    <phoneticPr fontId="1" type="noConversion"/>
  </si>
  <si>
    <t>虛假跑位</t>
    <phoneticPr fontId="1" type="noConversion"/>
  </si>
  <si>
    <t>中距離射</t>
    <phoneticPr fontId="1" type="noConversion"/>
  </si>
  <si>
    <t>雜技般入球、首次射球、壓迫、隊長、戰鬥精神</t>
    <phoneticPr fontId="1" type="noConversion"/>
  </si>
  <si>
    <t>標準成長</t>
    <phoneticPr fontId="1" type="noConversion"/>
  </si>
  <si>
    <t>A</t>
    <phoneticPr fontId="1" type="noConversion"/>
  </si>
  <si>
    <t>目標中鋒</t>
    <phoneticPr fontId="1" type="noConversion"/>
  </si>
  <si>
    <t>海底撈月、內部彈起、雜技般入球、首次射球、壓迫、戰鬥精神</t>
    <phoneticPr fontId="1" type="noConversion"/>
  </si>
  <si>
    <t>標準成長</t>
    <phoneticPr fontId="1" type="noConversion"/>
  </si>
  <si>
    <t>R</t>
    <phoneticPr fontId="1" type="noConversion"/>
  </si>
  <si>
    <t>傳統十號位置</t>
    <phoneticPr fontId="1" type="noConversion"/>
  </si>
  <si>
    <t>盤球（和假動作）</t>
    <phoneticPr fontId="1" type="noConversion"/>
  </si>
  <si>
    <t>剪刀腳假動作、牛擺尾、施丹轉身、海底撈月、向後切球並轉身、遠距離抽射、雜技般入球、單觸傳球、外部弧線球</t>
    <phoneticPr fontId="1" type="noConversion"/>
  </si>
  <si>
    <t>標準成長</t>
    <phoneticPr fontId="1" type="noConversion"/>
  </si>
  <si>
    <t>D</t>
    <phoneticPr fontId="1" type="noConversion"/>
  </si>
  <si>
    <t>破壞型中場</t>
    <phoneticPr fontId="1" type="noConversion"/>
  </si>
  <si>
    <t>盯人、隊長、戰鬥精神</t>
    <phoneticPr fontId="1" type="noConversion"/>
  </si>
  <si>
    <t>早熟</t>
    <phoneticPr fontId="1" type="noConversion"/>
  </si>
  <si>
    <t>RB</t>
    <phoneticPr fontId="1" type="noConversion"/>
  </si>
  <si>
    <t>D</t>
    <phoneticPr fontId="1" type="noConversion"/>
  </si>
  <si>
    <t>進攻型後衛</t>
    <phoneticPr fontId="1" type="noConversion"/>
  </si>
  <si>
    <t>中距離射</t>
    <phoneticPr fontId="1" type="noConversion"/>
  </si>
  <si>
    <t>落葉球射門、加重傳球、精確橫傳球</t>
    <phoneticPr fontId="1" type="noConversion"/>
  </si>
  <si>
    <t>標準成長</t>
    <phoneticPr fontId="1" type="noConversion"/>
  </si>
  <si>
    <t>P</t>
    <phoneticPr fontId="1" type="noConversion"/>
  </si>
  <si>
    <t>破壞型中場</t>
    <phoneticPr fontId="1" type="noConversion"/>
  </si>
  <si>
    <t>盯人、隊長、戰鬥精神</t>
    <phoneticPr fontId="1" type="noConversion"/>
  </si>
  <si>
    <t>CMF</t>
    <phoneticPr fontId="1" type="noConversion"/>
  </si>
  <si>
    <t>A.F</t>
    <phoneticPr fontId="1" type="noConversion"/>
  </si>
  <si>
    <t>單觸傳球、隊長、戰鬥精神</t>
    <phoneticPr fontId="1" type="noConversion"/>
  </si>
  <si>
    <t>CB</t>
    <phoneticPr fontId="1" type="noConversion"/>
  </si>
  <si>
    <t>S.U</t>
    <phoneticPr fontId="1" type="noConversion"/>
  </si>
  <si>
    <t>建立</t>
    <phoneticPr fontId="1" type="noConversion"/>
  </si>
  <si>
    <t>盯人</t>
    <phoneticPr fontId="1" type="noConversion"/>
  </si>
  <si>
    <t>標準成長</t>
    <phoneticPr fontId="1" type="noConversion"/>
  </si>
  <si>
    <t>RMF</t>
    <phoneticPr fontId="1" type="noConversion"/>
  </si>
  <si>
    <t>J.C</t>
    <phoneticPr fontId="1" type="noConversion"/>
  </si>
  <si>
    <t>高產翼鋒</t>
    <phoneticPr fontId="1" type="noConversion"/>
  </si>
  <si>
    <t>盤球（和假動作）、盤球（向前突破）、盤球（內切）、中距離射</t>
    <phoneticPr fontId="1" type="noConversion"/>
  </si>
  <si>
    <t>剪刀腳假動作、牛擺尾、施丹轉身、向後切球並轉身、雜技般入球</t>
    <phoneticPr fontId="1" type="noConversion"/>
  </si>
  <si>
    <t>標準成長</t>
    <phoneticPr fontId="1" type="noConversion"/>
  </si>
  <si>
    <t>RWF</t>
    <phoneticPr fontId="1" type="noConversion"/>
  </si>
  <si>
    <t>LWF</t>
    <phoneticPr fontId="1" type="noConversion"/>
  </si>
  <si>
    <t>L.P</t>
    <phoneticPr fontId="1" type="noConversion"/>
  </si>
  <si>
    <t>高產翼鋒</t>
    <phoneticPr fontId="1" type="noConversion"/>
  </si>
  <si>
    <t>盤球（內切）、中距離射</t>
    <phoneticPr fontId="1" type="noConversion"/>
  </si>
  <si>
    <t>遠距離抽射、落葉球射門、首次射球、超級候補</t>
    <phoneticPr fontId="1" type="noConversion"/>
  </si>
  <si>
    <t>標準成長</t>
    <phoneticPr fontId="1" type="noConversion"/>
  </si>
  <si>
    <t>Y.C</t>
    <phoneticPr fontId="1" type="noConversion"/>
  </si>
  <si>
    <t>靠山</t>
    <phoneticPr fontId="1" type="noConversion"/>
  </si>
  <si>
    <t>長傳、中距離射</t>
    <phoneticPr fontId="1" type="noConversion"/>
  </si>
  <si>
    <t>剪刀腳假動作</t>
    <phoneticPr fontId="1" type="noConversion"/>
  </si>
  <si>
    <t>RB</t>
    <phoneticPr fontId="1" type="noConversion"/>
  </si>
  <si>
    <t>G.V</t>
    <phoneticPr fontId="1" type="noConversion"/>
  </si>
  <si>
    <t>進攻型後衛</t>
    <phoneticPr fontId="1" type="noConversion"/>
  </si>
  <si>
    <t>盤球（向前突破）、快傳</t>
    <phoneticPr fontId="1" type="noConversion"/>
  </si>
  <si>
    <t>精確橫傳球、長距離投擲</t>
    <phoneticPr fontId="1" type="noConversion"/>
  </si>
  <si>
    <t>AMF</t>
    <phoneticPr fontId="1" type="noConversion"/>
  </si>
  <si>
    <t>M.R</t>
    <phoneticPr fontId="1" type="noConversion"/>
  </si>
  <si>
    <t>影子前鋒</t>
    <phoneticPr fontId="1" type="noConversion"/>
  </si>
  <si>
    <t>LB</t>
    <phoneticPr fontId="1" type="noConversion"/>
  </si>
  <si>
    <t>K.G</t>
    <phoneticPr fontId="1" type="noConversion"/>
  </si>
  <si>
    <t>進攻型後衛</t>
    <phoneticPr fontId="1" type="noConversion"/>
  </si>
  <si>
    <t>盤球（向前突破）</t>
    <phoneticPr fontId="1" type="noConversion"/>
  </si>
  <si>
    <t>CMF</t>
    <phoneticPr fontId="1" type="noConversion"/>
  </si>
  <si>
    <t>P.H</t>
    <phoneticPr fontId="1" type="noConversion"/>
  </si>
  <si>
    <t>全能中場</t>
    <phoneticPr fontId="1" type="noConversion"/>
  </si>
  <si>
    <t>盤球（和假動作）、盤球（內切）、中距離射</t>
    <phoneticPr fontId="1" type="noConversion"/>
  </si>
  <si>
    <t>牛擺尾、施丹轉身、海底撈月、向後切球並轉身、首次射球</t>
    <phoneticPr fontId="1" type="noConversion"/>
  </si>
  <si>
    <t>GK</t>
    <phoneticPr fontId="1" type="noConversion"/>
  </si>
  <si>
    <t>L.B</t>
    <phoneticPr fontId="1" type="noConversion"/>
  </si>
  <si>
    <t>DMF</t>
    <phoneticPr fontId="1" type="noConversion"/>
  </si>
  <si>
    <t>A.A</t>
    <phoneticPr fontId="1" type="noConversion"/>
  </si>
  <si>
    <t>破壞型中場</t>
    <phoneticPr fontId="1" type="noConversion"/>
  </si>
  <si>
    <t>戰鬥精神</t>
    <phoneticPr fontId="1" type="noConversion"/>
  </si>
  <si>
    <t>標準成長</t>
    <phoneticPr fontId="1" type="noConversion"/>
  </si>
  <si>
    <t>RB</t>
    <phoneticPr fontId="1" type="noConversion"/>
  </si>
  <si>
    <t>E.H</t>
    <phoneticPr fontId="1" type="noConversion"/>
  </si>
  <si>
    <t>標準成長</t>
    <phoneticPr fontId="1" type="noConversion"/>
  </si>
  <si>
    <t>RMF</t>
    <phoneticPr fontId="1" type="noConversion"/>
  </si>
  <si>
    <t>A.C</t>
    <phoneticPr fontId="1" type="noConversion"/>
  </si>
  <si>
    <t>影子前鋒</t>
    <phoneticPr fontId="1" type="noConversion"/>
  </si>
  <si>
    <t>盤球（向前突破）、中距離射</t>
    <phoneticPr fontId="1" type="noConversion"/>
  </si>
  <si>
    <t>施丹轉身、遠距離抽射、落葉球射門、單觸傳球、精確橫傳球、戰鬥精神</t>
    <phoneticPr fontId="1" type="noConversion"/>
  </si>
  <si>
    <t>標準成長</t>
    <phoneticPr fontId="1" type="noConversion"/>
  </si>
  <si>
    <t>AMF</t>
    <phoneticPr fontId="1" type="noConversion"/>
  </si>
  <si>
    <t>A.T</t>
    <phoneticPr fontId="1" type="noConversion"/>
  </si>
  <si>
    <t>盤球（和假動作）</t>
    <phoneticPr fontId="1" type="noConversion"/>
  </si>
  <si>
    <t>施丹轉身、向後切球並轉身、首次射球、外部弧線球</t>
    <phoneticPr fontId="1" type="noConversion"/>
  </si>
  <si>
    <t>RB</t>
    <phoneticPr fontId="1" type="noConversion"/>
  </si>
  <si>
    <t>N</t>
    <phoneticPr fontId="1" type="noConversion"/>
  </si>
  <si>
    <t>進攻型後衛</t>
    <phoneticPr fontId="1" type="noConversion"/>
  </si>
  <si>
    <t>盤球（向前突破）、盤球（內切）</t>
    <phoneticPr fontId="1" type="noConversion"/>
  </si>
  <si>
    <t>早熟</t>
    <phoneticPr fontId="1" type="noConversion"/>
  </si>
  <si>
    <t>CMF</t>
    <phoneticPr fontId="1" type="noConversion"/>
  </si>
  <si>
    <t>J.H</t>
    <phoneticPr fontId="1" type="noConversion"/>
  </si>
  <si>
    <t>全能中場</t>
    <phoneticPr fontId="1" type="noConversion"/>
  </si>
  <si>
    <t>遠距離抽射、加重傳球、隊長、戰鬥精神</t>
    <phoneticPr fontId="1" type="noConversion"/>
  </si>
  <si>
    <t>標準成長</t>
    <phoneticPr fontId="1" type="noConversion"/>
  </si>
  <si>
    <t>LWF</t>
    <phoneticPr fontId="1" type="noConversion"/>
  </si>
  <si>
    <t>A.S</t>
    <phoneticPr fontId="1" type="noConversion"/>
  </si>
  <si>
    <t>高產翼鋒</t>
    <phoneticPr fontId="1" type="noConversion"/>
  </si>
  <si>
    <t>盤球（和假動作）、盤球（和轉身）、盤球（向前突破）、盤球（內切）</t>
    <phoneticPr fontId="1" type="noConversion"/>
  </si>
  <si>
    <t>剪刀腳假動作、牛擺尾、向後切球並轉身、遠距離抽射、雜技般入球、壓迫</t>
    <phoneticPr fontId="1" type="noConversion"/>
  </si>
  <si>
    <t>標準成長</t>
    <phoneticPr fontId="1" type="noConversion"/>
  </si>
  <si>
    <t>RWF</t>
    <phoneticPr fontId="1" type="noConversion"/>
  </si>
  <si>
    <t>G.B</t>
    <phoneticPr fontId="1" type="noConversion"/>
  </si>
  <si>
    <t>高產翼鋒</t>
    <phoneticPr fontId="1" type="noConversion"/>
  </si>
  <si>
    <t>盤球（和轉身）、盤球（向前突破）、盤球（內切）、中距離射</t>
    <phoneticPr fontId="1" type="noConversion"/>
  </si>
  <si>
    <t>施丹轉身、向後切球並轉身、落葉球射門、雜技般入球、加重傳球、精確橫傳球、外部弧線球、戰鬥精神</t>
    <phoneticPr fontId="1" type="noConversion"/>
  </si>
  <si>
    <t>晚成</t>
    <phoneticPr fontId="1" type="noConversion"/>
  </si>
  <si>
    <t>LMF</t>
    <phoneticPr fontId="1" type="noConversion"/>
  </si>
  <si>
    <t>M.K</t>
    <phoneticPr fontId="1" type="noConversion"/>
  </si>
  <si>
    <t>全能中場</t>
    <phoneticPr fontId="1" type="noConversion"/>
  </si>
  <si>
    <t>落葉球射門</t>
    <phoneticPr fontId="1" type="noConversion"/>
  </si>
  <si>
    <t>早熟</t>
    <phoneticPr fontId="1" type="noConversion"/>
  </si>
  <si>
    <t>CMF、DMF</t>
    <phoneticPr fontId="1" type="noConversion"/>
  </si>
  <si>
    <t>CMF</t>
    <phoneticPr fontId="1" type="noConversion"/>
  </si>
  <si>
    <t>RWF</t>
    <phoneticPr fontId="1" type="noConversion"/>
  </si>
  <si>
    <t>S.F</t>
    <phoneticPr fontId="1" type="noConversion"/>
  </si>
  <si>
    <t>高產翼鋒</t>
    <phoneticPr fontId="1" type="noConversion"/>
  </si>
  <si>
    <t>盤球（和轉身）、盤球（向前突破）</t>
    <phoneticPr fontId="1" type="noConversion"/>
  </si>
  <si>
    <t>單觸傳球</t>
    <phoneticPr fontId="1" type="noConversion"/>
  </si>
  <si>
    <t>早熟</t>
    <phoneticPr fontId="1" type="noConversion"/>
  </si>
  <si>
    <t>LB</t>
    <phoneticPr fontId="1" type="noConversion"/>
  </si>
  <si>
    <t>L.D</t>
    <phoneticPr fontId="1" type="noConversion"/>
  </si>
  <si>
    <t>盤球（向前突破）、快傳</t>
    <phoneticPr fontId="1" type="noConversion"/>
  </si>
  <si>
    <t>長距離投擲</t>
    <phoneticPr fontId="1" type="noConversion"/>
  </si>
  <si>
    <t>標準成長</t>
    <phoneticPr fontId="1" type="noConversion"/>
  </si>
  <si>
    <t>CF</t>
    <phoneticPr fontId="1" type="noConversion"/>
  </si>
  <si>
    <t>L.L</t>
    <phoneticPr fontId="1" type="noConversion"/>
  </si>
  <si>
    <t>禁區之狐</t>
    <phoneticPr fontId="1" type="noConversion"/>
  </si>
  <si>
    <t>壓迫、戰鬥精神</t>
    <phoneticPr fontId="1" type="noConversion"/>
  </si>
  <si>
    <t>標準成長</t>
    <phoneticPr fontId="1" type="noConversion"/>
  </si>
  <si>
    <t>CB</t>
    <phoneticPr fontId="1" type="noConversion"/>
  </si>
  <si>
    <t>C.S</t>
    <phoneticPr fontId="1" type="noConversion"/>
  </si>
  <si>
    <t>盯人</t>
    <phoneticPr fontId="1" type="noConversion"/>
  </si>
  <si>
    <t>CB</t>
    <phoneticPr fontId="1" type="noConversion"/>
  </si>
  <si>
    <t>D.G</t>
    <phoneticPr fontId="1" type="noConversion"/>
  </si>
  <si>
    <t>長距離投擲、盯人、隊長</t>
    <phoneticPr fontId="1" type="noConversion"/>
  </si>
  <si>
    <t>A.R</t>
    <phoneticPr fontId="1" type="noConversion"/>
  </si>
  <si>
    <t>盤球（和假動作）、盤球（和轉身）、盤球（內切）、中距離射</t>
    <phoneticPr fontId="1" type="noConversion"/>
  </si>
  <si>
    <t>剪刀腳假動作、施丹轉身、向後切球並轉身、遠距離抽射、加重傳球、隊長、戰鬥精神</t>
    <phoneticPr fontId="1" type="noConversion"/>
  </si>
  <si>
    <t>CF</t>
    <phoneticPr fontId="1" type="noConversion"/>
  </si>
  <si>
    <t>E.D</t>
    <phoneticPr fontId="1" type="noConversion"/>
  </si>
  <si>
    <t>目標中鋒</t>
    <phoneticPr fontId="1" type="noConversion"/>
  </si>
  <si>
    <t>首次射球</t>
    <phoneticPr fontId="1" type="noConversion"/>
  </si>
  <si>
    <t>CB</t>
    <phoneticPr fontId="1" type="noConversion"/>
  </si>
  <si>
    <t>V.B</t>
    <phoneticPr fontId="1" type="noConversion"/>
  </si>
  <si>
    <t>晚成</t>
    <phoneticPr fontId="1" type="noConversion"/>
  </si>
  <si>
    <t>E.G</t>
    <phoneticPr fontId="1" type="noConversion"/>
  </si>
  <si>
    <t>長距離投擲、盯人、隊長</t>
    <phoneticPr fontId="1" type="noConversion"/>
  </si>
  <si>
    <t>SS</t>
    <phoneticPr fontId="1" type="noConversion"/>
  </si>
  <si>
    <t>M.G</t>
    <phoneticPr fontId="1" type="noConversion"/>
  </si>
  <si>
    <t>盤球（內切）、中距離射</t>
    <phoneticPr fontId="1" type="noConversion"/>
  </si>
  <si>
    <t>落葉球射門</t>
    <phoneticPr fontId="1" type="noConversion"/>
  </si>
  <si>
    <t>J</t>
    <phoneticPr fontId="1" type="noConversion"/>
  </si>
  <si>
    <t>盯人</t>
    <phoneticPr fontId="1" type="noConversion"/>
  </si>
  <si>
    <t>AMF</t>
    <phoneticPr fontId="1" type="noConversion"/>
  </si>
  <si>
    <t>Y.B</t>
    <phoneticPr fontId="1" type="noConversion"/>
  </si>
  <si>
    <t>高產翼鋒</t>
    <phoneticPr fontId="1" type="noConversion"/>
  </si>
  <si>
    <t>盤球（和轉身）</t>
    <phoneticPr fontId="1" type="noConversion"/>
  </si>
  <si>
    <t>剪刀腳假動作、牛擺尾、施丹轉身</t>
    <phoneticPr fontId="1" type="noConversion"/>
  </si>
  <si>
    <t>標準成長</t>
    <phoneticPr fontId="1" type="noConversion"/>
  </si>
  <si>
    <t>RMF</t>
    <phoneticPr fontId="1" type="noConversion"/>
  </si>
  <si>
    <t>Y.C</t>
    <phoneticPr fontId="1" type="noConversion"/>
  </si>
  <si>
    <t>盤球（和轉身）、盤球（內切）、中距離射</t>
    <phoneticPr fontId="1" type="noConversion"/>
  </si>
  <si>
    <t>施丹轉身、向後切球並轉身、落葉球射門、單觸傳球</t>
    <phoneticPr fontId="1" type="noConversion"/>
  </si>
  <si>
    <t>RWF、LWF</t>
    <phoneticPr fontId="1" type="noConversion"/>
  </si>
  <si>
    <t>DMF</t>
    <phoneticPr fontId="1" type="noConversion"/>
  </si>
  <si>
    <t>J.M</t>
    <phoneticPr fontId="1" type="noConversion"/>
  </si>
  <si>
    <t>破壞型中場</t>
    <phoneticPr fontId="1" type="noConversion"/>
  </si>
  <si>
    <t>盯人、戰鬥精神</t>
    <phoneticPr fontId="1" type="noConversion"/>
  </si>
  <si>
    <t>DMF</t>
    <phoneticPr fontId="1" type="noConversion"/>
  </si>
  <si>
    <t>J.T</t>
    <phoneticPr fontId="1" type="noConversion"/>
  </si>
  <si>
    <t>靠山</t>
    <phoneticPr fontId="1" type="noConversion"/>
  </si>
  <si>
    <t>AMF</t>
    <phoneticPr fontId="1" type="noConversion"/>
  </si>
  <si>
    <t>H.B</t>
    <phoneticPr fontId="1" type="noConversion"/>
  </si>
  <si>
    <t>有創意的中場指揮官</t>
    <phoneticPr fontId="1" type="noConversion"/>
  </si>
  <si>
    <t>盤球（和假動作）、盤球（和轉身）、盤球（向前突破）、盤球（內切）、中距離射</t>
    <phoneticPr fontId="1" type="noConversion"/>
  </si>
  <si>
    <t>牛擺尾、施丹轉身、向後切球並轉身、遠距離抽射</t>
    <phoneticPr fontId="1" type="noConversion"/>
  </si>
  <si>
    <t>Z</t>
    <phoneticPr fontId="1" type="noConversion"/>
  </si>
  <si>
    <t>外部弧線球、隊長、戰鬥精神</t>
    <phoneticPr fontId="1" type="noConversion"/>
  </si>
  <si>
    <t>晚成</t>
    <phoneticPr fontId="1" type="noConversion"/>
  </si>
  <si>
    <t>CMF</t>
    <phoneticPr fontId="1" type="noConversion"/>
  </si>
  <si>
    <t>O.O</t>
    <phoneticPr fontId="1" type="noConversion"/>
  </si>
  <si>
    <t>建立</t>
    <phoneticPr fontId="1" type="noConversion"/>
  </si>
  <si>
    <t>加重傳球</t>
    <phoneticPr fontId="1" type="noConversion"/>
  </si>
  <si>
    <t>靠山</t>
    <phoneticPr fontId="1" type="noConversion"/>
  </si>
  <si>
    <t>向後切球並轉身、單觸傳球、加重傳球、壓迫</t>
    <phoneticPr fontId="1" type="noConversion"/>
  </si>
  <si>
    <t>D.D</t>
    <phoneticPr fontId="1" type="noConversion"/>
  </si>
  <si>
    <t>全能中場</t>
    <phoneticPr fontId="1" type="noConversion"/>
  </si>
  <si>
    <t>加重傳球</t>
    <phoneticPr fontId="1" type="noConversion"/>
  </si>
  <si>
    <t>RB</t>
    <phoneticPr fontId="1" type="noConversion"/>
  </si>
  <si>
    <t>K.W</t>
    <phoneticPr fontId="1" type="noConversion"/>
  </si>
  <si>
    <t>進攻型後衛</t>
    <phoneticPr fontId="1" type="noConversion"/>
  </si>
  <si>
    <t>盤球（向前突破）</t>
    <phoneticPr fontId="1" type="noConversion"/>
  </si>
  <si>
    <t>長距離投擲</t>
    <phoneticPr fontId="1" type="noConversion"/>
  </si>
  <si>
    <t>標準成長</t>
    <phoneticPr fontId="1" type="noConversion"/>
  </si>
  <si>
    <t>LB</t>
    <phoneticPr fontId="1" type="noConversion"/>
  </si>
  <si>
    <t>S.R</t>
    <phoneticPr fontId="1" type="noConversion"/>
  </si>
  <si>
    <t>防守型後衛</t>
    <phoneticPr fontId="1" type="noConversion"/>
  </si>
  <si>
    <t>中距離射</t>
    <phoneticPr fontId="1" type="noConversion"/>
  </si>
  <si>
    <t>盯人、隊長、戰鬥精神</t>
    <phoneticPr fontId="1" type="noConversion"/>
  </si>
  <si>
    <t>L.M</t>
    <phoneticPr fontId="1" type="noConversion"/>
  </si>
  <si>
    <t>偷獵者</t>
    <phoneticPr fontId="1" type="noConversion"/>
  </si>
  <si>
    <t>盤球（和假動作）、盤球（向前突破）</t>
    <phoneticPr fontId="1" type="noConversion"/>
  </si>
  <si>
    <t>雜技般入球、外部弧線球</t>
    <phoneticPr fontId="1" type="noConversion"/>
  </si>
  <si>
    <t>標準成長</t>
    <phoneticPr fontId="1" type="noConversion"/>
  </si>
  <si>
    <t>CMF</t>
    <phoneticPr fontId="1" type="noConversion"/>
  </si>
  <si>
    <t>M.V</t>
    <phoneticPr fontId="1" type="noConversion"/>
  </si>
  <si>
    <t>全能中場</t>
    <phoneticPr fontId="1" type="noConversion"/>
  </si>
  <si>
    <t>標準成長</t>
    <phoneticPr fontId="1" type="noConversion"/>
  </si>
  <si>
    <t>M.F</t>
    <phoneticPr fontId="1" type="noConversion"/>
  </si>
  <si>
    <t>目標中鋒</t>
    <phoneticPr fontId="1" type="noConversion"/>
  </si>
  <si>
    <t>施丹轉身、戰鬥精神</t>
    <phoneticPr fontId="1" type="noConversion"/>
  </si>
  <si>
    <t>早熟</t>
    <phoneticPr fontId="1" type="noConversion"/>
  </si>
  <si>
    <t>AMF</t>
    <phoneticPr fontId="1" type="noConversion"/>
  </si>
  <si>
    <t>B.R</t>
    <phoneticPr fontId="1" type="noConversion"/>
  </si>
  <si>
    <t>單觸傳球</t>
    <phoneticPr fontId="1" type="noConversion"/>
  </si>
  <si>
    <t>標準成長</t>
    <phoneticPr fontId="1" type="noConversion"/>
  </si>
  <si>
    <t>SS</t>
    <phoneticPr fontId="1" type="noConversion"/>
  </si>
  <si>
    <t>W.B</t>
    <phoneticPr fontId="1" type="noConversion"/>
  </si>
  <si>
    <t>標準成長</t>
    <phoneticPr fontId="1" type="noConversion"/>
  </si>
  <si>
    <t>F.P</t>
    <phoneticPr fontId="1" type="noConversion"/>
  </si>
  <si>
    <t>標準成長</t>
    <phoneticPr fontId="1" type="noConversion"/>
  </si>
  <si>
    <t>GK</t>
    <phoneticPr fontId="1" type="noConversion"/>
  </si>
  <si>
    <t>A.O</t>
    <phoneticPr fontId="1" type="noConversion"/>
  </si>
  <si>
    <t>低軌跡球</t>
    <phoneticPr fontId="1" type="noConversion"/>
  </si>
  <si>
    <t>標準成長</t>
    <phoneticPr fontId="1" type="noConversion"/>
  </si>
  <si>
    <t>RB</t>
    <phoneticPr fontId="1" type="noConversion"/>
  </si>
  <si>
    <t>R.K</t>
    <phoneticPr fontId="1" type="noConversion"/>
  </si>
  <si>
    <t>進攻型後衛</t>
    <phoneticPr fontId="1" type="noConversion"/>
  </si>
  <si>
    <t>晚成</t>
    <phoneticPr fontId="1" type="noConversion"/>
  </si>
  <si>
    <t>A.T</t>
    <phoneticPr fontId="1" type="noConversion"/>
  </si>
  <si>
    <t>晚成</t>
    <phoneticPr fontId="1" type="noConversion"/>
  </si>
  <si>
    <t>A.P</t>
    <phoneticPr fontId="1" type="noConversion"/>
  </si>
  <si>
    <t>RMF</t>
    <phoneticPr fontId="1" type="noConversion"/>
  </si>
  <si>
    <t>M.R</t>
    <phoneticPr fontId="1" type="noConversion"/>
  </si>
  <si>
    <t>有創意的中場指揮官</t>
    <phoneticPr fontId="1" type="noConversion"/>
  </si>
  <si>
    <t>SS</t>
    <phoneticPr fontId="1" type="noConversion"/>
  </si>
  <si>
    <t>盤球（內切）、中距離射</t>
    <phoneticPr fontId="1" type="noConversion"/>
  </si>
  <si>
    <t>雜技般入球、首次射球、加重傳球、外部弧線球、隊長</t>
    <phoneticPr fontId="1" type="noConversion"/>
  </si>
  <si>
    <t>晚成</t>
    <phoneticPr fontId="1" type="noConversion"/>
  </si>
  <si>
    <t>RB</t>
    <phoneticPr fontId="1" type="noConversion"/>
  </si>
  <si>
    <t>C.C</t>
    <phoneticPr fontId="1" type="noConversion"/>
  </si>
  <si>
    <t>全能中場</t>
    <phoneticPr fontId="1" type="noConversion"/>
  </si>
  <si>
    <t>盤球（和轉身）</t>
    <phoneticPr fontId="1" type="noConversion"/>
  </si>
  <si>
    <t>標準成長</t>
    <phoneticPr fontId="1" type="noConversion"/>
  </si>
  <si>
    <t>LMF</t>
    <phoneticPr fontId="1" type="noConversion"/>
  </si>
  <si>
    <t>M.A</t>
    <phoneticPr fontId="1" type="noConversion"/>
  </si>
  <si>
    <t>標準成長</t>
    <phoneticPr fontId="1" type="noConversion"/>
  </si>
  <si>
    <t>M.B</t>
    <phoneticPr fontId="1" type="noConversion"/>
  </si>
  <si>
    <t>長傳</t>
    <phoneticPr fontId="1" type="noConversion"/>
  </si>
  <si>
    <t>標準成長</t>
    <phoneticPr fontId="1" type="noConversion"/>
  </si>
  <si>
    <t>早熟</t>
    <phoneticPr fontId="1" type="noConversion"/>
  </si>
  <si>
    <t>O.K</t>
    <phoneticPr fontId="1" type="noConversion"/>
  </si>
  <si>
    <t>低軌跡球</t>
    <phoneticPr fontId="1" type="noConversion"/>
  </si>
  <si>
    <t>晚成</t>
    <phoneticPr fontId="1" type="noConversion"/>
  </si>
  <si>
    <t>CB</t>
    <phoneticPr fontId="1" type="noConversion"/>
  </si>
  <si>
    <t>R.A</t>
    <phoneticPr fontId="1" type="noConversion"/>
  </si>
  <si>
    <t>單觸傳球、隊長、戰鬥精神</t>
    <phoneticPr fontId="1" type="noConversion"/>
  </si>
  <si>
    <t>P.M</t>
    <phoneticPr fontId="1" type="noConversion"/>
  </si>
  <si>
    <t>盯人、隊長</t>
    <phoneticPr fontId="1" type="noConversion"/>
  </si>
  <si>
    <t>標準成長</t>
    <phoneticPr fontId="1" type="noConversion"/>
  </si>
  <si>
    <t>CF</t>
    <phoneticPr fontId="1" type="noConversion"/>
  </si>
  <si>
    <t>A</t>
    <phoneticPr fontId="1" type="noConversion"/>
  </si>
  <si>
    <t>禁區之狐</t>
    <phoneticPr fontId="1" type="noConversion"/>
  </si>
  <si>
    <t>標準成長</t>
    <phoneticPr fontId="1" type="noConversion"/>
  </si>
  <si>
    <t>E.L</t>
    <phoneticPr fontId="1" type="noConversion"/>
  </si>
  <si>
    <t>有創意的中場指揮官</t>
    <phoneticPr fontId="1" type="noConversion"/>
  </si>
  <si>
    <t>盤球（和假動作）、盤球（內切）</t>
    <phoneticPr fontId="1" type="noConversion"/>
  </si>
  <si>
    <t>剪刀腳假動作、外部弧線球</t>
    <phoneticPr fontId="1" type="noConversion"/>
  </si>
  <si>
    <t>標準成長</t>
    <phoneticPr fontId="1" type="noConversion"/>
  </si>
  <si>
    <t>RB</t>
    <phoneticPr fontId="1" type="noConversion"/>
  </si>
  <si>
    <t>M.J</t>
    <phoneticPr fontId="1" type="noConversion"/>
  </si>
  <si>
    <t>RMF</t>
    <phoneticPr fontId="1" type="noConversion"/>
  </si>
  <si>
    <t>S.P</t>
    <phoneticPr fontId="1" type="noConversion"/>
  </si>
  <si>
    <t>影子前鋒</t>
    <phoneticPr fontId="1" type="noConversion"/>
  </si>
  <si>
    <t>快傳</t>
    <phoneticPr fontId="1" type="noConversion"/>
  </si>
  <si>
    <t>雜技般入球</t>
    <phoneticPr fontId="1" type="noConversion"/>
  </si>
  <si>
    <t>標準成長</t>
    <phoneticPr fontId="1" type="noConversion"/>
  </si>
  <si>
    <t>S</t>
    <phoneticPr fontId="1" type="noConversion"/>
  </si>
  <si>
    <t>靠山</t>
    <phoneticPr fontId="1" type="noConversion"/>
  </si>
  <si>
    <t>長傳</t>
    <phoneticPr fontId="1" type="noConversion"/>
  </si>
  <si>
    <t>單觸傳球</t>
    <phoneticPr fontId="1" type="noConversion"/>
  </si>
  <si>
    <t>A</t>
    <phoneticPr fontId="1" type="noConversion"/>
  </si>
  <si>
    <t>中距離射</t>
    <phoneticPr fontId="1" type="noConversion"/>
  </si>
  <si>
    <t>隊長、戰鬥精神</t>
    <phoneticPr fontId="1" type="noConversion"/>
  </si>
  <si>
    <t>A.M</t>
    <phoneticPr fontId="1" type="noConversion"/>
  </si>
  <si>
    <t>高產翼鋒</t>
    <phoneticPr fontId="1" type="noConversion"/>
  </si>
  <si>
    <t>盤球（和假動作）、盤球（向前突破）</t>
    <phoneticPr fontId="1" type="noConversion"/>
  </si>
  <si>
    <t>剪刀腳假動作、雜技般入球、首次射球、長距離投擲</t>
    <phoneticPr fontId="1" type="noConversion"/>
  </si>
  <si>
    <t>標準成長</t>
    <phoneticPr fontId="1" type="noConversion"/>
  </si>
  <si>
    <t>AMF</t>
    <phoneticPr fontId="1" type="noConversion"/>
  </si>
  <si>
    <t>D</t>
    <phoneticPr fontId="1" type="noConversion"/>
  </si>
  <si>
    <t>影子前鋒</t>
    <phoneticPr fontId="1" type="noConversion"/>
  </si>
  <si>
    <t>盤球（和轉身）、盤球（內切）</t>
    <phoneticPr fontId="1" type="noConversion"/>
  </si>
  <si>
    <t>剪刀腳假動作、向後切球並轉身、內部彈起、雜技般入球、單觸傳球、加重傳球、精確橫傳球</t>
    <phoneticPr fontId="1" type="noConversion"/>
  </si>
  <si>
    <t>早熟</t>
    <phoneticPr fontId="1" type="noConversion"/>
  </si>
  <si>
    <t>RMF</t>
    <phoneticPr fontId="1" type="noConversion"/>
  </si>
  <si>
    <t>A.C</t>
    <phoneticPr fontId="1" type="noConversion"/>
  </si>
  <si>
    <t>影子前鋒</t>
    <phoneticPr fontId="1" type="noConversion"/>
  </si>
  <si>
    <t>盤球（向前突破）、中距離射</t>
    <phoneticPr fontId="1" type="noConversion"/>
  </si>
  <si>
    <t>施丹轉身、遠距離抽射、落葉球射門、單觸傳球、精確橫傳球、戰鬥精神</t>
    <phoneticPr fontId="1" type="noConversion"/>
  </si>
  <si>
    <t>標準成長</t>
    <phoneticPr fontId="1" type="noConversion"/>
  </si>
  <si>
    <t>CMF</t>
    <phoneticPr fontId="1" type="noConversion"/>
  </si>
  <si>
    <t>RB</t>
    <phoneticPr fontId="1" type="noConversion"/>
  </si>
  <si>
    <t>L.P</t>
    <phoneticPr fontId="1" type="noConversion"/>
  </si>
  <si>
    <t>進攻型後衛</t>
    <phoneticPr fontId="1" type="noConversion"/>
  </si>
  <si>
    <t>快傳</t>
    <phoneticPr fontId="1" type="noConversion"/>
  </si>
  <si>
    <t>長距離投擲</t>
    <phoneticPr fontId="1" type="noConversion"/>
  </si>
  <si>
    <t>標準成長</t>
    <phoneticPr fontId="1" type="noConversion"/>
  </si>
  <si>
    <t>A</t>
    <phoneticPr fontId="1" type="noConversion"/>
  </si>
  <si>
    <t>標準成長</t>
    <phoneticPr fontId="1" type="noConversion"/>
  </si>
  <si>
    <t>LWF</t>
    <phoneticPr fontId="1" type="noConversion"/>
  </si>
  <si>
    <t>N.G</t>
    <phoneticPr fontId="1" type="noConversion"/>
  </si>
  <si>
    <t>傳統十號位置</t>
    <phoneticPr fontId="1" type="noConversion"/>
  </si>
  <si>
    <t>剪刀腳假動作、施丹轉身、雜技般入球、單觸傳球、外部弧線球</t>
    <phoneticPr fontId="1" type="noConversion"/>
  </si>
  <si>
    <t>晚成</t>
    <phoneticPr fontId="1" type="noConversion"/>
  </si>
  <si>
    <t>RWF</t>
    <phoneticPr fontId="1" type="noConversion"/>
  </si>
  <si>
    <t>D</t>
    <phoneticPr fontId="1" type="noConversion"/>
  </si>
  <si>
    <t>盤球（和假動作）、盤球（和轉身）、盤球（向前突破）</t>
    <phoneticPr fontId="1" type="noConversion"/>
  </si>
  <si>
    <t>剪刀腳假動作、遠距離抽射、精確橫傳球、外部弧線球</t>
    <phoneticPr fontId="1" type="noConversion"/>
  </si>
  <si>
    <t>標準成長</t>
    <phoneticPr fontId="1" type="noConversion"/>
  </si>
  <si>
    <t>G.B</t>
    <phoneticPr fontId="1" type="noConversion"/>
  </si>
  <si>
    <t>靠山</t>
    <phoneticPr fontId="1" type="noConversion"/>
  </si>
  <si>
    <t>戰鬥精神</t>
    <phoneticPr fontId="1" type="noConversion"/>
  </si>
  <si>
    <t>J.M</t>
    <phoneticPr fontId="1" type="noConversion"/>
  </si>
  <si>
    <t>禁區之狐</t>
    <phoneticPr fontId="1" type="noConversion"/>
  </si>
  <si>
    <t>雜技般入球</t>
    <phoneticPr fontId="1" type="noConversion"/>
  </si>
  <si>
    <t>晚成</t>
    <phoneticPr fontId="1" type="noConversion"/>
  </si>
  <si>
    <t>AMF</t>
    <phoneticPr fontId="1" type="noConversion"/>
  </si>
  <si>
    <t>AMF</t>
    <phoneticPr fontId="1" type="noConversion"/>
  </si>
  <si>
    <t>J.M</t>
    <phoneticPr fontId="1" type="noConversion"/>
  </si>
  <si>
    <t>禁區之狐</t>
    <phoneticPr fontId="1" type="noConversion"/>
  </si>
  <si>
    <t>雜技般入球</t>
    <phoneticPr fontId="1" type="noConversion"/>
  </si>
  <si>
    <t>標準成長</t>
    <phoneticPr fontId="1" type="noConversion"/>
  </si>
  <si>
    <t>K.G</t>
    <phoneticPr fontId="1" type="noConversion"/>
  </si>
  <si>
    <t>盯人、戰鬥精神</t>
    <phoneticPr fontId="1" type="noConversion"/>
  </si>
  <si>
    <t>GK</t>
    <phoneticPr fontId="1" type="noConversion"/>
  </si>
  <si>
    <t>C</t>
    <phoneticPr fontId="1" type="noConversion"/>
  </si>
  <si>
    <t>低軌跡球</t>
    <phoneticPr fontId="1" type="noConversion"/>
  </si>
  <si>
    <t>LB</t>
    <phoneticPr fontId="1" type="noConversion"/>
  </si>
  <si>
    <t>Y.N</t>
    <phoneticPr fontId="1" type="noConversion"/>
  </si>
  <si>
    <t>盤球（向前突破）、盤球（內切）</t>
    <phoneticPr fontId="1" type="noConversion"/>
  </si>
  <si>
    <t>盯人</t>
    <phoneticPr fontId="1" type="noConversion"/>
  </si>
  <si>
    <t>B</t>
    <phoneticPr fontId="1" type="noConversion"/>
  </si>
  <si>
    <t>盤球（向前突破）</t>
    <phoneticPr fontId="1" type="noConversion"/>
  </si>
  <si>
    <t>早熟</t>
    <phoneticPr fontId="1" type="noConversion"/>
  </si>
  <si>
    <t>RWF</t>
    <phoneticPr fontId="1" type="noConversion"/>
  </si>
  <si>
    <t>E.D</t>
    <phoneticPr fontId="1" type="noConversion"/>
  </si>
  <si>
    <t>標準成長</t>
    <phoneticPr fontId="1" type="noConversion"/>
  </si>
  <si>
    <t>LWF</t>
    <phoneticPr fontId="1" type="noConversion"/>
  </si>
  <si>
    <t>R.S</t>
    <phoneticPr fontId="1" type="noConversion"/>
  </si>
  <si>
    <t>高產翼鋒</t>
    <phoneticPr fontId="1" type="noConversion"/>
  </si>
  <si>
    <t>盤球（和轉身）、盤球（向前突破）、盤球（內切）</t>
    <phoneticPr fontId="1" type="noConversion"/>
  </si>
  <si>
    <t>剪刀腳假動作、雜技般入球</t>
    <phoneticPr fontId="1" type="noConversion"/>
  </si>
  <si>
    <t>早熟</t>
    <phoneticPr fontId="1" type="noConversion"/>
  </si>
  <si>
    <t>M.F</t>
    <phoneticPr fontId="1" type="noConversion"/>
  </si>
  <si>
    <t>中距離射</t>
    <phoneticPr fontId="1" type="noConversion"/>
  </si>
  <si>
    <t>精確橫傳球</t>
    <phoneticPr fontId="1" type="noConversion"/>
  </si>
  <si>
    <t>E.A</t>
    <phoneticPr fontId="1" type="noConversion"/>
  </si>
  <si>
    <t>額外前鋒</t>
    <phoneticPr fontId="1" type="noConversion"/>
  </si>
  <si>
    <t>盯人</t>
    <phoneticPr fontId="1" type="noConversion"/>
  </si>
  <si>
    <t>CMF</t>
    <phoneticPr fontId="1" type="noConversion"/>
  </si>
  <si>
    <t>B</t>
    <phoneticPr fontId="1" type="noConversion"/>
  </si>
  <si>
    <t>全能中場</t>
    <phoneticPr fontId="1" type="noConversion"/>
  </si>
  <si>
    <t>長傳</t>
    <phoneticPr fontId="1" type="noConversion"/>
  </si>
  <si>
    <t>施丹轉身、向後切球並轉身、單觸傳球、加重傳球、隊長、戰鬥精神</t>
    <phoneticPr fontId="1" type="noConversion"/>
  </si>
  <si>
    <t>S.E</t>
    <phoneticPr fontId="1" type="noConversion"/>
  </si>
  <si>
    <t>盤球（和假動作）、盤球（和轉身）、盤球（向前突破）、盤球（內切）</t>
    <phoneticPr fontId="1" type="noConversion"/>
  </si>
  <si>
    <t>剪刀腳假動作、施丹轉身、向後切球並轉身、首次射球、外部弧線球、壓迫</t>
    <phoneticPr fontId="1" type="noConversion"/>
  </si>
  <si>
    <t>CB</t>
    <phoneticPr fontId="1" type="noConversion"/>
  </si>
  <si>
    <t>J.G</t>
    <phoneticPr fontId="1" type="noConversion"/>
  </si>
  <si>
    <t>盯人、戰鬥精神</t>
    <phoneticPr fontId="1" type="noConversion"/>
  </si>
  <si>
    <t>D.K</t>
    <phoneticPr fontId="1" type="noConversion"/>
  </si>
  <si>
    <t>虛假跑位</t>
    <phoneticPr fontId="1" type="noConversion"/>
  </si>
  <si>
    <t>CF、SS</t>
    <phoneticPr fontId="1" type="noConversion"/>
  </si>
  <si>
    <t>單觸傳球、壓迫、隊長</t>
    <phoneticPr fontId="1" type="noConversion"/>
  </si>
  <si>
    <t>早熟</t>
    <phoneticPr fontId="1" type="noConversion"/>
  </si>
  <si>
    <t>RB</t>
    <phoneticPr fontId="1" type="noConversion"/>
  </si>
  <si>
    <t>C.M</t>
    <phoneticPr fontId="1" type="noConversion"/>
  </si>
  <si>
    <t>CF</t>
    <phoneticPr fontId="1" type="noConversion"/>
  </si>
  <si>
    <t>M.M</t>
    <phoneticPr fontId="1" type="noConversion"/>
  </si>
  <si>
    <t>雜技般入球、首次射球、單觸傳球、壓迫、戰鬥精神</t>
    <phoneticPr fontId="1" type="noConversion"/>
  </si>
  <si>
    <t>K.H</t>
    <phoneticPr fontId="1" type="noConversion"/>
  </si>
  <si>
    <t>禁區之狐</t>
    <phoneticPr fontId="1" type="noConversion"/>
  </si>
  <si>
    <t>雜技般入球、單觸傳球</t>
    <phoneticPr fontId="1" type="noConversion"/>
  </si>
  <si>
    <t>早熟</t>
    <phoneticPr fontId="1" type="noConversion"/>
  </si>
  <si>
    <t>J.S</t>
    <phoneticPr fontId="1" type="noConversion"/>
  </si>
  <si>
    <t>目標中鋒</t>
    <phoneticPr fontId="1" type="noConversion"/>
  </si>
  <si>
    <t>海底撈月、首次射球、隊長</t>
    <phoneticPr fontId="1" type="noConversion"/>
  </si>
  <si>
    <t>CB</t>
    <phoneticPr fontId="1" type="noConversion"/>
  </si>
  <si>
    <t>J</t>
    <phoneticPr fontId="1" type="noConversion"/>
  </si>
  <si>
    <t>盯人、隊長</t>
    <phoneticPr fontId="1" type="noConversion"/>
  </si>
  <si>
    <t>標準成長</t>
    <phoneticPr fontId="1" type="noConversion"/>
  </si>
  <si>
    <t>AMF</t>
    <phoneticPr fontId="1" type="noConversion"/>
  </si>
  <si>
    <t>A.T</t>
    <phoneticPr fontId="1" type="noConversion"/>
  </si>
  <si>
    <t>盤球（和假動作）</t>
    <phoneticPr fontId="1" type="noConversion"/>
  </si>
  <si>
    <t>施丹轉身、向後切球並轉身、首次射球、外部弧線球</t>
    <phoneticPr fontId="1" type="noConversion"/>
  </si>
  <si>
    <t>CB</t>
    <phoneticPr fontId="1" type="noConversion"/>
  </si>
  <si>
    <t>L</t>
    <phoneticPr fontId="1" type="noConversion"/>
  </si>
  <si>
    <t>盯人、隊長、戰鬥精神</t>
    <phoneticPr fontId="1" type="noConversion"/>
  </si>
  <si>
    <t>標準成長</t>
    <phoneticPr fontId="1" type="noConversion"/>
  </si>
  <si>
    <t>CF</t>
    <phoneticPr fontId="1" type="noConversion"/>
  </si>
  <si>
    <t>L.P</t>
    <phoneticPr fontId="1" type="noConversion"/>
  </si>
  <si>
    <t>晚成</t>
    <phoneticPr fontId="1" type="noConversion"/>
  </si>
  <si>
    <t>N.C</t>
    <phoneticPr fontId="1" type="noConversion"/>
  </si>
  <si>
    <t>Y.E</t>
    <phoneticPr fontId="1" type="noConversion"/>
  </si>
  <si>
    <t>長傳</t>
    <phoneticPr fontId="1" type="noConversion"/>
  </si>
  <si>
    <t>施丹轉身、首次射球、單觸傳球、加重傳球、精確橫傳球、隊長</t>
    <phoneticPr fontId="1" type="noConversion"/>
  </si>
  <si>
    <t>D.D</t>
    <phoneticPr fontId="1" type="noConversion"/>
  </si>
  <si>
    <t>盯人、戰鬥精神</t>
    <phoneticPr fontId="1" type="noConversion"/>
  </si>
  <si>
    <t>GK</t>
    <phoneticPr fontId="1" type="noConversion"/>
  </si>
  <si>
    <t>K.T</t>
    <phoneticPr fontId="1" type="noConversion"/>
  </si>
  <si>
    <t>M</t>
    <phoneticPr fontId="1" type="noConversion"/>
  </si>
  <si>
    <t>傳統十號位置</t>
    <phoneticPr fontId="1" type="noConversion"/>
  </si>
  <si>
    <t>盤球（和轉身）</t>
    <phoneticPr fontId="1" type="noConversion"/>
  </si>
  <si>
    <t>DMF</t>
    <phoneticPr fontId="1" type="noConversion"/>
  </si>
  <si>
    <t>D</t>
    <phoneticPr fontId="1" type="noConversion"/>
  </si>
  <si>
    <t>靠山</t>
    <phoneticPr fontId="1" type="noConversion"/>
  </si>
  <si>
    <t>標準成長</t>
    <phoneticPr fontId="1" type="noConversion"/>
  </si>
  <si>
    <t>M</t>
    <phoneticPr fontId="1" type="noConversion"/>
  </si>
  <si>
    <t>盤球（和轉身）、盤球（內切）</t>
    <phoneticPr fontId="1" type="noConversion"/>
  </si>
  <si>
    <t>向後切球並轉身、雜技般入球、加重傳球、精確橫傳球</t>
    <phoneticPr fontId="1" type="noConversion"/>
  </si>
  <si>
    <t>M.O</t>
    <phoneticPr fontId="1" type="noConversion"/>
  </si>
  <si>
    <t>有創意的中場指揮官</t>
    <phoneticPr fontId="1" type="noConversion"/>
  </si>
  <si>
    <t>盤球（和假動作）、盤球（和轉身）、盤球（內切）</t>
    <phoneticPr fontId="1" type="noConversion"/>
  </si>
  <si>
    <t>剪刀腳假動作、施丹轉身、向後切球並轉身、單觸傳球、加重傳球、精確橫傳球</t>
    <phoneticPr fontId="1" type="noConversion"/>
  </si>
  <si>
    <t>標準成長</t>
    <phoneticPr fontId="1" type="noConversion"/>
  </si>
  <si>
    <t>AMF</t>
    <phoneticPr fontId="1" type="noConversion"/>
  </si>
  <si>
    <t>D.C</t>
    <phoneticPr fontId="1" type="noConversion"/>
  </si>
  <si>
    <t>影子前鋒</t>
    <phoneticPr fontId="1" type="noConversion"/>
  </si>
  <si>
    <t>剪刀腳假動作</t>
    <phoneticPr fontId="1" type="noConversion"/>
  </si>
  <si>
    <t>標準成長</t>
    <phoneticPr fontId="1" type="noConversion"/>
  </si>
  <si>
    <t>J</t>
    <phoneticPr fontId="1" type="noConversion"/>
  </si>
  <si>
    <t>標準成長</t>
    <phoneticPr fontId="1" type="noConversion"/>
  </si>
  <si>
    <t>RB</t>
    <phoneticPr fontId="1" type="noConversion"/>
  </si>
  <si>
    <t>N</t>
    <phoneticPr fontId="1" type="noConversion"/>
  </si>
  <si>
    <t>進攻型後衛</t>
    <phoneticPr fontId="1" type="noConversion"/>
  </si>
  <si>
    <t>盤球（向前突破）、盤球（內切）</t>
    <phoneticPr fontId="1" type="noConversion"/>
  </si>
  <si>
    <t>CF</t>
    <phoneticPr fontId="1" type="noConversion"/>
  </si>
  <si>
    <t>P.C</t>
    <phoneticPr fontId="1" type="noConversion"/>
  </si>
  <si>
    <t>目標中鋒</t>
    <phoneticPr fontId="1" type="noConversion"/>
  </si>
  <si>
    <t>雜技般入球</t>
    <phoneticPr fontId="1" type="noConversion"/>
  </si>
  <si>
    <t>標準成長</t>
    <phoneticPr fontId="1" type="noConversion"/>
  </si>
  <si>
    <t>M.B</t>
    <phoneticPr fontId="1" type="noConversion"/>
  </si>
  <si>
    <t>標準成長</t>
    <phoneticPr fontId="1" type="noConversion"/>
  </si>
  <si>
    <t>CB</t>
    <phoneticPr fontId="1" type="noConversion"/>
  </si>
  <si>
    <t>V.K</t>
    <phoneticPr fontId="1" type="noConversion"/>
  </si>
  <si>
    <t>盯人、隊長、戰鬥精神</t>
    <phoneticPr fontId="1" type="noConversion"/>
  </si>
  <si>
    <t>標準成長</t>
    <phoneticPr fontId="1" type="noConversion"/>
  </si>
  <si>
    <t>SS</t>
    <phoneticPr fontId="1" type="noConversion"/>
  </si>
  <si>
    <t>R.P</t>
    <phoneticPr fontId="1" type="noConversion"/>
  </si>
  <si>
    <t>有創意的中場指揮官</t>
    <phoneticPr fontId="1" type="noConversion"/>
  </si>
  <si>
    <t>盤球（和假動作）、盤球（和轉身）、盤球（內切）</t>
    <phoneticPr fontId="1" type="noConversion"/>
  </si>
  <si>
    <t>DMF</t>
    <phoneticPr fontId="1" type="noConversion"/>
  </si>
  <si>
    <t>D</t>
    <phoneticPr fontId="1" type="noConversion"/>
  </si>
  <si>
    <t>靠山</t>
    <phoneticPr fontId="1" type="noConversion"/>
  </si>
  <si>
    <t>CB</t>
    <phoneticPr fontId="1" type="noConversion"/>
  </si>
  <si>
    <t>D.D</t>
    <phoneticPr fontId="1" type="noConversion"/>
  </si>
  <si>
    <t>盯人</t>
    <phoneticPr fontId="1" type="noConversion"/>
  </si>
  <si>
    <t>GK</t>
    <phoneticPr fontId="1" type="noConversion"/>
  </si>
  <si>
    <t>G.B</t>
    <phoneticPr fontId="1" type="noConversion"/>
  </si>
  <si>
    <t>防守型守門員</t>
    <phoneticPr fontId="1" type="noConversion"/>
  </si>
  <si>
    <t>隊長、戰鬥精神</t>
    <phoneticPr fontId="1" type="noConversion"/>
  </si>
  <si>
    <t>標準成長</t>
    <phoneticPr fontId="1" type="noConversion"/>
  </si>
  <si>
    <t>R.B</t>
    <phoneticPr fontId="1" type="noConversion"/>
  </si>
  <si>
    <t>晚成</t>
    <phoneticPr fontId="1" type="noConversion"/>
  </si>
  <si>
    <t>偷獵者</t>
    <phoneticPr fontId="1" type="noConversion"/>
  </si>
  <si>
    <t>M.V</t>
    <phoneticPr fontId="1" type="noConversion"/>
  </si>
  <si>
    <t>標準成長</t>
    <phoneticPr fontId="1" type="noConversion"/>
  </si>
  <si>
    <t>AMF</t>
    <phoneticPr fontId="1" type="noConversion"/>
  </si>
  <si>
    <t>Y.G</t>
    <phoneticPr fontId="1" type="noConversion"/>
  </si>
  <si>
    <t>傳統十號位置</t>
    <phoneticPr fontId="1" type="noConversion"/>
  </si>
  <si>
    <t>中距離射</t>
    <phoneticPr fontId="1" type="noConversion"/>
  </si>
  <si>
    <t>牛擺尾、施丹轉身、加重傳球</t>
    <phoneticPr fontId="1" type="noConversion"/>
  </si>
  <si>
    <t>CMF</t>
    <phoneticPr fontId="1" type="noConversion"/>
  </si>
  <si>
    <t>S.M</t>
    <phoneticPr fontId="1" type="noConversion"/>
  </si>
  <si>
    <t>全能中場</t>
    <phoneticPr fontId="1" type="noConversion"/>
  </si>
  <si>
    <t>早熟</t>
    <phoneticPr fontId="1" type="noConversion"/>
  </si>
  <si>
    <t>CB</t>
    <phoneticPr fontId="1" type="noConversion"/>
  </si>
  <si>
    <t>D.A</t>
    <phoneticPr fontId="1" type="noConversion"/>
  </si>
  <si>
    <t>盯人</t>
    <phoneticPr fontId="1" type="noConversion"/>
  </si>
  <si>
    <t>CF</t>
    <phoneticPr fontId="1" type="noConversion"/>
  </si>
  <si>
    <t>S.K</t>
    <phoneticPr fontId="1" type="noConversion"/>
  </si>
  <si>
    <t>雜技般入球、首次射球、壓迫</t>
    <phoneticPr fontId="1" type="noConversion"/>
  </si>
  <si>
    <t>早熟</t>
    <phoneticPr fontId="1" type="noConversion"/>
  </si>
  <si>
    <t>CF</t>
    <phoneticPr fontId="1" type="noConversion"/>
  </si>
  <si>
    <t>L.D</t>
    <phoneticPr fontId="1" type="noConversion"/>
  </si>
  <si>
    <t>壓迫、隊長</t>
    <phoneticPr fontId="1" type="noConversion"/>
  </si>
  <si>
    <t>標準成長</t>
    <phoneticPr fontId="1" type="noConversion"/>
  </si>
  <si>
    <t>DMF</t>
    <phoneticPr fontId="1" type="noConversion"/>
  </si>
  <si>
    <t>I.R</t>
    <phoneticPr fontId="1" type="noConversion"/>
  </si>
  <si>
    <t>靠山</t>
    <phoneticPr fontId="1" type="noConversion"/>
  </si>
  <si>
    <t>中距離射</t>
    <phoneticPr fontId="1" type="noConversion"/>
  </si>
  <si>
    <t>標準成長</t>
    <phoneticPr fontId="1" type="noConversion"/>
  </si>
  <si>
    <t>LMF</t>
    <phoneticPr fontId="1" type="noConversion"/>
  </si>
  <si>
    <t>M.K</t>
    <phoneticPr fontId="1" type="noConversion"/>
  </si>
  <si>
    <t>全能中場</t>
    <phoneticPr fontId="1" type="noConversion"/>
  </si>
  <si>
    <t>落葉球射門</t>
    <phoneticPr fontId="1" type="noConversion"/>
  </si>
  <si>
    <t>標準成長</t>
    <phoneticPr fontId="1" type="noConversion"/>
  </si>
  <si>
    <t>S.D</t>
    <phoneticPr fontId="1" type="noConversion"/>
  </si>
  <si>
    <t>建立</t>
    <phoneticPr fontId="1" type="noConversion"/>
  </si>
  <si>
    <t>盯人</t>
    <phoneticPr fontId="1" type="noConversion"/>
  </si>
  <si>
    <t>晚成</t>
    <phoneticPr fontId="1" type="noConversion"/>
  </si>
  <si>
    <t>C.J</t>
    <phoneticPr fontId="1" type="noConversion"/>
  </si>
  <si>
    <t>首次射球</t>
    <phoneticPr fontId="1" type="noConversion"/>
  </si>
  <si>
    <t>標準成長</t>
    <phoneticPr fontId="1" type="noConversion"/>
  </si>
  <si>
    <t>CMF</t>
    <phoneticPr fontId="1" type="noConversion"/>
  </si>
  <si>
    <t>D.D</t>
    <phoneticPr fontId="1" type="noConversion"/>
  </si>
  <si>
    <t>GK</t>
    <phoneticPr fontId="1" type="noConversion"/>
  </si>
  <si>
    <t>V.E</t>
    <phoneticPr fontId="1" type="noConversion"/>
  </si>
  <si>
    <t>Y.H</t>
    <phoneticPr fontId="1" type="noConversion"/>
  </si>
  <si>
    <t>牛擺尾</t>
    <phoneticPr fontId="1" type="noConversion"/>
  </si>
  <si>
    <t>F</t>
    <phoneticPr fontId="1" type="noConversion"/>
  </si>
  <si>
    <t>影子前鋒</t>
    <phoneticPr fontId="1" type="noConversion"/>
  </si>
  <si>
    <t>施丹轉身、向後切球並轉身、雜技般入球、單觸傳球、加重傳球、隊長</t>
    <phoneticPr fontId="1" type="noConversion"/>
  </si>
  <si>
    <t>CB</t>
    <phoneticPr fontId="1" type="noConversion"/>
  </si>
  <si>
    <t>A.D</t>
    <phoneticPr fontId="1" type="noConversion"/>
  </si>
  <si>
    <t>破壞型中場</t>
    <phoneticPr fontId="1" type="noConversion"/>
  </si>
  <si>
    <t>長距離投擲、戰鬥精神</t>
    <phoneticPr fontId="1" type="noConversion"/>
  </si>
  <si>
    <t>SS</t>
    <phoneticPr fontId="1" type="noConversion"/>
  </si>
  <si>
    <t>A.L</t>
    <phoneticPr fontId="1" type="noConversion"/>
  </si>
  <si>
    <t>影子前鋒</t>
    <phoneticPr fontId="1" type="noConversion"/>
  </si>
  <si>
    <t>盤球（和假動作）</t>
    <phoneticPr fontId="1" type="noConversion"/>
  </si>
  <si>
    <t>剪刀腳假動作、牛擺尾、向後切球並轉身、遠距離抽射、落葉球射門、首次射球、加重傳球</t>
    <phoneticPr fontId="1" type="noConversion"/>
  </si>
  <si>
    <t>AMF</t>
    <phoneticPr fontId="1" type="noConversion"/>
  </si>
  <si>
    <t>M.D</t>
    <phoneticPr fontId="1" type="noConversion"/>
  </si>
  <si>
    <t>有創意的中場指揮官</t>
    <phoneticPr fontId="1" type="noConversion"/>
  </si>
  <si>
    <t>盤球（內切）</t>
    <phoneticPr fontId="1" type="noConversion"/>
  </si>
  <si>
    <t>施丹轉身、向後切球並轉身、外部弧線球</t>
    <phoneticPr fontId="1" type="noConversion"/>
  </si>
  <si>
    <t>A</t>
    <phoneticPr fontId="1" type="noConversion"/>
  </si>
  <si>
    <t>D.S</t>
    <phoneticPr fontId="1" type="noConversion"/>
  </si>
  <si>
    <t>E.A</t>
    <phoneticPr fontId="1" type="noConversion"/>
  </si>
  <si>
    <t>額外前鋒</t>
    <phoneticPr fontId="1" type="noConversion"/>
  </si>
  <si>
    <t>盯人</t>
    <phoneticPr fontId="1" type="noConversion"/>
  </si>
  <si>
    <t>標準成長</t>
    <phoneticPr fontId="1" type="noConversion"/>
  </si>
  <si>
    <t>RB</t>
    <phoneticPr fontId="1" type="noConversion"/>
  </si>
  <si>
    <t>L.P</t>
    <phoneticPr fontId="1" type="noConversion"/>
  </si>
  <si>
    <t>進攻型後衛</t>
    <phoneticPr fontId="1" type="noConversion"/>
  </si>
  <si>
    <t>快傳</t>
    <phoneticPr fontId="1" type="noConversion"/>
  </si>
  <si>
    <t>長距離投擲</t>
    <phoneticPr fontId="1" type="noConversion"/>
  </si>
  <si>
    <t>標準成長</t>
    <phoneticPr fontId="1" type="noConversion"/>
  </si>
  <si>
    <t>AMF</t>
    <phoneticPr fontId="1" type="noConversion"/>
  </si>
  <si>
    <t>J.R</t>
    <phoneticPr fontId="1" type="noConversion"/>
  </si>
  <si>
    <t>影子前鋒</t>
    <phoneticPr fontId="1" type="noConversion"/>
  </si>
  <si>
    <t>盤球（和假動作）、盤球（和轉身）、盤球（內切）、快傳、中距離射</t>
    <phoneticPr fontId="1" type="noConversion"/>
  </si>
  <si>
    <t>牛擺尾、施丹轉身、向後切球並轉身、雜技般入球、首次射球、單觸傳球、加重傳球、精確橫傳球、外部弧線球</t>
    <phoneticPr fontId="1" type="noConversion"/>
  </si>
  <si>
    <t>晚成</t>
    <phoneticPr fontId="1" type="noConversion"/>
  </si>
  <si>
    <t>H.N</t>
    <phoneticPr fontId="1" type="noConversion"/>
  </si>
  <si>
    <t>靠山</t>
    <phoneticPr fontId="1" type="noConversion"/>
  </si>
  <si>
    <t>中距離射</t>
    <phoneticPr fontId="1" type="noConversion"/>
  </si>
  <si>
    <t>長距離投擲、盯人</t>
    <phoneticPr fontId="1" type="noConversion"/>
  </si>
  <si>
    <t>早熟</t>
    <phoneticPr fontId="1" type="noConversion"/>
  </si>
  <si>
    <t>CF</t>
    <phoneticPr fontId="1" type="noConversion"/>
  </si>
  <si>
    <t>M.V</t>
    <phoneticPr fontId="1" type="noConversion"/>
  </si>
  <si>
    <t>偷獵者</t>
    <phoneticPr fontId="1" type="noConversion"/>
  </si>
  <si>
    <t>目標中鋒</t>
    <phoneticPr fontId="1" type="noConversion"/>
  </si>
  <si>
    <t>標準成長</t>
    <phoneticPr fontId="1" type="noConversion"/>
  </si>
  <si>
    <t>CMF</t>
    <phoneticPr fontId="1" type="noConversion"/>
  </si>
  <si>
    <t>P.G</t>
    <phoneticPr fontId="1" type="noConversion"/>
  </si>
  <si>
    <t>靠山</t>
    <phoneticPr fontId="1" type="noConversion"/>
  </si>
  <si>
    <t>隊長、戰鬥精神</t>
    <phoneticPr fontId="1" type="noConversion"/>
  </si>
  <si>
    <t>晚成</t>
    <phoneticPr fontId="1" type="noConversion"/>
  </si>
  <si>
    <t>B</t>
    <phoneticPr fontId="1" type="noConversion"/>
  </si>
  <si>
    <t>傳統十號位置</t>
    <phoneticPr fontId="1" type="noConversion"/>
  </si>
  <si>
    <t>長傳、快傳、中距離射</t>
    <phoneticPr fontId="1" type="noConversion"/>
  </si>
  <si>
    <t>向後切球並轉身、遠距離抽射、落葉球射門、首次射球、單觸傳球、加重傳球、精確橫傳球</t>
    <phoneticPr fontId="1" type="noConversion"/>
  </si>
  <si>
    <t>CF</t>
    <phoneticPr fontId="1" type="noConversion"/>
  </si>
  <si>
    <t>P</t>
    <phoneticPr fontId="1" type="noConversion"/>
  </si>
  <si>
    <t>V</t>
    <phoneticPr fontId="1" type="noConversion"/>
  </si>
  <si>
    <t>L</t>
    <phoneticPr fontId="1" type="noConversion"/>
  </si>
  <si>
    <t>額外前鋒</t>
    <phoneticPr fontId="1" type="noConversion"/>
  </si>
  <si>
    <t>G.S</t>
    <phoneticPr fontId="1" type="noConversion"/>
  </si>
  <si>
    <t>CB</t>
    <phoneticPr fontId="1" type="noConversion"/>
  </si>
  <si>
    <t>E.G</t>
    <phoneticPr fontId="1" type="noConversion"/>
  </si>
  <si>
    <t>長距離投擲、盯人、隊長</t>
    <phoneticPr fontId="1" type="noConversion"/>
  </si>
  <si>
    <t>標準成長</t>
    <phoneticPr fontId="1" type="noConversion"/>
  </si>
  <si>
    <t>GK</t>
    <phoneticPr fontId="1" type="noConversion"/>
  </si>
  <si>
    <t>A</t>
    <phoneticPr fontId="1" type="noConversion"/>
  </si>
  <si>
    <t>低軌跡球、隊長、戰鬥精神</t>
    <phoneticPr fontId="1" type="noConversion"/>
  </si>
  <si>
    <t>標準成長</t>
    <phoneticPr fontId="1" type="noConversion"/>
  </si>
  <si>
    <t>AMF</t>
    <phoneticPr fontId="1" type="noConversion"/>
  </si>
  <si>
    <t>D</t>
    <phoneticPr fontId="1" type="noConversion"/>
  </si>
  <si>
    <t>影子前鋒</t>
    <phoneticPr fontId="1" type="noConversion"/>
  </si>
  <si>
    <t>長傳</t>
    <phoneticPr fontId="1" type="noConversion"/>
  </si>
  <si>
    <t>施丹轉身、向後切球並轉身、單觸傳球</t>
    <phoneticPr fontId="1" type="noConversion"/>
  </si>
  <si>
    <t>早熟</t>
    <phoneticPr fontId="1" type="noConversion"/>
  </si>
  <si>
    <t>AMF</t>
    <phoneticPr fontId="1" type="noConversion"/>
  </si>
  <si>
    <t>G</t>
    <phoneticPr fontId="1" type="noConversion"/>
  </si>
  <si>
    <t>傳統十號位置</t>
    <phoneticPr fontId="1" type="noConversion"/>
  </si>
  <si>
    <t>單觸傳球、加重傳球</t>
    <phoneticPr fontId="1" type="noConversion"/>
  </si>
  <si>
    <t>晚成</t>
    <phoneticPr fontId="1" type="noConversion"/>
  </si>
  <si>
    <t>SS</t>
    <phoneticPr fontId="1" type="noConversion"/>
  </si>
  <si>
    <t>I</t>
    <phoneticPr fontId="1" type="noConversion"/>
  </si>
  <si>
    <t>高產翼鋒</t>
    <phoneticPr fontId="1" type="noConversion"/>
  </si>
  <si>
    <t>盤球（和轉身）、盤球（向前突破）、盤球（內切）</t>
    <phoneticPr fontId="1" type="noConversion"/>
  </si>
  <si>
    <t>剪刀腳假動作、向後切球並轉身、內部彈起</t>
    <phoneticPr fontId="1" type="noConversion"/>
  </si>
  <si>
    <t>標準成長</t>
    <phoneticPr fontId="1" type="noConversion"/>
  </si>
  <si>
    <t>LMF</t>
    <phoneticPr fontId="1" type="noConversion"/>
  </si>
  <si>
    <t>S</t>
    <phoneticPr fontId="1" type="noConversion"/>
  </si>
  <si>
    <t>全能中場</t>
    <phoneticPr fontId="1" type="noConversion"/>
  </si>
  <si>
    <t>單觸傳球、加重傳球</t>
    <phoneticPr fontId="1" type="noConversion"/>
  </si>
  <si>
    <t>晚成</t>
    <phoneticPr fontId="1" type="noConversion"/>
  </si>
  <si>
    <t>F.N</t>
    <phoneticPr fontId="1" type="noConversion"/>
  </si>
  <si>
    <t>快傳</t>
    <phoneticPr fontId="1" type="noConversion"/>
  </si>
  <si>
    <t>戰鬥精神</t>
    <phoneticPr fontId="1" type="noConversion"/>
  </si>
  <si>
    <t>標準成長</t>
    <phoneticPr fontId="1" type="noConversion"/>
  </si>
  <si>
    <t>CF</t>
    <phoneticPr fontId="1" type="noConversion"/>
  </si>
  <si>
    <t>W.B</t>
    <phoneticPr fontId="1" type="noConversion"/>
  </si>
  <si>
    <t>偷獵者</t>
    <phoneticPr fontId="1" type="noConversion"/>
  </si>
  <si>
    <t>盤球（和轉身）</t>
    <phoneticPr fontId="1" type="noConversion"/>
  </si>
  <si>
    <t>剪刀腳假動作、單觸傳球</t>
    <phoneticPr fontId="1" type="noConversion"/>
  </si>
  <si>
    <t>M</t>
    <phoneticPr fontId="1" type="noConversion"/>
  </si>
  <si>
    <t>進攻型後衛</t>
    <phoneticPr fontId="1" type="noConversion"/>
  </si>
  <si>
    <t>快傳、中距離射</t>
    <phoneticPr fontId="1" type="noConversion"/>
  </si>
  <si>
    <t>向後切球並轉身、單觸傳球</t>
    <phoneticPr fontId="1" type="noConversion"/>
  </si>
  <si>
    <t>標準成長</t>
    <phoneticPr fontId="1" type="noConversion"/>
  </si>
  <si>
    <t>CMF</t>
    <phoneticPr fontId="1" type="noConversion"/>
  </si>
  <si>
    <t>R</t>
    <phoneticPr fontId="1" type="noConversion"/>
  </si>
  <si>
    <t>盤球（和假動作）、盤球（和轉身）</t>
    <phoneticPr fontId="1" type="noConversion"/>
  </si>
  <si>
    <t>向後切球並轉身、單觸傳球、外部弧線球</t>
    <phoneticPr fontId="1" type="noConversion"/>
  </si>
  <si>
    <t>標準成長</t>
    <phoneticPr fontId="1" type="noConversion"/>
  </si>
  <si>
    <t>J.S</t>
    <phoneticPr fontId="1" type="noConversion"/>
  </si>
  <si>
    <t>額外前鋒</t>
    <phoneticPr fontId="1" type="noConversion"/>
  </si>
  <si>
    <t>標準成長</t>
    <phoneticPr fontId="1" type="noConversion"/>
  </si>
  <si>
    <t>N.G</t>
    <phoneticPr fontId="1" type="noConversion"/>
  </si>
  <si>
    <t>傳統十號位置</t>
    <phoneticPr fontId="1" type="noConversion"/>
  </si>
  <si>
    <t>盤球（和轉身）、盤球（內切）</t>
    <phoneticPr fontId="1" type="noConversion"/>
  </si>
  <si>
    <t>剪刀腳假動作、施丹轉身、雜技般入球、單觸傳球、外部弧線球</t>
    <phoneticPr fontId="1" type="noConversion"/>
  </si>
  <si>
    <t>標準成長</t>
    <phoneticPr fontId="1" type="noConversion"/>
  </si>
  <si>
    <t>CB</t>
    <phoneticPr fontId="1" type="noConversion"/>
  </si>
  <si>
    <t>S.D</t>
    <phoneticPr fontId="1" type="noConversion"/>
  </si>
  <si>
    <t>建立</t>
    <phoneticPr fontId="1" type="noConversion"/>
  </si>
  <si>
    <t>標準成長</t>
    <phoneticPr fontId="1" type="noConversion"/>
  </si>
  <si>
    <t>DMF</t>
    <phoneticPr fontId="1" type="noConversion"/>
  </si>
  <si>
    <t>R.P</t>
    <phoneticPr fontId="1" type="noConversion"/>
  </si>
  <si>
    <t>標準成長</t>
    <phoneticPr fontId="1" type="noConversion"/>
  </si>
  <si>
    <t>RWF</t>
    <phoneticPr fontId="1" type="noConversion"/>
  </si>
  <si>
    <t>A.C</t>
    <phoneticPr fontId="1" type="noConversion"/>
  </si>
  <si>
    <t>高產翼鋒</t>
    <phoneticPr fontId="1" type="noConversion"/>
  </si>
  <si>
    <t>盤球（向前突破）、盤球（內切）、中距離射</t>
    <phoneticPr fontId="1" type="noConversion"/>
  </si>
  <si>
    <t>標準成長</t>
    <phoneticPr fontId="1" type="noConversion"/>
  </si>
  <si>
    <t>CMF</t>
    <phoneticPr fontId="1" type="noConversion"/>
  </si>
  <si>
    <t>S</t>
    <phoneticPr fontId="1" type="noConversion"/>
  </si>
  <si>
    <t>全能中場</t>
    <phoneticPr fontId="1" type="noConversion"/>
  </si>
  <si>
    <t>中距離射</t>
    <phoneticPr fontId="1" type="noConversion"/>
  </si>
  <si>
    <t>向後切球並轉身、落葉球射門、加重傳球、隊長</t>
    <phoneticPr fontId="1" type="noConversion"/>
  </si>
  <si>
    <t>M</t>
    <phoneticPr fontId="1" type="noConversion"/>
  </si>
  <si>
    <t>進攻型後衛</t>
    <phoneticPr fontId="1" type="noConversion"/>
  </si>
  <si>
    <t>長傳</t>
    <phoneticPr fontId="1" type="noConversion"/>
  </si>
  <si>
    <t>晚成</t>
    <phoneticPr fontId="1" type="noConversion"/>
  </si>
  <si>
    <t>K.G</t>
    <phoneticPr fontId="1" type="noConversion"/>
  </si>
  <si>
    <t>偷獵者</t>
    <phoneticPr fontId="1" type="noConversion"/>
  </si>
  <si>
    <t>盤球（和轉身）、盤球（向前突破）、盤球（內切）</t>
    <phoneticPr fontId="1" type="noConversion"/>
  </si>
  <si>
    <t>雜技般入球、壓迫、超級候補</t>
    <phoneticPr fontId="1" type="noConversion"/>
  </si>
  <si>
    <t>R.B</t>
    <phoneticPr fontId="1" type="noConversion"/>
  </si>
  <si>
    <t>有創意的中場指揮官</t>
    <phoneticPr fontId="1" type="noConversion"/>
  </si>
  <si>
    <t>盤球（和假動作）、盤球（和轉身）、中距離射</t>
    <phoneticPr fontId="1" type="noConversion"/>
  </si>
  <si>
    <t>施丹轉身、遠距離抽射、落葉球射門、雜技般入球、加重傳球、外部弧線球</t>
    <phoneticPr fontId="1" type="noConversion"/>
  </si>
  <si>
    <t>GK</t>
    <phoneticPr fontId="1" type="noConversion"/>
  </si>
  <si>
    <t>N</t>
    <phoneticPr fontId="1" type="noConversion"/>
  </si>
  <si>
    <t>低軌跡球</t>
    <phoneticPr fontId="1" type="noConversion"/>
  </si>
  <si>
    <t>A.D</t>
    <phoneticPr fontId="1" type="noConversion"/>
  </si>
  <si>
    <t>CF</t>
    <phoneticPr fontId="1" type="noConversion"/>
  </si>
  <si>
    <t>S.A</t>
    <phoneticPr fontId="1" type="noConversion"/>
  </si>
  <si>
    <t>盤球（和轉身）</t>
    <phoneticPr fontId="1" type="noConversion"/>
  </si>
  <si>
    <t>剪刀腳假動作、施丹轉身、落葉球射門、雜技般入球、首次射球、外部弧線球</t>
    <phoneticPr fontId="1" type="noConversion"/>
  </si>
  <si>
    <t>標準成長</t>
    <phoneticPr fontId="1" type="noConversion"/>
  </si>
  <si>
    <t>DMF</t>
    <phoneticPr fontId="1" type="noConversion"/>
  </si>
  <si>
    <t>B</t>
    <phoneticPr fontId="1" type="noConversion"/>
  </si>
  <si>
    <t>靠山</t>
    <phoneticPr fontId="1" type="noConversion"/>
  </si>
  <si>
    <t>長傳</t>
    <phoneticPr fontId="1" type="noConversion"/>
  </si>
  <si>
    <t>施丹轉身、單觸傳球、加重傳球、盯人、隊長、戰鬥精神</t>
    <phoneticPr fontId="1" type="noConversion"/>
  </si>
  <si>
    <t>A.E</t>
    <phoneticPr fontId="1" type="noConversion"/>
  </si>
  <si>
    <t>高產翼鋒</t>
    <phoneticPr fontId="1" type="noConversion"/>
  </si>
  <si>
    <t>盤球（和假動作）、盤球（和轉身）、盤球（向前突破）、盤球（內切）、中距離射</t>
    <phoneticPr fontId="1" type="noConversion"/>
  </si>
  <si>
    <t>超級候補</t>
    <phoneticPr fontId="1" type="noConversion"/>
  </si>
  <si>
    <t>CB</t>
    <phoneticPr fontId="1" type="noConversion"/>
  </si>
  <si>
    <t>M.T</t>
    <phoneticPr fontId="1" type="noConversion"/>
  </si>
  <si>
    <t>盯人</t>
    <phoneticPr fontId="1" type="noConversion"/>
  </si>
  <si>
    <t>CB</t>
    <phoneticPr fontId="1" type="noConversion"/>
  </si>
  <si>
    <t>D</t>
    <phoneticPr fontId="1" type="noConversion"/>
  </si>
  <si>
    <t>額外前鋒</t>
    <phoneticPr fontId="1" type="noConversion"/>
  </si>
  <si>
    <t>盤球（內切）、長傳</t>
    <phoneticPr fontId="1" type="noConversion"/>
  </si>
  <si>
    <t>戰鬥精神、</t>
    <phoneticPr fontId="1" type="noConversion"/>
  </si>
  <si>
    <t>施丹轉身、落葉球射門、雜技般入球、長距離投擲、盯人、戰鬥精神</t>
    <phoneticPr fontId="1" type="noConversion"/>
  </si>
  <si>
    <t>晚成</t>
    <phoneticPr fontId="1" type="noConversion"/>
  </si>
  <si>
    <t>RMF</t>
    <phoneticPr fontId="1" type="noConversion"/>
  </si>
  <si>
    <t>J.C</t>
    <phoneticPr fontId="1" type="noConversion"/>
  </si>
  <si>
    <t>高產翼鋒</t>
    <phoneticPr fontId="1" type="noConversion"/>
  </si>
  <si>
    <t>盤球（和轉身）、盤球（向前突破）、盤球（內切）、中距離射</t>
    <phoneticPr fontId="1" type="noConversion"/>
  </si>
  <si>
    <t>剪刀腳假動作、牛擺尾、施丹轉身、向後切球並轉身、雜技般入球</t>
    <phoneticPr fontId="1" type="noConversion"/>
  </si>
  <si>
    <t>LB</t>
    <phoneticPr fontId="1" type="noConversion"/>
  </si>
  <si>
    <t>A</t>
    <phoneticPr fontId="1" type="noConversion"/>
  </si>
  <si>
    <t>進攻型後衛</t>
    <phoneticPr fontId="1" type="noConversion"/>
  </si>
  <si>
    <t>快傳</t>
    <phoneticPr fontId="1" type="noConversion"/>
  </si>
  <si>
    <t>長距離投擲</t>
    <phoneticPr fontId="1" type="noConversion"/>
  </si>
  <si>
    <t>CMF</t>
    <phoneticPr fontId="1" type="noConversion"/>
  </si>
  <si>
    <t>G.X</t>
    <phoneticPr fontId="1" type="noConversion"/>
  </si>
  <si>
    <t>長傳、中距離射</t>
    <phoneticPr fontId="1" type="noConversion"/>
  </si>
  <si>
    <t>遠距離抽射、落葉球射門、單觸傳球、加重傳球、隊長、戰鬥精神</t>
    <phoneticPr fontId="1" type="noConversion"/>
  </si>
  <si>
    <t>C</t>
    <phoneticPr fontId="1" type="noConversion"/>
  </si>
  <si>
    <t>早熟</t>
    <phoneticPr fontId="1" type="noConversion"/>
  </si>
  <si>
    <t>V.C</t>
    <phoneticPr fontId="1" type="noConversion"/>
  </si>
  <si>
    <t>盯人</t>
    <phoneticPr fontId="1" type="noConversion"/>
  </si>
  <si>
    <t>N.G</t>
  </si>
  <si>
    <t>傳統十號位置</t>
  </si>
  <si>
    <t>盤球（和轉身）、盤球（內切）</t>
  </si>
  <si>
    <t>標準成長</t>
  </si>
  <si>
    <t>S.T</t>
  </si>
  <si>
    <t>剪刀腳假動作、盯人、戰鬥精神</t>
  </si>
  <si>
    <t>RWF</t>
  </si>
  <si>
    <t>高產翼鋒</t>
  </si>
  <si>
    <t>剪刀腳假動作、施丹轉身、海底撈月、超級候補</t>
  </si>
  <si>
    <t>GK</t>
    <phoneticPr fontId="1" type="noConversion"/>
  </si>
  <si>
    <t>R</t>
    <phoneticPr fontId="1" type="noConversion"/>
  </si>
  <si>
    <t>防守型守門員</t>
    <phoneticPr fontId="1" type="noConversion"/>
  </si>
  <si>
    <t>標準成長</t>
    <phoneticPr fontId="1" type="noConversion"/>
  </si>
  <si>
    <t>R.W</t>
    <phoneticPr fontId="1" type="noConversion"/>
  </si>
  <si>
    <t>隊長</t>
    <phoneticPr fontId="1" type="noConversion"/>
  </si>
  <si>
    <t>T.Z</t>
    <phoneticPr fontId="1" type="noConversion"/>
  </si>
  <si>
    <t>CB</t>
    <phoneticPr fontId="1" type="noConversion"/>
  </si>
  <si>
    <t>F.M</t>
    <phoneticPr fontId="1" type="noConversion"/>
  </si>
  <si>
    <t>防守型後衛</t>
    <phoneticPr fontId="1" type="noConversion"/>
  </si>
  <si>
    <t>盯人</t>
    <phoneticPr fontId="1" type="noConversion"/>
  </si>
  <si>
    <t>標準成長</t>
    <phoneticPr fontId="1" type="noConversion"/>
  </si>
  <si>
    <t>A.G</t>
    <phoneticPr fontId="1" type="noConversion"/>
  </si>
  <si>
    <t>影子前鋒</t>
    <phoneticPr fontId="1" type="noConversion"/>
  </si>
  <si>
    <t>盤球（和轉身）</t>
    <phoneticPr fontId="1" type="noConversion"/>
  </si>
  <si>
    <t>單觸傳球</t>
    <phoneticPr fontId="1" type="noConversion"/>
  </si>
  <si>
    <t>T.X</t>
    <phoneticPr fontId="1" type="noConversion"/>
  </si>
  <si>
    <t>進攻型後衛</t>
    <phoneticPr fontId="1" type="noConversion"/>
  </si>
  <si>
    <t>戰鬥精神</t>
    <phoneticPr fontId="1" type="noConversion"/>
  </si>
  <si>
    <t>J.M</t>
    <phoneticPr fontId="1" type="noConversion"/>
  </si>
  <si>
    <t>快傳</t>
    <phoneticPr fontId="1" type="noConversion"/>
  </si>
  <si>
    <t>RWF</t>
    <phoneticPr fontId="1" type="noConversion"/>
  </si>
  <si>
    <t>D.B</t>
    <phoneticPr fontId="1" type="noConversion"/>
  </si>
  <si>
    <t>高產翼鋒</t>
    <phoneticPr fontId="1" type="noConversion"/>
  </si>
  <si>
    <t>盤球（和轉身）、盤球（內切）</t>
    <phoneticPr fontId="1" type="noConversion"/>
  </si>
  <si>
    <t>施丹轉身、遠距離抽射、單觸傳球、精確橫傳球、壓迫</t>
    <phoneticPr fontId="1" type="noConversion"/>
  </si>
  <si>
    <t>標準成長</t>
    <phoneticPr fontId="1" type="noConversion"/>
  </si>
  <si>
    <t>GK</t>
    <phoneticPr fontId="1" type="noConversion"/>
  </si>
  <si>
    <t>A</t>
    <phoneticPr fontId="1" type="noConversion"/>
  </si>
  <si>
    <t>防守型守門員</t>
    <phoneticPr fontId="1" type="noConversion"/>
  </si>
  <si>
    <t>標準成長</t>
    <phoneticPr fontId="1" type="noConversion"/>
  </si>
  <si>
    <t>LB</t>
    <phoneticPr fontId="1" type="noConversion"/>
  </si>
  <si>
    <t>W</t>
    <phoneticPr fontId="1" type="noConversion"/>
  </si>
  <si>
    <t>進攻型後衛</t>
    <phoneticPr fontId="1" type="noConversion"/>
  </si>
  <si>
    <t>快傳</t>
    <phoneticPr fontId="1" type="noConversion"/>
  </si>
  <si>
    <t>精確橫傳球</t>
    <phoneticPr fontId="1" type="noConversion"/>
  </si>
  <si>
    <t>標準成長</t>
    <phoneticPr fontId="1" type="noConversion"/>
  </si>
  <si>
    <t>CB</t>
    <phoneticPr fontId="1" type="noConversion"/>
  </si>
  <si>
    <t>L.H</t>
    <phoneticPr fontId="1" type="noConversion"/>
  </si>
  <si>
    <t>標準成長</t>
    <phoneticPr fontId="1" type="noConversion"/>
  </si>
  <si>
    <t>RWF</t>
    <phoneticPr fontId="1" type="noConversion"/>
  </si>
  <si>
    <t>J.A</t>
    <phoneticPr fontId="1" type="noConversion"/>
  </si>
  <si>
    <t>標準成長</t>
    <phoneticPr fontId="1" type="noConversion"/>
  </si>
  <si>
    <t>AMF</t>
    <phoneticPr fontId="1" type="noConversion"/>
  </si>
  <si>
    <t>S.R</t>
    <phoneticPr fontId="1" type="noConversion"/>
  </si>
  <si>
    <t>CMF</t>
    <phoneticPr fontId="1" type="noConversion"/>
  </si>
  <si>
    <t>P.V</t>
    <phoneticPr fontId="1" type="noConversion"/>
  </si>
  <si>
    <t>破壞型中場</t>
    <phoneticPr fontId="1" type="noConversion"/>
  </si>
  <si>
    <t>遠距離抽射、落葉球射門、長距離投擲</t>
    <phoneticPr fontId="1" type="noConversion"/>
  </si>
  <si>
    <t>標準成長</t>
    <phoneticPr fontId="1" type="noConversion"/>
  </si>
  <si>
    <t>CF</t>
    <phoneticPr fontId="1" type="noConversion"/>
  </si>
  <si>
    <t>M.D</t>
    <phoneticPr fontId="1" type="noConversion"/>
  </si>
  <si>
    <t>標準成長</t>
    <phoneticPr fontId="1" type="noConversion"/>
  </si>
  <si>
    <t>LB</t>
    <phoneticPr fontId="1" type="noConversion"/>
  </si>
  <si>
    <t>F.T</t>
    <phoneticPr fontId="1" type="noConversion"/>
  </si>
  <si>
    <t>有創意的中場指揮官</t>
    <phoneticPr fontId="1" type="noConversion"/>
  </si>
  <si>
    <t>盤球（和轉身）、盤球（內切）、快傳</t>
    <phoneticPr fontId="1" type="noConversion"/>
  </si>
  <si>
    <t>剪刀腳假動作、外部弧線球</t>
    <phoneticPr fontId="1" type="noConversion"/>
  </si>
  <si>
    <t>CF</t>
    <phoneticPr fontId="1" type="noConversion"/>
  </si>
  <si>
    <t>Y.H</t>
    <phoneticPr fontId="1" type="noConversion"/>
  </si>
  <si>
    <t>牛擺尾</t>
    <phoneticPr fontId="1" type="noConversion"/>
  </si>
  <si>
    <t>標準成長</t>
    <phoneticPr fontId="1" type="noConversion"/>
  </si>
  <si>
    <t>A.Z</t>
  </si>
  <si>
    <t>盤球（和轉身）、盤球（向前突破）、盤球（內切）</t>
  </si>
  <si>
    <t>J.L</t>
  </si>
  <si>
    <t>A.C</t>
    <phoneticPr fontId="1" type="noConversion"/>
  </si>
  <si>
    <t>破壞型中場</t>
    <phoneticPr fontId="1" type="noConversion"/>
  </si>
  <si>
    <t>外部弧線球、盯人</t>
    <phoneticPr fontId="1" type="noConversion"/>
  </si>
  <si>
    <t>標準成長</t>
    <phoneticPr fontId="1" type="noConversion"/>
  </si>
  <si>
    <t>RWF</t>
    <phoneticPr fontId="1" type="noConversion"/>
  </si>
  <si>
    <t>S.D</t>
    <phoneticPr fontId="1" type="noConversion"/>
  </si>
  <si>
    <t>盤球（和轉身）、快傳</t>
    <phoneticPr fontId="1" type="noConversion"/>
  </si>
  <si>
    <t>標準成長</t>
    <phoneticPr fontId="1" type="noConversion"/>
  </si>
  <si>
    <t>B</t>
    <phoneticPr fontId="1" type="noConversion"/>
  </si>
  <si>
    <t>標準成長</t>
    <phoneticPr fontId="1" type="noConversion"/>
  </si>
  <si>
    <t>CMF</t>
    <phoneticPr fontId="1" type="noConversion"/>
  </si>
  <si>
    <t>P.H</t>
    <phoneticPr fontId="1" type="noConversion"/>
  </si>
  <si>
    <t>全能中場</t>
    <phoneticPr fontId="1" type="noConversion"/>
  </si>
  <si>
    <t>盤球（和假動作）、盤球（內切）、中距離射</t>
    <phoneticPr fontId="1" type="noConversion"/>
  </si>
  <si>
    <t>牛擺尾、施丹轉身、海底撈月、向後切球並轉身、首次射球</t>
    <phoneticPr fontId="1" type="noConversion"/>
  </si>
  <si>
    <t>標準成長</t>
    <phoneticPr fontId="1" type="noConversion"/>
  </si>
  <si>
    <t>RB</t>
    <phoneticPr fontId="1" type="noConversion"/>
  </si>
  <si>
    <t>C.M</t>
    <phoneticPr fontId="1" type="noConversion"/>
  </si>
  <si>
    <t>進攻型後衛</t>
    <phoneticPr fontId="1" type="noConversion"/>
  </si>
  <si>
    <t>戰鬥精神</t>
    <phoneticPr fontId="1" type="noConversion"/>
  </si>
  <si>
    <t>標準成長</t>
    <phoneticPr fontId="1" type="noConversion"/>
  </si>
  <si>
    <t>DMF</t>
    <phoneticPr fontId="1" type="noConversion"/>
  </si>
  <si>
    <t>B</t>
    <phoneticPr fontId="1" type="noConversion"/>
  </si>
  <si>
    <t>靠山</t>
    <phoneticPr fontId="1" type="noConversion"/>
  </si>
  <si>
    <t>長傳</t>
    <phoneticPr fontId="1" type="noConversion"/>
  </si>
  <si>
    <t>施丹轉身、向後切球並轉身、單觸傳球、加重傳球、精確橫傳球、戰鬥精神</t>
    <phoneticPr fontId="1" type="noConversion"/>
  </si>
  <si>
    <t>標準成長</t>
    <phoneticPr fontId="1" type="noConversion"/>
  </si>
  <si>
    <t>CB</t>
    <phoneticPr fontId="1" type="noConversion"/>
  </si>
  <si>
    <t>G.G</t>
    <phoneticPr fontId="1" type="noConversion"/>
  </si>
  <si>
    <t>盯人、戰鬥精神</t>
    <phoneticPr fontId="1" type="noConversion"/>
  </si>
  <si>
    <t>晚成</t>
    <phoneticPr fontId="1" type="noConversion"/>
  </si>
  <si>
    <t>早熟</t>
  </si>
  <si>
    <t>A.L</t>
  </si>
  <si>
    <t>偷獵者</t>
  </si>
  <si>
    <t>雜技般入球、首次射球、壓迫、隊長、戰鬥精神</t>
  </si>
  <si>
    <t>盤球（和轉身）</t>
  </si>
  <si>
    <t>內部彈起、雜技般入球、壓迫</t>
  </si>
  <si>
    <t>CF</t>
    <phoneticPr fontId="1" type="noConversion"/>
  </si>
  <si>
    <t>R.G</t>
    <phoneticPr fontId="1" type="noConversion"/>
  </si>
  <si>
    <t>偷獵者</t>
    <phoneticPr fontId="1" type="noConversion"/>
  </si>
  <si>
    <t>海底撈月、雜技般入球、首次射球</t>
    <phoneticPr fontId="1" type="noConversion"/>
  </si>
  <si>
    <t>標準成長</t>
    <phoneticPr fontId="1" type="noConversion"/>
  </si>
  <si>
    <t>P.A</t>
    <phoneticPr fontId="1" type="noConversion"/>
  </si>
  <si>
    <t>偷獵者</t>
    <phoneticPr fontId="1" type="noConversion"/>
  </si>
  <si>
    <t>盤球（向前突破）、盤球（內切）</t>
    <phoneticPr fontId="1" type="noConversion"/>
  </si>
  <si>
    <t>牛擺尾、向後切球並轉身、雜技般入球、外部弧線球、戰鬥精神</t>
    <phoneticPr fontId="1" type="noConversion"/>
  </si>
  <si>
    <t>CF</t>
    <phoneticPr fontId="1" type="noConversion"/>
  </si>
  <si>
    <t>C.J</t>
    <phoneticPr fontId="1" type="noConversion"/>
  </si>
  <si>
    <t>首次射球</t>
    <phoneticPr fontId="1" type="noConversion"/>
  </si>
  <si>
    <t>晚成</t>
    <phoneticPr fontId="1" type="noConversion"/>
  </si>
  <si>
    <t>R.F</t>
    <phoneticPr fontId="1" type="noConversion"/>
  </si>
  <si>
    <t>禁區之狐</t>
    <phoneticPr fontId="1" type="noConversion"/>
  </si>
  <si>
    <t>施丹轉身、雜技般入球、首次射球</t>
    <phoneticPr fontId="1" type="noConversion"/>
  </si>
  <si>
    <t>標準成長</t>
    <phoneticPr fontId="1" type="noConversion"/>
  </si>
  <si>
    <t>E</t>
    <phoneticPr fontId="1" type="noConversion"/>
  </si>
  <si>
    <t>雜技般入球</t>
    <phoneticPr fontId="1" type="noConversion"/>
  </si>
  <si>
    <t>標準成長</t>
    <phoneticPr fontId="1" type="noConversion"/>
  </si>
  <si>
    <t>RWF</t>
    <phoneticPr fontId="1" type="noConversion"/>
  </si>
  <si>
    <t>L</t>
    <phoneticPr fontId="1" type="noConversion"/>
  </si>
  <si>
    <t>高產翼鋒</t>
    <phoneticPr fontId="1" type="noConversion"/>
  </si>
  <si>
    <t>盤球（和假動作）、盤球（和轉身）、盤球（向前突破）、盤球（內切）</t>
    <phoneticPr fontId="1" type="noConversion"/>
  </si>
  <si>
    <t>剪刀腳假動作、牛擺尾、施丹轉身、海底撈月、向後切球並轉身、落葉球射門、壓迫</t>
    <phoneticPr fontId="1" type="noConversion"/>
  </si>
  <si>
    <t>標準成長</t>
    <phoneticPr fontId="1" type="noConversion"/>
  </si>
  <si>
    <t>LWF</t>
    <phoneticPr fontId="1" type="noConversion"/>
  </si>
  <si>
    <t>N</t>
    <phoneticPr fontId="1" type="noConversion"/>
  </si>
  <si>
    <t>高產翼鋒</t>
    <phoneticPr fontId="1" type="noConversion"/>
  </si>
  <si>
    <t>盤球（和假動作）、盤球（和轉身）、盤球（內切）、中距離射</t>
    <phoneticPr fontId="1" type="noConversion"/>
  </si>
  <si>
    <t>牛擺尾、向後切球並轉身、內部彈起、遠距離抽射、首次射球</t>
    <phoneticPr fontId="1" type="noConversion"/>
  </si>
  <si>
    <t>標準成長</t>
    <phoneticPr fontId="1" type="noConversion"/>
  </si>
  <si>
    <t>LWF</t>
    <phoneticPr fontId="1" type="noConversion"/>
  </si>
  <si>
    <t>M.R</t>
    <phoneticPr fontId="1" type="noConversion"/>
  </si>
  <si>
    <t>影子前鋒</t>
    <phoneticPr fontId="1" type="noConversion"/>
  </si>
  <si>
    <t>盤球（和假動作）、盤球（向前突破）、盤球（內切）、中距離射</t>
    <phoneticPr fontId="1" type="noConversion"/>
  </si>
  <si>
    <t>遠距離抽射、雜技般入球、首次射球、單觸傳球、外部弧線球</t>
    <phoneticPr fontId="1" type="noConversion"/>
  </si>
  <si>
    <t>A.I</t>
    <phoneticPr fontId="1" type="noConversion"/>
  </si>
  <si>
    <t>有創意的中場指揮官</t>
    <phoneticPr fontId="1" type="noConversion"/>
  </si>
  <si>
    <t>盤球（和假動作）、盤球（內切）</t>
    <phoneticPr fontId="1" type="noConversion"/>
  </si>
  <si>
    <t>單觸傳球</t>
    <phoneticPr fontId="1" type="noConversion"/>
  </si>
  <si>
    <t>AMF</t>
    <phoneticPr fontId="1" type="noConversion"/>
  </si>
  <si>
    <t>S.R</t>
    <phoneticPr fontId="1" type="noConversion"/>
  </si>
  <si>
    <t>標準成長</t>
    <phoneticPr fontId="1" type="noConversion"/>
  </si>
  <si>
    <t>R.C</t>
    <phoneticPr fontId="1" type="noConversion"/>
  </si>
  <si>
    <t>有創意的中場指揮官</t>
    <phoneticPr fontId="1" type="noConversion"/>
  </si>
  <si>
    <t>盤球（和假動作）、盤球（和轉身）、盤球（向前突破）</t>
    <phoneticPr fontId="1" type="noConversion"/>
  </si>
  <si>
    <t>剪刀腳假動作、牛擺尾、施丹轉身、外部弧線球</t>
    <phoneticPr fontId="1" type="noConversion"/>
  </si>
  <si>
    <t>E</t>
    <phoneticPr fontId="1" type="noConversion"/>
  </si>
  <si>
    <t>全能中場</t>
    <phoneticPr fontId="1" type="noConversion"/>
  </si>
  <si>
    <t>CMF</t>
    <phoneticPr fontId="1" type="noConversion"/>
  </si>
  <si>
    <t>M.S</t>
    <phoneticPr fontId="1" type="noConversion"/>
  </si>
  <si>
    <t>盤球（和假動作）</t>
    <phoneticPr fontId="1" type="noConversion"/>
  </si>
  <si>
    <t>落葉球射門、戰鬥精神</t>
    <phoneticPr fontId="1" type="noConversion"/>
  </si>
  <si>
    <t>K.E</t>
    <phoneticPr fontId="1" type="noConversion"/>
  </si>
  <si>
    <t>晚成</t>
    <phoneticPr fontId="1" type="noConversion"/>
  </si>
  <si>
    <t>DMF</t>
    <phoneticPr fontId="1" type="noConversion"/>
  </si>
  <si>
    <t>C.Y</t>
    <phoneticPr fontId="1" type="noConversion"/>
  </si>
  <si>
    <t>破壞型中場</t>
    <phoneticPr fontId="1" type="noConversion"/>
  </si>
  <si>
    <t>戰鬥精神</t>
    <phoneticPr fontId="1" type="noConversion"/>
  </si>
  <si>
    <t>早熟</t>
    <phoneticPr fontId="1" type="noConversion"/>
  </si>
  <si>
    <t>F.C</t>
    <phoneticPr fontId="1" type="noConversion"/>
  </si>
  <si>
    <t>長傳、中距離射</t>
    <phoneticPr fontId="1" type="noConversion"/>
  </si>
  <si>
    <t>盯人、戰鬥精神</t>
    <phoneticPr fontId="1" type="noConversion"/>
  </si>
  <si>
    <t>標準成長</t>
    <phoneticPr fontId="1" type="noConversion"/>
  </si>
  <si>
    <t>CB</t>
    <phoneticPr fontId="1" type="noConversion"/>
  </si>
  <si>
    <t>A.R</t>
    <phoneticPr fontId="1" type="noConversion"/>
  </si>
  <si>
    <t>長距離投擲</t>
    <phoneticPr fontId="1" type="noConversion"/>
  </si>
  <si>
    <t>標準成長</t>
    <phoneticPr fontId="1" type="noConversion"/>
  </si>
  <si>
    <t>CB</t>
    <phoneticPr fontId="1" type="noConversion"/>
  </si>
  <si>
    <t>J</t>
    <phoneticPr fontId="1" type="noConversion"/>
  </si>
  <si>
    <t>盯人、隊長</t>
    <phoneticPr fontId="1" type="noConversion"/>
  </si>
  <si>
    <t>早熟</t>
    <phoneticPr fontId="1" type="noConversion"/>
  </si>
  <si>
    <t>L</t>
    <phoneticPr fontId="1" type="noConversion"/>
  </si>
  <si>
    <t>額外前鋒</t>
    <phoneticPr fontId="1" type="noConversion"/>
  </si>
  <si>
    <t>CB</t>
    <phoneticPr fontId="1" type="noConversion"/>
  </si>
  <si>
    <t>G</t>
    <phoneticPr fontId="1" type="noConversion"/>
  </si>
  <si>
    <t>G.M</t>
    <phoneticPr fontId="1" type="noConversion"/>
  </si>
  <si>
    <t>RB</t>
    <phoneticPr fontId="1" type="noConversion"/>
  </si>
  <si>
    <t>進攻型後衛</t>
    <phoneticPr fontId="1" type="noConversion"/>
  </si>
  <si>
    <t>盤球（向前突破）、盤球（內切）、快傳</t>
    <phoneticPr fontId="1" type="noConversion"/>
  </si>
  <si>
    <t>精確橫傳球</t>
    <phoneticPr fontId="1" type="noConversion"/>
  </si>
  <si>
    <t>RB</t>
    <phoneticPr fontId="1" type="noConversion"/>
  </si>
  <si>
    <t>R</t>
    <phoneticPr fontId="1" type="noConversion"/>
  </si>
  <si>
    <t>長距離投擲</t>
    <phoneticPr fontId="1" type="noConversion"/>
  </si>
  <si>
    <t>LB</t>
    <phoneticPr fontId="1" type="noConversion"/>
  </si>
  <si>
    <t>S.P</t>
    <phoneticPr fontId="1" type="noConversion"/>
  </si>
  <si>
    <t>進攻型後衛</t>
    <phoneticPr fontId="1" type="noConversion"/>
  </si>
  <si>
    <t>盤球（向前突破）</t>
    <phoneticPr fontId="1" type="noConversion"/>
  </si>
  <si>
    <t>標準成長</t>
    <phoneticPr fontId="1" type="noConversion"/>
  </si>
  <si>
    <t>R.B</t>
    <phoneticPr fontId="1" type="noConversion"/>
  </si>
  <si>
    <t>剪刀腳假動作</t>
    <phoneticPr fontId="1" type="noConversion"/>
  </si>
  <si>
    <t>J</t>
    <phoneticPr fontId="1" type="noConversion"/>
  </si>
  <si>
    <t>盤球（和轉身）、盤球（向前突破）</t>
    <phoneticPr fontId="1" type="noConversion"/>
  </si>
  <si>
    <t>向後切球並轉身</t>
    <phoneticPr fontId="1" type="noConversion"/>
  </si>
  <si>
    <t>GK</t>
    <phoneticPr fontId="1" type="noConversion"/>
  </si>
  <si>
    <t>I</t>
    <phoneticPr fontId="1" type="noConversion"/>
  </si>
  <si>
    <t>進攻型守門員</t>
    <phoneticPr fontId="1" type="noConversion"/>
  </si>
  <si>
    <t>GK長距離投擲、隊長、戰鬥精神</t>
    <phoneticPr fontId="1" type="noConversion"/>
  </si>
  <si>
    <t>標準成長</t>
    <phoneticPr fontId="1" type="noConversion"/>
  </si>
  <si>
    <t>GK</t>
    <phoneticPr fontId="1" type="noConversion"/>
  </si>
  <si>
    <t>R.B</t>
    <phoneticPr fontId="1" type="noConversion"/>
  </si>
  <si>
    <t>標準成長</t>
    <phoneticPr fontId="1" type="noConversion"/>
  </si>
  <si>
    <t>CF</t>
    <phoneticPr fontId="1" type="noConversion"/>
  </si>
  <si>
    <t>N</t>
    <phoneticPr fontId="1" type="noConversion"/>
  </si>
  <si>
    <t>目標中鋒</t>
    <phoneticPr fontId="1" type="noConversion"/>
  </si>
  <si>
    <t>中距離射門、</t>
    <phoneticPr fontId="1" type="noConversion"/>
  </si>
  <si>
    <t>中距離射門、</t>
    <phoneticPr fontId="1" type="noConversion"/>
  </si>
  <si>
    <t>中距離射門</t>
    <phoneticPr fontId="1" type="noConversion"/>
  </si>
  <si>
    <t>中距離射門</t>
    <phoneticPr fontId="1" type="noConversion"/>
  </si>
  <si>
    <t>標準成長</t>
    <phoneticPr fontId="1" type="noConversion"/>
  </si>
  <si>
    <t>4</t>
    <phoneticPr fontId="1" type="noConversion"/>
  </si>
  <si>
    <t>CF</t>
    <phoneticPr fontId="1" type="noConversion"/>
  </si>
  <si>
    <t>M.I</t>
    <phoneticPr fontId="1" type="noConversion"/>
  </si>
  <si>
    <t>偷獵者</t>
    <phoneticPr fontId="1" type="noConversion"/>
  </si>
  <si>
    <t>3</t>
    <phoneticPr fontId="1" type="noConversion"/>
  </si>
  <si>
    <t>CF</t>
    <phoneticPr fontId="1" type="noConversion"/>
  </si>
  <si>
    <t>E</t>
    <phoneticPr fontId="1" type="noConversion"/>
  </si>
  <si>
    <t>1</t>
    <phoneticPr fontId="1" type="noConversion"/>
  </si>
  <si>
    <t>0</t>
    <phoneticPr fontId="1" type="noConversion"/>
  </si>
  <si>
    <t>標準成長</t>
    <phoneticPr fontId="1" type="noConversion"/>
  </si>
  <si>
    <t>SS</t>
    <phoneticPr fontId="1" type="noConversion"/>
  </si>
  <si>
    <t>2</t>
    <phoneticPr fontId="1" type="noConversion"/>
  </si>
  <si>
    <t>2</t>
    <phoneticPr fontId="1" type="noConversion"/>
  </si>
  <si>
    <t>SS</t>
    <phoneticPr fontId="1" type="noConversion"/>
  </si>
  <si>
    <t>R</t>
    <phoneticPr fontId="1" type="noConversion"/>
  </si>
  <si>
    <t>高產翼鋒</t>
    <phoneticPr fontId="1" type="noConversion"/>
  </si>
  <si>
    <t>6</t>
    <phoneticPr fontId="1" type="noConversion"/>
  </si>
  <si>
    <t>SS</t>
    <phoneticPr fontId="1" type="noConversion"/>
  </si>
  <si>
    <t>E</t>
    <phoneticPr fontId="1" type="noConversion"/>
  </si>
  <si>
    <t>虛假跑位</t>
    <phoneticPr fontId="1" type="noConversion"/>
  </si>
  <si>
    <t>3</t>
    <phoneticPr fontId="1" type="noConversion"/>
  </si>
  <si>
    <t>A.G</t>
    <phoneticPr fontId="1" type="noConversion"/>
  </si>
  <si>
    <t>4</t>
    <phoneticPr fontId="1" type="noConversion"/>
  </si>
  <si>
    <t>5</t>
    <phoneticPr fontId="1" type="noConversion"/>
  </si>
  <si>
    <t>4</t>
    <phoneticPr fontId="1" type="noConversion"/>
  </si>
  <si>
    <t>5</t>
    <phoneticPr fontId="1" type="noConversion"/>
  </si>
  <si>
    <t>RWF</t>
    <phoneticPr fontId="1" type="noConversion"/>
  </si>
  <si>
    <t>A.C</t>
    <phoneticPr fontId="1" type="noConversion"/>
  </si>
  <si>
    <t>3</t>
    <phoneticPr fontId="1" type="noConversion"/>
  </si>
  <si>
    <t>標準成長</t>
    <phoneticPr fontId="1" type="noConversion"/>
  </si>
  <si>
    <t>A.Y</t>
    <phoneticPr fontId="1" type="noConversion"/>
  </si>
  <si>
    <t>高產翼鋒</t>
    <phoneticPr fontId="1" type="noConversion"/>
  </si>
  <si>
    <t>晚成</t>
    <phoneticPr fontId="1" type="noConversion"/>
  </si>
  <si>
    <t>I.P</t>
    <phoneticPr fontId="1" type="noConversion"/>
  </si>
  <si>
    <t>高產翼鋒</t>
    <phoneticPr fontId="1" type="noConversion"/>
  </si>
  <si>
    <t>4</t>
    <phoneticPr fontId="1" type="noConversion"/>
  </si>
  <si>
    <t>2</t>
    <phoneticPr fontId="1" type="noConversion"/>
  </si>
  <si>
    <t>晚成</t>
    <phoneticPr fontId="1" type="noConversion"/>
  </si>
  <si>
    <t>LWF</t>
    <phoneticPr fontId="1" type="noConversion"/>
  </si>
  <si>
    <t>A.G</t>
    <phoneticPr fontId="1" type="noConversion"/>
  </si>
  <si>
    <t>影子前鋒</t>
    <phoneticPr fontId="1" type="noConversion"/>
  </si>
  <si>
    <t>1</t>
    <phoneticPr fontId="1" type="noConversion"/>
  </si>
  <si>
    <t>標準成長</t>
    <phoneticPr fontId="1" type="noConversion"/>
  </si>
  <si>
    <t>N.A</t>
    <phoneticPr fontId="1" type="noConversion"/>
  </si>
  <si>
    <t>高產翼鋒</t>
    <phoneticPr fontId="1" type="noConversion"/>
  </si>
  <si>
    <t>2</t>
    <phoneticPr fontId="1" type="noConversion"/>
  </si>
  <si>
    <t>2</t>
    <phoneticPr fontId="1" type="noConversion"/>
  </si>
  <si>
    <t>標準成長</t>
    <phoneticPr fontId="1" type="noConversion"/>
  </si>
  <si>
    <t>LWF</t>
    <phoneticPr fontId="1" type="noConversion"/>
  </si>
  <si>
    <t>A.L</t>
    <phoneticPr fontId="1" type="noConversion"/>
  </si>
  <si>
    <t>影子前鋒</t>
    <phoneticPr fontId="1" type="noConversion"/>
  </si>
  <si>
    <t>3</t>
    <phoneticPr fontId="1" type="noConversion"/>
  </si>
  <si>
    <t>2</t>
    <phoneticPr fontId="1" type="noConversion"/>
  </si>
  <si>
    <t>V.B</t>
    <phoneticPr fontId="1" type="noConversion"/>
  </si>
  <si>
    <t>晚成</t>
    <phoneticPr fontId="1" type="noConversion"/>
  </si>
  <si>
    <t>AMF</t>
    <phoneticPr fontId="1" type="noConversion"/>
  </si>
  <si>
    <t>J</t>
    <phoneticPr fontId="1" type="noConversion"/>
  </si>
  <si>
    <t>傳統十號位置</t>
    <phoneticPr fontId="1" type="noConversion"/>
  </si>
  <si>
    <t>A</t>
    <phoneticPr fontId="1" type="noConversion"/>
  </si>
  <si>
    <t>2</t>
    <phoneticPr fontId="1" type="noConversion"/>
  </si>
  <si>
    <t>6</t>
    <phoneticPr fontId="1" type="noConversion"/>
  </si>
  <si>
    <t>早熟</t>
    <phoneticPr fontId="1" type="noConversion"/>
  </si>
  <si>
    <t>J.I</t>
    <phoneticPr fontId="1" type="noConversion"/>
  </si>
  <si>
    <t>1</t>
    <phoneticPr fontId="1" type="noConversion"/>
  </si>
  <si>
    <t>7</t>
    <phoneticPr fontId="1" type="noConversion"/>
  </si>
  <si>
    <t>K.B</t>
    <phoneticPr fontId="1" type="noConversion"/>
  </si>
  <si>
    <t>5</t>
    <phoneticPr fontId="1" type="noConversion"/>
  </si>
  <si>
    <t>CMF</t>
    <phoneticPr fontId="1" type="noConversion"/>
  </si>
  <si>
    <t>S.A</t>
    <phoneticPr fontId="1" type="noConversion"/>
  </si>
  <si>
    <t>I.R</t>
    <phoneticPr fontId="1" type="noConversion"/>
  </si>
  <si>
    <t>全能中場</t>
    <phoneticPr fontId="1" type="noConversion"/>
  </si>
  <si>
    <t>M.S</t>
    <phoneticPr fontId="1" type="noConversion"/>
  </si>
  <si>
    <t>2</t>
    <phoneticPr fontId="1" type="noConversion"/>
  </si>
  <si>
    <t>標準成長</t>
    <phoneticPr fontId="1" type="noConversion"/>
  </si>
  <si>
    <t>DMF</t>
    <phoneticPr fontId="1" type="noConversion"/>
  </si>
  <si>
    <t>E.D</t>
    <phoneticPr fontId="1" type="noConversion"/>
  </si>
  <si>
    <t>靠山</t>
    <phoneticPr fontId="1" type="noConversion"/>
  </si>
  <si>
    <t>1</t>
    <phoneticPr fontId="1" type="noConversion"/>
  </si>
  <si>
    <t>標準成長</t>
    <phoneticPr fontId="1" type="noConversion"/>
  </si>
  <si>
    <t>M.B</t>
    <phoneticPr fontId="1" type="noConversion"/>
  </si>
  <si>
    <t>靠山</t>
    <phoneticPr fontId="1" type="noConversion"/>
  </si>
  <si>
    <t>早熟</t>
    <phoneticPr fontId="1" type="noConversion"/>
  </si>
  <si>
    <t>J.C</t>
    <phoneticPr fontId="1" type="noConversion"/>
  </si>
  <si>
    <t>4</t>
    <phoneticPr fontId="1" type="noConversion"/>
  </si>
  <si>
    <t>5</t>
    <phoneticPr fontId="1" type="noConversion"/>
  </si>
  <si>
    <t>LMF</t>
    <phoneticPr fontId="1" type="noConversion"/>
  </si>
  <si>
    <t>影子前鋒</t>
    <phoneticPr fontId="1" type="noConversion"/>
  </si>
  <si>
    <t>V.V</t>
    <phoneticPr fontId="1" type="noConversion"/>
  </si>
  <si>
    <t>CB</t>
    <phoneticPr fontId="1" type="noConversion"/>
  </si>
  <si>
    <t>S.S</t>
    <phoneticPr fontId="1" type="noConversion"/>
  </si>
  <si>
    <t>早熟</t>
    <phoneticPr fontId="1" type="noConversion"/>
  </si>
  <si>
    <t>CB</t>
    <phoneticPr fontId="1" type="noConversion"/>
  </si>
  <si>
    <t>S.U</t>
    <phoneticPr fontId="1" type="noConversion"/>
  </si>
  <si>
    <t>建立</t>
    <phoneticPr fontId="1" type="noConversion"/>
  </si>
  <si>
    <t>N.B</t>
    <phoneticPr fontId="1" type="noConversion"/>
  </si>
  <si>
    <t>I.D</t>
    <phoneticPr fontId="1" type="noConversion"/>
  </si>
  <si>
    <t>RB</t>
    <phoneticPr fontId="1" type="noConversion"/>
  </si>
  <si>
    <t>M</t>
    <phoneticPr fontId="1" type="noConversion"/>
  </si>
  <si>
    <t>進攻型後衛</t>
    <phoneticPr fontId="1" type="noConversion"/>
  </si>
  <si>
    <t>2</t>
    <phoneticPr fontId="1" type="noConversion"/>
  </si>
  <si>
    <t>D</t>
    <phoneticPr fontId="1" type="noConversion"/>
  </si>
  <si>
    <t>進攻型後衛</t>
    <phoneticPr fontId="1" type="noConversion"/>
  </si>
  <si>
    <t>1</t>
    <phoneticPr fontId="1" type="noConversion"/>
  </si>
  <si>
    <t>M.S</t>
    <phoneticPr fontId="1" type="noConversion"/>
  </si>
  <si>
    <t>LB</t>
    <phoneticPr fontId="1" type="noConversion"/>
  </si>
  <si>
    <t>M.P</t>
    <phoneticPr fontId="1" type="noConversion"/>
  </si>
  <si>
    <t>S.R</t>
    <phoneticPr fontId="1" type="noConversion"/>
  </si>
  <si>
    <t>GK</t>
    <phoneticPr fontId="1" type="noConversion"/>
  </si>
  <si>
    <t>E.V</t>
    <phoneticPr fontId="1" type="noConversion"/>
  </si>
  <si>
    <t>GK</t>
    <phoneticPr fontId="1" type="noConversion"/>
  </si>
  <si>
    <t>V</t>
    <phoneticPr fontId="1" type="noConversion"/>
  </si>
  <si>
    <t>GK</t>
    <phoneticPr fontId="1" type="noConversion"/>
  </si>
  <si>
    <t>防守型守門員</t>
    <phoneticPr fontId="1" type="noConversion"/>
  </si>
  <si>
    <t>進攻型守門員</t>
    <phoneticPr fontId="1" type="noConversion"/>
  </si>
  <si>
    <t>標準成長</t>
    <phoneticPr fontId="1" type="noConversion"/>
  </si>
  <si>
    <t>進攻型守門員</t>
    <phoneticPr fontId="1" type="noConversion"/>
  </si>
  <si>
    <t>1</t>
    <phoneticPr fontId="1" type="noConversion"/>
  </si>
  <si>
    <t>標準成長</t>
    <phoneticPr fontId="1" type="noConversion"/>
  </si>
  <si>
    <t>進攻型後衛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</si>
</sst>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"/>
  </numFmts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65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name val="微軟正黑體"/>
      <family val="2"/>
      <charset val="136"/>
    </font>
  </fonts>
  <fills count="2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>
      <alignment vertical="center"/>
    </xf>
    <xf numFmtId="0" fontId="2" fillId="2" borderId="0" applyNumberFormat="0" applyBorder="0" applyAlignment="0" applyProtection="0"/>
    <xf numFmtId="0" fontId="3" fillId="3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1" applyFont="1" applyAlignment="1">
      <alignment vertical="center"/>
    </xf>
    <xf numFmtId="0" fontId="6" fillId="3" borderId="0" xfId="2" applyFont="1">
      <alignment vertical="center"/>
    </xf>
    <xf numFmtId="0" fontId="6" fillId="3" borderId="0" xfId="2" applyFont="1" applyAlignment="1">
      <alignment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0" fontId="4" fillId="0" borderId="0" xfId="0" applyFont="1" applyFill="1">
      <alignment vertical="center"/>
    </xf>
    <xf numFmtId="0" fontId="4" fillId="0" borderId="0" xfId="0" applyFont="1" applyBorder="1">
      <alignment vertical="center"/>
    </xf>
    <xf numFmtId="0" fontId="6" fillId="3" borderId="0" xfId="2" applyFont="1" applyBorder="1">
      <alignment vertical="center"/>
    </xf>
    <xf numFmtId="49" fontId="4" fillId="4" borderId="0" xfId="0" applyNumberFormat="1" applyFont="1" applyFill="1">
      <alignment vertical="center"/>
    </xf>
    <xf numFmtId="49" fontId="4" fillId="5" borderId="0" xfId="0" applyNumberFormat="1" applyFont="1" applyFill="1">
      <alignment vertical="center"/>
    </xf>
    <xf numFmtId="49" fontId="4" fillId="6" borderId="0" xfId="0" applyNumberFormat="1" applyFont="1" applyFill="1">
      <alignment vertical="center"/>
    </xf>
    <xf numFmtId="49" fontId="4" fillId="7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" fontId="4" fillId="0" borderId="0" xfId="0" applyNumberFormat="1" applyFont="1">
      <alignment vertical="center"/>
    </xf>
    <xf numFmtId="49" fontId="4" fillId="15" borderId="0" xfId="0" applyNumberFormat="1" applyFont="1" applyFill="1">
      <alignment vertical="center"/>
    </xf>
    <xf numFmtId="49" fontId="4" fillId="17" borderId="0" xfId="0" applyNumberFormat="1" applyFont="1" applyFill="1">
      <alignment vertical="center"/>
    </xf>
    <xf numFmtId="0" fontId="7" fillId="16" borderId="0" xfId="0" applyFont="1" applyFill="1">
      <alignment vertical="center"/>
    </xf>
    <xf numFmtId="49" fontId="4" fillId="19" borderId="0" xfId="0" applyNumberFormat="1" applyFont="1" applyFill="1">
      <alignment vertical="center"/>
    </xf>
    <xf numFmtId="49" fontId="4" fillId="20" borderId="0" xfId="0" applyNumberFormat="1" applyFont="1" applyFill="1">
      <alignment vertical="center"/>
    </xf>
    <xf numFmtId="49" fontId="4" fillId="18" borderId="0" xfId="0" applyNumberFormat="1" applyFont="1" applyFill="1">
      <alignment vertical="center"/>
    </xf>
    <xf numFmtId="49" fontId="4" fillId="21" borderId="0" xfId="0" applyNumberFormat="1" applyFont="1" applyFill="1">
      <alignment vertical="center"/>
    </xf>
    <xf numFmtId="49" fontId="4" fillId="9" borderId="0" xfId="3" applyNumberFormat="1" applyFont="1">
      <alignment vertical="center"/>
    </xf>
    <xf numFmtId="0" fontId="4" fillId="9" borderId="0" xfId="3" applyFont="1">
      <alignment vertical="center"/>
    </xf>
    <xf numFmtId="49" fontId="4" fillId="10" borderId="0" xfId="4" applyNumberFormat="1" applyFont="1">
      <alignment vertical="center"/>
    </xf>
    <xf numFmtId="0" fontId="4" fillId="10" borderId="0" xfId="4" applyFont="1">
      <alignment vertical="center"/>
    </xf>
    <xf numFmtId="49" fontId="4" fillId="11" borderId="0" xfId="5" applyNumberFormat="1" applyFont="1">
      <alignment vertical="center"/>
    </xf>
    <xf numFmtId="0" fontId="4" fillId="11" borderId="0" xfId="5" applyFont="1">
      <alignment vertical="center"/>
    </xf>
    <xf numFmtId="49" fontId="4" fillId="12" borderId="0" xfId="6" applyNumberFormat="1" applyFont="1">
      <alignment vertical="center"/>
    </xf>
    <xf numFmtId="0" fontId="4" fillId="12" borderId="0" xfId="6" applyFont="1">
      <alignment vertical="center"/>
    </xf>
    <xf numFmtId="49" fontId="4" fillId="13" borderId="0" xfId="7" applyNumberFormat="1" applyFont="1">
      <alignment vertical="center"/>
    </xf>
    <xf numFmtId="0" fontId="4" fillId="13" borderId="0" xfId="7" applyFont="1">
      <alignment vertical="center"/>
    </xf>
    <xf numFmtId="49" fontId="4" fillId="14" borderId="0" xfId="8" applyNumberFormat="1" applyFont="1">
      <alignment vertical="center"/>
    </xf>
    <xf numFmtId="0" fontId="4" fillId="14" borderId="0" xfId="8" applyFont="1">
      <alignment vertical="center"/>
    </xf>
    <xf numFmtId="0" fontId="5" fillId="2" borderId="0" xfId="1" applyFont="1" applyBorder="1" applyAlignment="1">
      <alignment vertical="center"/>
    </xf>
    <xf numFmtId="0" fontId="9" fillId="0" borderId="0" xfId="0" applyFont="1">
      <alignment vertical="center"/>
    </xf>
    <xf numFmtId="0" fontId="4" fillId="0" borderId="1" xfId="0" applyFont="1" applyBorder="1">
      <alignment vertical="center"/>
    </xf>
  </cellXfs>
  <cellStyles count="9">
    <cellStyle name="40% - 輔色1" xfId="3" builtinId="31"/>
    <cellStyle name="40% - 輔色2" xfId="4" builtinId="35"/>
    <cellStyle name="40% - 輔色3" xfId="5" builtinId="39"/>
    <cellStyle name="40% - 輔色4" xfId="6" builtinId="43"/>
    <cellStyle name="40% - 輔色5" xfId="7" builtinId="47"/>
    <cellStyle name="40% - 輔色6" xfId="8" builtinId="51"/>
    <cellStyle name="一般" xfId="0" builtinId="0"/>
    <cellStyle name="中等" xfId="1" builtinId="28"/>
    <cellStyle name="好" xfId="2" builtinId="26"/>
  </cellStyles>
  <dxfs count="91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</xdr:row>
      <xdr:rowOff>0</xdr:rowOff>
    </xdr:from>
    <xdr:to>
      <xdr:col>14</xdr:col>
      <xdr:colOff>104775</xdr:colOff>
      <xdr:row>11</xdr:row>
      <xdr:rowOff>0</xdr:rowOff>
    </xdr:to>
    <xdr:sp macro="[0]!FILTER.FILTER" textlink="">
      <xdr:nvSpPr>
        <xdr:cNvPr id="2" name="圓角矩形 1"/>
        <xdr:cNvSpPr/>
      </xdr:nvSpPr>
      <xdr:spPr>
        <a:xfrm>
          <a:off x="8467725" y="428625"/>
          <a:ext cx="2162175" cy="205740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5400"/>
            <a:t>排序</a:t>
          </a:r>
          <a:endParaRPr lang="en-US" sz="54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S44"/>
  <sheetViews>
    <sheetView topLeftCell="A11" workbookViewId="0">
      <selection activeCell="A44" sqref="A44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9" customWidth="1"/>
    <col min="15" max="15" width="4" style="7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1116</v>
      </c>
      <c r="B1" s="1" t="s">
        <v>1117</v>
      </c>
      <c r="C1" s="1">
        <v>85</v>
      </c>
      <c r="D1" s="1">
        <v>7</v>
      </c>
      <c r="E1" s="1">
        <v>23</v>
      </c>
      <c r="G1" s="1">
        <v>90</v>
      </c>
      <c r="H1" s="1">
        <v>71</v>
      </c>
      <c r="I1" s="1">
        <v>60</v>
      </c>
      <c r="J1" s="1">
        <f>IF(SUM(G1:I1)=0,"",SUM(G1:I1))</f>
        <v>221</v>
      </c>
      <c r="M1" s="7" t="s">
        <v>1106</v>
      </c>
      <c r="O1" s="24" t="s">
        <v>434</v>
      </c>
      <c r="P1" s="25" t="s">
        <v>242</v>
      </c>
      <c r="Q1" s="25" t="s">
        <v>480</v>
      </c>
      <c r="R1" s="25" t="s">
        <v>70</v>
      </c>
      <c r="S1" s="25" t="s">
        <v>451</v>
      </c>
    </row>
    <row r="2" spans="1:19" x14ac:dyDescent="0.25">
      <c r="A2" s="1" t="s">
        <v>1067</v>
      </c>
      <c r="B2" s="1" t="s">
        <v>1068</v>
      </c>
      <c r="C2" s="1">
        <v>89</v>
      </c>
      <c r="D2" s="1">
        <v>7</v>
      </c>
      <c r="E2" s="1">
        <v>23</v>
      </c>
      <c r="F2" s="7" t="s">
        <v>1069</v>
      </c>
      <c r="G2" s="1">
        <v>83</v>
      </c>
      <c r="H2" s="1">
        <v>39</v>
      </c>
      <c r="I2" s="1">
        <v>76</v>
      </c>
      <c r="J2" s="1">
        <f>IF(SUM(G2:I2)=0,"",SUM(G2:I2))</f>
        <v>198</v>
      </c>
      <c r="L2" s="7" t="s">
        <v>1070</v>
      </c>
      <c r="M2" s="7" t="s">
        <v>1071</v>
      </c>
      <c r="O2" s="24" t="s">
        <v>435</v>
      </c>
      <c r="P2" s="25" t="s">
        <v>243</v>
      </c>
      <c r="Q2" s="25" t="s">
        <v>481</v>
      </c>
      <c r="R2" s="25" t="s">
        <v>92</v>
      </c>
      <c r="S2" s="25" t="s">
        <v>447</v>
      </c>
    </row>
    <row r="3" spans="1:19" x14ac:dyDescent="0.25">
      <c r="A3" s="1" t="s">
        <v>1018</v>
      </c>
      <c r="B3" s="1" t="s">
        <v>1019</v>
      </c>
      <c r="C3" s="1">
        <v>76</v>
      </c>
      <c r="D3" s="1">
        <v>6</v>
      </c>
      <c r="E3" s="1">
        <v>19</v>
      </c>
      <c r="G3" s="1">
        <v>52</v>
      </c>
      <c r="H3" s="1">
        <v>51</v>
      </c>
      <c r="I3" s="1">
        <v>51</v>
      </c>
      <c r="J3" s="1">
        <f>IF(SUM(G3:I3)=0,"",SUM(G3:I3))</f>
        <v>154</v>
      </c>
      <c r="M3" s="7" t="s">
        <v>918</v>
      </c>
      <c r="O3" s="24" t="s">
        <v>436</v>
      </c>
      <c r="P3" s="25" t="s">
        <v>244</v>
      </c>
      <c r="Q3" s="25" t="s">
        <v>482</v>
      </c>
      <c r="R3" s="25" t="s">
        <v>120</v>
      </c>
      <c r="S3" s="25" t="s">
        <v>450</v>
      </c>
    </row>
    <row r="4" spans="1:19" x14ac:dyDescent="0.25">
      <c r="A4" s="1" t="s">
        <v>1518</v>
      </c>
      <c r="B4" s="1" t="s">
        <v>1519</v>
      </c>
      <c r="C4" s="1">
        <v>81</v>
      </c>
      <c r="D4" s="1">
        <v>6</v>
      </c>
      <c r="E4" s="1">
        <v>22</v>
      </c>
      <c r="F4" s="7" t="s">
        <v>1520</v>
      </c>
      <c r="G4" s="1">
        <v>90</v>
      </c>
      <c r="H4" s="1">
        <v>41</v>
      </c>
      <c r="I4" s="1">
        <v>41</v>
      </c>
      <c r="J4" s="1">
        <f>IF(SUM(G4:I4)=0,"",SUM(G4:I4))</f>
        <v>172</v>
      </c>
      <c r="L4" s="7" t="s">
        <v>1521</v>
      </c>
      <c r="M4" s="7" t="s">
        <v>1522</v>
      </c>
      <c r="O4" s="24" t="s">
        <v>437</v>
      </c>
      <c r="P4" s="25" t="s">
        <v>245</v>
      </c>
      <c r="Q4" s="25" t="s">
        <v>483</v>
      </c>
      <c r="R4" s="25" t="s">
        <v>72</v>
      </c>
      <c r="S4" s="25"/>
    </row>
    <row r="5" spans="1:19" x14ac:dyDescent="0.25">
      <c r="A5" s="1" t="s">
        <v>108</v>
      </c>
      <c r="B5" s="1" t="s">
        <v>428</v>
      </c>
      <c r="C5" s="1">
        <v>80</v>
      </c>
      <c r="D5" s="2">
        <v>6</v>
      </c>
      <c r="E5" s="1">
        <v>23</v>
      </c>
      <c r="F5" s="7" t="s">
        <v>10</v>
      </c>
      <c r="G5" s="1">
        <v>78</v>
      </c>
      <c r="H5" s="1">
        <v>32</v>
      </c>
      <c r="I5" s="1">
        <v>38</v>
      </c>
      <c r="J5" s="1">
        <f>IF(SUM(G5:I5)=0,"",SUM(G5:I5))</f>
        <v>148</v>
      </c>
      <c r="L5" s="7" t="s">
        <v>266</v>
      </c>
      <c r="M5" s="7" t="s">
        <v>447</v>
      </c>
      <c r="O5" s="26" t="s">
        <v>438</v>
      </c>
      <c r="P5" s="27" t="s">
        <v>246</v>
      </c>
      <c r="Q5" s="27" t="s">
        <v>509</v>
      </c>
      <c r="R5" s="27" t="s">
        <v>184</v>
      </c>
      <c r="S5" s="27"/>
    </row>
    <row r="6" spans="1:19" x14ac:dyDescent="0.25">
      <c r="A6" s="1" t="s">
        <v>8</v>
      </c>
      <c r="B6" s="1" t="s">
        <v>1325</v>
      </c>
      <c r="C6" s="1">
        <v>84</v>
      </c>
      <c r="D6" s="1">
        <v>6</v>
      </c>
      <c r="E6" s="1">
        <v>23</v>
      </c>
      <c r="F6" s="7" t="s">
        <v>1323</v>
      </c>
      <c r="G6" s="1">
        <v>95</v>
      </c>
      <c r="H6" s="1">
        <v>58</v>
      </c>
      <c r="I6" s="1">
        <v>50</v>
      </c>
      <c r="J6" s="1">
        <f>IF(SUM(G6:I6)=0,"",SUM(G6:I6))</f>
        <v>203</v>
      </c>
      <c r="L6" s="7" t="s">
        <v>1326</v>
      </c>
      <c r="M6" s="7" t="s">
        <v>1324</v>
      </c>
      <c r="O6" s="26" t="s">
        <v>439</v>
      </c>
      <c r="P6" s="27" t="s">
        <v>247</v>
      </c>
      <c r="Q6" s="27" t="s">
        <v>484</v>
      </c>
      <c r="R6" s="27" t="s">
        <v>59</v>
      </c>
      <c r="S6" s="27"/>
    </row>
    <row r="7" spans="1:19" x14ac:dyDescent="0.25">
      <c r="A7" s="1" t="s">
        <v>424</v>
      </c>
      <c r="B7" s="1" t="s">
        <v>425</v>
      </c>
      <c r="C7" s="1">
        <v>84</v>
      </c>
      <c r="D7" s="1">
        <v>6</v>
      </c>
      <c r="E7" s="1">
        <v>23</v>
      </c>
      <c r="F7" s="7" t="s">
        <v>426</v>
      </c>
      <c r="G7" s="1">
        <v>68</v>
      </c>
      <c r="H7" s="1">
        <v>67</v>
      </c>
      <c r="I7" s="1">
        <v>56</v>
      </c>
      <c r="J7" s="1">
        <f>IF(SUM(G7:I7)=0,"",SUM(G7:I7))</f>
        <v>191</v>
      </c>
      <c r="M7" s="7" t="s">
        <v>447</v>
      </c>
      <c r="O7" s="26" t="s">
        <v>440</v>
      </c>
      <c r="P7" s="27" t="s">
        <v>248</v>
      </c>
      <c r="Q7" s="27" t="s">
        <v>407</v>
      </c>
      <c r="R7" s="27" t="s">
        <v>57</v>
      </c>
      <c r="S7" s="27"/>
    </row>
    <row r="8" spans="1:19" x14ac:dyDescent="0.25">
      <c r="A8" s="1" t="s">
        <v>108</v>
      </c>
      <c r="B8" s="1" t="s">
        <v>427</v>
      </c>
      <c r="C8" s="1">
        <v>80</v>
      </c>
      <c r="D8" s="1">
        <v>6</v>
      </c>
      <c r="E8" s="1">
        <v>23</v>
      </c>
      <c r="F8" s="7" t="s">
        <v>109</v>
      </c>
      <c r="G8" s="1">
        <v>56</v>
      </c>
      <c r="H8" s="1">
        <v>70</v>
      </c>
      <c r="I8" s="1">
        <v>57</v>
      </c>
      <c r="J8" s="1">
        <f>IF(SUM(G8:I8)=0,"",SUM(G8:I8))</f>
        <v>183</v>
      </c>
      <c r="L8" s="7" t="s">
        <v>265</v>
      </c>
      <c r="M8" s="7" t="s">
        <v>447</v>
      </c>
      <c r="O8" s="28" t="s">
        <v>441</v>
      </c>
      <c r="P8" s="29" t="s">
        <v>249</v>
      </c>
      <c r="Q8" s="29"/>
      <c r="R8" s="29" t="s">
        <v>52</v>
      </c>
      <c r="S8" s="29"/>
    </row>
    <row r="9" spans="1:19" x14ac:dyDescent="0.25">
      <c r="A9" s="1" t="s">
        <v>3</v>
      </c>
      <c r="B9" s="1" t="s">
        <v>148</v>
      </c>
      <c r="C9" s="1">
        <v>82</v>
      </c>
      <c r="D9" s="1">
        <v>6</v>
      </c>
      <c r="E9" s="1">
        <v>23</v>
      </c>
      <c r="G9" s="1">
        <v>75</v>
      </c>
      <c r="H9" s="1">
        <v>52</v>
      </c>
      <c r="I9" s="1">
        <v>50</v>
      </c>
      <c r="J9" s="1">
        <f>IF(SUM(G9:I9)=0,"",SUM(G9:I9))</f>
        <v>177</v>
      </c>
      <c r="M9" s="7" t="s">
        <v>447</v>
      </c>
      <c r="O9" s="28" t="s">
        <v>442</v>
      </c>
      <c r="P9" s="29" t="s">
        <v>250</v>
      </c>
      <c r="Q9" s="29"/>
      <c r="R9" s="29" t="s">
        <v>58</v>
      </c>
      <c r="S9" s="29"/>
    </row>
    <row r="10" spans="1:19" x14ac:dyDescent="0.25">
      <c r="A10" s="1" t="s">
        <v>108</v>
      </c>
      <c r="B10" s="1" t="s">
        <v>293</v>
      </c>
      <c r="C10" s="1">
        <v>80</v>
      </c>
      <c r="D10" s="1">
        <v>6</v>
      </c>
      <c r="E10" s="1">
        <v>23</v>
      </c>
      <c r="F10" s="7" t="s">
        <v>10</v>
      </c>
      <c r="G10" s="1">
        <v>85</v>
      </c>
      <c r="H10" s="1">
        <v>41</v>
      </c>
      <c r="I10" s="1">
        <v>61</v>
      </c>
      <c r="J10" s="1">
        <f>IF(SUM(G10:I10)=0,"",SUM(G10:I10))</f>
        <v>187</v>
      </c>
      <c r="L10" s="7" t="s">
        <v>455</v>
      </c>
      <c r="M10" s="7" t="s">
        <v>447</v>
      </c>
      <c r="O10" s="28">
        <v>10</v>
      </c>
      <c r="P10" s="29" t="s">
        <v>443</v>
      </c>
      <c r="Q10" s="29"/>
      <c r="R10" s="29" t="s">
        <v>42</v>
      </c>
      <c r="S10" s="29"/>
    </row>
    <row r="11" spans="1:19" x14ac:dyDescent="0.25">
      <c r="A11" s="1" t="s">
        <v>1645</v>
      </c>
      <c r="B11" s="1" t="s">
        <v>1634</v>
      </c>
      <c r="C11" s="1">
        <v>81</v>
      </c>
      <c r="D11" s="1">
        <v>6</v>
      </c>
      <c r="E11" s="1">
        <v>24</v>
      </c>
      <c r="G11" s="1">
        <v>74</v>
      </c>
      <c r="H11" s="1">
        <v>43</v>
      </c>
      <c r="I11" s="1">
        <v>44</v>
      </c>
      <c r="J11" s="1">
        <f>IF(SUM(G11:I11)=0,"",SUM(G11:I11))</f>
        <v>161</v>
      </c>
      <c r="L11" s="7" t="s">
        <v>1650</v>
      </c>
      <c r="M11" s="7" t="s">
        <v>1581</v>
      </c>
      <c r="O11" s="30">
        <v>11</v>
      </c>
      <c r="P11" s="31" t="s">
        <v>251</v>
      </c>
      <c r="Q11" s="31"/>
      <c r="R11" s="31" t="s">
        <v>165</v>
      </c>
      <c r="S11" s="31"/>
    </row>
    <row r="12" spans="1:19" x14ac:dyDescent="0.25">
      <c r="A12" s="1" t="s">
        <v>1641</v>
      </c>
      <c r="B12" s="1" t="s">
        <v>1642</v>
      </c>
      <c r="C12" s="1">
        <v>74</v>
      </c>
      <c r="D12" s="1">
        <v>5</v>
      </c>
      <c r="E12" s="1">
        <v>18</v>
      </c>
      <c r="F12" s="7" t="s">
        <v>1647</v>
      </c>
      <c r="G12" s="1">
        <v>64</v>
      </c>
      <c r="H12" s="1">
        <v>25</v>
      </c>
      <c r="I12" s="1">
        <v>39</v>
      </c>
      <c r="J12" s="1">
        <f>IF(SUM(G12:I12)=0,"",SUM(G12:I12))</f>
        <v>128</v>
      </c>
      <c r="L12" s="7" t="s">
        <v>1636</v>
      </c>
      <c r="M12" s="7" t="s">
        <v>1648</v>
      </c>
      <c r="O12" s="30">
        <v>12</v>
      </c>
      <c r="P12" s="31" t="s">
        <v>252</v>
      </c>
      <c r="Q12" s="31"/>
      <c r="R12" s="31" t="s">
        <v>17</v>
      </c>
      <c r="S12" s="31"/>
    </row>
    <row r="13" spans="1:19" x14ac:dyDescent="0.25">
      <c r="A13" s="1" t="s">
        <v>8</v>
      </c>
      <c r="B13" s="1" t="s">
        <v>1640</v>
      </c>
      <c r="C13" s="1">
        <v>74</v>
      </c>
      <c r="D13" s="1">
        <v>5</v>
      </c>
      <c r="E13" s="1">
        <v>19</v>
      </c>
      <c r="F13" s="7" t="s">
        <v>1646</v>
      </c>
      <c r="G13" s="1">
        <v>69</v>
      </c>
      <c r="H13" s="1">
        <v>62</v>
      </c>
      <c r="I13" s="1">
        <v>49</v>
      </c>
      <c r="J13" s="1">
        <f>IF(SUM(G13:I13)=0,"",SUM(G13:I13))</f>
        <v>180</v>
      </c>
      <c r="M13" s="7" t="s">
        <v>1607</v>
      </c>
      <c r="O13" s="30">
        <v>13</v>
      </c>
      <c r="P13" s="31" t="s">
        <v>253</v>
      </c>
      <c r="Q13" s="31"/>
      <c r="R13" s="31" t="s">
        <v>22</v>
      </c>
      <c r="S13" s="31"/>
    </row>
    <row r="14" spans="1:19" x14ac:dyDescent="0.25">
      <c r="A14" s="1" t="s">
        <v>1184</v>
      </c>
      <c r="B14" s="1" t="s">
        <v>1185</v>
      </c>
      <c r="C14" s="1">
        <v>74</v>
      </c>
      <c r="D14" s="1">
        <v>5</v>
      </c>
      <c r="E14" s="1">
        <v>19</v>
      </c>
      <c r="G14" s="1">
        <v>69</v>
      </c>
      <c r="H14" s="1">
        <v>30</v>
      </c>
      <c r="I14" s="1">
        <v>35</v>
      </c>
      <c r="J14" s="1">
        <f>IF(SUM(G14:I14)=0,"",SUM(G14:I14))</f>
        <v>134</v>
      </c>
      <c r="L14" s="7" t="s">
        <v>1186</v>
      </c>
      <c r="M14" s="7" t="s">
        <v>1187</v>
      </c>
      <c r="O14" s="32">
        <v>14</v>
      </c>
      <c r="P14" s="33" t="s">
        <v>254</v>
      </c>
      <c r="Q14" s="33"/>
      <c r="R14" s="33" t="s">
        <v>29</v>
      </c>
      <c r="S14" s="33"/>
    </row>
    <row r="15" spans="1:19" x14ac:dyDescent="0.25">
      <c r="A15" s="1" t="s">
        <v>367</v>
      </c>
      <c r="B15" s="1" t="s">
        <v>368</v>
      </c>
      <c r="C15" s="1">
        <v>77</v>
      </c>
      <c r="D15" s="1">
        <v>5</v>
      </c>
      <c r="E15" s="1">
        <v>20</v>
      </c>
      <c r="F15" s="7" t="s">
        <v>109</v>
      </c>
      <c r="G15" s="1">
        <v>78</v>
      </c>
      <c r="H15" s="1">
        <v>42</v>
      </c>
      <c r="I15" s="1">
        <v>59</v>
      </c>
      <c r="J15" s="1">
        <f>IF(SUM(G15:I15)=0,"",SUM(G15:I15))</f>
        <v>179</v>
      </c>
      <c r="L15" s="7" t="s">
        <v>13</v>
      </c>
      <c r="M15" s="7" t="s">
        <v>447</v>
      </c>
      <c r="O15" s="32">
        <v>15</v>
      </c>
      <c r="P15" s="33" t="s">
        <v>255</v>
      </c>
      <c r="Q15" s="33"/>
      <c r="R15" s="33" t="s">
        <v>371</v>
      </c>
      <c r="S15" s="33"/>
    </row>
    <row r="16" spans="1:19" x14ac:dyDescent="0.25">
      <c r="A16" s="1" t="s">
        <v>108</v>
      </c>
      <c r="B16" s="1" t="s">
        <v>116</v>
      </c>
      <c r="C16" s="1">
        <v>75</v>
      </c>
      <c r="D16" s="1">
        <v>5</v>
      </c>
      <c r="E16" s="1">
        <v>21</v>
      </c>
      <c r="G16" s="1">
        <v>73</v>
      </c>
      <c r="H16" s="1">
        <v>11</v>
      </c>
      <c r="I16" s="1">
        <v>35</v>
      </c>
      <c r="J16" s="1">
        <f>IF(SUM(G16:I16)=0,"",SUM(G16:I16))</f>
        <v>119</v>
      </c>
      <c r="L16" s="7" t="s">
        <v>13</v>
      </c>
      <c r="M16" s="7" t="s">
        <v>447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1643</v>
      </c>
      <c r="B17" s="1" t="s">
        <v>1644</v>
      </c>
      <c r="C17" s="1">
        <v>77</v>
      </c>
      <c r="D17" s="1">
        <v>5</v>
      </c>
      <c r="E17" s="1">
        <v>21</v>
      </c>
      <c r="F17" s="7" t="s">
        <v>1649</v>
      </c>
      <c r="G17" s="1">
        <v>67</v>
      </c>
      <c r="H17" s="1">
        <v>59</v>
      </c>
      <c r="I17" s="1">
        <v>52</v>
      </c>
      <c r="J17" s="1">
        <f>IF(SUM(G17:I17)=0,"",SUM(G17:I17))</f>
        <v>178</v>
      </c>
      <c r="L17" s="7" t="s">
        <v>1575</v>
      </c>
      <c r="M17" s="7" t="s">
        <v>1576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1523</v>
      </c>
      <c r="B18" s="1" t="s">
        <v>1524</v>
      </c>
      <c r="C18" s="1">
        <v>78</v>
      </c>
      <c r="D18" s="1">
        <v>5</v>
      </c>
      <c r="E18" s="1">
        <v>21</v>
      </c>
      <c r="G18" s="1">
        <v>67</v>
      </c>
      <c r="H18" s="1">
        <v>28</v>
      </c>
      <c r="I18" s="1">
        <v>38</v>
      </c>
      <c r="J18" s="1">
        <f>IF(SUM(G18:I18)=0,"",SUM(G18:I18))</f>
        <v>133</v>
      </c>
      <c r="M18" s="7" t="s">
        <v>1525</v>
      </c>
      <c r="O18" s="34">
        <v>18</v>
      </c>
      <c r="P18" s="35" t="s">
        <v>452</v>
      </c>
      <c r="Q18" s="35"/>
      <c r="R18" s="35"/>
      <c r="S18" s="35"/>
    </row>
    <row r="19" spans="1:19" x14ac:dyDescent="0.25">
      <c r="A19" s="1" t="s">
        <v>448</v>
      </c>
      <c r="B19" s="1" t="s">
        <v>449</v>
      </c>
      <c r="C19" s="1">
        <v>77</v>
      </c>
      <c r="D19" s="1">
        <v>5</v>
      </c>
      <c r="E19" s="1">
        <v>21</v>
      </c>
      <c r="F19" s="7" t="s">
        <v>10</v>
      </c>
      <c r="G19" s="1">
        <v>71</v>
      </c>
      <c r="H19" s="1">
        <v>46</v>
      </c>
      <c r="I19" s="1">
        <v>38</v>
      </c>
      <c r="J19" s="1">
        <f>IF(SUM(G19:I19)=0,"",SUM(G19:I19))</f>
        <v>155</v>
      </c>
      <c r="L19" s="7" t="s">
        <v>453</v>
      </c>
      <c r="M19" s="7" t="s">
        <v>447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673</v>
      </c>
      <c r="B20" s="1" t="s">
        <v>674</v>
      </c>
      <c r="C20" s="1">
        <v>75</v>
      </c>
      <c r="D20" s="1">
        <v>5</v>
      </c>
      <c r="E20" s="1">
        <v>21</v>
      </c>
      <c r="G20" s="1">
        <v>75</v>
      </c>
      <c r="H20" s="1">
        <v>50</v>
      </c>
      <c r="I20" s="1">
        <v>52</v>
      </c>
      <c r="J20" s="1">
        <f>IF(SUM(G20:I20)=0,"",SUM(G20:I20))</f>
        <v>177</v>
      </c>
      <c r="M20" s="7" t="s">
        <v>651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401</v>
      </c>
      <c r="B21" s="1" t="s">
        <v>402</v>
      </c>
      <c r="C21" s="1">
        <v>78</v>
      </c>
      <c r="D21" s="1">
        <v>5</v>
      </c>
      <c r="E21" s="1">
        <v>22</v>
      </c>
      <c r="G21" s="1">
        <v>79</v>
      </c>
      <c r="H21" s="1">
        <v>62</v>
      </c>
      <c r="I21" s="1">
        <v>56</v>
      </c>
      <c r="J21" s="1">
        <f>IF(SUM(G21:I21)=0,"",SUM(G21:I21))</f>
        <v>197</v>
      </c>
      <c r="M21" s="7" t="s">
        <v>447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108</v>
      </c>
      <c r="B22" s="1" t="s">
        <v>116</v>
      </c>
      <c r="C22" s="1">
        <v>79</v>
      </c>
      <c r="D22" s="1">
        <v>5</v>
      </c>
      <c r="E22" s="1">
        <v>23</v>
      </c>
      <c r="G22" s="1">
        <v>81</v>
      </c>
      <c r="H22" s="1">
        <v>13</v>
      </c>
      <c r="I22" s="1">
        <v>45</v>
      </c>
      <c r="J22" s="1">
        <f>IF(SUM(G22:I22)=0,"",SUM(G22:I22))</f>
        <v>139</v>
      </c>
      <c r="L22" s="7" t="s">
        <v>13</v>
      </c>
      <c r="M22" s="7" t="s">
        <v>487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8</v>
      </c>
      <c r="B23" s="1" t="s">
        <v>12</v>
      </c>
      <c r="C23" s="1">
        <v>77</v>
      </c>
      <c r="D23" s="1">
        <v>5</v>
      </c>
      <c r="E23" s="1">
        <v>23</v>
      </c>
      <c r="G23" s="1">
        <v>75</v>
      </c>
      <c r="H23" s="1">
        <v>13</v>
      </c>
      <c r="I23" s="1">
        <v>36</v>
      </c>
      <c r="J23" s="1">
        <f>IF(SUM(G23:I23)=0,"",SUM(G23:I23))</f>
        <v>124</v>
      </c>
      <c r="L23" s="7" t="s">
        <v>13</v>
      </c>
      <c r="M23" s="7" t="s">
        <v>487</v>
      </c>
      <c r="O23" s="24" t="s">
        <v>434</v>
      </c>
      <c r="P23" s="25" t="s">
        <v>242</v>
      </c>
      <c r="Q23" s="25" t="s">
        <v>480</v>
      </c>
      <c r="R23" s="25" t="s">
        <v>70</v>
      </c>
      <c r="S23" s="25" t="s">
        <v>451</v>
      </c>
    </row>
    <row r="24" spans="1:19" x14ac:dyDescent="0.25">
      <c r="A24" s="1" t="s">
        <v>108</v>
      </c>
      <c r="B24" s="1" t="s">
        <v>430</v>
      </c>
      <c r="C24" s="1">
        <v>77</v>
      </c>
      <c r="D24" s="1">
        <v>5</v>
      </c>
      <c r="E24" s="1">
        <v>23</v>
      </c>
      <c r="G24" s="1">
        <v>94</v>
      </c>
      <c r="H24" s="1">
        <v>71</v>
      </c>
      <c r="I24" s="1">
        <v>54</v>
      </c>
      <c r="J24" s="1">
        <f>IF(SUM(G24:I24)=0,"",SUM(G24:I24))</f>
        <v>219</v>
      </c>
      <c r="M24" s="7" t="s">
        <v>487</v>
      </c>
      <c r="O24" s="24" t="s">
        <v>435</v>
      </c>
      <c r="P24" s="25" t="s">
        <v>243</v>
      </c>
      <c r="Q24" s="25" t="s">
        <v>481</v>
      </c>
      <c r="R24" s="25" t="s">
        <v>92</v>
      </c>
      <c r="S24" s="25" t="s">
        <v>447</v>
      </c>
    </row>
    <row r="25" spans="1:19" x14ac:dyDescent="0.25">
      <c r="A25" s="1" t="s">
        <v>457</v>
      </c>
      <c r="B25" s="1" t="s">
        <v>458</v>
      </c>
      <c r="C25" s="1">
        <v>80</v>
      </c>
      <c r="D25" s="1">
        <v>5</v>
      </c>
      <c r="E25" s="1">
        <v>23</v>
      </c>
      <c r="G25" s="1">
        <v>69</v>
      </c>
      <c r="H25" s="1">
        <v>29</v>
      </c>
      <c r="I25" s="1">
        <v>39</v>
      </c>
      <c r="J25" s="1">
        <f>IF(SUM(G25:I25)=0,"",SUM(G25:I25))</f>
        <v>137</v>
      </c>
      <c r="M25" s="7" t="s">
        <v>459</v>
      </c>
      <c r="O25" s="24" t="s">
        <v>436</v>
      </c>
      <c r="P25" s="25" t="s">
        <v>244</v>
      </c>
      <c r="Q25" s="25" t="s">
        <v>482</v>
      </c>
      <c r="R25" s="25" t="s">
        <v>120</v>
      </c>
      <c r="S25" s="25" t="s">
        <v>405</v>
      </c>
    </row>
    <row r="26" spans="1:19" x14ac:dyDescent="0.25">
      <c r="A26" s="1" t="s">
        <v>476</v>
      </c>
      <c r="B26" s="1" t="s">
        <v>494</v>
      </c>
      <c r="C26" s="1">
        <v>80</v>
      </c>
      <c r="D26" s="1">
        <v>5</v>
      </c>
      <c r="E26" s="1">
        <v>23</v>
      </c>
      <c r="G26" s="1">
        <v>69</v>
      </c>
      <c r="H26" s="1">
        <v>29</v>
      </c>
      <c r="I26" s="1">
        <v>39</v>
      </c>
      <c r="J26" s="1">
        <f>IF(SUM(G26:I26)=0,"",SUM(G26:I26))</f>
        <v>137</v>
      </c>
      <c r="M26" s="7" t="s">
        <v>487</v>
      </c>
      <c r="O26" s="24" t="s">
        <v>437</v>
      </c>
      <c r="P26" s="25" t="s">
        <v>245</v>
      </c>
      <c r="Q26" s="25" t="s">
        <v>483</v>
      </c>
      <c r="R26" s="25" t="s">
        <v>72</v>
      </c>
      <c r="S26" s="25"/>
    </row>
    <row r="27" spans="1:19" x14ac:dyDescent="0.25">
      <c r="A27" s="1" t="s">
        <v>1266</v>
      </c>
      <c r="B27" s="1" t="s">
        <v>1267</v>
      </c>
      <c r="C27" s="1">
        <v>78</v>
      </c>
      <c r="D27" s="1">
        <v>5</v>
      </c>
      <c r="E27" s="1">
        <v>23</v>
      </c>
      <c r="G27" s="1">
        <v>78</v>
      </c>
      <c r="H27" s="1">
        <v>48</v>
      </c>
      <c r="I27" s="1">
        <v>41</v>
      </c>
      <c r="J27" s="1">
        <f>IF(SUM(G27:I27)=0,"",SUM(G27:I27))</f>
        <v>167</v>
      </c>
      <c r="L27" s="7" t="s">
        <v>1268</v>
      </c>
      <c r="M27" s="7" t="s">
        <v>1243</v>
      </c>
      <c r="O27" s="26" t="s">
        <v>438</v>
      </c>
      <c r="P27" s="27" t="s">
        <v>246</v>
      </c>
      <c r="Q27" s="27" t="s">
        <v>509</v>
      </c>
      <c r="R27" s="27" t="s">
        <v>184</v>
      </c>
      <c r="S27" s="27"/>
    </row>
    <row r="28" spans="1:19" x14ac:dyDescent="0.25">
      <c r="A28" s="1" t="s">
        <v>108</v>
      </c>
      <c r="B28" s="1" t="s">
        <v>429</v>
      </c>
      <c r="C28" s="1">
        <v>78</v>
      </c>
      <c r="D28" s="1">
        <v>5</v>
      </c>
      <c r="E28" s="1">
        <v>23</v>
      </c>
      <c r="F28" s="7" t="s">
        <v>109</v>
      </c>
      <c r="G28" s="1">
        <v>74</v>
      </c>
      <c r="H28" s="1">
        <v>46</v>
      </c>
      <c r="I28" s="1">
        <v>63</v>
      </c>
      <c r="J28" s="1">
        <f>IF(SUM(G28:I28)=0,"",SUM(G28:I28))</f>
        <v>183</v>
      </c>
      <c r="M28" s="7" t="s">
        <v>487</v>
      </c>
      <c r="O28" s="26" t="s">
        <v>439</v>
      </c>
      <c r="P28" s="27" t="s">
        <v>247</v>
      </c>
      <c r="Q28" s="27" t="s">
        <v>484</v>
      </c>
      <c r="R28" s="27" t="s">
        <v>59</v>
      </c>
      <c r="S28" s="27"/>
    </row>
    <row r="29" spans="1:19" x14ac:dyDescent="0.25">
      <c r="A29" s="1" t="s">
        <v>108</v>
      </c>
      <c r="B29" s="1" t="s">
        <v>431</v>
      </c>
      <c r="C29" s="1">
        <v>77</v>
      </c>
      <c r="D29" s="1">
        <v>5</v>
      </c>
      <c r="E29" s="1">
        <v>23</v>
      </c>
      <c r="G29" s="1">
        <v>80</v>
      </c>
      <c r="H29" s="1">
        <v>52</v>
      </c>
      <c r="I29" s="1">
        <v>48</v>
      </c>
      <c r="J29" s="1">
        <f>IF(SUM(G29:I29)=0,"",SUM(G29:I29))</f>
        <v>180</v>
      </c>
      <c r="M29" s="7" t="s">
        <v>487</v>
      </c>
      <c r="O29" s="26" t="s">
        <v>440</v>
      </c>
      <c r="P29" s="27" t="s">
        <v>248</v>
      </c>
      <c r="Q29" s="27" t="s">
        <v>407</v>
      </c>
      <c r="R29" s="27" t="s">
        <v>57</v>
      </c>
      <c r="S29" s="27"/>
    </row>
    <row r="30" spans="1:19" x14ac:dyDescent="0.25">
      <c r="A30" s="1" t="s">
        <v>944</v>
      </c>
      <c r="B30" s="1" t="s">
        <v>945</v>
      </c>
      <c r="C30" s="1">
        <v>78</v>
      </c>
      <c r="D30" s="1">
        <v>5</v>
      </c>
      <c r="E30" s="1">
        <v>23</v>
      </c>
      <c r="G30" s="1">
        <v>78</v>
      </c>
      <c r="H30" s="1">
        <v>39</v>
      </c>
      <c r="I30" s="1">
        <v>43</v>
      </c>
      <c r="J30" s="1">
        <f>IF(SUM(G30:I30)=0,"",SUM(G30:I30))</f>
        <v>160</v>
      </c>
      <c r="L30" s="7" t="s">
        <v>946</v>
      </c>
      <c r="M30" s="7" t="s">
        <v>918</v>
      </c>
      <c r="O30" s="28" t="s">
        <v>441</v>
      </c>
      <c r="P30" s="29" t="s">
        <v>249</v>
      </c>
      <c r="Q30" s="29"/>
      <c r="R30" s="29" t="s">
        <v>52</v>
      </c>
      <c r="S30" s="29"/>
    </row>
    <row r="31" spans="1:19" x14ac:dyDescent="0.25">
      <c r="A31" s="1" t="s">
        <v>8</v>
      </c>
      <c r="B31" s="1" t="s">
        <v>1176</v>
      </c>
      <c r="C31" s="1">
        <v>81</v>
      </c>
      <c r="D31" s="1">
        <v>5</v>
      </c>
      <c r="E31" s="1">
        <v>24</v>
      </c>
      <c r="G31" s="1">
        <v>80</v>
      </c>
      <c r="H31" s="1">
        <v>29</v>
      </c>
      <c r="I31" s="1">
        <v>46</v>
      </c>
      <c r="J31" s="1">
        <f>IF(SUM(G31:I31)=0,"",SUM(G31:I31))</f>
        <v>155</v>
      </c>
      <c r="M31" s="7" t="s">
        <v>1148</v>
      </c>
      <c r="O31" s="28" t="s">
        <v>442</v>
      </c>
      <c r="P31" s="29" t="s">
        <v>250</v>
      </c>
      <c r="Q31" s="29"/>
      <c r="R31" s="29" t="s">
        <v>58</v>
      </c>
      <c r="S31" s="29"/>
    </row>
    <row r="32" spans="1:19" x14ac:dyDescent="0.25">
      <c r="A32" s="1" t="s">
        <v>1067</v>
      </c>
      <c r="B32" s="1" t="s">
        <v>1072</v>
      </c>
      <c r="C32" s="1">
        <v>75</v>
      </c>
      <c r="D32" s="2">
        <v>5</v>
      </c>
      <c r="E32" s="1">
        <v>24</v>
      </c>
      <c r="G32" s="1">
        <v>68</v>
      </c>
      <c r="H32" s="1">
        <v>27</v>
      </c>
      <c r="I32" s="1">
        <v>35</v>
      </c>
      <c r="J32" s="1">
        <f>IF(SUM(G32:I32)=0,"",SUM(G32:I32))</f>
        <v>130</v>
      </c>
      <c r="M32" s="7" t="s">
        <v>1073</v>
      </c>
      <c r="O32" s="28">
        <v>10</v>
      </c>
      <c r="P32" s="29" t="s">
        <v>443</v>
      </c>
      <c r="Q32" s="29"/>
      <c r="R32" s="29" t="s">
        <v>42</v>
      </c>
      <c r="S32" s="29"/>
    </row>
    <row r="33" spans="1:19" x14ac:dyDescent="0.25">
      <c r="A33" s="1" t="s">
        <v>476</v>
      </c>
      <c r="B33" s="1" t="s">
        <v>491</v>
      </c>
      <c r="C33" s="1">
        <v>78</v>
      </c>
      <c r="D33" s="1">
        <v>5</v>
      </c>
      <c r="E33" s="1">
        <v>24</v>
      </c>
      <c r="F33" s="7" t="s">
        <v>492</v>
      </c>
      <c r="G33" s="1">
        <v>48</v>
      </c>
      <c r="H33" s="1">
        <v>45</v>
      </c>
      <c r="I33" s="1">
        <v>63</v>
      </c>
      <c r="J33" s="1">
        <f>IF(SUM(G33:I33)=0,"",SUM(G33:I33))</f>
        <v>156</v>
      </c>
      <c r="L33" s="7" t="s">
        <v>493</v>
      </c>
      <c r="M33" s="7" t="s">
        <v>487</v>
      </c>
      <c r="O33" s="30">
        <v>11</v>
      </c>
      <c r="P33" s="31" t="s">
        <v>251</v>
      </c>
      <c r="Q33" s="31"/>
      <c r="R33" s="31" t="s">
        <v>165</v>
      </c>
      <c r="S33" s="31"/>
    </row>
    <row r="34" spans="1:19" x14ac:dyDescent="0.25">
      <c r="A34" s="1" t="s">
        <v>108</v>
      </c>
      <c r="B34" s="1" t="s">
        <v>287</v>
      </c>
      <c r="C34" s="1">
        <v>79</v>
      </c>
      <c r="D34" s="1">
        <v>5</v>
      </c>
      <c r="E34" s="1">
        <v>24</v>
      </c>
      <c r="F34" s="7" t="s">
        <v>109</v>
      </c>
      <c r="G34" s="1">
        <v>76</v>
      </c>
      <c r="H34" s="1">
        <v>16</v>
      </c>
      <c r="I34" s="1">
        <v>38</v>
      </c>
      <c r="J34" s="1">
        <f>IF(SUM(G34:I34)=0,"",SUM(G34:I34))</f>
        <v>130</v>
      </c>
      <c r="L34" s="7" t="s">
        <v>13</v>
      </c>
      <c r="M34" s="7" t="s">
        <v>487</v>
      </c>
      <c r="O34" s="30">
        <v>12</v>
      </c>
      <c r="P34" s="31" t="s">
        <v>252</v>
      </c>
      <c r="Q34" s="31"/>
      <c r="R34" s="31" t="s">
        <v>17</v>
      </c>
      <c r="S34" s="31"/>
    </row>
    <row r="35" spans="1:19" x14ac:dyDescent="0.25">
      <c r="A35" s="1" t="s">
        <v>108</v>
      </c>
      <c r="B35" s="1" t="s">
        <v>283</v>
      </c>
      <c r="C35" s="1">
        <v>79</v>
      </c>
      <c r="D35" s="1">
        <v>5</v>
      </c>
      <c r="E35" s="1">
        <v>24</v>
      </c>
      <c r="G35" s="1">
        <v>76</v>
      </c>
      <c r="H35" s="1">
        <v>55</v>
      </c>
      <c r="I35" s="1">
        <v>67</v>
      </c>
      <c r="J35" s="1">
        <f>IF(SUM(G35:I35)=0,"",SUM(G35:I35))</f>
        <v>198</v>
      </c>
      <c r="M35" s="7" t="s">
        <v>487</v>
      </c>
      <c r="O35" s="30">
        <v>13</v>
      </c>
      <c r="P35" s="31" t="s">
        <v>253</v>
      </c>
      <c r="Q35" s="31"/>
      <c r="R35" s="31" t="s">
        <v>22</v>
      </c>
      <c r="S35" s="31"/>
    </row>
    <row r="36" spans="1:19" x14ac:dyDescent="0.25">
      <c r="A36" s="1" t="s">
        <v>108</v>
      </c>
      <c r="B36" s="1" t="s">
        <v>270</v>
      </c>
      <c r="C36" s="1">
        <v>80</v>
      </c>
      <c r="D36" s="1">
        <v>5</v>
      </c>
      <c r="E36" s="1">
        <v>24</v>
      </c>
      <c r="G36" s="1">
        <v>82</v>
      </c>
      <c r="H36" s="1">
        <v>54</v>
      </c>
      <c r="I36" s="1">
        <v>51</v>
      </c>
      <c r="J36" s="1">
        <f>IF(SUM(G36:I36)=0,"",SUM(G36:I36))</f>
        <v>187</v>
      </c>
      <c r="M36" s="7" t="s">
        <v>487</v>
      </c>
      <c r="O36" s="32">
        <v>14</v>
      </c>
      <c r="P36" s="33" t="s">
        <v>254</v>
      </c>
      <c r="Q36" s="33"/>
      <c r="R36" s="33" t="s">
        <v>29</v>
      </c>
      <c r="S36" s="33"/>
    </row>
    <row r="37" spans="1:19" x14ac:dyDescent="0.25">
      <c r="A37" s="1" t="s">
        <v>432</v>
      </c>
      <c r="B37" s="1" t="s">
        <v>433</v>
      </c>
      <c r="C37" s="1">
        <v>70</v>
      </c>
      <c r="D37" s="1">
        <v>4</v>
      </c>
      <c r="E37" s="1">
        <v>18</v>
      </c>
      <c r="F37" s="7" t="s">
        <v>10</v>
      </c>
      <c r="G37" s="1">
        <v>75</v>
      </c>
      <c r="H37" s="1">
        <v>53</v>
      </c>
      <c r="I37" s="1">
        <v>31</v>
      </c>
      <c r="J37" s="1">
        <f>IF(SUM(G37:I37)=0,"",SUM(G37:I37))</f>
        <v>159</v>
      </c>
      <c r="L37" s="7" t="s">
        <v>192</v>
      </c>
      <c r="M37" s="7" t="s">
        <v>447</v>
      </c>
      <c r="O37" s="32">
        <v>15</v>
      </c>
      <c r="P37" s="33" t="s">
        <v>255</v>
      </c>
      <c r="Q37" s="33"/>
      <c r="R37" s="33" t="s">
        <v>371</v>
      </c>
      <c r="S37" s="33"/>
    </row>
    <row r="38" spans="1:19" x14ac:dyDescent="0.25">
      <c r="A38" s="1" t="s">
        <v>8</v>
      </c>
      <c r="B38" s="1" t="s">
        <v>840</v>
      </c>
      <c r="C38" s="1">
        <v>76</v>
      </c>
      <c r="D38" s="1">
        <v>4</v>
      </c>
      <c r="E38" s="1">
        <v>21</v>
      </c>
      <c r="G38" s="1">
        <v>80</v>
      </c>
      <c r="H38" s="1">
        <v>46</v>
      </c>
      <c r="I38" s="1">
        <v>38</v>
      </c>
      <c r="J38" s="1">
        <f>IF(SUM(G38:I38)=0,"",SUM(G38:I38))</f>
        <v>164</v>
      </c>
      <c r="M38" s="7" t="s">
        <v>859</v>
      </c>
      <c r="O38" s="32">
        <v>16</v>
      </c>
      <c r="P38" s="33" t="s">
        <v>256</v>
      </c>
      <c r="Q38" s="33"/>
      <c r="R38" s="33" t="s">
        <v>109</v>
      </c>
      <c r="S38" s="33"/>
    </row>
    <row r="39" spans="1:19" x14ac:dyDescent="0.25">
      <c r="A39" s="1" t="s">
        <v>830</v>
      </c>
      <c r="B39" s="1" t="s">
        <v>831</v>
      </c>
      <c r="C39" s="1">
        <v>72</v>
      </c>
      <c r="D39" s="1">
        <v>4</v>
      </c>
      <c r="E39" s="1">
        <v>22</v>
      </c>
      <c r="G39" s="1">
        <v>80</v>
      </c>
      <c r="H39" s="1">
        <v>68</v>
      </c>
      <c r="I39" s="1">
        <v>46</v>
      </c>
      <c r="J39" s="1">
        <f>IF(SUM(G39:I39)=0,"",SUM(G39:I39))</f>
        <v>194</v>
      </c>
      <c r="L39" s="7" t="s">
        <v>832</v>
      </c>
      <c r="M39" s="7" t="s">
        <v>833</v>
      </c>
      <c r="O39" s="32">
        <v>17</v>
      </c>
      <c r="P39" s="33" t="s">
        <v>257</v>
      </c>
      <c r="Q39" s="33"/>
      <c r="R39" s="33" t="s">
        <v>10</v>
      </c>
      <c r="S39" s="33"/>
    </row>
    <row r="40" spans="1:19" x14ac:dyDescent="0.25">
      <c r="A40" s="1" t="s">
        <v>1321</v>
      </c>
      <c r="B40" s="1" t="s">
        <v>1322</v>
      </c>
      <c r="C40" s="1">
        <v>73</v>
      </c>
      <c r="D40" s="1">
        <v>4</v>
      </c>
      <c r="E40" s="1">
        <v>23</v>
      </c>
      <c r="F40" s="7" t="s">
        <v>1323</v>
      </c>
      <c r="G40" s="1">
        <v>70</v>
      </c>
      <c r="H40" s="1">
        <v>47</v>
      </c>
      <c r="I40" s="1">
        <v>41</v>
      </c>
      <c r="J40" s="1">
        <f>IF(SUM(G40:I40)=0,"",SUM(G40:I40))</f>
        <v>158</v>
      </c>
      <c r="M40" s="7" t="s">
        <v>1324</v>
      </c>
      <c r="O40" s="34">
        <v>18</v>
      </c>
      <c r="P40" s="35" t="s">
        <v>452</v>
      </c>
      <c r="Q40" s="35"/>
      <c r="R40" s="35"/>
      <c r="S40" s="35"/>
    </row>
    <row r="41" spans="1:19" x14ac:dyDescent="0.25">
      <c r="A41" s="1" t="s">
        <v>8</v>
      </c>
      <c r="B41" s="1" t="s">
        <v>860</v>
      </c>
      <c r="C41" s="1">
        <v>66</v>
      </c>
      <c r="D41" s="1">
        <v>4</v>
      </c>
      <c r="E41" s="1">
        <v>23</v>
      </c>
      <c r="G41" s="1">
        <v>57</v>
      </c>
      <c r="H41" s="1">
        <v>62</v>
      </c>
      <c r="I41" s="1">
        <v>28</v>
      </c>
      <c r="J41" s="1">
        <f>IF(SUM(G41:I41)=0,"",SUM(G41:I41))</f>
        <v>147</v>
      </c>
      <c r="L41" s="7" t="s">
        <v>861</v>
      </c>
      <c r="M41" s="7" t="s">
        <v>862</v>
      </c>
      <c r="O41" s="34">
        <v>19</v>
      </c>
      <c r="P41" s="35" t="s">
        <v>259</v>
      </c>
      <c r="Q41" s="35"/>
      <c r="R41" s="35"/>
      <c r="S41" s="35"/>
    </row>
    <row r="42" spans="1:19" x14ac:dyDescent="0.25">
      <c r="A42" s="1" t="s">
        <v>8</v>
      </c>
      <c r="B42" s="1" t="s">
        <v>1327</v>
      </c>
      <c r="C42" s="1">
        <v>77</v>
      </c>
      <c r="D42" s="1">
        <v>4</v>
      </c>
      <c r="E42" s="1">
        <v>24</v>
      </c>
      <c r="F42" s="7" t="s">
        <v>1323</v>
      </c>
      <c r="G42" s="1">
        <v>67</v>
      </c>
      <c r="H42" s="1">
        <v>30</v>
      </c>
      <c r="I42" s="1">
        <v>44</v>
      </c>
      <c r="J42" s="1">
        <f>IF(SUM(G42:I42)=0,"",SUM(G42:I42))</f>
        <v>141</v>
      </c>
      <c r="M42" s="7" t="s">
        <v>1324</v>
      </c>
      <c r="O42" s="34">
        <v>20</v>
      </c>
      <c r="P42" s="35" t="s">
        <v>260</v>
      </c>
      <c r="Q42" s="35"/>
      <c r="R42" s="35"/>
      <c r="S42" s="35"/>
    </row>
    <row r="43" spans="1:19" x14ac:dyDescent="0.25">
      <c r="A43" s="1" t="s">
        <v>1348</v>
      </c>
      <c r="B43" s="1" t="s">
        <v>1349</v>
      </c>
      <c r="C43" s="1">
        <v>73</v>
      </c>
      <c r="D43" s="1">
        <v>4</v>
      </c>
      <c r="E43" s="1">
        <v>24</v>
      </c>
      <c r="F43" s="7" t="s">
        <v>1350</v>
      </c>
      <c r="G43" s="1">
        <v>65</v>
      </c>
      <c r="H43" s="1">
        <v>31</v>
      </c>
      <c r="I43" s="1">
        <v>43</v>
      </c>
      <c r="J43" s="1">
        <f>IF(SUM(G43:I43)=0,"",SUM(G43:I43))</f>
        <v>139</v>
      </c>
      <c r="M43" s="7" t="s">
        <v>1351</v>
      </c>
      <c r="O43" s="34">
        <v>21</v>
      </c>
      <c r="P43" s="35" t="s">
        <v>261</v>
      </c>
      <c r="Q43" s="35"/>
      <c r="R43" s="35"/>
      <c r="S43" s="35"/>
    </row>
    <row r="44" spans="1:19" x14ac:dyDescent="0.25">
      <c r="O44" s="34">
        <v>22</v>
      </c>
      <c r="P44" s="35" t="s">
        <v>444</v>
      </c>
      <c r="Q44" s="35"/>
      <c r="R44" s="35"/>
      <c r="S44" s="35"/>
    </row>
  </sheetData>
  <sortState ref="A1:N45">
    <sortCondition descending="1" ref="D1:D100"/>
    <sortCondition ref="E1:E100"/>
    <sortCondition descending="1" ref="B1:B100"/>
  </sortState>
  <phoneticPr fontId="1" type="noConversion"/>
  <conditionalFormatting sqref="A1:A16 A18:A20 A22:A24 A26 A45:A1048576 A28:A43">
    <cfRule type="containsText" dxfId="90" priority="1" operator="containsText" text="RMF">
      <formula>NOT(ISERROR(SEARCH("RMF",A1)))</formula>
    </cfRule>
    <cfRule type="containsText" dxfId="89" priority="2" operator="containsText" text="LMF">
      <formula>NOT(ISERROR(SEARCH("LMF",A1)))</formula>
    </cfRule>
  </conditionalFormatting>
  <conditionalFormatting sqref="B1:B16 B18:B20 B22:B24 B26 B45:B1048576 B28:B43">
    <cfRule type="duplicateValues" dxfId="88" priority="101"/>
  </conditionalFormatting>
  <pageMargins left="0.7" right="0.7" top="0.75" bottom="0.75" header="0.3" footer="0.3"/>
  <pageSetup paperSize="9" orientation="portrait" horizontalDpi="1200" verticalDpi="1200" r:id="rId1"/>
  <ignoredErrors>
    <ignoredError sqref="O1:O22 O45:O1048576 O23:S4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S77"/>
  <sheetViews>
    <sheetView topLeftCell="A46" workbookViewId="0">
      <selection activeCell="A78" sqref="A78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5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1005</v>
      </c>
      <c r="B1" s="1" t="s">
        <v>1006</v>
      </c>
      <c r="C1" s="1">
        <v>83</v>
      </c>
      <c r="D1" s="1">
        <v>7</v>
      </c>
      <c r="E1" s="1">
        <v>21</v>
      </c>
      <c r="G1" s="1">
        <v>97</v>
      </c>
      <c r="H1" s="1">
        <v>32</v>
      </c>
      <c r="I1" s="1">
        <v>59</v>
      </c>
      <c r="J1" s="1">
        <f>IF(SUM(G1:I1)=0,"",SUM(G1:I1))</f>
        <v>188</v>
      </c>
      <c r="L1" s="7" t="s">
        <v>1007</v>
      </c>
      <c r="M1" s="7" t="s">
        <v>1008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1053</v>
      </c>
      <c r="B2" s="1" t="s">
        <v>1054</v>
      </c>
      <c r="C2" s="1">
        <v>84</v>
      </c>
      <c r="D2" s="1">
        <v>7</v>
      </c>
      <c r="E2" s="1">
        <v>22</v>
      </c>
      <c r="G2" s="1">
        <v>88</v>
      </c>
      <c r="H2" s="1">
        <v>50</v>
      </c>
      <c r="I2" s="1">
        <v>57</v>
      </c>
      <c r="J2" s="1">
        <f>IF(SUM(G2:I2)=0,"",SUM(G2:I2))</f>
        <v>195</v>
      </c>
      <c r="L2" s="7" t="s">
        <v>1055</v>
      </c>
      <c r="M2" s="7" t="s">
        <v>1056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93</v>
      </c>
      <c r="B3" s="1" t="s">
        <v>628</v>
      </c>
      <c r="C3" s="1">
        <v>86</v>
      </c>
      <c r="D3" s="1">
        <v>7</v>
      </c>
      <c r="E3" s="1">
        <v>22</v>
      </c>
      <c r="F3" s="7" t="s">
        <v>629</v>
      </c>
      <c r="G3" s="1">
        <v>92</v>
      </c>
      <c r="H3" s="1">
        <v>78</v>
      </c>
      <c r="I3" s="1">
        <v>56</v>
      </c>
      <c r="J3" s="1">
        <f>IF(SUM(G3:I3)=0,"",SUM(G3:I3))</f>
        <v>226</v>
      </c>
      <c r="L3" s="7" t="s">
        <v>630</v>
      </c>
      <c r="M3" s="7" t="s">
        <v>608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1492</v>
      </c>
      <c r="B4" s="1" t="s">
        <v>1493</v>
      </c>
      <c r="C4" s="1">
        <v>88</v>
      </c>
      <c r="D4" s="1">
        <v>7</v>
      </c>
      <c r="E4" s="1">
        <v>22</v>
      </c>
      <c r="G4" s="1">
        <v>82</v>
      </c>
      <c r="H4" s="1">
        <v>67</v>
      </c>
      <c r="I4" s="1">
        <v>68</v>
      </c>
      <c r="J4" s="1">
        <f>IF(SUM(G4:I4)=0,"",SUM(G4:I4))</f>
        <v>217</v>
      </c>
      <c r="L4" s="7" t="s">
        <v>1494</v>
      </c>
      <c r="M4" s="7" t="s">
        <v>1495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124</v>
      </c>
      <c r="B5" s="1" t="s">
        <v>206</v>
      </c>
      <c r="C5" s="1">
        <v>83</v>
      </c>
      <c r="D5" s="1">
        <v>7</v>
      </c>
      <c r="E5" s="1">
        <v>23</v>
      </c>
      <c r="G5" s="1">
        <v>81</v>
      </c>
      <c r="H5" s="1">
        <v>57</v>
      </c>
      <c r="I5" s="1">
        <v>53</v>
      </c>
      <c r="J5" s="1">
        <f>IF(SUM(G5:I5)=0,"",SUM(G5:I5))</f>
        <v>191</v>
      </c>
      <c r="L5" s="7" t="s">
        <v>20</v>
      </c>
      <c r="M5" s="7" t="s">
        <v>447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412</v>
      </c>
      <c r="B6" s="1" t="s">
        <v>270</v>
      </c>
      <c r="C6" s="1">
        <v>85</v>
      </c>
      <c r="D6" s="1">
        <v>7</v>
      </c>
      <c r="E6" s="1">
        <v>23</v>
      </c>
      <c r="G6" s="1">
        <v>88</v>
      </c>
      <c r="H6" s="1">
        <v>71</v>
      </c>
      <c r="I6" s="1">
        <v>65</v>
      </c>
      <c r="J6" s="1">
        <f>IF(SUM(G6:I6)=0,"",SUM(G6:I6))</f>
        <v>224</v>
      </c>
      <c r="L6" s="7" t="s">
        <v>290</v>
      </c>
      <c r="M6" s="7" t="s">
        <v>447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997</v>
      </c>
      <c r="B7" s="1" t="s">
        <v>998</v>
      </c>
      <c r="C7" s="1">
        <v>86</v>
      </c>
      <c r="D7" s="1">
        <v>7</v>
      </c>
      <c r="E7" s="1">
        <v>24</v>
      </c>
      <c r="G7" s="1">
        <v>82</v>
      </c>
      <c r="H7" s="1">
        <v>68</v>
      </c>
      <c r="I7" s="1">
        <v>64</v>
      </c>
      <c r="J7" s="1">
        <f>IF(SUM(G7:I7)=0,"",SUM(G7:I7))</f>
        <v>214</v>
      </c>
      <c r="L7" s="7" t="s">
        <v>999</v>
      </c>
      <c r="M7" s="7" t="s">
        <v>1000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14</v>
      </c>
      <c r="B8" s="1" t="s">
        <v>866</v>
      </c>
      <c r="C8" s="1">
        <v>77</v>
      </c>
      <c r="D8" s="1">
        <v>6</v>
      </c>
      <c r="E8" s="1">
        <v>20</v>
      </c>
      <c r="G8" s="1">
        <v>80</v>
      </c>
      <c r="H8" s="1">
        <v>29</v>
      </c>
      <c r="I8" s="1">
        <v>55</v>
      </c>
      <c r="J8" s="1">
        <f>IF(SUM(G8:I8)=0,"",SUM(G8:I8))</f>
        <v>164</v>
      </c>
      <c r="L8" s="7" t="s">
        <v>867</v>
      </c>
      <c r="M8" s="7" t="s">
        <v>868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1625</v>
      </c>
      <c r="B9" s="1" t="s">
        <v>1626</v>
      </c>
      <c r="C9" s="1">
        <v>80</v>
      </c>
      <c r="D9" s="1">
        <v>6</v>
      </c>
      <c r="E9" s="1">
        <v>22</v>
      </c>
      <c r="F9" s="7" t="s">
        <v>1627</v>
      </c>
      <c r="G9" s="1">
        <v>72</v>
      </c>
      <c r="H9" s="1">
        <v>71</v>
      </c>
      <c r="I9" s="1">
        <v>56</v>
      </c>
      <c r="J9" s="1">
        <f>IF(SUM(G9:I9)=0,"",SUM(G9:I9))</f>
        <v>199</v>
      </c>
      <c r="L9" s="7" t="s">
        <v>1575</v>
      </c>
      <c r="M9" s="7" t="s">
        <v>1576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14</v>
      </c>
      <c r="B10" s="1" t="s">
        <v>11</v>
      </c>
      <c r="C10" s="1">
        <v>82</v>
      </c>
      <c r="D10" s="1">
        <v>6</v>
      </c>
      <c r="E10" s="1">
        <v>22</v>
      </c>
      <c r="G10" s="1">
        <v>76</v>
      </c>
      <c r="H10" s="1">
        <v>72</v>
      </c>
      <c r="I10" s="1">
        <v>66</v>
      </c>
      <c r="J10" s="1">
        <f>IF(SUM(G10:I10)=0,"",SUM(G10:I10))</f>
        <v>214</v>
      </c>
      <c r="L10" s="7" t="s">
        <v>43</v>
      </c>
      <c r="M10" s="7" t="s">
        <v>447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1622</v>
      </c>
      <c r="B11" s="1" t="s">
        <v>1628</v>
      </c>
      <c r="C11" s="1">
        <v>82</v>
      </c>
      <c r="D11" s="1">
        <v>6</v>
      </c>
      <c r="E11" s="1">
        <v>22</v>
      </c>
      <c r="G11" s="1">
        <v>88</v>
      </c>
      <c r="H11" s="1">
        <v>58</v>
      </c>
      <c r="I11" s="1">
        <v>54</v>
      </c>
      <c r="J11" s="1">
        <f>IF(SUM(G11:I11)=0,"",SUM(G11:I11))</f>
        <v>200</v>
      </c>
      <c r="L11" s="7" t="s">
        <v>1579</v>
      </c>
      <c r="M11" s="7" t="s">
        <v>1581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1492</v>
      </c>
      <c r="B12" s="1" t="s">
        <v>1496</v>
      </c>
      <c r="C12" s="1">
        <v>80</v>
      </c>
      <c r="D12" s="1">
        <v>6</v>
      </c>
      <c r="E12" s="1">
        <v>22</v>
      </c>
      <c r="F12" s="7" t="s">
        <v>1497</v>
      </c>
      <c r="G12" s="1">
        <v>81</v>
      </c>
      <c r="H12" s="1">
        <v>58</v>
      </c>
      <c r="I12" s="1">
        <v>42</v>
      </c>
      <c r="J12" s="1">
        <f>IF(SUM(G12:I12)=0,"",SUM(G12:I12))</f>
        <v>181</v>
      </c>
      <c r="M12" s="7" t="s">
        <v>1454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93</v>
      </c>
      <c r="B13" s="1" t="s">
        <v>94</v>
      </c>
      <c r="C13" s="1">
        <v>81</v>
      </c>
      <c r="D13" s="1">
        <v>6</v>
      </c>
      <c r="E13" s="1">
        <v>22</v>
      </c>
      <c r="F13" s="7" t="s">
        <v>22</v>
      </c>
      <c r="G13" s="1">
        <v>84</v>
      </c>
      <c r="H13" s="1">
        <v>64</v>
      </c>
      <c r="I13" s="1">
        <v>51</v>
      </c>
      <c r="J13" s="1">
        <f>IF(SUM(G13:I13)=0,"",SUM(G13:I13))</f>
        <v>199</v>
      </c>
      <c r="L13" s="7" t="s">
        <v>140</v>
      </c>
      <c r="M13" s="7" t="s">
        <v>447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355</v>
      </c>
      <c r="B14" s="1" t="s">
        <v>356</v>
      </c>
      <c r="C14" s="1">
        <v>84</v>
      </c>
      <c r="D14" s="1">
        <v>6</v>
      </c>
      <c r="E14" s="1">
        <v>22</v>
      </c>
      <c r="F14" s="7" t="s">
        <v>22</v>
      </c>
      <c r="G14" s="1">
        <v>79</v>
      </c>
      <c r="H14" s="1">
        <v>66</v>
      </c>
      <c r="I14" s="1">
        <v>64</v>
      </c>
      <c r="J14" s="1">
        <f>IF(SUM(G14:I14)=0,"",SUM(G14:I14))</f>
        <v>209</v>
      </c>
      <c r="L14" s="7" t="s">
        <v>358</v>
      </c>
      <c r="M14" s="7" t="s">
        <v>447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14</v>
      </c>
      <c r="B15" s="1" t="s">
        <v>19</v>
      </c>
      <c r="C15" s="1">
        <v>80</v>
      </c>
      <c r="D15" s="1">
        <v>6</v>
      </c>
      <c r="E15" s="1">
        <v>23</v>
      </c>
      <c r="F15" s="7" t="s">
        <v>17</v>
      </c>
      <c r="G15" s="1">
        <v>74</v>
      </c>
      <c r="H15" s="1">
        <v>53</v>
      </c>
      <c r="I15" s="1">
        <v>65</v>
      </c>
      <c r="J15" s="1">
        <f>IF(SUM(G15:I15)=0,"",SUM(G15:I15))</f>
        <v>192</v>
      </c>
      <c r="L15" s="7" t="s">
        <v>62</v>
      </c>
      <c r="M15" s="7" t="s">
        <v>447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124</v>
      </c>
      <c r="B16" s="1" t="s">
        <v>210</v>
      </c>
      <c r="C16" s="1">
        <v>82</v>
      </c>
      <c r="D16" s="1">
        <v>6</v>
      </c>
      <c r="E16" s="1">
        <v>23</v>
      </c>
      <c r="F16" s="7" t="s">
        <v>29</v>
      </c>
      <c r="G16" s="1">
        <v>74</v>
      </c>
      <c r="H16" s="1">
        <v>53</v>
      </c>
      <c r="I16" s="1">
        <v>64</v>
      </c>
      <c r="J16" s="1">
        <f>IF(SUM(G16:I16)=0,"",SUM(G16:I16))</f>
        <v>191</v>
      </c>
      <c r="L16" s="7" t="s">
        <v>158</v>
      </c>
      <c r="M16" s="7" t="s">
        <v>447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93</v>
      </c>
      <c r="B17" s="1" t="s">
        <v>760</v>
      </c>
      <c r="C17" s="1">
        <v>81</v>
      </c>
      <c r="D17" s="1">
        <v>6</v>
      </c>
      <c r="E17" s="1">
        <v>23</v>
      </c>
      <c r="G17" s="1">
        <v>82</v>
      </c>
      <c r="H17" s="1">
        <v>69</v>
      </c>
      <c r="I17" s="1">
        <v>46</v>
      </c>
      <c r="J17" s="1">
        <f>IF(SUM(G17:I17)=0,"",SUM(G17:I17))</f>
        <v>197</v>
      </c>
      <c r="L17" s="7" t="s">
        <v>761</v>
      </c>
      <c r="M17" s="7" t="s">
        <v>688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14</v>
      </c>
      <c r="B18" s="1" t="s">
        <v>15</v>
      </c>
      <c r="C18" s="1">
        <v>82</v>
      </c>
      <c r="D18" s="1">
        <v>6</v>
      </c>
      <c r="E18" s="1">
        <v>23</v>
      </c>
      <c r="G18" s="1">
        <v>77</v>
      </c>
      <c r="H18" s="1">
        <v>53</v>
      </c>
      <c r="I18" s="1">
        <v>65</v>
      </c>
      <c r="J18" s="1">
        <f>IF(SUM(G18:I18)=0,"",SUM(G18:I18))</f>
        <v>195</v>
      </c>
      <c r="L18" s="7" t="s">
        <v>134</v>
      </c>
      <c r="M18" s="7" t="s">
        <v>447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741</v>
      </c>
      <c r="B19" s="1" t="s">
        <v>754</v>
      </c>
      <c r="C19" s="1">
        <v>82</v>
      </c>
      <c r="D19" s="1">
        <v>6</v>
      </c>
      <c r="E19" s="1">
        <v>23</v>
      </c>
      <c r="G19" s="1">
        <v>77</v>
      </c>
      <c r="H19" s="1">
        <v>31</v>
      </c>
      <c r="I19" s="1">
        <v>64</v>
      </c>
      <c r="J19" s="1">
        <f>IF(SUM(G19:I19)=0,"",SUM(G19:I19))</f>
        <v>172</v>
      </c>
      <c r="L19" s="7" t="s">
        <v>755</v>
      </c>
      <c r="M19" s="7" t="s">
        <v>688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1180</v>
      </c>
      <c r="B20" s="1" t="s">
        <v>1181</v>
      </c>
      <c r="C20" s="1">
        <v>81</v>
      </c>
      <c r="D20" s="1">
        <v>6</v>
      </c>
      <c r="E20" s="1">
        <v>23</v>
      </c>
      <c r="G20" s="1">
        <v>77</v>
      </c>
      <c r="H20" s="1">
        <v>31</v>
      </c>
      <c r="I20" s="1">
        <v>67</v>
      </c>
      <c r="J20" s="1">
        <f>IF(SUM(G20:I20)=0,"",SUM(G20:I20))</f>
        <v>175</v>
      </c>
      <c r="L20" s="7" t="s">
        <v>1182</v>
      </c>
      <c r="M20" s="7" t="s">
        <v>1183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738</v>
      </c>
      <c r="B21" s="1" t="s">
        <v>739</v>
      </c>
      <c r="C21" s="1">
        <v>82</v>
      </c>
      <c r="D21" s="1">
        <v>6</v>
      </c>
      <c r="E21" s="1">
        <v>23</v>
      </c>
      <c r="G21" s="1">
        <v>79</v>
      </c>
      <c r="H21" s="1">
        <v>71</v>
      </c>
      <c r="I21" s="1">
        <v>55</v>
      </c>
      <c r="J21" s="1">
        <f>IF(SUM(G21:I21)=0,"",SUM(G21:I21))</f>
        <v>205</v>
      </c>
      <c r="L21" s="7" t="s">
        <v>740</v>
      </c>
      <c r="M21" s="7" t="s">
        <v>688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124</v>
      </c>
      <c r="B22" s="1" t="s">
        <v>232</v>
      </c>
      <c r="C22" s="1">
        <v>83</v>
      </c>
      <c r="D22" s="1">
        <v>6</v>
      </c>
      <c r="E22" s="1">
        <v>24</v>
      </c>
      <c r="G22" s="1">
        <v>76</v>
      </c>
      <c r="H22" s="1">
        <v>63</v>
      </c>
      <c r="I22" s="1">
        <v>56</v>
      </c>
      <c r="J22" s="1">
        <f>IF(SUM(G22:I22)=0,"",SUM(G22:I22))</f>
        <v>195</v>
      </c>
      <c r="M22" s="7" t="s">
        <v>447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412</v>
      </c>
      <c r="B23" s="1" t="s">
        <v>130</v>
      </c>
      <c r="C23" s="1">
        <v>83</v>
      </c>
      <c r="D23" s="1">
        <v>6</v>
      </c>
      <c r="E23" s="1">
        <v>24</v>
      </c>
      <c r="F23" s="7" t="s">
        <v>17</v>
      </c>
      <c r="G23" s="1">
        <v>74</v>
      </c>
      <c r="H23" s="1">
        <v>54</v>
      </c>
      <c r="I23" s="1">
        <v>72</v>
      </c>
      <c r="J23" s="1">
        <f>IF(SUM(G23:I23)=0,"",SUM(G23:I23))</f>
        <v>200</v>
      </c>
      <c r="L23" s="7" t="s">
        <v>62</v>
      </c>
      <c r="M23" s="7" t="s">
        <v>447</v>
      </c>
      <c r="O23" s="24" t="s">
        <v>434</v>
      </c>
      <c r="P23" s="25" t="s">
        <v>242</v>
      </c>
      <c r="Q23" s="25" t="s">
        <v>480</v>
      </c>
      <c r="R23" s="24" t="s">
        <v>70</v>
      </c>
      <c r="S23" s="25" t="s">
        <v>451</v>
      </c>
    </row>
    <row r="24" spans="1:19" x14ac:dyDescent="0.25">
      <c r="A24" s="1" t="s">
        <v>14</v>
      </c>
      <c r="B24" s="1" t="s">
        <v>1177</v>
      </c>
      <c r="C24" s="1">
        <v>83</v>
      </c>
      <c r="D24" s="1">
        <v>6</v>
      </c>
      <c r="E24" s="1">
        <v>24</v>
      </c>
      <c r="F24" s="7" t="s">
        <v>1178</v>
      </c>
      <c r="G24" s="1">
        <v>82</v>
      </c>
      <c r="H24" s="1">
        <v>58</v>
      </c>
      <c r="I24" s="1">
        <v>49</v>
      </c>
      <c r="J24" s="1">
        <f>IF(SUM(G24:I24)=0,"",SUM(G24:I24))</f>
        <v>189</v>
      </c>
      <c r="M24" s="7" t="s">
        <v>1148</v>
      </c>
      <c r="O24" s="24" t="s">
        <v>435</v>
      </c>
      <c r="P24" s="25" t="s">
        <v>243</v>
      </c>
      <c r="Q24" s="25" t="s">
        <v>481</v>
      </c>
      <c r="R24" s="24" t="s">
        <v>92</v>
      </c>
      <c r="S24" s="25" t="s">
        <v>447</v>
      </c>
    </row>
    <row r="25" spans="1:19" x14ac:dyDescent="0.25">
      <c r="A25" s="1" t="s">
        <v>977</v>
      </c>
      <c r="B25" s="1" t="s">
        <v>978</v>
      </c>
      <c r="C25" s="1">
        <v>86</v>
      </c>
      <c r="D25" s="1">
        <v>6</v>
      </c>
      <c r="E25" s="1">
        <v>24</v>
      </c>
      <c r="G25" s="1">
        <v>85</v>
      </c>
      <c r="H25" s="1">
        <v>62</v>
      </c>
      <c r="I25" s="1">
        <v>62</v>
      </c>
      <c r="J25" s="1">
        <f>IF(SUM(G25:I25)=0,"",SUM(G25:I25))</f>
        <v>209</v>
      </c>
      <c r="L25" s="7" t="s">
        <v>979</v>
      </c>
      <c r="M25" s="7" t="s">
        <v>918</v>
      </c>
      <c r="O25" s="24" t="s">
        <v>436</v>
      </c>
      <c r="P25" s="25" t="s">
        <v>244</v>
      </c>
      <c r="Q25" s="25" t="s">
        <v>482</v>
      </c>
      <c r="R25" s="24" t="s">
        <v>120</v>
      </c>
      <c r="S25" s="25" t="s">
        <v>405</v>
      </c>
    </row>
    <row r="26" spans="1:19" x14ac:dyDescent="0.25">
      <c r="A26" s="1" t="s">
        <v>14</v>
      </c>
      <c r="B26" s="1" t="s">
        <v>176</v>
      </c>
      <c r="C26" s="1">
        <v>84</v>
      </c>
      <c r="D26" s="1">
        <v>6</v>
      </c>
      <c r="E26" s="1">
        <v>24</v>
      </c>
      <c r="F26" s="7" t="s">
        <v>17</v>
      </c>
      <c r="G26" s="1">
        <v>80</v>
      </c>
      <c r="H26" s="1">
        <v>57</v>
      </c>
      <c r="I26" s="1">
        <v>67</v>
      </c>
      <c r="J26" s="1">
        <f>IF(SUM(G26:I26)=0,"",SUM(G26:I26))</f>
        <v>204</v>
      </c>
      <c r="L26" s="7" t="s">
        <v>177</v>
      </c>
      <c r="M26" s="7" t="s">
        <v>447</v>
      </c>
      <c r="O26" s="24" t="s">
        <v>437</v>
      </c>
      <c r="P26" s="25" t="s">
        <v>245</v>
      </c>
      <c r="Q26" s="25" t="s">
        <v>483</v>
      </c>
      <c r="R26" s="24" t="s">
        <v>72</v>
      </c>
      <c r="S26" s="25"/>
    </row>
    <row r="27" spans="1:19" x14ac:dyDescent="0.25">
      <c r="A27" s="1" t="s">
        <v>14</v>
      </c>
      <c r="B27" s="1" t="s">
        <v>1621</v>
      </c>
      <c r="C27" s="1">
        <v>71</v>
      </c>
      <c r="D27" s="3">
        <v>5</v>
      </c>
      <c r="E27" s="1">
        <v>18</v>
      </c>
      <c r="G27" s="1">
        <v>69</v>
      </c>
      <c r="H27" s="1">
        <v>48</v>
      </c>
      <c r="I27" s="1">
        <v>44</v>
      </c>
      <c r="J27" s="1">
        <f>IF(SUM(G27:I27)=0,"",SUM(G27:I27))</f>
        <v>161</v>
      </c>
      <c r="M27" s="7" t="s">
        <v>1576</v>
      </c>
      <c r="O27" s="26" t="s">
        <v>438</v>
      </c>
      <c r="P27" s="27" t="s">
        <v>246</v>
      </c>
      <c r="Q27" s="27" t="s">
        <v>509</v>
      </c>
      <c r="R27" s="26" t="s">
        <v>184</v>
      </c>
      <c r="S27" s="27"/>
    </row>
    <row r="28" spans="1:19" x14ac:dyDescent="0.25">
      <c r="A28" s="1" t="s">
        <v>1284</v>
      </c>
      <c r="B28" s="1" t="s">
        <v>1310</v>
      </c>
      <c r="C28" s="1">
        <v>69</v>
      </c>
      <c r="D28" s="1">
        <v>5</v>
      </c>
      <c r="E28" s="1">
        <v>18</v>
      </c>
      <c r="F28" s="7" t="s">
        <v>1239</v>
      </c>
      <c r="G28" s="1">
        <v>61</v>
      </c>
      <c r="H28" s="1">
        <v>49</v>
      </c>
      <c r="I28" s="1">
        <v>52</v>
      </c>
      <c r="J28" s="1">
        <f>IF(SUM(G28:I28)=0,"",SUM(G28:I28))</f>
        <v>162</v>
      </c>
      <c r="K28" s="7" t="s">
        <v>1278</v>
      </c>
      <c r="L28" s="7" t="s">
        <v>1311</v>
      </c>
      <c r="M28" s="7" t="s">
        <v>1243</v>
      </c>
      <c r="O28" s="26" t="s">
        <v>439</v>
      </c>
      <c r="P28" s="27" t="s">
        <v>247</v>
      </c>
      <c r="Q28" s="27" t="s">
        <v>484</v>
      </c>
      <c r="R28" s="26" t="s">
        <v>59</v>
      </c>
      <c r="S28" s="27"/>
    </row>
    <row r="29" spans="1:19" x14ac:dyDescent="0.25">
      <c r="A29" s="1" t="s">
        <v>863</v>
      </c>
      <c r="B29" s="1" t="s">
        <v>864</v>
      </c>
      <c r="C29" s="1">
        <v>69</v>
      </c>
      <c r="D29" s="1">
        <v>5</v>
      </c>
      <c r="E29" s="1">
        <v>18</v>
      </c>
      <c r="G29" s="1">
        <v>67</v>
      </c>
      <c r="H29" s="1">
        <v>50</v>
      </c>
      <c r="I29" s="1">
        <v>36</v>
      </c>
      <c r="J29" s="1">
        <f>IF(SUM(G29:I29)=0,"",SUM(G29:I29))</f>
        <v>153</v>
      </c>
      <c r="L29" s="7" t="s">
        <v>865</v>
      </c>
      <c r="M29" s="7" t="s">
        <v>852</v>
      </c>
      <c r="O29" s="26" t="s">
        <v>440</v>
      </c>
      <c r="P29" s="27" t="s">
        <v>248</v>
      </c>
      <c r="Q29" s="26" t="s">
        <v>407</v>
      </c>
      <c r="R29" s="26" t="s">
        <v>57</v>
      </c>
      <c r="S29" s="27"/>
    </row>
    <row r="30" spans="1:19" x14ac:dyDescent="0.25">
      <c r="A30" s="1" t="s">
        <v>412</v>
      </c>
      <c r="B30" s="1" t="s">
        <v>276</v>
      </c>
      <c r="C30" s="1">
        <v>69</v>
      </c>
      <c r="D30" s="1">
        <v>5</v>
      </c>
      <c r="E30" s="1">
        <v>18</v>
      </c>
      <c r="G30" s="1">
        <v>64</v>
      </c>
      <c r="H30" s="1">
        <v>61</v>
      </c>
      <c r="I30" s="1">
        <v>43</v>
      </c>
      <c r="J30" s="1">
        <f>IF(SUM(G30:I30)=0,"",SUM(G30:I30))</f>
        <v>168</v>
      </c>
      <c r="M30" s="7" t="s">
        <v>447</v>
      </c>
      <c r="O30" s="28" t="s">
        <v>441</v>
      </c>
      <c r="P30" s="29" t="s">
        <v>249</v>
      </c>
      <c r="Q30" s="29"/>
      <c r="R30" s="28" t="s">
        <v>52</v>
      </c>
      <c r="S30" s="29"/>
    </row>
    <row r="31" spans="1:19" x14ac:dyDescent="0.25">
      <c r="A31" s="1" t="s">
        <v>369</v>
      </c>
      <c r="B31" s="1" t="s">
        <v>370</v>
      </c>
      <c r="C31" s="1">
        <v>75</v>
      </c>
      <c r="D31" s="1">
        <v>5</v>
      </c>
      <c r="E31" s="1">
        <v>19</v>
      </c>
      <c r="F31" s="7" t="s">
        <v>371</v>
      </c>
      <c r="G31" s="1">
        <v>80</v>
      </c>
      <c r="H31" s="1">
        <v>48</v>
      </c>
      <c r="I31" s="1">
        <v>45</v>
      </c>
      <c r="J31" s="1">
        <f>IF(SUM(G31:I31)=0,"",SUM(G31:I31))</f>
        <v>173</v>
      </c>
      <c r="K31" s="7" t="s">
        <v>572</v>
      </c>
      <c r="L31" s="7" t="s">
        <v>372</v>
      </c>
      <c r="M31" s="7" t="s">
        <v>447</v>
      </c>
      <c r="O31" s="28" t="s">
        <v>442</v>
      </c>
      <c r="P31" s="29" t="s">
        <v>250</v>
      </c>
      <c r="Q31" s="29"/>
      <c r="R31" s="28" t="s">
        <v>58</v>
      </c>
      <c r="S31" s="29"/>
    </row>
    <row r="32" spans="1:19" x14ac:dyDescent="0.25">
      <c r="A32" s="1" t="s">
        <v>14</v>
      </c>
      <c r="B32" s="1" t="s">
        <v>1107</v>
      </c>
      <c r="C32" s="1">
        <v>64</v>
      </c>
      <c r="D32" s="1">
        <v>5</v>
      </c>
      <c r="E32" s="1">
        <v>20</v>
      </c>
      <c r="F32" s="7" t="s">
        <v>1108</v>
      </c>
      <c r="G32" s="1">
        <v>59</v>
      </c>
      <c r="H32" s="1">
        <v>41</v>
      </c>
      <c r="I32" s="1">
        <v>43</v>
      </c>
      <c r="J32" s="1">
        <f>IF(SUM(G32:I32)=0,"",SUM(G32:I32))</f>
        <v>143</v>
      </c>
      <c r="L32" s="7" t="s">
        <v>1109</v>
      </c>
      <c r="M32" s="7" t="s">
        <v>1110</v>
      </c>
      <c r="O32" s="28">
        <v>10</v>
      </c>
      <c r="P32" s="29" t="s">
        <v>443</v>
      </c>
      <c r="Q32" s="29"/>
      <c r="R32" s="28" t="s">
        <v>42</v>
      </c>
      <c r="S32" s="29"/>
    </row>
    <row r="33" spans="1:19" x14ac:dyDescent="0.25">
      <c r="A33" s="1" t="s">
        <v>14</v>
      </c>
      <c r="B33" s="1" t="s">
        <v>24</v>
      </c>
      <c r="C33" s="1">
        <v>75</v>
      </c>
      <c r="D33" s="1">
        <v>5</v>
      </c>
      <c r="E33" s="1">
        <v>20</v>
      </c>
      <c r="G33" s="1">
        <v>71</v>
      </c>
      <c r="H33" s="1">
        <v>62</v>
      </c>
      <c r="I33" s="1">
        <v>51</v>
      </c>
      <c r="J33" s="1">
        <f>IF(SUM(G33:I33)=0,"",SUM(G33:I33))</f>
        <v>184</v>
      </c>
      <c r="L33" s="7" t="s">
        <v>62</v>
      </c>
      <c r="M33" s="7" t="s">
        <v>447</v>
      </c>
      <c r="O33" s="30">
        <v>11</v>
      </c>
      <c r="P33" s="31" t="s">
        <v>251</v>
      </c>
      <c r="Q33" s="31"/>
      <c r="R33" s="30" t="s">
        <v>165</v>
      </c>
      <c r="S33" s="31"/>
    </row>
    <row r="34" spans="1:19" x14ac:dyDescent="0.25">
      <c r="A34" s="1" t="s">
        <v>124</v>
      </c>
      <c r="B34" s="1" t="s">
        <v>153</v>
      </c>
      <c r="C34" s="1">
        <v>76</v>
      </c>
      <c r="D34" s="1">
        <v>5</v>
      </c>
      <c r="E34" s="1">
        <v>20</v>
      </c>
      <c r="G34" s="1">
        <v>76</v>
      </c>
      <c r="H34" s="1">
        <v>66</v>
      </c>
      <c r="I34" s="1">
        <v>48</v>
      </c>
      <c r="J34" s="1">
        <f>IF(SUM(G34:I34)=0,"",SUM(G34:I34))</f>
        <v>190</v>
      </c>
      <c r="L34" s="7" t="s">
        <v>20</v>
      </c>
      <c r="M34" s="7" t="s">
        <v>447</v>
      </c>
      <c r="O34" s="30">
        <v>12</v>
      </c>
      <c r="P34" s="31" t="s">
        <v>252</v>
      </c>
      <c r="Q34" s="31"/>
      <c r="R34" s="30" t="s">
        <v>17</v>
      </c>
      <c r="S34" s="31"/>
    </row>
    <row r="35" spans="1:19" x14ac:dyDescent="0.25">
      <c r="A35" s="1" t="s">
        <v>1287</v>
      </c>
      <c r="B35" s="1" t="s">
        <v>1288</v>
      </c>
      <c r="C35" s="1">
        <v>69</v>
      </c>
      <c r="D35" s="1">
        <v>5</v>
      </c>
      <c r="E35" s="1">
        <v>20</v>
      </c>
      <c r="F35" s="7" t="s">
        <v>1289</v>
      </c>
      <c r="G35" s="1">
        <v>59</v>
      </c>
      <c r="H35" s="1">
        <v>48</v>
      </c>
      <c r="I35" s="1">
        <v>43</v>
      </c>
      <c r="J35" s="1">
        <f>IF(SUM(G35:I35)=0,"",SUM(G35:I35))</f>
        <v>150</v>
      </c>
      <c r="K35" s="7" t="s">
        <v>1290</v>
      </c>
      <c r="L35" s="7" t="s">
        <v>1292</v>
      </c>
      <c r="M35" s="7" t="s">
        <v>1293</v>
      </c>
      <c r="O35" s="30">
        <v>13</v>
      </c>
      <c r="P35" s="31" t="s">
        <v>253</v>
      </c>
      <c r="Q35" s="31"/>
      <c r="R35" s="30" t="s">
        <v>22</v>
      </c>
      <c r="S35" s="31"/>
    </row>
    <row r="36" spans="1:19" x14ac:dyDescent="0.25">
      <c r="A36" s="1" t="s">
        <v>14</v>
      </c>
      <c r="B36" s="1" t="s">
        <v>150</v>
      </c>
      <c r="C36" s="1">
        <v>73</v>
      </c>
      <c r="D36" s="1">
        <v>5</v>
      </c>
      <c r="E36" s="1">
        <v>21</v>
      </c>
      <c r="G36" s="1">
        <v>57</v>
      </c>
      <c r="H36" s="1">
        <v>56</v>
      </c>
      <c r="I36" s="1">
        <v>50</v>
      </c>
      <c r="J36" s="1">
        <f>IF(SUM(G36:I36)=0,"",SUM(G36:I36))</f>
        <v>163</v>
      </c>
      <c r="L36" s="7" t="s">
        <v>20</v>
      </c>
      <c r="M36" s="7" t="s">
        <v>447</v>
      </c>
      <c r="O36" s="32">
        <v>14</v>
      </c>
      <c r="P36" s="33" t="s">
        <v>254</v>
      </c>
      <c r="Q36" s="33"/>
      <c r="R36" s="32" t="s">
        <v>29</v>
      </c>
      <c r="S36" s="33"/>
    </row>
    <row r="37" spans="1:19" x14ac:dyDescent="0.25">
      <c r="A37" s="1" t="s">
        <v>14</v>
      </c>
      <c r="B37" s="1" t="s">
        <v>1629</v>
      </c>
      <c r="C37" s="1">
        <v>75</v>
      </c>
      <c r="D37" s="1">
        <v>5</v>
      </c>
      <c r="E37" s="1">
        <v>21</v>
      </c>
      <c r="G37" s="1">
        <v>83</v>
      </c>
      <c r="H37" s="1">
        <v>55</v>
      </c>
      <c r="I37" s="1">
        <v>46</v>
      </c>
      <c r="J37" s="1">
        <f>IF(SUM(G37:I37)=0,"",SUM(G37:I37))</f>
        <v>184</v>
      </c>
      <c r="M37" s="7" t="s">
        <v>1581</v>
      </c>
      <c r="O37" s="32">
        <v>15</v>
      </c>
      <c r="P37" s="33" t="s">
        <v>255</v>
      </c>
      <c r="Q37" s="33"/>
      <c r="R37" s="32" t="s">
        <v>371</v>
      </c>
      <c r="S37" s="33"/>
    </row>
    <row r="38" spans="1:19" x14ac:dyDescent="0.25">
      <c r="A38" s="1" t="s">
        <v>14</v>
      </c>
      <c r="B38" s="1" t="s">
        <v>291</v>
      </c>
      <c r="C38" s="1">
        <v>76</v>
      </c>
      <c r="D38" s="1">
        <v>5</v>
      </c>
      <c r="E38" s="1">
        <v>22</v>
      </c>
      <c r="G38" s="1">
        <v>78</v>
      </c>
      <c r="H38" s="1">
        <v>62</v>
      </c>
      <c r="I38" s="1">
        <v>44</v>
      </c>
      <c r="J38" s="1">
        <f>IF(SUM(G38:I38)=0,"",SUM(G38:I38))</f>
        <v>184</v>
      </c>
      <c r="L38" s="7" t="s">
        <v>20</v>
      </c>
      <c r="M38" s="7" t="s">
        <v>447</v>
      </c>
      <c r="O38" s="32">
        <v>16</v>
      </c>
      <c r="P38" s="33" t="s">
        <v>256</v>
      </c>
      <c r="Q38" s="33"/>
      <c r="R38" s="33" t="s">
        <v>109</v>
      </c>
      <c r="S38" s="33"/>
    </row>
    <row r="39" spans="1:19" x14ac:dyDescent="0.25">
      <c r="A39" s="1" t="s">
        <v>14</v>
      </c>
      <c r="B39" s="1" t="s">
        <v>25</v>
      </c>
      <c r="C39" s="1">
        <v>75</v>
      </c>
      <c r="D39" s="1">
        <v>5</v>
      </c>
      <c r="E39" s="1">
        <v>22</v>
      </c>
      <c r="G39" s="1">
        <v>74</v>
      </c>
      <c r="H39" s="1">
        <v>52</v>
      </c>
      <c r="I39" s="1">
        <v>50</v>
      </c>
      <c r="J39" s="1">
        <f>IF(SUM(G39:I39)=0,"",SUM(G39:I39))</f>
        <v>176</v>
      </c>
      <c r="L39" s="7" t="s">
        <v>20</v>
      </c>
      <c r="M39" s="7" t="s">
        <v>447</v>
      </c>
      <c r="O39" s="32">
        <v>17</v>
      </c>
      <c r="P39" s="33" t="s">
        <v>257</v>
      </c>
      <c r="Q39" s="33"/>
      <c r="R39" s="33" t="s">
        <v>10</v>
      </c>
      <c r="S39" s="33"/>
    </row>
    <row r="40" spans="1:19" x14ac:dyDescent="0.25">
      <c r="A40" s="1" t="s">
        <v>412</v>
      </c>
      <c r="B40" s="1" t="s">
        <v>125</v>
      </c>
      <c r="C40" s="1">
        <v>76</v>
      </c>
      <c r="D40" s="1">
        <v>5</v>
      </c>
      <c r="E40" s="1">
        <v>22</v>
      </c>
      <c r="G40" s="1">
        <v>77</v>
      </c>
      <c r="H40" s="1">
        <v>55</v>
      </c>
      <c r="I40" s="1">
        <v>51</v>
      </c>
      <c r="J40" s="1">
        <f>IF(SUM(G40:I40)=0,"",SUM(G40:I40))</f>
        <v>183</v>
      </c>
      <c r="L40" s="7" t="s">
        <v>126</v>
      </c>
      <c r="M40" s="7" t="s">
        <v>447</v>
      </c>
      <c r="O40" s="34">
        <v>18</v>
      </c>
      <c r="P40" s="35" t="s">
        <v>258</v>
      </c>
      <c r="Q40" s="35"/>
      <c r="R40" s="35"/>
      <c r="S40" s="35"/>
    </row>
    <row r="41" spans="1:19" x14ac:dyDescent="0.25">
      <c r="A41" s="1" t="s">
        <v>1284</v>
      </c>
      <c r="B41" s="1" t="s">
        <v>1285</v>
      </c>
      <c r="C41" s="1">
        <v>77</v>
      </c>
      <c r="D41" s="1">
        <v>5</v>
      </c>
      <c r="E41" s="1">
        <v>22</v>
      </c>
      <c r="G41" s="1">
        <v>74</v>
      </c>
      <c r="H41" s="1">
        <v>74</v>
      </c>
      <c r="I41" s="1">
        <v>55</v>
      </c>
      <c r="J41" s="1">
        <f>IF(SUM(G41:I41)=0,"",SUM(G41:I41))</f>
        <v>203</v>
      </c>
      <c r="L41" s="7" t="s">
        <v>1286</v>
      </c>
      <c r="M41" s="7" t="s">
        <v>1243</v>
      </c>
      <c r="O41" s="34">
        <v>19</v>
      </c>
      <c r="P41" s="35" t="s">
        <v>259</v>
      </c>
      <c r="Q41" s="35"/>
      <c r="R41" s="35"/>
      <c r="S41" s="35"/>
    </row>
    <row r="42" spans="1:19" x14ac:dyDescent="0.25">
      <c r="A42" s="1" t="s">
        <v>124</v>
      </c>
      <c r="B42" s="1" t="s">
        <v>147</v>
      </c>
      <c r="C42" s="1">
        <v>75</v>
      </c>
      <c r="D42" s="1">
        <v>5</v>
      </c>
      <c r="E42" s="1">
        <v>22</v>
      </c>
      <c r="G42" s="1">
        <v>75</v>
      </c>
      <c r="H42" s="1">
        <v>43</v>
      </c>
      <c r="I42" s="1">
        <v>41</v>
      </c>
      <c r="J42" s="1">
        <f>IF(SUM(G42:I42)=0,"",SUM(G42:I42))</f>
        <v>159</v>
      </c>
      <c r="L42" s="7" t="s">
        <v>20</v>
      </c>
      <c r="M42" s="7" t="s">
        <v>447</v>
      </c>
      <c r="O42" s="34">
        <v>20</v>
      </c>
      <c r="P42" s="35" t="s">
        <v>260</v>
      </c>
      <c r="Q42" s="35"/>
      <c r="R42" s="35"/>
      <c r="S42" s="35"/>
    </row>
    <row r="43" spans="1:19" x14ac:dyDescent="0.25">
      <c r="A43" s="1" t="s">
        <v>1413</v>
      </c>
      <c r="B43" s="1" t="s">
        <v>1414</v>
      </c>
      <c r="C43" s="1">
        <v>67</v>
      </c>
      <c r="D43" s="1">
        <v>5</v>
      </c>
      <c r="E43" s="1">
        <v>22</v>
      </c>
      <c r="G43" s="1">
        <v>69</v>
      </c>
      <c r="H43" s="1">
        <v>57</v>
      </c>
      <c r="I43" s="1">
        <v>34</v>
      </c>
      <c r="J43" s="1">
        <f>IF(SUM(G43:I43)=0,"",SUM(G43:I43))</f>
        <v>160</v>
      </c>
      <c r="L43" s="7" t="s">
        <v>1415</v>
      </c>
      <c r="M43" s="7" t="s">
        <v>1416</v>
      </c>
      <c r="O43" s="34">
        <v>21</v>
      </c>
      <c r="P43" s="35" t="s">
        <v>261</v>
      </c>
      <c r="Q43" s="35"/>
      <c r="R43" s="35"/>
      <c r="S43" s="35"/>
    </row>
    <row r="44" spans="1:19" x14ac:dyDescent="0.25">
      <c r="A44" s="1" t="s">
        <v>14</v>
      </c>
      <c r="B44" s="1" t="s">
        <v>966</v>
      </c>
      <c r="C44" s="1">
        <v>75</v>
      </c>
      <c r="D44" s="1">
        <v>5</v>
      </c>
      <c r="E44" s="1">
        <v>22</v>
      </c>
      <c r="F44" s="7" t="s">
        <v>967</v>
      </c>
      <c r="G44" s="1">
        <v>69</v>
      </c>
      <c r="H44" s="1">
        <v>59</v>
      </c>
      <c r="I44" s="1">
        <v>51</v>
      </c>
      <c r="J44" s="1">
        <f>IF(SUM(G44:I44)=0,"",SUM(G44:I44))</f>
        <v>179</v>
      </c>
      <c r="L44" s="7" t="s">
        <v>968</v>
      </c>
      <c r="M44" s="7" t="s">
        <v>918</v>
      </c>
      <c r="O44" s="34">
        <v>22</v>
      </c>
      <c r="P44" s="35" t="s">
        <v>444</v>
      </c>
      <c r="Q44" s="35"/>
      <c r="R44" s="35"/>
      <c r="S44" s="35"/>
    </row>
    <row r="45" spans="1:19" x14ac:dyDescent="0.25">
      <c r="A45" s="1" t="s">
        <v>412</v>
      </c>
      <c r="B45" s="1" t="s">
        <v>118</v>
      </c>
      <c r="C45" s="1">
        <v>79</v>
      </c>
      <c r="D45" s="1">
        <v>5</v>
      </c>
      <c r="E45" s="1">
        <v>22</v>
      </c>
      <c r="G45" s="1">
        <v>69</v>
      </c>
      <c r="H45" s="1">
        <v>57</v>
      </c>
      <c r="I45" s="1">
        <v>71</v>
      </c>
      <c r="J45" s="1">
        <f>IF(SUM(G45:I45)=0,"",SUM(G45:I45))</f>
        <v>197</v>
      </c>
      <c r="L45" s="7" t="s">
        <v>119</v>
      </c>
      <c r="M45" s="7" t="s">
        <v>447</v>
      </c>
      <c r="O45" s="24" t="s">
        <v>434</v>
      </c>
      <c r="P45" s="25" t="s">
        <v>242</v>
      </c>
      <c r="Q45" s="25" t="s">
        <v>480</v>
      </c>
      <c r="R45" s="24" t="s">
        <v>70</v>
      </c>
      <c r="S45" s="25" t="s">
        <v>451</v>
      </c>
    </row>
    <row r="46" spans="1:19" x14ac:dyDescent="0.25">
      <c r="A46" s="1" t="s">
        <v>741</v>
      </c>
      <c r="B46" s="1" t="s">
        <v>742</v>
      </c>
      <c r="C46" s="1">
        <v>74</v>
      </c>
      <c r="D46" s="1">
        <v>5</v>
      </c>
      <c r="E46" s="1">
        <v>22</v>
      </c>
      <c r="G46" s="1">
        <v>72</v>
      </c>
      <c r="H46" s="1">
        <v>51</v>
      </c>
      <c r="I46" s="1">
        <v>41</v>
      </c>
      <c r="J46" s="1">
        <f>IF(SUM(G46:I46)=0,"",SUM(G46:I46))</f>
        <v>164</v>
      </c>
      <c r="L46" s="7" t="s">
        <v>743</v>
      </c>
      <c r="M46" s="7" t="s">
        <v>688</v>
      </c>
      <c r="O46" s="24" t="s">
        <v>435</v>
      </c>
      <c r="P46" s="25" t="s">
        <v>243</v>
      </c>
      <c r="Q46" s="25" t="s">
        <v>481</v>
      </c>
      <c r="R46" s="24" t="s">
        <v>92</v>
      </c>
      <c r="S46" s="25" t="s">
        <v>447</v>
      </c>
    </row>
    <row r="47" spans="1:19" x14ac:dyDescent="0.25">
      <c r="A47" s="1" t="s">
        <v>1123</v>
      </c>
      <c r="B47" s="1" t="s">
        <v>1124</v>
      </c>
      <c r="C47" s="1">
        <v>76</v>
      </c>
      <c r="D47" s="1">
        <v>5</v>
      </c>
      <c r="E47" s="1">
        <v>22</v>
      </c>
      <c r="F47" s="7" t="s">
        <v>1125</v>
      </c>
      <c r="G47" s="1">
        <v>76</v>
      </c>
      <c r="H47" s="1">
        <v>62</v>
      </c>
      <c r="I47" s="1">
        <v>51</v>
      </c>
      <c r="J47" s="1">
        <f>IF(SUM(G47:I47)=0,"",SUM(G47:I47))</f>
        <v>189</v>
      </c>
      <c r="L47" s="7" t="s">
        <v>1126</v>
      </c>
      <c r="M47" s="7" t="s">
        <v>1106</v>
      </c>
      <c r="O47" s="24" t="s">
        <v>436</v>
      </c>
      <c r="P47" s="25" t="s">
        <v>244</v>
      </c>
      <c r="Q47" s="25" t="s">
        <v>482</v>
      </c>
      <c r="R47" s="24" t="s">
        <v>120</v>
      </c>
      <c r="S47" s="25" t="s">
        <v>405</v>
      </c>
    </row>
    <row r="48" spans="1:19" x14ac:dyDescent="0.25">
      <c r="A48" s="1" t="s">
        <v>388</v>
      </c>
      <c r="B48" s="1" t="s">
        <v>389</v>
      </c>
      <c r="C48" s="1">
        <v>78</v>
      </c>
      <c r="D48" s="1">
        <v>5</v>
      </c>
      <c r="E48" s="1">
        <v>23</v>
      </c>
      <c r="G48" s="1">
        <v>83</v>
      </c>
      <c r="H48" s="1">
        <v>62</v>
      </c>
      <c r="I48" s="1">
        <v>43</v>
      </c>
      <c r="J48" s="1">
        <f>IF(SUM(G48:I48)=0,"",SUM(G48:I48))</f>
        <v>188</v>
      </c>
      <c r="M48" s="7" t="s">
        <v>447</v>
      </c>
      <c r="O48" s="24" t="s">
        <v>437</v>
      </c>
      <c r="P48" s="25" t="s">
        <v>245</v>
      </c>
      <c r="Q48" s="25" t="s">
        <v>483</v>
      </c>
      <c r="R48" s="24" t="s">
        <v>72</v>
      </c>
      <c r="S48" s="25"/>
    </row>
    <row r="49" spans="1:19" x14ac:dyDescent="0.25">
      <c r="A49" s="1" t="s">
        <v>14</v>
      </c>
      <c r="B49" s="1" t="s">
        <v>26</v>
      </c>
      <c r="C49" s="1">
        <v>77</v>
      </c>
      <c r="D49" s="1">
        <v>5</v>
      </c>
      <c r="E49" s="1">
        <v>23</v>
      </c>
      <c r="G49" s="1">
        <v>80</v>
      </c>
      <c r="H49" s="1">
        <v>48</v>
      </c>
      <c r="I49" s="1">
        <v>50</v>
      </c>
      <c r="J49" s="1">
        <f>IF(SUM(G49:I49)=0,"",SUM(G49:I49))</f>
        <v>178</v>
      </c>
      <c r="L49" s="7" t="s">
        <v>357</v>
      </c>
      <c r="M49" s="7" t="s">
        <v>447</v>
      </c>
      <c r="O49" s="26" t="s">
        <v>438</v>
      </c>
      <c r="P49" s="27" t="s">
        <v>246</v>
      </c>
      <c r="Q49" s="27" t="s">
        <v>509</v>
      </c>
      <c r="R49" s="26" t="s">
        <v>184</v>
      </c>
      <c r="S49" s="27"/>
    </row>
    <row r="50" spans="1:19" x14ac:dyDescent="0.25">
      <c r="A50" s="1" t="s">
        <v>751</v>
      </c>
      <c r="B50" s="1" t="s">
        <v>752</v>
      </c>
      <c r="C50" s="1">
        <v>72</v>
      </c>
      <c r="D50" s="1">
        <v>5</v>
      </c>
      <c r="E50" s="1">
        <v>23</v>
      </c>
      <c r="G50" s="1">
        <v>82</v>
      </c>
      <c r="H50" s="1">
        <v>54</v>
      </c>
      <c r="I50" s="1">
        <v>40</v>
      </c>
      <c r="J50" s="1">
        <f>IF(SUM(G50:I50)=0,"",SUM(G50:I50))</f>
        <v>176</v>
      </c>
      <c r="L50" s="7" t="s">
        <v>740</v>
      </c>
      <c r="M50" s="7" t="s">
        <v>753</v>
      </c>
      <c r="O50" s="26" t="s">
        <v>439</v>
      </c>
      <c r="P50" s="27" t="s">
        <v>247</v>
      </c>
      <c r="Q50" s="27" t="s">
        <v>484</v>
      </c>
      <c r="R50" s="26" t="s">
        <v>59</v>
      </c>
      <c r="S50" s="27"/>
    </row>
    <row r="51" spans="1:19" x14ac:dyDescent="0.25">
      <c r="A51" s="1" t="s">
        <v>403</v>
      </c>
      <c r="B51" s="1" t="s">
        <v>404</v>
      </c>
      <c r="C51" s="1">
        <v>70</v>
      </c>
      <c r="D51" s="1">
        <v>5</v>
      </c>
      <c r="E51" s="1">
        <v>23</v>
      </c>
      <c r="F51" s="7" t="s">
        <v>22</v>
      </c>
      <c r="G51" s="1">
        <v>76</v>
      </c>
      <c r="H51" s="1">
        <v>54</v>
      </c>
      <c r="I51" s="1">
        <v>40</v>
      </c>
      <c r="J51" s="1">
        <f>IF(SUM(G51:I51)=0,"",SUM(G51:I51))</f>
        <v>170</v>
      </c>
      <c r="K51" s="7" t="s">
        <v>407</v>
      </c>
      <c r="L51" s="7" t="s">
        <v>406</v>
      </c>
      <c r="M51" s="7" t="s">
        <v>405</v>
      </c>
      <c r="O51" s="26" t="s">
        <v>440</v>
      </c>
      <c r="P51" s="27" t="s">
        <v>248</v>
      </c>
      <c r="Q51" s="26" t="s">
        <v>407</v>
      </c>
      <c r="R51" s="26" t="s">
        <v>57</v>
      </c>
      <c r="S51" s="27"/>
    </row>
    <row r="52" spans="1:19" x14ac:dyDescent="0.25">
      <c r="A52" s="1" t="s">
        <v>14</v>
      </c>
      <c r="B52" s="1" t="s">
        <v>21</v>
      </c>
      <c r="C52" s="1">
        <v>80</v>
      </c>
      <c r="D52" s="1">
        <v>5</v>
      </c>
      <c r="E52" s="1">
        <v>23</v>
      </c>
      <c r="F52" s="7" t="s">
        <v>22</v>
      </c>
      <c r="G52" s="1">
        <v>78</v>
      </c>
      <c r="H52" s="1">
        <v>64</v>
      </c>
      <c r="I52" s="1">
        <v>49</v>
      </c>
      <c r="J52" s="1">
        <f>IF(SUM(G52:I52)=0,"",SUM(G52:I52))</f>
        <v>191</v>
      </c>
      <c r="L52" s="7" t="s">
        <v>23</v>
      </c>
      <c r="M52" s="7" t="s">
        <v>447</v>
      </c>
      <c r="O52" s="28" t="s">
        <v>441</v>
      </c>
      <c r="P52" s="29" t="s">
        <v>249</v>
      </c>
      <c r="Q52" s="29"/>
      <c r="R52" s="28" t="s">
        <v>52</v>
      </c>
      <c r="S52" s="29"/>
    </row>
    <row r="53" spans="1:19" x14ac:dyDescent="0.25">
      <c r="A53" s="1" t="s">
        <v>93</v>
      </c>
      <c r="B53" s="1" t="s">
        <v>101</v>
      </c>
      <c r="C53" s="1">
        <v>77</v>
      </c>
      <c r="D53" s="1">
        <v>5</v>
      </c>
      <c r="E53" s="1">
        <v>23</v>
      </c>
      <c r="G53" s="1">
        <v>83</v>
      </c>
      <c r="H53" s="1">
        <v>45</v>
      </c>
      <c r="I53" s="1">
        <v>44</v>
      </c>
      <c r="J53" s="1">
        <f>IF(SUM(G53:I53)=0,"",SUM(G53:I53))</f>
        <v>172</v>
      </c>
      <c r="L53" s="7" t="s">
        <v>102</v>
      </c>
      <c r="M53" s="7" t="s">
        <v>447</v>
      </c>
      <c r="O53" s="28" t="s">
        <v>442</v>
      </c>
      <c r="P53" s="29" t="s">
        <v>250</v>
      </c>
      <c r="Q53" s="29"/>
      <c r="R53" s="28" t="s">
        <v>58</v>
      </c>
      <c r="S53" s="29"/>
    </row>
    <row r="54" spans="1:19" x14ac:dyDescent="0.25">
      <c r="A54" s="1" t="s">
        <v>93</v>
      </c>
      <c r="B54" s="1" t="s">
        <v>111</v>
      </c>
      <c r="C54" s="1">
        <v>76</v>
      </c>
      <c r="D54" s="3">
        <v>5</v>
      </c>
      <c r="E54" s="1">
        <v>23</v>
      </c>
      <c r="G54" s="1">
        <v>74</v>
      </c>
      <c r="H54" s="1">
        <v>57</v>
      </c>
      <c r="I54" s="1">
        <v>55</v>
      </c>
      <c r="J54" s="1">
        <f>IF(SUM(G54:I54)=0,"",SUM(G54:I54))</f>
        <v>186</v>
      </c>
      <c r="M54" s="7" t="s">
        <v>447</v>
      </c>
      <c r="O54" s="28">
        <v>10</v>
      </c>
      <c r="P54" s="29" t="s">
        <v>443</v>
      </c>
      <c r="Q54" s="29"/>
      <c r="R54" s="28" t="s">
        <v>42</v>
      </c>
      <c r="S54" s="29"/>
    </row>
    <row r="55" spans="1:19" x14ac:dyDescent="0.25">
      <c r="A55" s="1" t="s">
        <v>14</v>
      </c>
      <c r="B55" s="1" t="s">
        <v>942</v>
      </c>
      <c r="C55" s="1">
        <v>72</v>
      </c>
      <c r="D55" s="1">
        <v>5</v>
      </c>
      <c r="E55" s="1">
        <v>23</v>
      </c>
      <c r="G55" s="1">
        <v>73</v>
      </c>
      <c r="H55" s="1">
        <v>49</v>
      </c>
      <c r="I55" s="1">
        <v>33</v>
      </c>
      <c r="J55" s="1">
        <f>IF(SUM(G55:I55)=0,"",SUM(G55:I55))</f>
        <v>155</v>
      </c>
      <c r="L55" s="7" t="s">
        <v>943</v>
      </c>
      <c r="M55" s="7" t="s">
        <v>923</v>
      </c>
      <c r="O55" s="30">
        <v>11</v>
      </c>
      <c r="P55" s="31" t="s">
        <v>251</v>
      </c>
      <c r="Q55" s="31"/>
      <c r="R55" s="30" t="s">
        <v>165</v>
      </c>
      <c r="S55" s="31"/>
    </row>
    <row r="56" spans="1:19" x14ac:dyDescent="0.25">
      <c r="A56" s="1" t="s">
        <v>124</v>
      </c>
      <c r="B56" s="1" t="s">
        <v>146</v>
      </c>
      <c r="C56" s="1">
        <v>78</v>
      </c>
      <c r="D56" s="1">
        <v>5</v>
      </c>
      <c r="E56" s="1">
        <v>23</v>
      </c>
      <c r="G56" s="1">
        <v>84</v>
      </c>
      <c r="H56" s="1">
        <v>49</v>
      </c>
      <c r="I56" s="1">
        <v>57</v>
      </c>
      <c r="J56" s="1">
        <f>IF(SUM(G56:I56)=0,"",SUM(G56:I56))</f>
        <v>190</v>
      </c>
      <c r="M56" s="7" t="s">
        <v>447</v>
      </c>
      <c r="O56" s="30">
        <v>12</v>
      </c>
      <c r="P56" s="31" t="s">
        <v>252</v>
      </c>
      <c r="Q56" s="31"/>
      <c r="R56" s="30" t="s">
        <v>17</v>
      </c>
      <c r="S56" s="31"/>
    </row>
    <row r="57" spans="1:19" x14ac:dyDescent="0.25">
      <c r="A57" s="1" t="s">
        <v>14</v>
      </c>
      <c r="B57" s="1" t="s">
        <v>18</v>
      </c>
      <c r="C57" s="1">
        <v>77</v>
      </c>
      <c r="D57" s="1">
        <v>5</v>
      </c>
      <c r="E57" s="1">
        <v>23</v>
      </c>
      <c r="F57" s="7" t="s">
        <v>17</v>
      </c>
      <c r="G57" s="1">
        <v>67</v>
      </c>
      <c r="H57" s="1">
        <v>66</v>
      </c>
      <c r="I57" s="1">
        <v>57</v>
      </c>
      <c r="J57" s="1">
        <f>IF(SUM(G57:I57)=0,"",SUM(G57:I57))</f>
        <v>190</v>
      </c>
      <c r="M57" s="7" t="s">
        <v>447</v>
      </c>
      <c r="O57" s="30">
        <v>13</v>
      </c>
      <c r="P57" s="31" t="s">
        <v>253</v>
      </c>
      <c r="Q57" s="31"/>
      <c r="R57" s="30" t="s">
        <v>22</v>
      </c>
      <c r="S57" s="31"/>
    </row>
    <row r="58" spans="1:19" x14ac:dyDescent="0.25">
      <c r="A58" s="1" t="s">
        <v>1328</v>
      </c>
      <c r="B58" s="1" t="s">
        <v>1329</v>
      </c>
      <c r="C58" s="1">
        <v>77</v>
      </c>
      <c r="D58" s="1">
        <v>5</v>
      </c>
      <c r="E58" s="1">
        <v>23</v>
      </c>
      <c r="F58" s="7" t="s">
        <v>1330</v>
      </c>
      <c r="G58" s="1">
        <v>78</v>
      </c>
      <c r="H58" s="1">
        <v>60</v>
      </c>
      <c r="I58" s="1">
        <v>49</v>
      </c>
      <c r="J58" s="1">
        <f>IF(SUM(G58:I58)=0,"",SUM(G58:I58))</f>
        <v>187</v>
      </c>
      <c r="L58" s="7" t="s">
        <v>1331</v>
      </c>
      <c r="M58" s="7" t="s">
        <v>1332</v>
      </c>
      <c r="O58" s="32">
        <v>14</v>
      </c>
      <c r="P58" s="33" t="s">
        <v>254</v>
      </c>
      <c r="Q58" s="33"/>
      <c r="R58" s="32" t="s">
        <v>29</v>
      </c>
      <c r="S58" s="33"/>
    </row>
    <row r="59" spans="1:19" x14ac:dyDescent="0.25">
      <c r="A59" s="1" t="s">
        <v>14</v>
      </c>
      <c r="B59" s="1" t="s">
        <v>1139</v>
      </c>
      <c r="C59" s="1">
        <v>77</v>
      </c>
      <c r="D59" s="3">
        <v>5</v>
      </c>
      <c r="E59" s="1">
        <v>23</v>
      </c>
      <c r="F59" s="7" t="s">
        <v>1140</v>
      </c>
      <c r="G59" s="1">
        <v>71</v>
      </c>
      <c r="H59" s="1">
        <v>60</v>
      </c>
      <c r="I59" s="1">
        <v>54</v>
      </c>
      <c r="J59" s="1">
        <f>IF(SUM(G59:I59)=0,"",SUM(G59:I59))</f>
        <v>185</v>
      </c>
      <c r="L59" s="7" t="s">
        <v>1141</v>
      </c>
      <c r="M59" s="7" t="s">
        <v>1142</v>
      </c>
      <c r="O59" s="32">
        <v>15</v>
      </c>
      <c r="P59" s="33" t="s">
        <v>255</v>
      </c>
      <c r="Q59" s="33"/>
      <c r="R59" s="32" t="s">
        <v>371</v>
      </c>
      <c r="S59" s="33"/>
    </row>
    <row r="60" spans="1:19" x14ac:dyDescent="0.25">
      <c r="A60" s="1" t="s">
        <v>351</v>
      </c>
      <c r="B60" s="1" t="s">
        <v>354</v>
      </c>
      <c r="C60" s="1">
        <v>76</v>
      </c>
      <c r="D60" s="1">
        <v>5</v>
      </c>
      <c r="E60" s="1">
        <v>23</v>
      </c>
      <c r="G60" s="1">
        <v>81</v>
      </c>
      <c r="H60" s="1">
        <v>43</v>
      </c>
      <c r="I60" s="1">
        <v>36</v>
      </c>
      <c r="J60" s="1">
        <f>IF(SUM(G60:I60)=0,"",SUM(G60:I60))</f>
        <v>160</v>
      </c>
      <c r="L60" s="7" t="s">
        <v>62</v>
      </c>
      <c r="M60" s="7" t="s">
        <v>447</v>
      </c>
      <c r="O60" s="32">
        <v>16</v>
      </c>
      <c r="P60" s="33" t="s">
        <v>256</v>
      </c>
      <c r="Q60" s="33"/>
      <c r="R60" s="33" t="s">
        <v>109</v>
      </c>
      <c r="S60" s="33"/>
    </row>
    <row r="61" spans="1:19" x14ac:dyDescent="0.25">
      <c r="A61" s="1" t="s">
        <v>1005</v>
      </c>
      <c r="B61" s="1" t="s">
        <v>1016</v>
      </c>
      <c r="C61" s="1">
        <v>81</v>
      </c>
      <c r="D61" s="1">
        <v>5</v>
      </c>
      <c r="E61" s="1">
        <v>23</v>
      </c>
      <c r="F61" s="7" t="s">
        <v>967</v>
      </c>
      <c r="G61" s="1">
        <v>85</v>
      </c>
      <c r="H61" s="1">
        <v>48</v>
      </c>
      <c r="I61" s="1">
        <v>51</v>
      </c>
      <c r="J61" s="1">
        <f>IF(SUM(G61:I61)=0,"",SUM(G61:I61))</f>
        <v>184</v>
      </c>
      <c r="L61" s="7" t="s">
        <v>1017</v>
      </c>
      <c r="M61" s="7" t="s">
        <v>1008</v>
      </c>
      <c r="O61" s="32">
        <v>17</v>
      </c>
      <c r="P61" s="33" t="s">
        <v>257</v>
      </c>
      <c r="Q61" s="33"/>
      <c r="R61" s="33" t="s">
        <v>10</v>
      </c>
      <c r="S61" s="33"/>
    </row>
    <row r="62" spans="1:19" x14ac:dyDescent="0.25">
      <c r="A62" s="1" t="s">
        <v>1064</v>
      </c>
      <c r="B62" s="1" t="s">
        <v>1065</v>
      </c>
      <c r="C62" s="1">
        <v>78</v>
      </c>
      <c r="D62" s="1">
        <v>5</v>
      </c>
      <c r="E62" s="1">
        <v>23</v>
      </c>
      <c r="G62" s="1">
        <v>83</v>
      </c>
      <c r="H62" s="1">
        <v>48</v>
      </c>
      <c r="I62" s="1">
        <v>51</v>
      </c>
      <c r="J62" s="1">
        <f>IF(SUM(G62:I62)=0,"",SUM(G62:I62))</f>
        <v>182</v>
      </c>
      <c r="L62" s="7" t="s">
        <v>1066</v>
      </c>
      <c r="M62" s="7" t="s">
        <v>1039</v>
      </c>
      <c r="O62" s="34">
        <v>18</v>
      </c>
      <c r="P62" s="35" t="s">
        <v>258</v>
      </c>
      <c r="Q62" s="35"/>
      <c r="R62" s="35"/>
      <c r="S62" s="35"/>
    </row>
    <row r="63" spans="1:19" x14ac:dyDescent="0.25">
      <c r="A63" s="1" t="s">
        <v>1086</v>
      </c>
      <c r="B63" s="1" t="s">
        <v>1087</v>
      </c>
      <c r="C63" s="1">
        <v>82</v>
      </c>
      <c r="D63" s="1">
        <v>5</v>
      </c>
      <c r="E63" s="1">
        <v>23</v>
      </c>
      <c r="G63" s="1">
        <v>75</v>
      </c>
      <c r="H63" s="1">
        <v>48</v>
      </c>
      <c r="I63" s="1">
        <v>70</v>
      </c>
      <c r="J63" s="1">
        <f>IF(SUM(G63:I63)=0,"",SUM(G63:I63))</f>
        <v>193</v>
      </c>
      <c r="L63" s="7" t="s">
        <v>1088</v>
      </c>
      <c r="M63" s="7" t="s">
        <v>1085</v>
      </c>
      <c r="O63" s="34">
        <v>19</v>
      </c>
      <c r="P63" s="35" t="s">
        <v>259</v>
      </c>
      <c r="Q63" s="35"/>
      <c r="R63" s="35"/>
      <c r="S63" s="35"/>
    </row>
    <row r="64" spans="1:19" x14ac:dyDescent="0.25">
      <c r="A64" s="1" t="s">
        <v>93</v>
      </c>
      <c r="B64" s="1" t="s">
        <v>618</v>
      </c>
      <c r="C64" s="1">
        <v>80</v>
      </c>
      <c r="D64" s="1">
        <v>5</v>
      </c>
      <c r="E64" s="1">
        <v>23</v>
      </c>
      <c r="F64" s="7" t="s">
        <v>619</v>
      </c>
      <c r="G64" s="1">
        <v>74</v>
      </c>
      <c r="H64" s="1">
        <v>49</v>
      </c>
      <c r="I64" s="1">
        <v>65</v>
      </c>
      <c r="J64" s="1">
        <f>IF(SUM(G64:I64)=0,"",SUM(G64:I64))</f>
        <v>188</v>
      </c>
      <c r="L64" s="7" t="s">
        <v>620</v>
      </c>
      <c r="M64" s="7" t="s">
        <v>621</v>
      </c>
      <c r="O64" s="34">
        <v>20</v>
      </c>
      <c r="P64" s="35" t="s">
        <v>260</v>
      </c>
      <c r="Q64" s="35"/>
      <c r="R64" s="35"/>
      <c r="S64" s="35"/>
    </row>
    <row r="65" spans="1:19" x14ac:dyDescent="0.25">
      <c r="A65" s="1" t="s">
        <v>1622</v>
      </c>
      <c r="B65" s="1" t="s">
        <v>1623</v>
      </c>
      <c r="C65" s="1">
        <v>83</v>
      </c>
      <c r="D65" s="1">
        <v>5</v>
      </c>
      <c r="E65" s="1">
        <v>24</v>
      </c>
      <c r="G65" s="1">
        <v>74</v>
      </c>
      <c r="H65" s="1">
        <v>57</v>
      </c>
      <c r="I65" s="1">
        <v>66</v>
      </c>
      <c r="J65" s="1">
        <f>IF(SUM(G65:I65)=0,"",SUM(G65:I65))</f>
        <v>197</v>
      </c>
      <c r="L65" s="7" t="s">
        <v>1575</v>
      </c>
      <c r="M65" s="7" t="s">
        <v>1624</v>
      </c>
      <c r="O65" s="34">
        <v>21</v>
      </c>
      <c r="P65" s="35" t="s">
        <v>261</v>
      </c>
      <c r="Q65" s="35"/>
      <c r="R65" s="35"/>
      <c r="S65" s="35"/>
    </row>
    <row r="66" spans="1:19" x14ac:dyDescent="0.25">
      <c r="A66" s="1" t="s">
        <v>124</v>
      </c>
      <c r="B66" s="1" t="s">
        <v>206</v>
      </c>
      <c r="C66" s="1">
        <v>78</v>
      </c>
      <c r="D66" s="2">
        <v>5</v>
      </c>
      <c r="E66" s="1">
        <v>24</v>
      </c>
      <c r="G66" s="1">
        <v>71</v>
      </c>
      <c r="H66" s="1">
        <v>48</v>
      </c>
      <c r="I66" s="1">
        <v>71</v>
      </c>
      <c r="J66" s="1">
        <f>IF(SUM(G66:I66)=0,"",SUM(G66:I66))</f>
        <v>190</v>
      </c>
      <c r="M66" s="7" t="s">
        <v>447</v>
      </c>
      <c r="O66" s="34">
        <v>22</v>
      </c>
      <c r="P66" s="35" t="s">
        <v>1291</v>
      </c>
      <c r="Q66" s="35"/>
      <c r="R66" s="35"/>
      <c r="S66" s="35"/>
    </row>
    <row r="67" spans="1:19" x14ac:dyDescent="0.25">
      <c r="A67" s="1" t="s">
        <v>124</v>
      </c>
      <c r="B67" s="1" t="s">
        <v>164</v>
      </c>
      <c r="C67" s="1">
        <v>81</v>
      </c>
      <c r="D67" s="1">
        <v>5</v>
      </c>
      <c r="E67" s="1">
        <v>24</v>
      </c>
      <c r="G67" s="1">
        <v>76</v>
      </c>
      <c r="H67" s="1">
        <v>65</v>
      </c>
      <c r="I67" s="1">
        <v>51</v>
      </c>
      <c r="J67" s="1">
        <f>IF(SUM(G67:I67)=0,"",SUM(G67:I67))</f>
        <v>192</v>
      </c>
      <c r="L67" s="7" t="s">
        <v>20</v>
      </c>
      <c r="M67" s="7" t="s">
        <v>447</v>
      </c>
    </row>
    <row r="68" spans="1:19" x14ac:dyDescent="0.25">
      <c r="A68" s="1" t="s">
        <v>14</v>
      </c>
      <c r="B68" s="1" t="s">
        <v>1040</v>
      </c>
      <c r="C68" s="1">
        <v>79</v>
      </c>
      <c r="D68" s="2">
        <v>5</v>
      </c>
      <c r="E68" s="1">
        <v>24</v>
      </c>
      <c r="G68" s="1">
        <v>83</v>
      </c>
      <c r="H68" s="1">
        <v>67</v>
      </c>
      <c r="I68" s="1">
        <v>45</v>
      </c>
      <c r="J68" s="1">
        <f>IF(SUM(G68:I68)=0,"",SUM(G68:I68))</f>
        <v>195</v>
      </c>
      <c r="M68" s="7" t="s">
        <v>1041</v>
      </c>
    </row>
    <row r="69" spans="1:19" x14ac:dyDescent="0.25">
      <c r="A69" s="1" t="s">
        <v>351</v>
      </c>
      <c r="B69" s="1" t="s">
        <v>352</v>
      </c>
      <c r="C69" s="1">
        <v>80</v>
      </c>
      <c r="D69" s="2">
        <v>5</v>
      </c>
      <c r="E69" s="1">
        <v>24</v>
      </c>
      <c r="G69" s="1">
        <v>88</v>
      </c>
      <c r="H69" s="1">
        <v>50</v>
      </c>
      <c r="I69" s="1">
        <v>47</v>
      </c>
      <c r="J69" s="1">
        <f>IF(SUM(G69:I69)=0,"",SUM(G69:I69))</f>
        <v>185</v>
      </c>
      <c r="L69" s="7" t="s">
        <v>20</v>
      </c>
      <c r="M69" s="7" t="s">
        <v>447</v>
      </c>
    </row>
    <row r="70" spans="1:19" x14ac:dyDescent="0.25">
      <c r="A70" s="1" t="s">
        <v>1498</v>
      </c>
      <c r="B70" s="1" t="s">
        <v>1499</v>
      </c>
      <c r="C70" s="1">
        <v>80</v>
      </c>
      <c r="D70" s="1">
        <v>5</v>
      </c>
      <c r="E70" s="1">
        <v>24</v>
      </c>
      <c r="G70" s="1">
        <v>69</v>
      </c>
      <c r="H70" s="1">
        <v>61</v>
      </c>
      <c r="I70" s="1">
        <v>62</v>
      </c>
      <c r="J70" s="1">
        <f>IF(SUM(G70:I70)=0,"",SUM(G70:I70))</f>
        <v>192</v>
      </c>
      <c r="M70" s="7" t="s">
        <v>1454</v>
      </c>
    </row>
    <row r="71" spans="1:19" x14ac:dyDescent="0.25">
      <c r="A71" s="1" t="s">
        <v>460</v>
      </c>
      <c r="B71" s="1" t="s">
        <v>461</v>
      </c>
      <c r="C71" s="1">
        <v>65</v>
      </c>
      <c r="D71" s="1">
        <v>4</v>
      </c>
      <c r="E71" s="1">
        <v>18</v>
      </c>
      <c r="G71" s="1">
        <v>57</v>
      </c>
      <c r="H71" s="1">
        <v>39</v>
      </c>
      <c r="I71" s="1">
        <v>38</v>
      </c>
      <c r="J71" s="1">
        <f>IF(SUM(G71:I71)=0,"",SUM(G71:I71))</f>
        <v>134</v>
      </c>
      <c r="M71" s="7" t="s">
        <v>462</v>
      </c>
    </row>
    <row r="72" spans="1:19" x14ac:dyDescent="0.25">
      <c r="A72" s="1" t="s">
        <v>322</v>
      </c>
      <c r="B72" s="1" t="s">
        <v>1394</v>
      </c>
      <c r="C72" s="1">
        <v>71</v>
      </c>
      <c r="D72" s="1">
        <v>4</v>
      </c>
      <c r="E72" s="1">
        <v>21</v>
      </c>
      <c r="G72" s="1">
        <v>70</v>
      </c>
      <c r="H72" s="1">
        <v>51</v>
      </c>
      <c r="I72" s="1">
        <v>37</v>
      </c>
      <c r="J72" s="1">
        <f>IF(SUM(G72:I72)=0,"",SUM(G72:I72))</f>
        <v>158</v>
      </c>
      <c r="M72" s="7" t="s">
        <v>1395</v>
      </c>
    </row>
    <row r="73" spans="1:19" x14ac:dyDescent="0.25">
      <c r="A73" s="1" t="s">
        <v>14</v>
      </c>
      <c r="B73" s="1" t="s">
        <v>856</v>
      </c>
      <c r="C73" s="1">
        <v>72</v>
      </c>
      <c r="D73" s="1">
        <v>4</v>
      </c>
      <c r="E73" s="1">
        <v>22</v>
      </c>
      <c r="G73" s="1">
        <v>73</v>
      </c>
      <c r="H73" s="1">
        <v>36</v>
      </c>
      <c r="I73" s="1">
        <v>51</v>
      </c>
      <c r="J73" s="1">
        <f>IF(SUM(G73:I73)=0,"",SUM(G73:I73))</f>
        <v>160</v>
      </c>
      <c r="K73" s="7" t="s">
        <v>857</v>
      </c>
      <c r="M73" s="7" t="s">
        <v>858</v>
      </c>
    </row>
    <row r="74" spans="1:19" x14ac:dyDescent="0.25">
      <c r="A74" s="1" t="s">
        <v>1488</v>
      </c>
      <c r="B74" s="1" t="s">
        <v>1489</v>
      </c>
      <c r="C74" s="1">
        <v>75</v>
      </c>
      <c r="D74" s="1">
        <v>4</v>
      </c>
      <c r="E74" s="1">
        <v>22</v>
      </c>
      <c r="G74" s="1">
        <v>63</v>
      </c>
      <c r="H74" s="1">
        <v>65</v>
      </c>
      <c r="I74" s="1">
        <v>49</v>
      </c>
      <c r="J74" s="1">
        <f>IF(SUM(G74:I74)=0,"",SUM(G74:I74))</f>
        <v>177</v>
      </c>
      <c r="L74" s="7" t="s">
        <v>1490</v>
      </c>
      <c r="M74" s="7" t="s">
        <v>1491</v>
      </c>
    </row>
    <row r="75" spans="1:19" x14ac:dyDescent="0.25">
      <c r="A75" s="1" t="s">
        <v>1237</v>
      </c>
      <c r="B75" s="1" t="s">
        <v>1238</v>
      </c>
      <c r="C75" s="1">
        <v>73</v>
      </c>
      <c r="D75" s="1">
        <v>4</v>
      </c>
      <c r="E75" s="1">
        <v>23</v>
      </c>
      <c r="F75" s="7" t="s">
        <v>1239</v>
      </c>
      <c r="G75" s="1">
        <v>62</v>
      </c>
      <c r="H75" s="1">
        <v>56</v>
      </c>
      <c r="I75" s="1">
        <v>53</v>
      </c>
      <c r="J75" s="1">
        <f>IF(SUM(G75:I75)=0,"",SUM(G75:I75))</f>
        <v>171</v>
      </c>
      <c r="M75" s="7" t="s">
        <v>1240</v>
      </c>
    </row>
    <row r="76" spans="1:19" x14ac:dyDescent="0.25">
      <c r="A76" s="1" t="s">
        <v>1358</v>
      </c>
      <c r="B76" s="1" t="s">
        <v>1359</v>
      </c>
      <c r="C76" s="1">
        <v>76</v>
      </c>
      <c r="D76" s="1">
        <v>4</v>
      </c>
      <c r="E76" s="1">
        <v>24</v>
      </c>
      <c r="G76" s="1">
        <v>64</v>
      </c>
      <c r="H76" s="1">
        <v>59</v>
      </c>
      <c r="I76" s="1">
        <v>54</v>
      </c>
      <c r="J76" s="1">
        <f>IF(SUM(G76:I76)=0,"",SUM(G76:I76))</f>
        <v>177</v>
      </c>
      <c r="M76" s="7" t="s">
        <v>1360</v>
      </c>
    </row>
    <row r="77" spans="1:19" x14ac:dyDescent="0.25">
      <c r="A77" s="1" t="s">
        <v>1180</v>
      </c>
      <c r="B77" s="1" t="s">
        <v>1229</v>
      </c>
      <c r="C77" s="1">
        <v>77</v>
      </c>
      <c r="D77" s="1">
        <v>4</v>
      </c>
      <c r="E77" s="1">
        <v>24</v>
      </c>
      <c r="F77" s="7" t="s">
        <v>1230</v>
      </c>
      <c r="G77" s="1">
        <v>74</v>
      </c>
      <c r="H77" s="1">
        <v>65</v>
      </c>
      <c r="I77" s="1">
        <v>56</v>
      </c>
      <c r="J77" s="1">
        <f>IF(SUM(G77:I77)=0,"",SUM(G77:I77))</f>
        <v>195</v>
      </c>
      <c r="M77" s="7" t="s">
        <v>1231</v>
      </c>
    </row>
  </sheetData>
  <sortState ref="A1:N78">
    <sortCondition descending="1" ref="D1:D100"/>
    <sortCondition ref="E1:E100"/>
    <sortCondition descending="1" ref="B1:B100"/>
  </sortState>
  <phoneticPr fontId="1" type="noConversion"/>
  <conditionalFormatting sqref="B1:B6 B37:B1048576 B8:B31">
    <cfRule type="duplicateValues" dxfId="87" priority="4"/>
  </conditionalFormatting>
  <conditionalFormatting sqref="A1:A6 A37:A1048576 A35 A33 A8:A31">
    <cfRule type="containsText" dxfId="86" priority="1" operator="containsText" text="RMF">
      <formula>NOT(ISERROR(SEARCH("RMF",A1)))</formula>
    </cfRule>
    <cfRule type="containsText" dxfId="85" priority="2" operator="containsText" text="LMF">
      <formula>NOT(ISERROR(SEARCH("LMF",A1)))</formula>
    </cfRule>
  </conditionalFormatting>
  <pageMargins left="0.7" right="0.7" top="0.75" bottom="0.75" header="0.3" footer="0.3"/>
  <pageSetup paperSize="9" orientation="portrait" horizontalDpi="1200" verticalDpi="1200" r:id="rId1"/>
  <ignoredErrors>
    <ignoredError sqref="O1:O22 O67:O1048576 O23:O33 O45:S65 O66 Q66:S66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S38"/>
  <sheetViews>
    <sheetView workbookViewId="0">
      <selection activeCell="A39" sqref="A39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1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313</v>
      </c>
      <c r="B1" s="1" t="s">
        <v>314</v>
      </c>
      <c r="C1" s="1">
        <v>83</v>
      </c>
      <c r="D1" s="2">
        <v>7</v>
      </c>
      <c r="E1" s="1">
        <v>20</v>
      </c>
      <c r="F1" s="7" t="s">
        <v>29</v>
      </c>
      <c r="G1" s="1">
        <v>61</v>
      </c>
      <c r="H1" s="1">
        <v>97</v>
      </c>
      <c r="I1" s="1">
        <v>53</v>
      </c>
      <c r="J1" s="1">
        <f>IF(SUM(G1:I1)=0,"",SUM(G1:I1))</f>
        <v>211</v>
      </c>
      <c r="K1" s="7" t="s">
        <v>510</v>
      </c>
      <c r="L1" s="7" t="s">
        <v>318</v>
      </c>
      <c r="M1" s="7" t="s">
        <v>487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4</v>
      </c>
      <c r="B2" s="1" t="s">
        <v>230</v>
      </c>
      <c r="C2" s="1">
        <v>85</v>
      </c>
      <c r="D2" s="2">
        <v>7</v>
      </c>
      <c r="E2" s="1">
        <v>23</v>
      </c>
      <c r="G2" s="1">
        <v>81</v>
      </c>
      <c r="H2" s="1">
        <v>83</v>
      </c>
      <c r="I2" s="1">
        <v>63</v>
      </c>
      <c r="J2" s="1">
        <f>IF(SUM(G2:I2)=0,"",SUM(G2:I2))</f>
        <v>227</v>
      </c>
      <c r="L2" s="7" t="s">
        <v>133</v>
      </c>
      <c r="M2" s="7" t="s">
        <v>487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4</v>
      </c>
      <c r="B3" s="1" t="s">
        <v>182</v>
      </c>
      <c r="C3" s="1">
        <v>75</v>
      </c>
      <c r="D3" s="1">
        <v>6</v>
      </c>
      <c r="E3" s="1">
        <v>18</v>
      </c>
      <c r="F3" s="7" t="s">
        <v>29</v>
      </c>
      <c r="G3" s="1">
        <v>71</v>
      </c>
      <c r="H3" s="1">
        <v>52</v>
      </c>
      <c r="I3" s="1">
        <v>76</v>
      </c>
      <c r="J3" s="1">
        <f>IF(SUM(G3:I3)=0,"",SUM(G3:I3))</f>
        <v>199</v>
      </c>
      <c r="L3" s="7" t="s">
        <v>315</v>
      </c>
      <c r="M3" s="7" t="s">
        <v>487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1638</v>
      </c>
      <c r="B4" s="1" t="s">
        <v>1639</v>
      </c>
      <c r="C4" s="1">
        <v>74</v>
      </c>
      <c r="D4" s="3">
        <v>6</v>
      </c>
      <c r="E4" s="1">
        <v>18</v>
      </c>
      <c r="F4" s="7" t="s">
        <v>1652</v>
      </c>
      <c r="G4" s="1">
        <v>55</v>
      </c>
      <c r="H4" s="1">
        <v>62</v>
      </c>
      <c r="I4" s="1">
        <v>50</v>
      </c>
      <c r="J4" s="1">
        <f>IF(SUM(G4:I4)=0,"",SUM(G4:I4))</f>
        <v>167</v>
      </c>
      <c r="K4" s="7" t="s">
        <v>1575</v>
      </c>
      <c r="L4" s="7" t="s">
        <v>1580</v>
      </c>
      <c r="M4" s="7" t="s">
        <v>1581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1</v>
      </c>
      <c r="B5" s="1" t="s">
        <v>110</v>
      </c>
      <c r="C5" s="1">
        <v>79</v>
      </c>
      <c r="D5" s="1">
        <v>6</v>
      </c>
      <c r="E5" s="1">
        <v>22</v>
      </c>
      <c r="F5" s="7" t="s">
        <v>29</v>
      </c>
      <c r="G5" s="1">
        <v>59</v>
      </c>
      <c r="H5" s="1">
        <v>71</v>
      </c>
      <c r="I5" s="1">
        <v>56</v>
      </c>
      <c r="J5" s="1">
        <f>IF(SUM(G5:I5)=0,"",SUM(G5:I5))</f>
        <v>186</v>
      </c>
      <c r="L5" s="7" t="s">
        <v>316</v>
      </c>
      <c r="M5" s="7" t="s">
        <v>487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1508</v>
      </c>
      <c r="B6" s="1" t="s">
        <v>1515</v>
      </c>
      <c r="C6" s="1">
        <v>75</v>
      </c>
      <c r="D6" s="1">
        <v>6</v>
      </c>
      <c r="E6" s="1">
        <v>22</v>
      </c>
      <c r="F6" s="7" t="s">
        <v>1502</v>
      </c>
      <c r="G6" s="1">
        <v>43</v>
      </c>
      <c r="H6" s="1">
        <v>90</v>
      </c>
      <c r="I6" s="1">
        <v>46</v>
      </c>
      <c r="J6" s="1">
        <f>IF(SUM(G6:I6)=0,"",SUM(G6:I6))</f>
        <v>179</v>
      </c>
      <c r="K6" s="7" t="s">
        <v>1516</v>
      </c>
      <c r="L6" s="7" t="s">
        <v>1517</v>
      </c>
      <c r="M6" s="7" t="s">
        <v>1478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1299</v>
      </c>
      <c r="B7" s="1" t="s">
        <v>1300</v>
      </c>
      <c r="C7" s="1">
        <v>78</v>
      </c>
      <c r="D7" s="1">
        <v>6</v>
      </c>
      <c r="E7" s="1">
        <v>22</v>
      </c>
      <c r="F7" s="7" t="s">
        <v>1301</v>
      </c>
      <c r="G7" s="1">
        <v>58</v>
      </c>
      <c r="H7" s="1">
        <v>75</v>
      </c>
      <c r="I7" s="1">
        <v>58</v>
      </c>
      <c r="J7" s="1">
        <f>IF(SUM(G7:I7)=0,"",SUM(G7:I7))</f>
        <v>191</v>
      </c>
      <c r="K7" s="7" t="s">
        <v>1302</v>
      </c>
      <c r="L7" s="7" t="s">
        <v>1303</v>
      </c>
      <c r="M7" s="7" t="s">
        <v>1243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4</v>
      </c>
      <c r="B8" s="1" t="s">
        <v>182</v>
      </c>
      <c r="C8" s="1">
        <v>84</v>
      </c>
      <c r="D8" s="1">
        <v>6</v>
      </c>
      <c r="E8" s="1">
        <v>24</v>
      </c>
      <c r="F8" s="7" t="s">
        <v>29</v>
      </c>
      <c r="G8" s="1">
        <v>71</v>
      </c>
      <c r="H8" s="1">
        <v>52</v>
      </c>
      <c r="I8" s="1">
        <v>76</v>
      </c>
      <c r="J8" s="1">
        <f>IF(SUM(G8:I8)=0,"",SUM(G8:I8))</f>
        <v>199</v>
      </c>
      <c r="L8" s="7" t="s">
        <v>340</v>
      </c>
      <c r="M8" s="7" t="s">
        <v>487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4</v>
      </c>
      <c r="B9" s="1" t="s">
        <v>147</v>
      </c>
      <c r="C9" s="1">
        <v>85</v>
      </c>
      <c r="D9" s="1">
        <v>6</v>
      </c>
      <c r="E9" s="1">
        <v>24</v>
      </c>
      <c r="F9" s="7" t="s">
        <v>29</v>
      </c>
      <c r="G9" s="1">
        <v>64</v>
      </c>
      <c r="H9" s="1">
        <v>74</v>
      </c>
      <c r="I9" s="1">
        <v>72</v>
      </c>
      <c r="J9" s="1">
        <f>IF(SUM(G9:I9)=0,"",SUM(G9:I9))</f>
        <v>210</v>
      </c>
      <c r="L9" s="7" t="s">
        <v>139</v>
      </c>
      <c r="M9" s="7" t="s">
        <v>487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4</v>
      </c>
      <c r="B10" s="1" t="s">
        <v>155</v>
      </c>
      <c r="C10" s="1">
        <v>82</v>
      </c>
      <c r="D10" s="1">
        <v>6</v>
      </c>
      <c r="E10" s="1">
        <v>24</v>
      </c>
      <c r="F10" s="7" t="s">
        <v>29</v>
      </c>
      <c r="G10" s="1">
        <v>60</v>
      </c>
      <c r="H10" s="1">
        <v>77</v>
      </c>
      <c r="I10" s="1">
        <v>64</v>
      </c>
      <c r="J10" s="1">
        <f>IF(SUM(G10:I10)=0,"",SUM(G10:I10))</f>
        <v>201</v>
      </c>
      <c r="L10" s="7" t="s">
        <v>156</v>
      </c>
      <c r="M10" s="7" t="s">
        <v>487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1</v>
      </c>
      <c r="B11" s="1" t="s">
        <v>917</v>
      </c>
      <c r="C11" s="1">
        <v>82</v>
      </c>
      <c r="D11" s="1">
        <v>6</v>
      </c>
      <c r="E11" s="1">
        <v>24</v>
      </c>
      <c r="F11" s="7" t="s">
        <v>913</v>
      </c>
      <c r="G11" s="1">
        <v>60</v>
      </c>
      <c r="H11" s="1">
        <v>77</v>
      </c>
      <c r="I11" s="1">
        <v>64</v>
      </c>
      <c r="J11" s="1">
        <f>IF(SUM(G11:I11)=0,"",SUM(G11:I11))</f>
        <v>201</v>
      </c>
      <c r="K11" s="7" t="s">
        <v>914</v>
      </c>
      <c r="L11" s="7" t="s">
        <v>915</v>
      </c>
      <c r="M11" s="7" t="s">
        <v>918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4</v>
      </c>
      <c r="B12" s="1" t="s">
        <v>286</v>
      </c>
      <c r="C12" s="1">
        <v>71</v>
      </c>
      <c r="D12" s="1">
        <v>5</v>
      </c>
      <c r="E12" s="1">
        <v>18</v>
      </c>
      <c r="F12" s="7" t="s">
        <v>215</v>
      </c>
      <c r="G12" s="1">
        <v>36</v>
      </c>
      <c r="H12" s="1">
        <v>73</v>
      </c>
      <c r="I12" s="1">
        <v>56</v>
      </c>
      <c r="J12" s="1">
        <f>IF(SUM(G12:I12)=0,"",SUM(G12:I12))</f>
        <v>165</v>
      </c>
      <c r="L12" s="7" t="s">
        <v>239</v>
      </c>
      <c r="M12" s="7" t="s">
        <v>487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1</v>
      </c>
      <c r="B13" s="1" t="s">
        <v>150</v>
      </c>
      <c r="C13" s="1">
        <v>69</v>
      </c>
      <c r="D13" s="1">
        <v>5</v>
      </c>
      <c r="E13" s="1">
        <v>19</v>
      </c>
      <c r="G13" s="1">
        <v>50</v>
      </c>
      <c r="H13" s="1">
        <v>78</v>
      </c>
      <c r="I13" s="1">
        <v>42</v>
      </c>
      <c r="J13" s="1">
        <f>IF(SUM(G13:I13)=0,"",SUM(G13:I13))</f>
        <v>170</v>
      </c>
      <c r="L13" s="7" t="s">
        <v>105</v>
      </c>
      <c r="M13" s="7" t="s">
        <v>487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4</v>
      </c>
      <c r="B14" s="1" t="s">
        <v>162</v>
      </c>
      <c r="C14" s="1">
        <v>74</v>
      </c>
      <c r="D14" s="1">
        <v>5</v>
      </c>
      <c r="E14" s="1">
        <v>19</v>
      </c>
      <c r="F14" s="7" t="s">
        <v>29</v>
      </c>
      <c r="G14" s="1">
        <v>59</v>
      </c>
      <c r="H14" s="1">
        <v>69</v>
      </c>
      <c r="I14" s="1">
        <v>51</v>
      </c>
      <c r="J14" s="1">
        <f>IF(SUM(G14:I14)=0,"",SUM(G14:I14))</f>
        <v>179</v>
      </c>
      <c r="L14" s="7" t="s">
        <v>163</v>
      </c>
      <c r="M14" s="7" t="s">
        <v>487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1508</v>
      </c>
      <c r="B15" s="1" t="s">
        <v>1509</v>
      </c>
      <c r="C15" s="1">
        <v>74</v>
      </c>
      <c r="D15" s="1">
        <v>5</v>
      </c>
      <c r="E15" s="1">
        <v>20</v>
      </c>
      <c r="F15" s="7" t="s">
        <v>1510</v>
      </c>
      <c r="G15" s="1">
        <v>67</v>
      </c>
      <c r="H15" s="1">
        <v>67</v>
      </c>
      <c r="I15" s="1">
        <v>44</v>
      </c>
      <c r="J15" s="1">
        <f>IF(SUM(G15:I15)=0,"",SUM(G15:I15))</f>
        <v>178</v>
      </c>
      <c r="K15" s="7" t="s">
        <v>1511</v>
      </c>
      <c r="M15" s="7" t="s">
        <v>1512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598</v>
      </c>
      <c r="B16" s="1" t="s">
        <v>599</v>
      </c>
      <c r="C16" s="1">
        <v>72</v>
      </c>
      <c r="D16" s="1">
        <v>5</v>
      </c>
      <c r="E16" s="1">
        <v>20</v>
      </c>
      <c r="G16" s="1">
        <v>59</v>
      </c>
      <c r="H16" s="1">
        <v>63</v>
      </c>
      <c r="I16" s="1">
        <v>45</v>
      </c>
      <c r="J16" s="1">
        <f>IF(SUM(G16:I16)=0,"",SUM(G16:I16))</f>
        <v>167</v>
      </c>
      <c r="K16" s="7" t="s">
        <v>600</v>
      </c>
      <c r="L16" s="7" t="s">
        <v>601</v>
      </c>
      <c r="M16" s="7" t="s">
        <v>602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362</v>
      </c>
      <c r="B17" s="1" t="s">
        <v>363</v>
      </c>
      <c r="C17" s="1">
        <v>76</v>
      </c>
      <c r="D17" s="1">
        <v>5</v>
      </c>
      <c r="E17" s="1">
        <v>21</v>
      </c>
      <c r="G17" s="1">
        <v>55</v>
      </c>
      <c r="H17" s="1">
        <v>63</v>
      </c>
      <c r="I17" s="1">
        <v>54</v>
      </c>
      <c r="J17" s="1">
        <f>IF(SUM(G17:I17)=0,"",SUM(G17:I17))</f>
        <v>172</v>
      </c>
      <c r="M17" s="7" t="s">
        <v>487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1</v>
      </c>
      <c r="B18" s="1" t="s">
        <v>963</v>
      </c>
      <c r="C18" s="1">
        <v>75</v>
      </c>
      <c r="D18" s="1">
        <v>5</v>
      </c>
      <c r="E18" s="1">
        <v>22</v>
      </c>
      <c r="G18" s="1">
        <v>55</v>
      </c>
      <c r="H18" s="1">
        <v>59</v>
      </c>
      <c r="I18" s="1">
        <v>54</v>
      </c>
      <c r="J18" s="1">
        <f>IF(SUM(G18:I18)=0,"",SUM(G18:I18))</f>
        <v>168</v>
      </c>
      <c r="K18" s="7" t="s">
        <v>964</v>
      </c>
      <c r="L18" s="7" t="s">
        <v>965</v>
      </c>
      <c r="M18" s="7" t="s">
        <v>918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27</v>
      </c>
      <c r="B19" s="1" t="s">
        <v>32</v>
      </c>
      <c r="C19" s="1">
        <v>77</v>
      </c>
      <c r="D19" s="3">
        <v>5</v>
      </c>
      <c r="E19" s="1">
        <v>22</v>
      </c>
      <c r="F19" s="7" t="s">
        <v>29</v>
      </c>
      <c r="G19" s="1">
        <v>36</v>
      </c>
      <c r="H19" s="1">
        <v>73</v>
      </c>
      <c r="I19" s="1">
        <v>56</v>
      </c>
      <c r="J19" s="1">
        <f>IF(SUM(G19:I19)=0,"",SUM(G19:I19))</f>
        <v>165</v>
      </c>
      <c r="L19" s="7" t="s">
        <v>106</v>
      </c>
      <c r="M19" s="7" t="s">
        <v>487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4</v>
      </c>
      <c r="B20" s="1" t="s">
        <v>138</v>
      </c>
      <c r="C20" s="1">
        <v>77</v>
      </c>
      <c r="D20" s="38">
        <v>5</v>
      </c>
      <c r="E20" s="1">
        <v>22</v>
      </c>
      <c r="F20" s="7" t="s">
        <v>58</v>
      </c>
      <c r="G20" s="1">
        <v>68</v>
      </c>
      <c r="H20" s="1">
        <v>71</v>
      </c>
      <c r="I20" s="1">
        <v>56</v>
      </c>
      <c r="J20" s="1">
        <f>IF(SUM(G20:I20)=0,"",SUM(G20:I20))</f>
        <v>195</v>
      </c>
      <c r="L20" s="7" t="s">
        <v>317</v>
      </c>
      <c r="M20" s="7" t="s">
        <v>487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27</v>
      </c>
      <c r="B21" s="1" t="s">
        <v>1637</v>
      </c>
      <c r="C21" s="1">
        <v>79</v>
      </c>
      <c r="D21" s="1">
        <v>5</v>
      </c>
      <c r="E21" s="1">
        <v>23</v>
      </c>
      <c r="G21" s="1">
        <v>60</v>
      </c>
      <c r="H21" s="1">
        <v>66</v>
      </c>
      <c r="I21" s="1">
        <v>55</v>
      </c>
      <c r="J21" s="1">
        <f>IF(SUM(G21:I21)=0,"",SUM(G21:I21))</f>
        <v>181</v>
      </c>
      <c r="L21" s="7" t="s">
        <v>1636</v>
      </c>
      <c r="M21" s="7" t="s">
        <v>1651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27</v>
      </c>
      <c r="B22" s="1" t="s">
        <v>34</v>
      </c>
      <c r="C22" s="1">
        <v>76</v>
      </c>
      <c r="D22" s="10">
        <v>5</v>
      </c>
      <c r="E22" s="1">
        <v>23</v>
      </c>
      <c r="G22" s="1">
        <v>62</v>
      </c>
      <c r="H22" s="1">
        <v>76</v>
      </c>
      <c r="I22" s="1">
        <v>51</v>
      </c>
      <c r="J22" s="1">
        <f>IF(SUM(G22:I22)=0,"",SUM(G22:I22))</f>
        <v>189</v>
      </c>
      <c r="M22" s="7" t="s">
        <v>487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728</v>
      </c>
      <c r="B23" s="1" t="s">
        <v>729</v>
      </c>
      <c r="C23" s="1">
        <v>79</v>
      </c>
      <c r="D23" s="9">
        <v>5</v>
      </c>
      <c r="E23" s="1">
        <v>23</v>
      </c>
      <c r="F23" s="7" t="s">
        <v>695</v>
      </c>
      <c r="G23" s="1">
        <v>50</v>
      </c>
      <c r="H23" s="1">
        <v>64</v>
      </c>
      <c r="I23" s="1">
        <v>62</v>
      </c>
      <c r="J23" s="1">
        <f>IF(SUM(G23:I23)=0,"",SUM(G23:I23))</f>
        <v>176</v>
      </c>
      <c r="K23" s="7" t="s">
        <v>730</v>
      </c>
      <c r="L23" s="7" t="s">
        <v>731</v>
      </c>
      <c r="M23" s="7" t="s">
        <v>732</v>
      </c>
    </row>
    <row r="24" spans="1:19" x14ac:dyDescent="0.25">
      <c r="A24" s="1" t="s">
        <v>27</v>
      </c>
      <c r="B24" s="1" t="s">
        <v>31</v>
      </c>
      <c r="C24" s="1">
        <v>78</v>
      </c>
      <c r="D24" s="36">
        <v>5</v>
      </c>
      <c r="E24" s="1">
        <v>23</v>
      </c>
      <c r="F24" s="7" t="s">
        <v>29</v>
      </c>
      <c r="G24" s="1">
        <v>62</v>
      </c>
      <c r="H24" s="1">
        <v>66</v>
      </c>
      <c r="I24" s="1">
        <v>56</v>
      </c>
      <c r="J24" s="1">
        <f>IF(SUM(G24:I24)=0,"",SUM(G24:I24))</f>
        <v>184</v>
      </c>
      <c r="M24" s="7" t="s">
        <v>487</v>
      </c>
    </row>
    <row r="25" spans="1:19" x14ac:dyDescent="0.25">
      <c r="A25" s="1" t="s">
        <v>1</v>
      </c>
      <c r="B25" s="1" t="s">
        <v>1210</v>
      </c>
      <c r="C25" s="1">
        <v>75</v>
      </c>
      <c r="D25" s="1">
        <v>5</v>
      </c>
      <c r="E25" s="1">
        <v>23</v>
      </c>
      <c r="G25" s="1">
        <v>62</v>
      </c>
      <c r="H25" s="1">
        <v>66</v>
      </c>
      <c r="I25" s="1">
        <v>52</v>
      </c>
      <c r="J25" s="1">
        <f>IF(SUM(G25:I25)=0,"",SUM(G25:I25))</f>
        <v>180</v>
      </c>
      <c r="K25" s="7" t="s">
        <v>1211</v>
      </c>
      <c r="L25" s="7" t="s">
        <v>1212</v>
      </c>
      <c r="M25" s="7" t="s">
        <v>1213</v>
      </c>
    </row>
    <row r="26" spans="1:19" x14ac:dyDescent="0.25">
      <c r="A26" s="1" t="s">
        <v>4</v>
      </c>
      <c r="B26" s="1" t="s">
        <v>235</v>
      </c>
      <c r="C26" s="1">
        <v>79</v>
      </c>
      <c r="D26" s="1">
        <v>5</v>
      </c>
      <c r="E26" s="1">
        <v>23</v>
      </c>
      <c r="F26" s="7" t="s">
        <v>29</v>
      </c>
      <c r="G26" s="1">
        <v>58</v>
      </c>
      <c r="H26" s="1">
        <v>74</v>
      </c>
      <c r="I26" s="1">
        <v>60</v>
      </c>
      <c r="J26" s="1">
        <f>IF(SUM(G26:I26)=0,"",SUM(G26:I26))</f>
        <v>192</v>
      </c>
      <c r="L26" s="7" t="s">
        <v>236</v>
      </c>
      <c r="M26" s="7" t="s">
        <v>487</v>
      </c>
    </row>
    <row r="27" spans="1:19" x14ac:dyDescent="0.25">
      <c r="A27" s="1" t="s">
        <v>335</v>
      </c>
      <c r="B27" s="1" t="s">
        <v>349</v>
      </c>
      <c r="C27" s="1">
        <v>79</v>
      </c>
      <c r="D27" s="9">
        <v>5</v>
      </c>
      <c r="E27" s="1">
        <v>23</v>
      </c>
      <c r="F27" s="7" t="s">
        <v>215</v>
      </c>
      <c r="G27" s="1">
        <v>58</v>
      </c>
      <c r="H27" s="1">
        <v>74</v>
      </c>
      <c r="I27" s="1">
        <v>60</v>
      </c>
      <c r="J27" s="1">
        <f>IF(SUM(G27:I27)=0,"",SUM(G27:I27))</f>
        <v>192</v>
      </c>
      <c r="L27" s="7" t="s">
        <v>350</v>
      </c>
      <c r="M27" s="7" t="s">
        <v>487</v>
      </c>
    </row>
    <row r="28" spans="1:19" x14ac:dyDescent="0.25">
      <c r="A28" s="1" t="s">
        <v>4</v>
      </c>
      <c r="B28" s="1" t="s">
        <v>162</v>
      </c>
      <c r="C28" s="1">
        <v>79</v>
      </c>
      <c r="D28" s="1">
        <v>5</v>
      </c>
      <c r="E28" s="1">
        <v>23</v>
      </c>
      <c r="F28" s="7" t="s">
        <v>29</v>
      </c>
      <c r="G28" s="1">
        <v>66</v>
      </c>
      <c r="H28" s="1">
        <v>74</v>
      </c>
      <c r="I28" s="1">
        <v>60</v>
      </c>
      <c r="J28" s="1">
        <f>IF(SUM(G28:I28)=0,"",SUM(G28:I28))</f>
        <v>200</v>
      </c>
      <c r="L28" s="7" t="s">
        <v>163</v>
      </c>
      <c r="M28" s="7" t="s">
        <v>487</v>
      </c>
    </row>
    <row r="29" spans="1:19" x14ac:dyDescent="0.25">
      <c r="A29" s="1" t="s">
        <v>947</v>
      </c>
      <c r="B29" s="1" t="s">
        <v>948</v>
      </c>
      <c r="C29" s="1">
        <v>77</v>
      </c>
      <c r="D29" s="1">
        <v>5</v>
      </c>
      <c r="E29" s="1">
        <v>24</v>
      </c>
      <c r="F29" s="7" t="s">
        <v>913</v>
      </c>
      <c r="G29" s="1">
        <v>56</v>
      </c>
      <c r="H29" s="1">
        <v>85</v>
      </c>
      <c r="I29" s="1">
        <v>50</v>
      </c>
      <c r="J29" s="1">
        <f>IF(SUM(G29:I29)=0,"",SUM(G29:I29))</f>
        <v>191</v>
      </c>
      <c r="K29" s="7" t="s">
        <v>949</v>
      </c>
      <c r="L29" s="7" t="s">
        <v>950</v>
      </c>
      <c r="M29" s="7" t="s">
        <v>918</v>
      </c>
    </row>
    <row r="30" spans="1:19" x14ac:dyDescent="0.25">
      <c r="A30" s="1" t="s">
        <v>1</v>
      </c>
      <c r="B30" s="1" t="s">
        <v>115</v>
      </c>
      <c r="C30" s="1">
        <v>78</v>
      </c>
      <c r="D30" s="10">
        <v>5</v>
      </c>
      <c r="E30" s="1">
        <v>24</v>
      </c>
      <c r="G30" s="1">
        <v>69</v>
      </c>
      <c r="H30" s="1">
        <v>76</v>
      </c>
      <c r="I30" s="1">
        <v>51</v>
      </c>
      <c r="J30" s="1">
        <f>IF(SUM(G30:I30)=0,"",SUM(G30:I30))</f>
        <v>196</v>
      </c>
      <c r="M30" s="7" t="s">
        <v>487</v>
      </c>
    </row>
    <row r="31" spans="1:19" x14ac:dyDescent="0.25">
      <c r="A31" s="1" t="s">
        <v>4</v>
      </c>
      <c r="B31" s="1" t="s">
        <v>477</v>
      </c>
      <c r="C31" s="1">
        <v>80</v>
      </c>
      <c r="D31" s="9">
        <v>5</v>
      </c>
      <c r="E31" s="1">
        <v>24</v>
      </c>
      <c r="F31" s="7" t="s">
        <v>478</v>
      </c>
      <c r="G31" s="1">
        <v>49</v>
      </c>
      <c r="H31" s="1">
        <v>80</v>
      </c>
      <c r="I31" s="1">
        <v>63</v>
      </c>
      <c r="J31" s="1">
        <f>IF(SUM(G31:I31)=0,"",SUM(G31:I31))</f>
        <v>192</v>
      </c>
      <c r="K31" s="7" t="s">
        <v>485</v>
      </c>
      <c r="L31" s="7" t="s">
        <v>486</v>
      </c>
      <c r="M31" s="7" t="s">
        <v>487</v>
      </c>
    </row>
    <row r="32" spans="1:19" x14ac:dyDescent="0.25">
      <c r="A32" s="1" t="s">
        <v>335</v>
      </c>
      <c r="B32" s="1" t="s">
        <v>339</v>
      </c>
      <c r="C32" s="1">
        <v>80</v>
      </c>
      <c r="D32" s="9">
        <v>5</v>
      </c>
      <c r="E32" s="1">
        <v>24</v>
      </c>
      <c r="F32" s="7" t="s">
        <v>215</v>
      </c>
      <c r="G32" s="1">
        <v>66</v>
      </c>
      <c r="H32" s="1">
        <v>74</v>
      </c>
      <c r="I32" s="1">
        <v>63</v>
      </c>
      <c r="J32" s="1">
        <f>IF(SUM(G32:I32)=0,"",SUM(G32:I32))</f>
        <v>203</v>
      </c>
      <c r="L32" s="7" t="s">
        <v>341</v>
      </c>
      <c r="M32" s="7" t="s">
        <v>487</v>
      </c>
    </row>
    <row r="33" spans="1:13" x14ac:dyDescent="0.25">
      <c r="A33" s="1" t="s">
        <v>1374</v>
      </c>
      <c r="B33" s="1" t="s">
        <v>1375</v>
      </c>
      <c r="C33" s="1">
        <v>72</v>
      </c>
      <c r="D33" s="1">
        <v>4</v>
      </c>
      <c r="E33" s="1">
        <v>21</v>
      </c>
      <c r="F33" s="7" t="s">
        <v>1376</v>
      </c>
      <c r="G33" s="1">
        <v>55</v>
      </c>
      <c r="H33" s="1">
        <v>60</v>
      </c>
      <c r="I33" s="1">
        <v>50</v>
      </c>
      <c r="J33" s="1">
        <f>IF(SUM(G33:I33)=0,"",SUM(G33:I33))</f>
        <v>165</v>
      </c>
      <c r="K33" s="7" t="s">
        <v>1377</v>
      </c>
      <c r="L33" s="7" t="s">
        <v>1378</v>
      </c>
      <c r="M33" s="7" t="s">
        <v>1360</v>
      </c>
    </row>
    <row r="34" spans="1:13" x14ac:dyDescent="0.25">
      <c r="A34" s="1" t="s">
        <v>1</v>
      </c>
      <c r="B34" s="1" t="s">
        <v>1340</v>
      </c>
      <c r="C34" s="1">
        <v>72</v>
      </c>
      <c r="D34" s="1">
        <v>4</v>
      </c>
      <c r="E34" s="1">
        <v>22</v>
      </c>
      <c r="F34" s="7" t="s">
        <v>1338</v>
      </c>
      <c r="G34" s="1">
        <v>62</v>
      </c>
      <c r="H34" s="1">
        <v>60</v>
      </c>
      <c r="I34" s="1">
        <v>44</v>
      </c>
      <c r="J34" s="1">
        <f>IF(SUM(G34:I34)=0,"",SUM(G34:I34))</f>
        <v>166</v>
      </c>
      <c r="K34" s="7" t="s">
        <v>1341</v>
      </c>
      <c r="M34" s="7" t="s">
        <v>1332</v>
      </c>
    </row>
    <row r="35" spans="1:13" x14ac:dyDescent="0.25">
      <c r="A35" s="1" t="s">
        <v>803</v>
      </c>
      <c r="B35" s="1" t="s">
        <v>804</v>
      </c>
      <c r="C35" s="1">
        <v>75</v>
      </c>
      <c r="D35" s="1">
        <v>4</v>
      </c>
      <c r="E35" s="1">
        <v>23</v>
      </c>
      <c r="F35" s="7" t="s">
        <v>805</v>
      </c>
      <c r="G35" s="1">
        <v>67</v>
      </c>
      <c r="H35" s="1">
        <v>63</v>
      </c>
      <c r="I35" s="1">
        <v>53</v>
      </c>
      <c r="J35" s="1">
        <f>IF(SUM(G35:I35)=0,"",SUM(G35:I35))</f>
        <v>183</v>
      </c>
      <c r="K35" s="7" t="s">
        <v>806</v>
      </c>
      <c r="L35" s="7" t="s">
        <v>807</v>
      </c>
      <c r="M35" s="7" t="s">
        <v>802</v>
      </c>
    </row>
    <row r="36" spans="1:13" x14ac:dyDescent="0.25">
      <c r="A36" s="1" t="s">
        <v>1508</v>
      </c>
      <c r="B36" s="1" t="s">
        <v>1513</v>
      </c>
      <c r="C36" s="1">
        <v>74</v>
      </c>
      <c r="D36" s="1">
        <v>4</v>
      </c>
      <c r="E36" s="1">
        <v>23</v>
      </c>
      <c r="F36" s="7" t="s">
        <v>1510</v>
      </c>
      <c r="G36" s="1">
        <v>48</v>
      </c>
      <c r="H36" s="1">
        <v>72</v>
      </c>
      <c r="I36" s="1">
        <v>53</v>
      </c>
      <c r="J36" s="1">
        <f>IF(SUM(G36:I36)=0,"",SUM(G36:I36))</f>
        <v>173</v>
      </c>
      <c r="L36" s="7" t="s">
        <v>1514</v>
      </c>
      <c r="M36" s="7" t="s">
        <v>1454</v>
      </c>
    </row>
    <row r="37" spans="1:13" x14ac:dyDescent="0.25">
      <c r="A37" s="1" t="s">
        <v>664</v>
      </c>
      <c r="B37" s="1" t="s">
        <v>665</v>
      </c>
      <c r="C37" s="1">
        <v>75</v>
      </c>
      <c r="D37" s="1">
        <v>4</v>
      </c>
      <c r="E37" s="1">
        <v>23</v>
      </c>
      <c r="F37" s="7" t="s">
        <v>666</v>
      </c>
      <c r="G37" s="1">
        <v>48</v>
      </c>
      <c r="H37" s="1">
        <v>74</v>
      </c>
      <c r="I37" s="1">
        <v>58</v>
      </c>
      <c r="J37" s="1">
        <f>IF(SUM(G37:I37)=0,"",SUM(G37:I37))</f>
        <v>180</v>
      </c>
      <c r="K37" s="7" t="s">
        <v>667</v>
      </c>
      <c r="M37" s="7" t="s">
        <v>644</v>
      </c>
    </row>
    <row r="38" spans="1:13" x14ac:dyDescent="0.25">
      <c r="A38" s="1" t="s">
        <v>1352</v>
      </c>
      <c r="B38" s="1" t="s">
        <v>1353</v>
      </c>
      <c r="C38" s="1">
        <v>77</v>
      </c>
      <c r="D38" s="1">
        <v>4</v>
      </c>
      <c r="E38" s="1">
        <v>24</v>
      </c>
      <c r="F38" s="7" t="s">
        <v>1354</v>
      </c>
      <c r="G38" s="1">
        <v>37</v>
      </c>
      <c r="H38" s="1">
        <v>86</v>
      </c>
      <c r="I38" s="1">
        <v>63</v>
      </c>
      <c r="J38" s="1">
        <f>IF(SUM(G38:I38)=0,"",SUM(G38:I38))</f>
        <v>186</v>
      </c>
      <c r="K38" s="7" t="s">
        <v>1355</v>
      </c>
      <c r="L38" s="7" t="s">
        <v>1356</v>
      </c>
      <c r="M38" s="7" t="s">
        <v>1357</v>
      </c>
    </row>
  </sheetData>
  <sortState ref="A1:N40">
    <sortCondition descending="1" ref="D1:D100"/>
    <sortCondition ref="E1:E100"/>
    <sortCondition descending="1" ref="B1:B100"/>
  </sortState>
  <phoneticPr fontId="1" type="noConversion"/>
  <conditionalFormatting sqref="B1:B17 B25:B1048576 B19:B21">
    <cfRule type="duplicateValues" dxfId="84" priority="5"/>
  </conditionalFormatting>
  <conditionalFormatting sqref="A1:A17 A24:A1048576 A19:A21">
    <cfRule type="containsText" dxfId="83" priority="1" operator="containsText" text="RMF">
      <formula>NOT(ISERROR(SEARCH("RMF",A1)))</formula>
    </cfRule>
    <cfRule type="containsText" dxfId="82" priority="2" operator="containsText" text="LMF">
      <formula>NOT(ISERROR(SEARCH("LMF",A1)))</formula>
    </cfRule>
  </conditionalFormatting>
  <pageMargins left="0.7" right="0.7" top="0.75" bottom="0.75" header="0.3" footer="0.3"/>
  <ignoredErrors>
    <ignoredError sqref="O1:O1048576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S37"/>
  <sheetViews>
    <sheetView topLeftCell="A11" workbookViewId="0">
      <selection activeCell="A38" sqref="A38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20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298</v>
      </c>
      <c r="B1" s="1" t="s">
        <v>1634</v>
      </c>
      <c r="C1" s="1">
        <v>71</v>
      </c>
      <c r="D1" s="1">
        <v>6</v>
      </c>
      <c r="E1" s="1">
        <v>21</v>
      </c>
      <c r="F1" s="7" t="s">
        <v>1635</v>
      </c>
      <c r="G1" s="1">
        <v>52</v>
      </c>
      <c r="H1" s="1">
        <v>64</v>
      </c>
      <c r="I1" s="1">
        <v>47</v>
      </c>
      <c r="J1" s="1">
        <f>IF(SUM(G1:I1)=0,"",SUM(G1:I1))</f>
        <v>163</v>
      </c>
      <c r="K1" s="7" t="s">
        <v>1636</v>
      </c>
      <c r="L1" s="7" t="s">
        <v>1580</v>
      </c>
      <c r="M1" s="7" t="s">
        <v>1588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37</v>
      </c>
      <c r="B2" s="1" t="s">
        <v>103</v>
      </c>
      <c r="C2" s="1">
        <v>80</v>
      </c>
      <c r="D2" s="1">
        <v>6</v>
      </c>
      <c r="E2" s="1">
        <v>22</v>
      </c>
      <c r="F2" s="7" t="s">
        <v>29</v>
      </c>
      <c r="G2" s="1">
        <v>68</v>
      </c>
      <c r="H2" s="1">
        <v>76</v>
      </c>
      <c r="I2" s="1">
        <v>58</v>
      </c>
      <c r="J2" s="1">
        <f>IF(SUM(G2:I2)=0,"",SUM(G2:I2))</f>
        <v>202</v>
      </c>
      <c r="L2" s="7" t="s">
        <v>201</v>
      </c>
      <c r="M2" s="7" t="s">
        <v>447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985</v>
      </c>
      <c r="B3" s="1" t="s">
        <v>986</v>
      </c>
      <c r="C3" s="1">
        <v>79</v>
      </c>
      <c r="D3" s="1">
        <v>6</v>
      </c>
      <c r="E3" s="1">
        <v>22</v>
      </c>
      <c r="F3" s="7" t="s">
        <v>913</v>
      </c>
      <c r="G3" s="1">
        <v>79</v>
      </c>
      <c r="H3" s="1">
        <v>83</v>
      </c>
      <c r="I3" s="1">
        <v>41</v>
      </c>
      <c r="J3" s="1">
        <f>IF(SUM(G3:I3)=0,"",SUM(G3:I3))</f>
        <v>203</v>
      </c>
      <c r="L3" s="7" t="s">
        <v>931</v>
      </c>
      <c r="M3" s="7" t="s">
        <v>918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911</v>
      </c>
      <c r="B4" s="1" t="s">
        <v>912</v>
      </c>
      <c r="C4" s="1">
        <v>81</v>
      </c>
      <c r="D4" s="1">
        <v>6</v>
      </c>
      <c r="E4" s="1">
        <v>23</v>
      </c>
      <c r="F4" s="7" t="s">
        <v>913</v>
      </c>
      <c r="G4" s="1">
        <v>68</v>
      </c>
      <c r="H4" s="1">
        <v>75</v>
      </c>
      <c r="I4" s="1">
        <v>59</v>
      </c>
      <c r="J4" s="1">
        <f>IF(SUM(G4:I4)=0,"",SUM(G4:I4))</f>
        <v>202</v>
      </c>
      <c r="K4" s="7" t="s">
        <v>914</v>
      </c>
      <c r="L4" s="7" t="s">
        <v>915</v>
      </c>
      <c r="M4" s="7" t="s">
        <v>916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1501</v>
      </c>
      <c r="B5" s="1" t="s">
        <v>1493</v>
      </c>
      <c r="C5" s="1">
        <v>82</v>
      </c>
      <c r="D5" s="1">
        <v>6</v>
      </c>
      <c r="E5" s="1">
        <v>23</v>
      </c>
      <c r="F5" s="7" t="s">
        <v>1502</v>
      </c>
      <c r="G5" s="1">
        <v>55</v>
      </c>
      <c r="H5" s="1">
        <v>79</v>
      </c>
      <c r="I5" s="1">
        <v>64</v>
      </c>
      <c r="J5" s="1">
        <f>IF(SUM(G5:I5)=0,"",SUM(G5:I5))</f>
        <v>198</v>
      </c>
      <c r="K5" s="7" t="s">
        <v>1503</v>
      </c>
      <c r="L5" s="7" t="s">
        <v>1504</v>
      </c>
      <c r="M5" s="7" t="s">
        <v>1454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132</v>
      </c>
      <c r="B6" s="1" t="s">
        <v>147</v>
      </c>
      <c r="C6" s="1">
        <v>84</v>
      </c>
      <c r="D6" s="1">
        <v>6</v>
      </c>
      <c r="E6" s="1">
        <v>24</v>
      </c>
      <c r="G6" s="1">
        <v>71</v>
      </c>
      <c r="H6" s="1">
        <v>69</v>
      </c>
      <c r="I6" s="1">
        <v>72</v>
      </c>
      <c r="J6" s="1">
        <f>IF(SUM(G6:I6)=0,"",SUM(G6:I6))</f>
        <v>212</v>
      </c>
      <c r="L6" s="7" t="s">
        <v>202</v>
      </c>
      <c r="M6" s="7" t="s">
        <v>447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1143</v>
      </c>
      <c r="B7" s="1" t="s">
        <v>1144</v>
      </c>
      <c r="C7" s="1">
        <v>82</v>
      </c>
      <c r="D7" s="1">
        <v>6</v>
      </c>
      <c r="E7" s="1">
        <v>24</v>
      </c>
      <c r="F7" s="7" t="s">
        <v>1145</v>
      </c>
      <c r="G7" s="1">
        <v>68</v>
      </c>
      <c r="H7" s="1">
        <v>74</v>
      </c>
      <c r="I7" s="1">
        <v>63</v>
      </c>
      <c r="J7" s="1">
        <f>IF(SUM(G7:I7)=0,"",SUM(G7:I7))</f>
        <v>205</v>
      </c>
      <c r="K7" s="7" t="s">
        <v>1146</v>
      </c>
      <c r="L7" s="7" t="s">
        <v>1147</v>
      </c>
      <c r="M7" s="7" t="s">
        <v>1148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37</v>
      </c>
      <c r="B8" s="1" t="s">
        <v>138</v>
      </c>
      <c r="C8" s="1">
        <v>84</v>
      </c>
      <c r="D8" s="1">
        <v>6</v>
      </c>
      <c r="E8" s="1">
        <v>24</v>
      </c>
      <c r="F8" s="7" t="s">
        <v>29</v>
      </c>
      <c r="G8" s="1">
        <v>62</v>
      </c>
      <c r="H8" s="1">
        <v>73</v>
      </c>
      <c r="I8" s="1">
        <v>76</v>
      </c>
      <c r="J8" s="1">
        <f>IF(SUM(G8:I8)=0,"",SUM(G8:I8))</f>
        <v>211</v>
      </c>
      <c r="L8" s="7" t="s">
        <v>190</v>
      </c>
      <c r="M8" s="7" t="s">
        <v>447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1402</v>
      </c>
      <c r="B9" s="1" t="s">
        <v>1403</v>
      </c>
      <c r="C9" s="1">
        <v>83</v>
      </c>
      <c r="D9" s="1">
        <v>6</v>
      </c>
      <c r="E9" s="1">
        <v>24</v>
      </c>
      <c r="F9" s="7" t="s">
        <v>1404</v>
      </c>
      <c r="G9" s="1">
        <v>81</v>
      </c>
      <c r="H9" s="1">
        <v>83</v>
      </c>
      <c r="I9" s="1">
        <v>49</v>
      </c>
      <c r="J9" s="1">
        <f>IF(SUM(G9:I9)=0,"",SUM(G9:I9))</f>
        <v>213</v>
      </c>
      <c r="L9" s="7" t="s">
        <v>1405</v>
      </c>
      <c r="M9" s="7" t="s">
        <v>1406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132</v>
      </c>
      <c r="B10" s="1" t="s">
        <v>178</v>
      </c>
      <c r="C10" s="1">
        <v>83</v>
      </c>
      <c r="D10" s="4">
        <v>6</v>
      </c>
      <c r="E10" s="1">
        <v>24</v>
      </c>
      <c r="F10" s="7" t="s">
        <v>29</v>
      </c>
      <c r="G10" s="1">
        <v>72</v>
      </c>
      <c r="H10" s="1">
        <v>65</v>
      </c>
      <c r="I10" s="1">
        <v>62</v>
      </c>
      <c r="J10" s="1">
        <f>IF(SUM(G10:I10)=0,"",SUM(G10:I10))</f>
        <v>199</v>
      </c>
      <c r="L10" s="7" t="s">
        <v>179</v>
      </c>
      <c r="M10" s="7" t="s">
        <v>447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132</v>
      </c>
      <c r="B11" s="1" t="s">
        <v>151</v>
      </c>
      <c r="C11" s="1">
        <v>83</v>
      </c>
      <c r="D11" s="1">
        <v>6</v>
      </c>
      <c r="E11" s="1">
        <v>24</v>
      </c>
      <c r="G11" s="1">
        <v>71</v>
      </c>
      <c r="H11" s="1">
        <v>65</v>
      </c>
      <c r="I11" s="1">
        <v>61</v>
      </c>
      <c r="J11" s="1">
        <f>IF(SUM(G11:I11)=0,"",SUM(G11:I11))</f>
        <v>197</v>
      </c>
      <c r="L11" s="7" t="s">
        <v>135</v>
      </c>
      <c r="M11" s="7" t="s">
        <v>447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37</v>
      </c>
      <c r="B12" s="1" t="s">
        <v>114</v>
      </c>
      <c r="C12" s="1">
        <v>74</v>
      </c>
      <c r="D12" s="1">
        <v>5</v>
      </c>
      <c r="E12" s="1">
        <v>18</v>
      </c>
      <c r="F12" s="7" t="s">
        <v>29</v>
      </c>
      <c r="G12" s="1">
        <v>68</v>
      </c>
      <c r="H12" s="1">
        <v>73</v>
      </c>
      <c r="I12" s="1">
        <v>39</v>
      </c>
      <c r="J12" s="1">
        <f>IF(SUM(G12:I12)=0,"",SUM(G12:I12))</f>
        <v>180</v>
      </c>
      <c r="L12" s="7" t="s">
        <v>33</v>
      </c>
      <c r="M12" s="7" t="s">
        <v>447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298</v>
      </c>
      <c r="B13" s="1" t="s">
        <v>299</v>
      </c>
      <c r="C13" s="1">
        <v>71</v>
      </c>
      <c r="D13" s="1">
        <v>5</v>
      </c>
      <c r="E13" s="1">
        <v>19</v>
      </c>
      <c r="F13" s="7" t="s">
        <v>29</v>
      </c>
      <c r="G13" s="1">
        <v>49</v>
      </c>
      <c r="H13" s="1">
        <v>69</v>
      </c>
      <c r="I13" s="1">
        <v>44</v>
      </c>
      <c r="J13" s="1">
        <f>IF(SUM(G13:I13)=0,"",SUM(G13:I13))</f>
        <v>162</v>
      </c>
      <c r="M13" s="7" t="s">
        <v>447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1630</v>
      </c>
      <c r="B14" s="1" t="s">
        <v>1631</v>
      </c>
      <c r="C14" s="1">
        <v>72</v>
      </c>
      <c r="D14" s="1">
        <v>5</v>
      </c>
      <c r="E14" s="1">
        <v>20</v>
      </c>
      <c r="F14" s="7" t="s">
        <v>1632</v>
      </c>
      <c r="G14" s="1">
        <v>56</v>
      </c>
      <c r="H14" s="1">
        <v>65</v>
      </c>
      <c r="I14" s="1">
        <v>50</v>
      </c>
      <c r="J14" s="1">
        <f>IF(SUM(G14:I14)=0,"",SUM(G14:I14))</f>
        <v>171</v>
      </c>
      <c r="K14" s="7" t="s">
        <v>1633</v>
      </c>
      <c r="L14" s="7" t="s">
        <v>1606</v>
      </c>
      <c r="M14" s="7" t="s">
        <v>1581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390</v>
      </c>
      <c r="B15" s="1" t="s">
        <v>391</v>
      </c>
      <c r="C15" s="1">
        <v>75</v>
      </c>
      <c r="D15" s="1">
        <v>5</v>
      </c>
      <c r="E15" s="1">
        <v>21</v>
      </c>
      <c r="F15" s="7" t="s">
        <v>29</v>
      </c>
      <c r="G15" s="1">
        <v>73</v>
      </c>
      <c r="H15" s="1">
        <v>82</v>
      </c>
      <c r="I15" s="1">
        <v>47</v>
      </c>
      <c r="J15" s="1">
        <f>IF(SUM(G15:I15)=0,"",SUM(G15:I15))</f>
        <v>202</v>
      </c>
      <c r="L15" s="7" t="s">
        <v>392</v>
      </c>
      <c r="M15" s="7" t="s">
        <v>447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37</v>
      </c>
      <c r="B16" s="1" t="s">
        <v>1012</v>
      </c>
      <c r="C16" s="1">
        <v>76</v>
      </c>
      <c r="D16" s="1">
        <v>5</v>
      </c>
      <c r="E16" s="1">
        <v>21</v>
      </c>
      <c r="F16" s="7" t="s">
        <v>913</v>
      </c>
      <c r="G16" s="1">
        <v>45</v>
      </c>
      <c r="H16" s="1">
        <v>77</v>
      </c>
      <c r="I16" s="1">
        <v>55</v>
      </c>
      <c r="J16" s="1">
        <f>IF(SUM(G16:I16)=0,"",SUM(G16:I16))</f>
        <v>177</v>
      </c>
      <c r="M16" s="7" t="s">
        <v>918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37</v>
      </c>
      <c r="B17" s="1" t="s">
        <v>295</v>
      </c>
      <c r="C17" s="1">
        <v>75</v>
      </c>
      <c r="D17" s="1">
        <v>5</v>
      </c>
      <c r="E17" s="1">
        <v>21</v>
      </c>
      <c r="F17" s="7" t="s">
        <v>29</v>
      </c>
      <c r="G17" s="1">
        <v>59</v>
      </c>
      <c r="H17" s="1">
        <v>67</v>
      </c>
      <c r="I17" s="1">
        <v>54</v>
      </c>
      <c r="J17" s="1">
        <f>IF(SUM(G17:I17)=0,"",SUM(G17:I17))</f>
        <v>180</v>
      </c>
      <c r="L17" s="7" t="s">
        <v>296</v>
      </c>
      <c r="M17" s="7" t="s">
        <v>447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37</v>
      </c>
      <c r="B18" s="1" t="s">
        <v>38</v>
      </c>
      <c r="C18" s="1">
        <v>75</v>
      </c>
      <c r="D18" s="1">
        <v>5</v>
      </c>
      <c r="E18" s="1">
        <v>21</v>
      </c>
      <c r="F18" s="7" t="s">
        <v>29</v>
      </c>
      <c r="G18" s="1">
        <v>55</v>
      </c>
      <c r="H18" s="1">
        <v>59</v>
      </c>
      <c r="I18" s="1">
        <v>53</v>
      </c>
      <c r="J18" s="1">
        <f>IF(SUM(G18:I18)=0,"",SUM(G18:I18))</f>
        <v>167</v>
      </c>
      <c r="M18" s="7" t="s">
        <v>447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797</v>
      </c>
      <c r="B19" s="1" t="s">
        <v>798</v>
      </c>
      <c r="C19" s="1">
        <v>74</v>
      </c>
      <c r="D19" s="1">
        <v>5</v>
      </c>
      <c r="E19" s="1">
        <v>21</v>
      </c>
      <c r="F19" s="7" t="s">
        <v>799</v>
      </c>
      <c r="G19" s="1">
        <v>49</v>
      </c>
      <c r="H19" s="1">
        <v>89</v>
      </c>
      <c r="I19" s="1">
        <v>37</v>
      </c>
      <c r="J19" s="1">
        <f>IF(SUM(G19:I19)=0,"",SUM(G19:I19))</f>
        <v>175</v>
      </c>
      <c r="K19" s="7" t="s">
        <v>800</v>
      </c>
      <c r="L19" s="7" t="s">
        <v>801</v>
      </c>
      <c r="M19" s="7" t="s">
        <v>802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656</v>
      </c>
      <c r="B20" s="1" t="s">
        <v>657</v>
      </c>
      <c r="C20" s="1">
        <v>75</v>
      </c>
      <c r="D20" s="1">
        <v>5</v>
      </c>
      <c r="E20" s="1">
        <v>21</v>
      </c>
      <c r="F20" s="7" t="s">
        <v>658</v>
      </c>
      <c r="G20" s="1">
        <v>54</v>
      </c>
      <c r="H20" s="1">
        <v>75</v>
      </c>
      <c r="I20" s="1">
        <v>54</v>
      </c>
      <c r="J20" s="1">
        <f>IF(SUM(G20:I20)=0,"",SUM(G20:I20))</f>
        <v>183</v>
      </c>
      <c r="K20" s="7" t="s">
        <v>659</v>
      </c>
      <c r="L20" s="7" t="s">
        <v>660</v>
      </c>
      <c r="M20" s="7" t="s">
        <v>651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132</v>
      </c>
      <c r="B21" s="1" t="s">
        <v>157</v>
      </c>
      <c r="C21" s="1">
        <v>77</v>
      </c>
      <c r="D21" s="1">
        <v>5</v>
      </c>
      <c r="E21" s="1">
        <v>22</v>
      </c>
      <c r="F21" s="7" t="s">
        <v>29</v>
      </c>
      <c r="G21" s="1">
        <v>77</v>
      </c>
      <c r="H21" s="1">
        <v>53</v>
      </c>
      <c r="I21" s="1">
        <v>55</v>
      </c>
      <c r="J21" s="1">
        <f>IF(SUM(G21:I21)=0,"",SUM(G21:I21))</f>
        <v>185</v>
      </c>
      <c r="L21" s="7" t="s">
        <v>361</v>
      </c>
      <c r="M21" s="7" t="s">
        <v>447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848</v>
      </c>
      <c r="B22" s="1" t="s">
        <v>849</v>
      </c>
      <c r="C22" s="1">
        <v>76</v>
      </c>
      <c r="D22" s="1">
        <v>5</v>
      </c>
      <c r="E22" s="1">
        <v>22</v>
      </c>
      <c r="F22" s="7" t="s">
        <v>850</v>
      </c>
      <c r="G22" s="1">
        <v>57</v>
      </c>
      <c r="H22" s="1">
        <v>55</v>
      </c>
      <c r="I22" s="1">
        <v>60</v>
      </c>
      <c r="J22" s="1">
        <f>IF(SUM(G22:I22)=0,"",SUM(G22:I22))</f>
        <v>172</v>
      </c>
      <c r="K22" s="7" t="s">
        <v>851</v>
      </c>
      <c r="M22" s="7" t="s">
        <v>852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911</v>
      </c>
      <c r="B23" s="1" t="s">
        <v>951</v>
      </c>
      <c r="C23" s="1">
        <v>81</v>
      </c>
      <c r="D23" s="1">
        <v>5</v>
      </c>
      <c r="E23" s="1">
        <v>22</v>
      </c>
      <c r="F23" s="7" t="s">
        <v>913</v>
      </c>
      <c r="G23" s="1">
        <v>34</v>
      </c>
      <c r="H23" s="1">
        <v>94</v>
      </c>
      <c r="I23" s="1">
        <v>67</v>
      </c>
      <c r="J23" s="1">
        <f>IF(SUM(G23:I23)=0,"",SUM(G23:I23))</f>
        <v>195</v>
      </c>
      <c r="K23" s="7" t="s">
        <v>952</v>
      </c>
      <c r="M23" s="7" t="s">
        <v>953</v>
      </c>
    </row>
    <row r="24" spans="1:19" x14ac:dyDescent="0.25">
      <c r="A24" s="1" t="s">
        <v>693</v>
      </c>
      <c r="B24" s="1" t="s">
        <v>694</v>
      </c>
      <c r="C24" s="1">
        <v>81</v>
      </c>
      <c r="D24" s="3">
        <v>5</v>
      </c>
      <c r="E24" s="1">
        <v>23</v>
      </c>
      <c r="F24" s="7" t="s">
        <v>695</v>
      </c>
      <c r="G24" s="1">
        <v>59</v>
      </c>
      <c r="H24" s="1">
        <v>85</v>
      </c>
      <c r="I24" s="1">
        <v>65</v>
      </c>
      <c r="J24" s="1">
        <f>IF(SUM(G24:I24)=0,"",SUM(G24:I24))</f>
        <v>209</v>
      </c>
      <c r="K24" s="7" t="s">
        <v>696</v>
      </c>
      <c r="M24" s="7" t="s">
        <v>697</v>
      </c>
    </row>
    <row r="25" spans="1:19" x14ac:dyDescent="0.25">
      <c r="A25" s="1" t="s">
        <v>1143</v>
      </c>
      <c r="B25" s="1" t="s">
        <v>1179</v>
      </c>
      <c r="C25" s="1">
        <v>78</v>
      </c>
      <c r="D25" s="1">
        <v>5</v>
      </c>
      <c r="E25" s="1">
        <v>23</v>
      </c>
      <c r="G25" s="1">
        <v>86</v>
      </c>
      <c r="H25" s="1">
        <v>37</v>
      </c>
      <c r="I25" s="1">
        <v>48</v>
      </c>
      <c r="J25" s="1">
        <f>IF(SUM(G25:I25)=0,"",SUM(G25:I25))</f>
        <v>171</v>
      </c>
      <c r="M25" s="7" t="s">
        <v>1148</v>
      </c>
    </row>
    <row r="26" spans="1:19" x14ac:dyDescent="0.25">
      <c r="A26" s="1" t="s">
        <v>622</v>
      </c>
      <c r="B26" s="1" t="s">
        <v>623</v>
      </c>
      <c r="C26" s="1">
        <v>79</v>
      </c>
      <c r="D26" s="1">
        <v>5</v>
      </c>
      <c r="E26" s="1">
        <v>23</v>
      </c>
      <c r="F26" s="7" t="s">
        <v>624</v>
      </c>
      <c r="G26" s="1">
        <v>58</v>
      </c>
      <c r="H26" s="1">
        <v>71</v>
      </c>
      <c r="I26" s="1">
        <v>58</v>
      </c>
      <c r="J26" s="1">
        <f>IF(SUM(G26:I26)=0,"",SUM(G26:I26))</f>
        <v>187</v>
      </c>
      <c r="K26" s="7" t="s">
        <v>625</v>
      </c>
      <c r="L26" s="7" t="s">
        <v>626</v>
      </c>
      <c r="M26" s="7" t="s">
        <v>627</v>
      </c>
    </row>
    <row r="27" spans="1:19" x14ac:dyDescent="0.25">
      <c r="A27" s="1" t="s">
        <v>1505</v>
      </c>
      <c r="B27" s="1" t="s">
        <v>1506</v>
      </c>
      <c r="C27" s="1">
        <v>79</v>
      </c>
      <c r="D27" s="1">
        <v>5</v>
      </c>
      <c r="E27" s="1">
        <v>24</v>
      </c>
      <c r="F27" s="7" t="s">
        <v>1502</v>
      </c>
      <c r="G27" s="1">
        <v>59</v>
      </c>
      <c r="H27" s="1">
        <v>71</v>
      </c>
      <c r="I27" s="1">
        <v>58</v>
      </c>
      <c r="J27" s="1">
        <f>IF(SUM(G27:I27)=0,"",SUM(G27:I27))</f>
        <v>188</v>
      </c>
      <c r="L27" s="7" t="s">
        <v>1507</v>
      </c>
      <c r="M27" s="7" t="s">
        <v>1454</v>
      </c>
    </row>
    <row r="28" spans="1:19" x14ac:dyDescent="0.25">
      <c r="A28" s="1" t="s">
        <v>1042</v>
      </c>
      <c r="B28" s="1" t="s">
        <v>1043</v>
      </c>
      <c r="C28" s="1">
        <v>79</v>
      </c>
      <c r="D28" s="1">
        <v>5</v>
      </c>
      <c r="E28" s="1">
        <v>24</v>
      </c>
      <c r="F28" s="7" t="s">
        <v>1044</v>
      </c>
      <c r="G28" s="1">
        <v>59</v>
      </c>
      <c r="H28" s="1">
        <v>85</v>
      </c>
      <c r="I28" s="1">
        <v>60</v>
      </c>
      <c r="J28" s="1">
        <f>IF(SUM(G28:I28)=0,"",SUM(G28:I28))</f>
        <v>204</v>
      </c>
      <c r="K28" s="7" t="s">
        <v>1045</v>
      </c>
      <c r="M28" s="7" t="s">
        <v>1039</v>
      </c>
    </row>
    <row r="29" spans="1:19" x14ac:dyDescent="0.25">
      <c r="A29" s="1" t="s">
        <v>359</v>
      </c>
      <c r="B29" s="1" t="s">
        <v>1219</v>
      </c>
      <c r="C29" s="1">
        <v>79</v>
      </c>
      <c r="D29" s="1">
        <v>5</v>
      </c>
      <c r="E29" s="1">
        <v>24</v>
      </c>
      <c r="F29" s="7" t="s">
        <v>1220</v>
      </c>
      <c r="G29" s="1">
        <v>61</v>
      </c>
      <c r="H29" s="1">
        <v>69</v>
      </c>
      <c r="I29" s="1">
        <v>62</v>
      </c>
      <c r="J29" s="1">
        <f>IF(SUM(G29:I29)=0,"",SUM(G29:I29))</f>
        <v>192</v>
      </c>
      <c r="K29" s="7" t="s">
        <v>1221</v>
      </c>
      <c r="L29" s="7" t="s">
        <v>1222</v>
      </c>
      <c r="M29" s="7" t="s">
        <v>1223</v>
      </c>
    </row>
    <row r="30" spans="1:19" x14ac:dyDescent="0.25">
      <c r="A30" s="1" t="s">
        <v>37</v>
      </c>
      <c r="B30" s="1" t="s">
        <v>838</v>
      </c>
      <c r="C30" s="1">
        <v>58</v>
      </c>
      <c r="D30" s="1">
        <v>4</v>
      </c>
      <c r="E30" s="1">
        <v>18</v>
      </c>
      <c r="G30" s="1">
        <v>39</v>
      </c>
      <c r="H30" s="1">
        <v>44</v>
      </c>
      <c r="I30" s="1">
        <v>24</v>
      </c>
      <c r="J30" s="1">
        <f>IF(SUM(G30:I30)=0,"",SUM(G30:I30))</f>
        <v>107</v>
      </c>
      <c r="M30" s="7" t="s">
        <v>839</v>
      </c>
    </row>
    <row r="31" spans="1:19" x14ac:dyDescent="0.25">
      <c r="A31" s="1" t="s">
        <v>37</v>
      </c>
      <c r="B31" s="1" t="s">
        <v>39</v>
      </c>
      <c r="C31" s="1">
        <v>70</v>
      </c>
      <c r="D31" s="1">
        <v>4</v>
      </c>
      <c r="E31" s="1">
        <v>19</v>
      </c>
      <c r="F31" s="7" t="s">
        <v>29</v>
      </c>
      <c r="G31" s="1">
        <v>48</v>
      </c>
      <c r="H31" s="1">
        <v>70</v>
      </c>
      <c r="I31" s="1">
        <v>49</v>
      </c>
      <c r="J31" s="1">
        <f>IF(SUM(G31:I31)=0,"",SUM(G31:I31))</f>
        <v>167</v>
      </c>
      <c r="L31" s="7" t="s">
        <v>133</v>
      </c>
      <c r="M31" s="7" t="s">
        <v>447</v>
      </c>
    </row>
    <row r="32" spans="1:19" x14ac:dyDescent="0.25">
      <c r="A32" s="1" t="s">
        <v>834</v>
      </c>
      <c r="B32" s="1" t="s">
        <v>835</v>
      </c>
      <c r="C32" s="1">
        <v>61</v>
      </c>
      <c r="D32" s="1">
        <v>4</v>
      </c>
      <c r="E32" s="1">
        <v>21</v>
      </c>
      <c r="F32" s="7" t="s">
        <v>836</v>
      </c>
      <c r="G32" s="1">
        <v>41</v>
      </c>
      <c r="H32" s="1">
        <v>62</v>
      </c>
      <c r="I32" s="1">
        <v>30</v>
      </c>
      <c r="J32" s="1">
        <f>IF(SUM(G32:I32)=0,"",SUM(G32:I32))</f>
        <v>133</v>
      </c>
      <c r="M32" s="7" t="s">
        <v>837</v>
      </c>
    </row>
    <row r="33" spans="1:13" x14ac:dyDescent="0.25">
      <c r="A33" s="1" t="s">
        <v>680</v>
      </c>
      <c r="B33" s="1" t="s">
        <v>681</v>
      </c>
      <c r="C33" s="1">
        <v>71</v>
      </c>
      <c r="D33" s="1">
        <v>4</v>
      </c>
      <c r="E33" s="1">
        <v>21</v>
      </c>
      <c r="G33" s="1">
        <v>60</v>
      </c>
      <c r="H33" s="1">
        <v>71</v>
      </c>
      <c r="I33" s="1">
        <v>34</v>
      </c>
      <c r="J33" s="1">
        <f>IF(SUM(G33:I33)=0,"",SUM(G33:I33))</f>
        <v>165</v>
      </c>
      <c r="M33" s="7" t="s">
        <v>682</v>
      </c>
    </row>
    <row r="34" spans="1:13" x14ac:dyDescent="0.25">
      <c r="A34" s="1" t="s">
        <v>359</v>
      </c>
      <c r="B34" s="1" t="s">
        <v>1500</v>
      </c>
      <c r="C34" s="1">
        <v>72</v>
      </c>
      <c r="D34" s="1">
        <v>4</v>
      </c>
      <c r="E34" s="1">
        <v>22</v>
      </c>
      <c r="G34" s="1">
        <v>66</v>
      </c>
      <c r="H34" s="1">
        <v>56</v>
      </c>
      <c r="I34" s="1">
        <v>45</v>
      </c>
      <c r="J34" s="1">
        <f>IF(SUM(G34:I34)=0,"",SUM(G34:I34))</f>
        <v>167</v>
      </c>
      <c r="M34" s="7" t="s">
        <v>1454</v>
      </c>
    </row>
    <row r="35" spans="1:13" x14ac:dyDescent="0.25">
      <c r="A35" s="1" t="s">
        <v>37</v>
      </c>
      <c r="B35" s="1" t="s">
        <v>1337</v>
      </c>
      <c r="C35" s="1">
        <v>74</v>
      </c>
      <c r="D35" s="1">
        <v>4</v>
      </c>
      <c r="E35" s="1">
        <v>23</v>
      </c>
      <c r="F35" s="7" t="s">
        <v>1338</v>
      </c>
      <c r="G35" s="1">
        <v>65</v>
      </c>
      <c r="H35" s="1">
        <v>70</v>
      </c>
      <c r="I35" s="1">
        <v>45</v>
      </c>
      <c r="J35" s="1">
        <f>IF(SUM(G35:I35)=0,"",SUM(G35:I35))</f>
        <v>180</v>
      </c>
      <c r="L35" s="7" t="s">
        <v>1339</v>
      </c>
      <c r="M35" s="7" t="s">
        <v>1332</v>
      </c>
    </row>
    <row r="36" spans="1:13" x14ac:dyDescent="0.25">
      <c r="A36" s="1" t="s">
        <v>878</v>
      </c>
      <c r="B36" s="1" t="s">
        <v>879</v>
      </c>
      <c r="C36" s="1">
        <v>75</v>
      </c>
      <c r="D36" s="1">
        <v>4</v>
      </c>
      <c r="E36" s="1">
        <v>23</v>
      </c>
      <c r="G36" s="1">
        <v>59</v>
      </c>
      <c r="H36" s="1">
        <v>66</v>
      </c>
      <c r="I36" s="1">
        <v>52</v>
      </c>
      <c r="J36" s="1">
        <f>IF(SUM(G36:I36)=0,"",SUM(G36:I36))</f>
        <v>177</v>
      </c>
      <c r="M36" s="7" t="s">
        <v>855</v>
      </c>
    </row>
    <row r="37" spans="1:13" x14ac:dyDescent="0.25">
      <c r="A37" s="1" t="s">
        <v>834</v>
      </c>
      <c r="B37" s="1" t="s">
        <v>1254</v>
      </c>
      <c r="C37" s="1">
        <v>70</v>
      </c>
      <c r="D37" s="1">
        <v>4</v>
      </c>
      <c r="E37" s="1">
        <v>24</v>
      </c>
      <c r="F37" s="7" t="s">
        <v>1255</v>
      </c>
      <c r="G37" s="1">
        <v>43</v>
      </c>
      <c r="H37" s="1">
        <v>75</v>
      </c>
      <c r="I37" s="1">
        <v>45</v>
      </c>
      <c r="J37" s="1">
        <f>IF(SUM(G37:I37)=0,"",SUM(G37:I37))</f>
        <v>163</v>
      </c>
      <c r="K37" s="7" t="s">
        <v>1256</v>
      </c>
      <c r="M37" s="7" t="s">
        <v>1257</v>
      </c>
    </row>
  </sheetData>
  <sortState ref="A1:N38">
    <sortCondition descending="1" ref="D1:D100"/>
    <sortCondition ref="E1:E100"/>
    <sortCondition descending="1" ref="B1:B100"/>
  </sortState>
  <phoneticPr fontId="1" type="noConversion"/>
  <conditionalFormatting sqref="B1:B11 B16:B1048576">
    <cfRule type="duplicateValues" dxfId="81" priority="4"/>
  </conditionalFormatting>
  <conditionalFormatting sqref="A1:A12 A14:A1048576">
    <cfRule type="containsText" dxfId="80" priority="1" operator="containsText" text="RMF">
      <formula>NOT(ISERROR(SEARCH("RMF",A1)))</formula>
    </cfRule>
    <cfRule type="containsText" dxfId="79" priority="2" operator="containsText" text="LMF">
      <formula>NOT(ISERROR(SEARCH("LMF",A1)))</formula>
    </cfRule>
  </conditionalFormatting>
  <pageMargins left="0.7" right="0.7" top="0.75" bottom="0.75" header="0.3" footer="0.3"/>
  <pageSetup paperSize="9" orientation="portrait" r:id="rId1"/>
  <ignoredErrors>
    <ignoredError sqref="O1:O1048576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S34"/>
  <sheetViews>
    <sheetView workbookViewId="0">
      <selection activeCell="A35" sqref="A35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2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1407</v>
      </c>
      <c r="B1" s="1" t="s">
        <v>1408</v>
      </c>
      <c r="C1" s="1">
        <v>81</v>
      </c>
      <c r="D1" s="1">
        <v>7</v>
      </c>
      <c r="E1" s="1">
        <v>20</v>
      </c>
      <c r="F1" s="7" t="s">
        <v>1409</v>
      </c>
      <c r="G1" s="1">
        <v>76</v>
      </c>
      <c r="H1" s="1">
        <v>41</v>
      </c>
      <c r="I1" s="1">
        <v>67</v>
      </c>
      <c r="J1" s="1">
        <f>IF(SUM(G1:I1)=0,"",SUM(G1:I1))</f>
        <v>184</v>
      </c>
      <c r="K1" s="7" t="s">
        <v>1410</v>
      </c>
      <c r="L1" s="7" t="s">
        <v>1411</v>
      </c>
      <c r="M1" s="7" t="s">
        <v>1412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773</v>
      </c>
      <c r="B2" s="1" t="s">
        <v>774</v>
      </c>
      <c r="C2" s="1">
        <v>89</v>
      </c>
      <c r="D2" s="3">
        <v>7</v>
      </c>
      <c r="E2" s="1">
        <v>23</v>
      </c>
      <c r="F2" s="7" t="s">
        <v>775</v>
      </c>
      <c r="G2" s="1">
        <v>85</v>
      </c>
      <c r="H2" s="1">
        <v>74</v>
      </c>
      <c r="I2" s="1">
        <v>78</v>
      </c>
      <c r="J2" s="1">
        <f>IF(SUM(G2:I2)=0,"",SUM(G2:I2))</f>
        <v>237</v>
      </c>
      <c r="L2" s="7" t="s">
        <v>776</v>
      </c>
      <c r="M2" s="7" t="s">
        <v>719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413</v>
      </c>
      <c r="B3" s="1" t="s">
        <v>44</v>
      </c>
      <c r="C3" s="1">
        <v>77</v>
      </c>
      <c r="D3" s="1">
        <v>6</v>
      </c>
      <c r="E3" s="1">
        <v>21</v>
      </c>
      <c r="F3" s="7" t="s">
        <v>17</v>
      </c>
      <c r="G3" s="1">
        <v>52</v>
      </c>
      <c r="H3" s="1">
        <v>26</v>
      </c>
      <c r="I3" s="1">
        <v>68</v>
      </c>
      <c r="J3" s="1">
        <f>IF(SUM(G3:I3)=0,"",SUM(G3:I3))</f>
        <v>146</v>
      </c>
      <c r="L3" s="7" t="s">
        <v>46</v>
      </c>
      <c r="M3" s="7" t="s">
        <v>447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40</v>
      </c>
      <c r="B4" s="1" t="s">
        <v>929</v>
      </c>
      <c r="C4" s="1">
        <v>80</v>
      </c>
      <c r="D4" s="1">
        <v>6</v>
      </c>
      <c r="E4" s="1">
        <v>21</v>
      </c>
      <c r="F4" s="7" t="s">
        <v>930</v>
      </c>
      <c r="G4" s="1">
        <v>79</v>
      </c>
      <c r="H4" s="1">
        <v>55</v>
      </c>
      <c r="I4" s="1">
        <v>61</v>
      </c>
      <c r="J4" s="1">
        <f>IF(SUM(G4:I4)=0,"",SUM(G4:I4))</f>
        <v>195</v>
      </c>
      <c r="L4" s="7" t="s">
        <v>931</v>
      </c>
      <c r="M4" s="7" t="s">
        <v>918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320</v>
      </c>
      <c r="B5" s="1" t="s">
        <v>321</v>
      </c>
      <c r="C5" s="1">
        <v>79</v>
      </c>
      <c r="D5" s="1">
        <v>6</v>
      </c>
      <c r="E5" s="1">
        <v>22</v>
      </c>
      <c r="F5" s="7" t="s">
        <v>42</v>
      </c>
      <c r="G5" s="1">
        <v>73</v>
      </c>
      <c r="H5" s="1">
        <v>57</v>
      </c>
      <c r="I5" s="1">
        <v>62</v>
      </c>
      <c r="J5" s="1">
        <f>IF(SUM(G5:I5)=0,"",SUM(G5:I5))</f>
        <v>192</v>
      </c>
      <c r="L5" s="7" t="s">
        <v>191</v>
      </c>
      <c r="M5" s="7" t="s">
        <v>447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6</v>
      </c>
      <c r="B6" s="1" t="s">
        <v>169</v>
      </c>
      <c r="C6" s="1">
        <v>81</v>
      </c>
      <c r="D6" s="1">
        <v>6</v>
      </c>
      <c r="E6" s="1">
        <v>23</v>
      </c>
      <c r="F6" s="7" t="s">
        <v>17</v>
      </c>
      <c r="G6" s="1">
        <v>57</v>
      </c>
      <c r="H6" s="1">
        <v>28</v>
      </c>
      <c r="I6" s="1">
        <v>74</v>
      </c>
      <c r="J6" s="1">
        <f>IF(SUM(G6:I6)=0,"",SUM(G6:I6))</f>
        <v>159</v>
      </c>
      <c r="L6" s="7" t="s">
        <v>194</v>
      </c>
      <c r="M6" s="7" t="s">
        <v>447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320</v>
      </c>
      <c r="B7" s="1" t="s">
        <v>1386</v>
      </c>
      <c r="C7" s="1">
        <v>82</v>
      </c>
      <c r="D7" s="1">
        <v>6</v>
      </c>
      <c r="E7" s="1">
        <v>23</v>
      </c>
      <c r="F7" s="7" t="s">
        <v>1387</v>
      </c>
      <c r="G7" s="1">
        <v>62</v>
      </c>
      <c r="H7" s="1">
        <v>50</v>
      </c>
      <c r="I7" s="1">
        <v>69</v>
      </c>
      <c r="J7" s="1">
        <f>IF(SUM(G7:I7)=0,"",SUM(G7:I7))</f>
        <v>181</v>
      </c>
      <c r="L7" s="7" t="s">
        <v>1388</v>
      </c>
      <c r="M7" s="7" t="s">
        <v>1389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413</v>
      </c>
      <c r="B8" s="1" t="s">
        <v>377</v>
      </c>
      <c r="C8" s="1">
        <v>83</v>
      </c>
      <c r="D8" s="1">
        <v>6</v>
      </c>
      <c r="E8" s="1">
        <v>24</v>
      </c>
      <c r="F8" s="7" t="s">
        <v>42</v>
      </c>
      <c r="G8" s="1">
        <v>75</v>
      </c>
      <c r="H8" s="1">
        <v>59</v>
      </c>
      <c r="I8" s="1">
        <v>67</v>
      </c>
      <c r="J8" s="1">
        <f>IF(SUM(G8:I8)=0,"",SUM(G8:I8))</f>
        <v>201</v>
      </c>
      <c r="L8" s="7" t="s">
        <v>191</v>
      </c>
      <c r="M8" s="7" t="s">
        <v>447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1275</v>
      </c>
      <c r="B9" s="1" t="s">
        <v>1276</v>
      </c>
      <c r="C9" s="1">
        <v>71</v>
      </c>
      <c r="D9" s="1">
        <v>5</v>
      </c>
      <c r="E9" s="1">
        <v>18</v>
      </c>
      <c r="F9" s="7" t="s">
        <v>1277</v>
      </c>
      <c r="G9" s="1">
        <v>50</v>
      </c>
      <c r="H9" s="1">
        <v>39</v>
      </c>
      <c r="I9" s="1">
        <v>58</v>
      </c>
      <c r="J9" s="1">
        <f>IF(SUM(G9:I9)=0,"",SUM(G9:I9))</f>
        <v>147</v>
      </c>
      <c r="K9" s="7" t="s">
        <v>1278</v>
      </c>
      <c r="L9" s="7" t="s">
        <v>1279</v>
      </c>
      <c r="M9" s="7" t="s">
        <v>1236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6</v>
      </c>
      <c r="B10" s="1" t="s">
        <v>146</v>
      </c>
      <c r="C10" s="1">
        <v>69</v>
      </c>
      <c r="D10" s="1">
        <v>5</v>
      </c>
      <c r="E10" s="1">
        <v>19</v>
      </c>
      <c r="F10" s="7" t="s">
        <v>165</v>
      </c>
      <c r="G10" s="1">
        <v>62</v>
      </c>
      <c r="H10" s="1">
        <v>57</v>
      </c>
      <c r="I10" s="1">
        <v>46</v>
      </c>
      <c r="J10" s="1">
        <f>IF(SUM(G10:I10)=0,"",SUM(G10:I10))</f>
        <v>165</v>
      </c>
      <c r="M10" s="7" t="s">
        <v>447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1608</v>
      </c>
      <c r="B11" s="1" t="s">
        <v>1609</v>
      </c>
      <c r="C11" s="1">
        <v>71</v>
      </c>
      <c r="D11" s="1">
        <v>5</v>
      </c>
      <c r="E11" s="1">
        <v>19</v>
      </c>
      <c r="F11" s="7" t="s">
        <v>1610</v>
      </c>
      <c r="G11" s="1">
        <v>64</v>
      </c>
      <c r="H11" s="1">
        <v>42</v>
      </c>
      <c r="I11" s="1">
        <v>47</v>
      </c>
      <c r="J11" s="1">
        <f>IF(SUM(G11:I11)=0,"",SUM(G11:I11))</f>
        <v>153</v>
      </c>
      <c r="L11" s="7" t="s">
        <v>1611</v>
      </c>
      <c r="M11" s="7" t="s">
        <v>1581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40</v>
      </c>
      <c r="B12" s="1" t="s">
        <v>95</v>
      </c>
      <c r="C12" s="1">
        <v>75</v>
      </c>
      <c r="D12" s="1">
        <v>5</v>
      </c>
      <c r="E12" s="1">
        <v>21</v>
      </c>
      <c r="F12" s="7" t="s">
        <v>17</v>
      </c>
      <c r="G12" s="1">
        <v>52</v>
      </c>
      <c r="H12" s="1">
        <v>43</v>
      </c>
      <c r="I12" s="1">
        <v>60</v>
      </c>
      <c r="J12" s="1">
        <f>IF(SUM(G12:I12)=0,"",SUM(G12:I12))</f>
        <v>155</v>
      </c>
      <c r="L12" s="7" t="s">
        <v>97</v>
      </c>
      <c r="M12" s="7" t="s">
        <v>447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6</v>
      </c>
      <c r="B13" s="1" t="s">
        <v>189</v>
      </c>
      <c r="C13" s="1">
        <v>72</v>
      </c>
      <c r="D13" s="1">
        <v>5</v>
      </c>
      <c r="E13" s="1">
        <v>21</v>
      </c>
      <c r="F13" s="7" t="s">
        <v>165</v>
      </c>
      <c r="G13" s="1">
        <v>66</v>
      </c>
      <c r="H13" s="1">
        <v>29</v>
      </c>
      <c r="I13" s="1">
        <v>52</v>
      </c>
      <c r="J13" s="1">
        <f>IF(SUM(G13:I13)=0,"",SUM(G13:I13))</f>
        <v>147</v>
      </c>
      <c r="L13" s="7" t="s">
        <v>85</v>
      </c>
      <c r="M13" s="7" t="s">
        <v>447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1023</v>
      </c>
      <c r="B14" s="1" t="s">
        <v>1024</v>
      </c>
      <c r="C14" s="1">
        <v>75</v>
      </c>
      <c r="D14" s="1">
        <v>5</v>
      </c>
      <c r="E14" s="1">
        <v>21</v>
      </c>
      <c r="F14" s="7" t="s">
        <v>1025</v>
      </c>
      <c r="G14" s="1">
        <v>74</v>
      </c>
      <c r="H14" s="1">
        <v>55</v>
      </c>
      <c r="I14" s="1">
        <v>53</v>
      </c>
      <c r="J14" s="1">
        <f>IF(SUM(G14:I14)=0,"",SUM(G14:I14))</f>
        <v>182</v>
      </c>
      <c r="M14" s="7" t="s">
        <v>1026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40</v>
      </c>
      <c r="B15" s="1" t="s">
        <v>886</v>
      </c>
      <c r="C15" s="1">
        <v>77</v>
      </c>
      <c r="D15" s="1">
        <v>5</v>
      </c>
      <c r="E15" s="1">
        <v>22</v>
      </c>
      <c r="F15" s="7" t="s">
        <v>887</v>
      </c>
      <c r="G15" s="1">
        <v>79</v>
      </c>
      <c r="H15" s="1">
        <v>37</v>
      </c>
      <c r="I15" s="1">
        <v>63</v>
      </c>
      <c r="J15" s="1">
        <f>IF(SUM(G15:I15)=0,"",SUM(G15:I15))</f>
        <v>179</v>
      </c>
      <c r="K15" s="7" t="s">
        <v>888</v>
      </c>
      <c r="L15" s="7" t="s">
        <v>889</v>
      </c>
      <c r="M15" s="7" t="s">
        <v>852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1608</v>
      </c>
      <c r="B16" s="1" t="s">
        <v>1613</v>
      </c>
      <c r="C16" s="1">
        <v>80</v>
      </c>
      <c r="D16" s="1">
        <v>5</v>
      </c>
      <c r="E16" s="1">
        <v>22</v>
      </c>
      <c r="F16" s="7" t="s">
        <v>1614</v>
      </c>
      <c r="G16" s="1">
        <v>59</v>
      </c>
      <c r="H16" s="1">
        <v>44</v>
      </c>
      <c r="I16" s="1">
        <v>66</v>
      </c>
      <c r="J16" s="1">
        <f>IF(SUM(G16:I16)=0,"",SUM(G16:I16))</f>
        <v>169</v>
      </c>
      <c r="L16" s="7" t="s">
        <v>1580</v>
      </c>
      <c r="M16" s="7" t="s">
        <v>1615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777</v>
      </c>
      <c r="B17" s="1" t="s">
        <v>778</v>
      </c>
      <c r="C17" s="1">
        <v>78</v>
      </c>
      <c r="D17" s="1">
        <v>5</v>
      </c>
      <c r="E17" s="1">
        <v>22</v>
      </c>
      <c r="F17" s="7" t="s">
        <v>779</v>
      </c>
      <c r="G17" s="1">
        <v>70</v>
      </c>
      <c r="H17" s="1">
        <v>57</v>
      </c>
      <c r="I17" s="1">
        <v>56</v>
      </c>
      <c r="J17" s="1">
        <f>IF(SUM(G17:I17)=0,"",SUM(G17:I17))</f>
        <v>183</v>
      </c>
      <c r="L17" s="7" t="s">
        <v>740</v>
      </c>
      <c r="M17" s="7" t="s">
        <v>688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414</v>
      </c>
      <c r="B18" s="1" t="s">
        <v>344</v>
      </c>
      <c r="C18" s="1">
        <v>74</v>
      </c>
      <c r="D18" s="1">
        <v>5</v>
      </c>
      <c r="E18" s="1">
        <v>22</v>
      </c>
      <c r="F18" s="7" t="s">
        <v>42</v>
      </c>
      <c r="G18" s="1">
        <v>61</v>
      </c>
      <c r="H18" s="1">
        <v>51</v>
      </c>
      <c r="I18" s="1">
        <v>57</v>
      </c>
      <c r="J18" s="1">
        <f>IF(SUM(G18:I18)=0,"",SUM(G18:I18))</f>
        <v>169</v>
      </c>
      <c r="L18" s="7" t="s">
        <v>102</v>
      </c>
      <c r="M18" s="7" t="s">
        <v>447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320</v>
      </c>
      <c r="B19" s="1" t="s">
        <v>760</v>
      </c>
      <c r="C19" s="1">
        <v>77</v>
      </c>
      <c r="D19" s="1">
        <v>5</v>
      </c>
      <c r="E19" s="1">
        <v>22</v>
      </c>
      <c r="F19" s="7" t="s">
        <v>792</v>
      </c>
      <c r="G19" s="1">
        <v>48</v>
      </c>
      <c r="H19" s="1">
        <v>62</v>
      </c>
      <c r="I19" s="1">
        <v>59</v>
      </c>
      <c r="J19" s="1">
        <f>IF(SUM(G19:I19)=0,"",SUM(G19:I19))</f>
        <v>169</v>
      </c>
      <c r="L19" s="7" t="s">
        <v>793</v>
      </c>
      <c r="M19" s="7" t="s">
        <v>688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6</v>
      </c>
      <c r="B20" s="1" t="s">
        <v>146</v>
      </c>
      <c r="C20" s="1">
        <v>76</v>
      </c>
      <c r="D20" s="3">
        <v>5</v>
      </c>
      <c r="E20" s="1">
        <v>22</v>
      </c>
      <c r="F20" s="7" t="s">
        <v>165</v>
      </c>
      <c r="G20" s="1">
        <v>83</v>
      </c>
      <c r="H20" s="1">
        <v>36</v>
      </c>
      <c r="I20" s="1">
        <v>56</v>
      </c>
      <c r="J20" s="1">
        <f>IF(SUM(G20:I20)=0,"",SUM(G20:I20))</f>
        <v>175</v>
      </c>
      <c r="L20" s="7" t="s">
        <v>166</v>
      </c>
      <c r="M20" s="7" t="s">
        <v>447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40</v>
      </c>
      <c r="B21" s="1" t="s">
        <v>1484</v>
      </c>
      <c r="C21" s="1">
        <v>74</v>
      </c>
      <c r="D21" s="1">
        <v>5</v>
      </c>
      <c r="E21" s="1">
        <v>22</v>
      </c>
      <c r="F21" s="7" t="s">
        <v>1481</v>
      </c>
      <c r="G21" s="1">
        <v>69</v>
      </c>
      <c r="H21" s="1">
        <v>57</v>
      </c>
      <c r="I21" s="1">
        <v>54</v>
      </c>
      <c r="J21" s="1">
        <f>IF(SUM(G21:I21)=0,"",SUM(G21:I21))</f>
        <v>180</v>
      </c>
      <c r="K21" s="7" t="s">
        <v>1485</v>
      </c>
      <c r="L21" s="7" t="s">
        <v>1486</v>
      </c>
      <c r="M21" s="7" t="s">
        <v>1487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40</v>
      </c>
      <c r="B22" s="1" t="s">
        <v>41</v>
      </c>
      <c r="C22" s="1">
        <v>76</v>
      </c>
      <c r="D22" s="1">
        <v>5</v>
      </c>
      <c r="E22" s="1">
        <v>22</v>
      </c>
      <c r="F22" s="7" t="s">
        <v>42</v>
      </c>
      <c r="G22" s="1">
        <v>68</v>
      </c>
      <c r="H22" s="1">
        <v>48</v>
      </c>
      <c r="I22" s="1">
        <v>58</v>
      </c>
      <c r="J22" s="1">
        <f>IF(SUM(G22:I22)=0,"",SUM(G22:I22))</f>
        <v>174</v>
      </c>
      <c r="L22" s="7" t="s">
        <v>269</v>
      </c>
      <c r="M22" s="7" t="s">
        <v>447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6</v>
      </c>
      <c r="B23" s="1" t="s">
        <v>289</v>
      </c>
      <c r="C23" s="1">
        <v>77</v>
      </c>
      <c r="D23" s="1">
        <v>5</v>
      </c>
      <c r="E23" s="1">
        <v>23</v>
      </c>
      <c r="F23" s="7" t="s">
        <v>165</v>
      </c>
      <c r="G23" s="1">
        <v>50</v>
      </c>
      <c r="H23" s="1">
        <v>71</v>
      </c>
      <c r="I23" s="1">
        <v>59</v>
      </c>
      <c r="J23" s="1">
        <f>IF(SUM(G23:I23)=0,"",SUM(G23:I23))</f>
        <v>180</v>
      </c>
      <c r="L23" s="7" t="s">
        <v>102</v>
      </c>
      <c r="M23" s="7" t="s">
        <v>447</v>
      </c>
    </row>
    <row r="24" spans="1:19" x14ac:dyDescent="0.25">
      <c r="A24" s="1" t="s">
        <v>413</v>
      </c>
      <c r="B24" s="1" t="s">
        <v>348</v>
      </c>
      <c r="C24" s="1">
        <v>77</v>
      </c>
      <c r="D24" s="1">
        <v>5</v>
      </c>
      <c r="E24" s="1">
        <v>23</v>
      </c>
      <c r="F24" s="7" t="s">
        <v>42</v>
      </c>
      <c r="G24" s="1">
        <v>64</v>
      </c>
      <c r="H24" s="1">
        <v>55</v>
      </c>
      <c r="I24" s="1">
        <v>60</v>
      </c>
      <c r="J24" s="1">
        <f>IF(SUM(G24:I24)=0,"",SUM(G24:I24))</f>
        <v>179</v>
      </c>
      <c r="M24" s="7" t="s">
        <v>447</v>
      </c>
    </row>
    <row r="25" spans="1:19" x14ac:dyDescent="0.25">
      <c r="A25" s="1" t="s">
        <v>40</v>
      </c>
      <c r="B25" s="1" t="s">
        <v>1155</v>
      </c>
      <c r="C25" s="1">
        <v>82</v>
      </c>
      <c r="D25" s="1">
        <v>5</v>
      </c>
      <c r="E25" s="1">
        <v>23</v>
      </c>
      <c r="F25" s="7" t="s">
        <v>1156</v>
      </c>
      <c r="G25" s="1">
        <v>80</v>
      </c>
      <c r="H25" s="1">
        <v>57</v>
      </c>
      <c r="I25" s="1">
        <v>63</v>
      </c>
      <c r="J25" s="1">
        <f>IF(SUM(G25:I25)=0,"",SUM(G25:I25))</f>
        <v>200</v>
      </c>
      <c r="K25" s="7" t="s">
        <v>1157</v>
      </c>
      <c r="L25" s="7" t="s">
        <v>1158</v>
      </c>
      <c r="M25" s="7" t="s">
        <v>1159</v>
      </c>
    </row>
    <row r="26" spans="1:19" x14ac:dyDescent="0.25">
      <c r="A26" s="1" t="s">
        <v>1061</v>
      </c>
      <c r="B26" s="1" t="s">
        <v>1062</v>
      </c>
      <c r="C26" s="1">
        <v>77</v>
      </c>
      <c r="D26" s="1">
        <v>5</v>
      </c>
      <c r="E26" s="1">
        <v>23</v>
      </c>
      <c r="F26" s="7" t="s">
        <v>1063</v>
      </c>
      <c r="G26" s="1">
        <v>76</v>
      </c>
      <c r="H26" s="1">
        <v>57</v>
      </c>
      <c r="I26" s="1">
        <v>57</v>
      </c>
      <c r="J26" s="1">
        <f>IF(SUM(G26:I26)=0,"",SUM(G26:I26))</f>
        <v>190</v>
      </c>
      <c r="M26" s="7" t="s">
        <v>1039</v>
      </c>
    </row>
    <row r="27" spans="1:19" x14ac:dyDescent="0.25">
      <c r="A27" s="1" t="s">
        <v>40</v>
      </c>
      <c r="B27" s="1" t="s">
        <v>45</v>
      </c>
      <c r="C27" s="1">
        <v>81</v>
      </c>
      <c r="D27" s="1">
        <v>5</v>
      </c>
      <c r="E27" s="1">
        <v>24</v>
      </c>
      <c r="F27" s="7" t="s">
        <v>17</v>
      </c>
      <c r="G27" s="1">
        <v>71</v>
      </c>
      <c r="H27" s="1">
        <v>54</v>
      </c>
      <c r="I27" s="1">
        <v>65</v>
      </c>
      <c r="J27" s="1">
        <f>IF(SUM(G27:I27)=0,"",SUM(G27:I27))</f>
        <v>190</v>
      </c>
      <c r="L27" s="7" t="s">
        <v>209</v>
      </c>
      <c r="M27" s="7" t="s">
        <v>447</v>
      </c>
    </row>
    <row r="28" spans="1:19" x14ac:dyDescent="0.25">
      <c r="A28" s="1" t="s">
        <v>40</v>
      </c>
      <c r="B28" s="1" t="s">
        <v>345</v>
      </c>
      <c r="C28" s="1">
        <v>78</v>
      </c>
      <c r="D28" s="1">
        <v>5</v>
      </c>
      <c r="E28" s="1">
        <v>24</v>
      </c>
      <c r="G28" s="1">
        <v>53</v>
      </c>
      <c r="H28" s="1">
        <v>49</v>
      </c>
      <c r="I28" s="1">
        <v>61</v>
      </c>
      <c r="J28" s="1">
        <f>IF(SUM(G28:I28)=0,"",SUM(G28:I28))</f>
        <v>163</v>
      </c>
      <c r="M28" s="7" t="s">
        <v>1612</v>
      </c>
    </row>
    <row r="29" spans="1:19" x14ac:dyDescent="0.25">
      <c r="A29" s="1" t="s">
        <v>6</v>
      </c>
      <c r="B29" s="1" t="s">
        <v>150</v>
      </c>
      <c r="C29" s="1">
        <v>80</v>
      </c>
      <c r="D29" s="2">
        <v>5</v>
      </c>
      <c r="E29" s="1">
        <v>24</v>
      </c>
      <c r="F29" s="7" t="s">
        <v>17</v>
      </c>
      <c r="G29" s="1">
        <v>55</v>
      </c>
      <c r="H29" s="1">
        <v>59</v>
      </c>
      <c r="I29" s="1">
        <v>64</v>
      </c>
      <c r="J29" s="1">
        <f>IF(SUM(G29:I29)=0,"",SUM(G29:I29))</f>
        <v>178</v>
      </c>
      <c r="M29" s="7" t="s">
        <v>447</v>
      </c>
    </row>
    <row r="30" spans="1:19" x14ac:dyDescent="0.25">
      <c r="A30" s="1" t="s">
        <v>1479</v>
      </c>
      <c r="B30" s="1" t="s">
        <v>1480</v>
      </c>
      <c r="C30" s="1">
        <v>77</v>
      </c>
      <c r="D30" s="1">
        <v>4</v>
      </c>
      <c r="E30" s="1">
        <v>22</v>
      </c>
      <c r="F30" s="7" t="s">
        <v>1481</v>
      </c>
      <c r="G30" s="1">
        <v>58</v>
      </c>
      <c r="H30" s="1">
        <v>32</v>
      </c>
      <c r="I30" s="1">
        <v>67</v>
      </c>
      <c r="J30" s="1">
        <f>IF(SUM(G30:I30)=0,"",SUM(G30:I30))</f>
        <v>157</v>
      </c>
      <c r="L30" s="7" t="s">
        <v>1482</v>
      </c>
      <c r="M30" s="7" t="s">
        <v>1483</v>
      </c>
    </row>
    <row r="31" spans="1:19" x14ac:dyDescent="0.25">
      <c r="A31" s="1" t="s">
        <v>675</v>
      </c>
      <c r="B31" s="1" t="s">
        <v>676</v>
      </c>
      <c r="C31" s="1">
        <v>71</v>
      </c>
      <c r="D31" s="1">
        <v>4</v>
      </c>
      <c r="E31" s="1">
        <v>22</v>
      </c>
      <c r="F31" s="7" t="s">
        <v>677</v>
      </c>
      <c r="G31" s="1">
        <v>69</v>
      </c>
      <c r="H31" s="1">
        <v>55</v>
      </c>
      <c r="I31" s="1">
        <v>44</v>
      </c>
      <c r="J31" s="1">
        <f>IF(SUM(G31:I31)=0,"",SUM(G31:I31))</f>
        <v>168</v>
      </c>
      <c r="L31" s="7" t="s">
        <v>678</v>
      </c>
      <c r="M31" s="7" t="s">
        <v>679</v>
      </c>
    </row>
    <row r="32" spans="1:19" x14ac:dyDescent="0.25">
      <c r="A32" s="1" t="s">
        <v>1241</v>
      </c>
      <c r="B32" s="1" t="s">
        <v>1242</v>
      </c>
      <c r="C32" s="1">
        <v>72</v>
      </c>
      <c r="D32" s="1">
        <v>4</v>
      </c>
      <c r="E32" s="1">
        <v>23</v>
      </c>
      <c r="G32" s="1">
        <v>64</v>
      </c>
      <c r="H32" s="1">
        <v>50</v>
      </c>
      <c r="I32" s="1">
        <v>51</v>
      </c>
      <c r="J32" s="1">
        <f>IF(SUM(G32:I32)=0,"",SUM(G32:I32))</f>
        <v>165</v>
      </c>
      <c r="M32" s="7" t="s">
        <v>1243</v>
      </c>
    </row>
    <row r="33" spans="1:13" x14ac:dyDescent="0.25">
      <c r="A33" s="1" t="s">
        <v>1097</v>
      </c>
      <c r="B33" s="1" t="s">
        <v>1098</v>
      </c>
      <c r="C33" s="1">
        <v>73</v>
      </c>
      <c r="D33" s="1">
        <v>4</v>
      </c>
      <c r="E33" s="1">
        <v>24</v>
      </c>
      <c r="F33" s="7" t="s">
        <v>1099</v>
      </c>
      <c r="G33" s="1">
        <v>67</v>
      </c>
      <c r="H33" s="1">
        <v>41</v>
      </c>
      <c r="I33" s="1">
        <v>55</v>
      </c>
      <c r="J33" s="1">
        <f>IF(SUM(G33:I33)=0,"",SUM(G33:I33))</f>
        <v>163</v>
      </c>
      <c r="K33" s="7" t="s">
        <v>1100</v>
      </c>
      <c r="M33" s="7" t="s">
        <v>1101</v>
      </c>
    </row>
    <row r="34" spans="1:13" x14ac:dyDescent="0.25">
      <c r="A34" s="1" t="s">
        <v>1241</v>
      </c>
      <c r="B34" s="1" t="s">
        <v>1269</v>
      </c>
      <c r="C34" s="1">
        <v>74</v>
      </c>
      <c r="D34" s="1">
        <v>4</v>
      </c>
      <c r="E34" s="1">
        <v>24</v>
      </c>
      <c r="G34" s="1">
        <v>69</v>
      </c>
      <c r="H34" s="1">
        <v>45</v>
      </c>
      <c r="I34" s="1">
        <v>57</v>
      </c>
      <c r="J34" s="1">
        <f>IF(SUM(G34:I34)=0,"",SUM(G34:I34))</f>
        <v>171</v>
      </c>
      <c r="K34" s="7" t="s">
        <v>1252</v>
      </c>
      <c r="M34" s="7" t="s">
        <v>1243</v>
      </c>
    </row>
  </sheetData>
  <sortState ref="A1:N35">
    <sortCondition descending="1" ref="D1:D100"/>
    <sortCondition ref="E1:E100"/>
    <sortCondition descending="1" ref="B1:B100"/>
  </sortState>
  <phoneticPr fontId="1" type="noConversion"/>
  <conditionalFormatting sqref="B1:B5 B36:B1048576">
    <cfRule type="duplicateValues" dxfId="78" priority="5"/>
  </conditionalFormatting>
  <conditionalFormatting sqref="B6:B14 B18:B35">
    <cfRule type="duplicateValues" dxfId="77" priority="3"/>
  </conditionalFormatting>
  <conditionalFormatting sqref="A1:A14 A18:A1048576">
    <cfRule type="containsText" dxfId="76" priority="1" operator="containsText" text="RMF">
      <formula>NOT(ISERROR(SEARCH("RMF",A1)))</formula>
    </cfRule>
    <cfRule type="containsText" dxfId="75" priority="2" operator="containsText" text="LMF">
      <formula>NOT(ISERROR(SEARCH("LMF",A1)))</formula>
    </cfRule>
  </conditionalFormatting>
  <pageMargins left="0.7" right="0.7" top="0.75" bottom="0.75" header="0.3" footer="0.3"/>
  <ignoredErrors>
    <ignoredError sqref="O1:O1048576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S44"/>
  <sheetViews>
    <sheetView topLeftCell="A16" workbookViewId="0">
      <selection activeCell="A45" sqref="A45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3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302</v>
      </c>
      <c r="B1" s="1" t="s">
        <v>174</v>
      </c>
      <c r="C1" s="1">
        <v>80</v>
      </c>
      <c r="D1" s="1">
        <v>7</v>
      </c>
      <c r="E1" s="1">
        <v>19</v>
      </c>
      <c r="F1" s="7" t="s">
        <v>17</v>
      </c>
      <c r="G1" s="1">
        <v>55</v>
      </c>
      <c r="H1" s="1">
        <v>60</v>
      </c>
      <c r="I1" s="1">
        <v>65</v>
      </c>
      <c r="J1" s="1">
        <f>IF(SUM(G1:I1)=0,"",SUM(G1:I1))</f>
        <v>180</v>
      </c>
      <c r="K1" s="7" t="s">
        <v>511</v>
      </c>
      <c r="L1" s="7" t="s">
        <v>305</v>
      </c>
      <c r="M1" s="7" t="s">
        <v>447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302</v>
      </c>
      <c r="B2" s="1" t="s">
        <v>303</v>
      </c>
      <c r="C2" s="1">
        <v>81</v>
      </c>
      <c r="D2" s="1">
        <v>7</v>
      </c>
      <c r="E2" s="1">
        <v>20</v>
      </c>
      <c r="F2" s="7" t="s">
        <v>42</v>
      </c>
      <c r="G2" s="1">
        <v>69</v>
      </c>
      <c r="H2" s="1">
        <v>59</v>
      </c>
      <c r="I2" s="1">
        <v>66</v>
      </c>
      <c r="J2" s="1">
        <f>IF(SUM(G2:I2)=0,"",SUM(G2:I2))</f>
        <v>194</v>
      </c>
      <c r="K2" s="7" t="s">
        <v>512</v>
      </c>
      <c r="L2" s="7" t="s">
        <v>307</v>
      </c>
      <c r="M2" s="7" t="s">
        <v>447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47</v>
      </c>
      <c r="B3" s="1" t="s">
        <v>49</v>
      </c>
      <c r="C3" s="1">
        <v>76</v>
      </c>
      <c r="D3" s="1">
        <v>6</v>
      </c>
      <c r="E3" s="1">
        <v>19</v>
      </c>
      <c r="F3" s="7" t="s">
        <v>50</v>
      </c>
      <c r="G3" s="1">
        <v>57</v>
      </c>
      <c r="H3" s="1">
        <v>67</v>
      </c>
      <c r="I3" s="1">
        <v>54</v>
      </c>
      <c r="J3" s="1">
        <f>IF(SUM(G3:I3)=0,"",SUM(G3:I3))</f>
        <v>178</v>
      </c>
      <c r="L3" s="7" t="s">
        <v>304</v>
      </c>
      <c r="M3" s="7" t="s">
        <v>447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416</v>
      </c>
      <c r="B4" s="1" t="s">
        <v>312</v>
      </c>
      <c r="C4" s="1">
        <v>74</v>
      </c>
      <c r="D4" s="1">
        <v>6</v>
      </c>
      <c r="E4" s="1">
        <v>19</v>
      </c>
      <c r="F4" s="7" t="s">
        <v>58</v>
      </c>
      <c r="G4" s="1">
        <v>74</v>
      </c>
      <c r="H4" s="1">
        <v>65</v>
      </c>
      <c r="I4" s="1">
        <v>48</v>
      </c>
      <c r="J4" s="1">
        <f>IF(SUM(G4:I4)=0,"",SUM(G4:I4))</f>
        <v>187</v>
      </c>
      <c r="L4" s="7" t="s">
        <v>229</v>
      </c>
      <c r="M4" s="7" t="s">
        <v>447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47</v>
      </c>
      <c r="B5" s="1" t="s">
        <v>1603</v>
      </c>
      <c r="C5" s="1">
        <v>76</v>
      </c>
      <c r="D5" s="1">
        <v>6</v>
      </c>
      <c r="E5" s="1">
        <v>19</v>
      </c>
      <c r="F5" s="7" t="s">
        <v>1604</v>
      </c>
      <c r="G5" s="1">
        <v>35</v>
      </c>
      <c r="H5" s="1">
        <v>46</v>
      </c>
      <c r="I5" s="1">
        <v>65</v>
      </c>
      <c r="J5" s="1">
        <f>IF(SUM(G5:I5)=0,"",SUM(G5:I5))</f>
        <v>146</v>
      </c>
      <c r="K5" s="7" t="s">
        <v>1585</v>
      </c>
      <c r="L5" s="7" t="s">
        <v>1569</v>
      </c>
      <c r="M5" s="7" t="s">
        <v>1581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5</v>
      </c>
      <c r="B6" s="1" t="s">
        <v>152</v>
      </c>
      <c r="C6" s="1">
        <v>80</v>
      </c>
      <c r="D6" s="1">
        <v>6</v>
      </c>
      <c r="E6" s="1">
        <v>21</v>
      </c>
      <c r="G6" s="1">
        <v>57</v>
      </c>
      <c r="H6" s="1">
        <v>67</v>
      </c>
      <c r="I6" s="1">
        <v>61</v>
      </c>
      <c r="J6" s="1">
        <f>IF(SUM(G6:I6)=0,"",SUM(G6:I6))</f>
        <v>185</v>
      </c>
      <c r="M6" s="7" t="s">
        <v>447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1249</v>
      </c>
      <c r="B7" s="1" t="s">
        <v>1250</v>
      </c>
      <c r="C7" s="1">
        <v>80</v>
      </c>
      <c r="D7" s="1">
        <v>6</v>
      </c>
      <c r="E7" s="1">
        <v>22</v>
      </c>
      <c r="F7" s="7" t="s">
        <v>1251</v>
      </c>
      <c r="G7" s="1">
        <v>68</v>
      </c>
      <c r="H7" s="1">
        <v>39</v>
      </c>
      <c r="I7" s="1">
        <v>71</v>
      </c>
      <c r="J7" s="1">
        <f>IF(SUM(G7:I7)=0,"",SUM(G7:I7))</f>
        <v>178</v>
      </c>
      <c r="K7" s="7" t="s">
        <v>1252</v>
      </c>
      <c r="L7" s="7" t="s">
        <v>1253</v>
      </c>
      <c r="M7" s="7" t="s">
        <v>1243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5</v>
      </c>
      <c r="B8" s="1" t="s">
        <v>144</v>
      </c>
      <c r="C8" s="1">
        <v>78</v>
      </c>
      <c r="D8" s="2">
        <v>6</v>
      </c>
      <c r="E8" s="1">
        <v>22</v>
      </c>
      <c r="F8" s="7" t="s">
        <v>58</v>
      </c>
      <c r="G8" s="1">
        <v>80</v>
      </c>
      <c r="H8" s="1">
        <v>69</v>
      </c>
      <c r="I8" s="1">
        <v>55</v>
      </c>
      <c r="J8" s="1">
        <f>IF(SUM(G8:I8)=0,"",SUM(G8:I8))</f>
        <v>204</v>
      </c>
      <c r="L8" s="7" t="s">
        <v>229</v>
      </c>
      <c r="M8" s="7" t="s">
        <v>447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5</v>
      </c>
      <c r="B9" s="1" t="s">
        <v>167</v>
      </c>
      <c r="C9" s="1">
        <v>79</v>
      </c>
      <c r="D9" s="1">
        <v>6</v>
      </c>
      <c r="E9" s="1">
        <v>22</v>
      </c>
      <c r="F9" s="7" t="s">
        <v>52</v>
      </c>
      <c r="G9" s="1">
        <v>40</v>
      </c>
      <c r="H9" s="1">
        <v>59</v>
      </c>
      <c r="I9" s="1">
        <v>61</v>
      </c>
      <c r="J9" s="1">
        <f>IF(SUM(G9:I9)=0,"",SUM(G9:I9))</f>
        <v>160</v>
      </c>
      <c r="L9" s="7" t="s">
        <v>168</v>
      </c>
      <c r="M9" s="7" t="s">
        <v>447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47</v>
      </c>
      <c r="B10" s="1" t="s">
        <v>83</v>
      </c>
      <c r="C10" s="1">
        <v>79</v>
      </c>
      <c r="D10" s="1">
        <v>6</v>
      </c>
      <c r="E10" s="1">
        <v>22</v>
      </c>
      <c r="F10" s="7" t="s">
        <v>185</v>
      </c>
      <c r="G10" s="1">
        <v>55</v>
      </c>
      <c r="H10" s="1">
        <v>71</v>
      </c>
      <c r="I10" s="1">
        <v>62</v>
      </c>
      <c r="J10" s="1">
        <f>IF(SUM(G10:I10)=0,"",SUM(G10:I10))</f>
        <v>188</v>
      </c>
      <c r="L10" s="7" t="s">
        <v>96</v>
      </c>
      <c r="M10" s="7" t="s">
        <v>447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373</v>
      </c>
      <c r="B11" s="1" t="s">
        <v>1120</v>
      </c>
      <c r="C11" s="1">
        <v>84</v>
      </c>
      <c r="D11" s="1">
        <v>6</v>
      </c>
      <c r="E11" s="1">
        <v>23</v>
      </c>
      <c r="F11" s="7" t="s">
        <v>1121</v>
      </c>
      <c r="G11" s="1">
        <v>55</v>
      </c>
      <c r="H11" s="1">
        <v>50</v>
      </c>
      <c r="I11" s="1">
        <v>73</v>
      </c>
      <c r="J11" s="1">
        <f>IF(SUM(G11:I11)=0,"",SUM(G11:I11))</f>
        <v>178</v>
      </c>
      <c r="L11" s="7" t="s">
        <v>1122</v>
      </c>
      <c r="M11" s="7" t="s">
        <v>1106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1304</v>
      </c>
      <c r="B12" s="1" t="s">
        <v>1305</v>
      </c>
      <c r="C12" s="1">
        <v>83</v>
      </c>
      <c r="D12" s="1">
        <v>6</v>
      </c>
      <c r="E12" s="1">
        <v>24</v>
      </c>
      <c r="F12" s="7" t="s">
        <v>1251</v>
      </c>
      <c r="G12" s="1">
        <v>57</v>
      </c>
      <c r="H12" s="1">
        <v>34</v>
      </c>
      <c r="I12" s="1">
        <v>77</v>
      </c>
      <c r="J12" s="1">
        <f>IF(SUM(G12:I12)=0,"",SUM(G12:I12))</f>
        <v>168</v>
      </c>
      <c r="K12" s="7" t="s">
        <v>1306</v>
      </c>
      <c r="L12" s="7" t="s">
        <v>1307</v>
      </c>
      <c r="M12" s="7" t="s">
        <v>1236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698</v>
      </c>
      <c r="B13" s="1" t="s">
        <v>744</v>
      </c>
      <c r="C13" s="1">
        <v>83</v>
      </c>
      <c r="D13" s="1">
        <v>6</v>
      </c>
      <c r="E13" s="1">
        <v>24</v>
      </c>
      <c r="F13" s="7" t="s">
        <v>717</v>
      </c>
      <c r="G13" s="1">
        <v>45</v>
      </c>
      <c r="H13" s="1">
        <v>55</v>
      </c>
      <c r="I13" s="1">
        <v>71</v>
      </c>
      <c r="J13" s="1">
        <f>IF(SUM(G13:I13)=0,"",SUM(G13:I13))</f>
        <v>171</v>
      </c>
      <c r="K13" s="7" t="s">
        <v>745</v>
      </c>
      <c r="L13" s="7" t="s">
        <v>746</v>
      </c>
      <c r="M13" s="7" t="s">
        <v>708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524</v>
      </c>
      <c r="B14" s="1" t="s">
        <v>525</v>
      </c>
      <c r="C14" s="1">
        <v>59</v>
      </c>
      <c r="D14" s="1">
        <v>5</v>
      </c>
      <c r="E14" s="1">
        <v>18</v>
      </c>
      <c r="F14" s="7" t="s">
        <v>526</v>
      </c>
      <c r="G14" s="1">
        <v>32</v>
      </c>
      <c r="H14" s="1">
        <v>48</v>
      </c>
      <c r="I14" s="1">
        <v>36</v>
      </c>
      <c r="J14" s="1">
        <f>IF(SUM(G14:I14)=0,"",SUM(G14:I14))</f>
        <v>116</v>
      </c>
      <c r="K14" s="7" t="s">
        <v>527</v>
      </c>
      <c r="L14" s="7" t="s">
        <v>528</v>
      </c>
      <c r="M14" s="7" t="s">
        <v>529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698</v>
      </c>
      <c r="B15" s="1" t="s">
        <v>699</v>
      </c>
      <c r="C15" s="1">
        <v>69</v>
      </c>
      <c r="D15" s="1">
        <v>5</v>
      </c>
      <c r="E15" s="1">
        <v>19</v>
      </c>
      <c r="F15" s="7" t="s">
        <v>700</v>
      </c>
      <c r="G15" s="1">
        <v>52</v>
      </c>
      <c r="H15" s="1">
        <v>52</v>
      </c>
      <c r="I15" s="1">
        <v>46</v>
      </c>
      <c r="J15" s="1">
        <f>IF(SUM(G15:I15)=0,"",SUM(G15:I15))</f>
        <v>150</v>
      </c>
      <c r="L15" s="7" t="s">
        <v>701</v>
      </c>
      <c r="M15" s="7" t="s">
        <v>702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1165</v>
      </c>
      <c r="B16" s="1" t="s">
        <v>1170</v>
      </c>
      <c r="C16" s="1">
        <v>78</v>
      </c>
      <c r="D16" s="1">
        <v>5</v>
      </c>
      <c r="E16" s="1">
        <v>19</v>
      </c>
      <c r="F16" s="7" t="s">
        <v>1171</v>
      </c>
      <c r="G16" s="1">
        <v>42</v>
      </c>
      <c r="H16" s="1">
        <v>41</v>
      </c>
      <c r="I16" s="1">
        <v>69</v>
      </c>
      <c r="J16" s="1">
        <f>IF(SUM(G16:I16)=0,"",SUM(G16:I16))</f>
        <v>152</v>
      </c>
      <c r="K16" s="7" t="s">
        <v>1172</v>
      </c>
      <c r="L16" s="7" t="s">
        <v>1173</v>
      </c>
      <c r="M16" s="7" t="s">
        <v>1159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1165</v>
      </c>
      <c r="B17" s="1" t="s">
        <v>1166</v>
      </c>
      <c r="C17" s="1">
        <v>65</v>
      </c>
      <c r="D17" s="1">
        <v>5</v>
      </c>
      <c r="E17" s="1">
        <v>20</v>
      </c>
      <c r="F17" s="7" t="s">
        <v>1167</v>
      </c>
      <c r="G17" s="1">
        <v>55</v>
      </c>
      <c r="H17" s="1">
        <v>52</v>
      </c>
      <c r="I17" s="1">
        <v>42</v>
      </c>
      <c r="J17" s="1">
        <f>IF(SUM(G17:I17)=0,"",SUM(G17:I17))</f>
        <v>149</v>
      </c>
      <c r="L17" s="7" t="s">
        <v>1168</v>
      </c>
      <c r="M17" s="7" t="s">
        <v>1169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47</v>
      </c>
      <c r="B18" s="1" t="s">
        <v>652</v>
      </c>
      <c r="C18" s="1">
        <v>74</v>
      </c>
      <c r="D18" s="1">
        <v>5</v>
      </c>
      <c r="E18" s="1">
        <v>21</v>
      </c>
      <c r="F18" s="7" t="s">
        <v>653</v>
      </c>
      <c r="G18" s="1">
        <v>47</v>
      </c>
      <c r="H18" s="1">
        <v>51</v>
      </c>
      <c r="I18" s="1">
        <v>65</v>
      </c>
      <c r="J18" s="1">
        <f>IF(SUM(G18:I18)=0,"",SUM(G18:I18))</f>
        <v>163</v>
      </c>
      <c r="K18" s="7" t="s">
        <v>654</v>
      </c>
      <c r="L18" s="7" t="s">
        <v>655</v>
      </c>
      <c r="M18" s="7" t="s">
        <v>644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416</v>
      </c>
      <c r="B19" s="1" t="s">
        <v>84</v>
      </c>
      <c r="C19" s="1">
        <v>74</v>
      </c>
      <c r="D19" s="1">
        <v>5</v>
      </c>
      <c r="E19" s="1">
        <v>21</v>
      </c>
      <c r="F19" s="7" t="s">
        <v>58</v>
      </c>
      <c r="G19" s="1">
        <v>54</v>
      </c>
      <c r="H19" s="1">
        <v>54</v>
      </c>
      <c r="I19" s="1">
        <v>55</v>
      </c>
      <c r="J19" s="1">
        <f>IF(SUM(G19:I19)=0,"",SUM(G19:I19))</f>
        <v>163</v>
      </c>
      <c r="L19" s="7" t="s">
        <v>85</v>
      </c>
      <c r="M19" s="7" t="s">
        <v>447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1114</v>
      </c>
      <c r="B20" s="1" t="s">
        <v>1115</v>
      </c>
      <c r="C20" s="1">
        <v>73</v>
      </c>
      <c r="D20" s="1">
        <v>5</v>
      </c>
      <c r="E20" s="1">
        <v>21</v>
      </c>
      <c r="G20" s="1">
        <v>62</v>
      </c>
      <c r="H20" s="1">
        <v>59</v>
      </c>
      <c r="I20" s="1">
        <v>58</v>
      </c>
      <c r="J20" s="1">
        <f>IF(SUM(G20:I20)=0,"",SUM(G20:I20))</f>
        <v>179</v>
      </c>
      <c r="M20" s="7" t="s">
        <v>1106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47</v>
      </c>
      <c r="B21" s="1" t="s">
        <v>1605</v>
      </c>
      <c r="C21" s="1">
        <v>76</v>
      </c>
      <c r="D21" s="1">
        <v>5</v>
      </c>
      <c r="E21" s="1">
        <v>22</v>
      </c>
      <c r="F21" s="7" t="s">
        <v>1604</v>
      </c>
      <c r="G21" s="1">
        <v>72</v>
      </c>
      <c r="H21" s="1">
        <v>69</v>
      </c>
      <c r="I21" s="1">
        <v>53</v>
      </c>
      <c r="J21" s="1">
        <f>IF(SUM(G21:I21)=0,"",SUM(G21:I21))</f>
        <v>194</v>
      </c>
      <c r="K21" s="7" t="s">
        <v>1575</v>
      </c>
      <c r="L21" s="7" t="s">
        <v>1606</v>
      </c>
      <c r="M21" s="7" t="s">
        <v>1607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47</v>
      </c>
      <c r="B22" s="1" t="s">
        <v>817</v>
      </c>
      <c r="C22" s="1">
        <v>80</v>
      </c>
      <c r="D22" s="1">
        <v>5</v>
      </c>
      <c r="E22" s="1">
        <v>22</v>
      </c>
      <c r="F22" s="7" t="s">
        <v>818</v>
      </c>
      <c r="G22" s="1">
        <v>79</v>
      </c>
      <c r="H22" s="1">
        <v>55</v>
      </c>
      <c r="I22" s="1">
        <v>62</v>
      </c>
      <c r="J22" s="1">
        <f>IF(SUM(G22:I22)=0,"",SUM(G22:I22))</f>
        <v>196</v>
      </c>
      <c r="L22" s="7" t="s">
        <v>819</v>
      </c>
      <c r="M22" s="7" t="s">
        <v>820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969</v>
      </c>
      <c r="B23" s="1" t="s">
        <v>970</v>
      </c>
      <c r="C23" s="1">
        <v>81</v>
      </c>
      <c r="D23" s="1">
        <v>5</v>
      </c>
      <c r="E23" s="1">
        <v>22</v>
      </c>
      <c r="F23" s="7" t="s">
        <v>971</v>
      </c>
      <c r="G23" s="1">
        <v>44</v>
      </c>
      <c r="H23" s="1">
        <v>55</v>
      </c>
      <c r="I23" s="1">
        <v>71</v>
      </c>
      <c r="J23" s="1">
        <f>IF(SUM(G23:I23)=0,"",SUM(G23:I23))</f>
        <v>170</v>
      </c>
      <c r="K23" s="7" t="s">
        <v>972</v>
      </c>
      <c r="L23" s="7" t="s">
        <v>973</v>
      </c>
      <c r="M23" s="7" t="s">
        <v>962</v>
      </c>
      <c r="O23" s="24" t="s">
        <v>434</v>
      </c>
      <c r="P23" s="25" t="s">
        <v>242</v>
      </c>
      <c r="Q23" s="25" t="s">
        <v>480</v>
      </c>
      <c r="R23" s="24" t="s">
        <v>70</v>
      </c>
      <c r="S23" s="25" t="s">
        <v>451</v>
      </c>
    </row>
    <row r="24" spans="1:19" x14ac:dyDescent="0.25">
      <c r="A24" s="1" t="s">
        <v>5</v>
      </c>
      <c r="B24" s="1" t="s">
        <v>212</v>
      </c>
      <c r="C24" s="1">
        <v>75</v>
      </c>
      <c r="D24" s="1">
        <v>5</v>
      </c>
      <c r="E24" s="1">
        <v>22</v>
      </c>
      <c r="G24" s="1">
        <v>56</v>
      </c>
      <c r="H24" s="1">
        <v>43</v>
      </c>
      <c r="I24" s="1">
        <v>58</v>
      </c>
      <c r="J24" s="1">
        <f>IF(SUM(G24:I24)=0,"",SUM(G24:I24))</f>
        <v>157</v>
      </c>
      <c r="L24" s="7" t="s">
        <v>213</v>
      </c>
      <c r="M24" s="7" t="s">
        <v>447</v>
      </c>
      <c r="O24" s="24" t="s">
        <v>435</v>
      </c>
      <c r="P24" s="25" t="s">
        <v>243</v>
      </c>
      <c r="Q24" s="25" t="s">
        <v>481</v>
      </c>
      <c r="R24" s="24" t="s">
        <v>92</v>
      </c>
      <c r="S24" s="25" t="s">
        <v>447</v>
      </c>
    </row>
    <row r="25" spans="1:19" x14ac:dyDescent="0.25">
      <c r="A25" s="1" t="s">
        <v>47</v>
      </c>
      <c r="B25" s="1" t="s">
        <v>890</v>
      </c>
      <c r="C25" s="1">
        <v>75</v>
      </c>
      <c r="D25" s="1">
        <v>5</v>
      </c>
      <c r="E25" s="1">
        <v>22</v>
      </c>
      <c r="F25" s="7" t="s">
        <v>850</v>
      </c>
      <c r="G25" s="1">
        <v>42</v>
      </c>
      <c r="H25" s="1">
        <v>45</v>
      </c>
      <c r="I25" s="1">
        <v>60</v>
      </c>
      <c r="J25" s="1">
        <f>IF(SUM(G25:I25)=0,"",SUM(G25:I25))</f>
        <v>147</v>
      </c>
      <c r="K25" s="7" t="s">
        <v>891</v>
      </c>
      <c r="L25" s="7" t="s">
        <v>892</v>
      </c>
      <c r="M25" s="7" t="s">
        <v>852</v>
      </c>
      <c r="O25" s="24" t="s">
        <v>436</v>
      </c>
      <c r="P25" s="25" t="s">
        <v>244</v>
      </c>
      <c r="Q25" s="25" t="s">
        <v>482</v>
      </c>
      <c r="R25" s="24" t="s">
        <v>120</v>
      </c>
      <c r="S25" s="25" t="s">
        <v>405</v>
      </c>
    </row>
    <row r="26" spans="1:19" x14ac:dyDescent="0.25">
      <c r="A26" s="1" t="s">
        <v>47</v>
      </c>
      <c r="B26" s="1" t="s">
        <v>1013</v>
      </c>
      <c r="C26" s="1">
        <v>76</v>
      </c>
      <c r="D26" s="1">
        <v>5</v>
      </c>
      <c r="E26" s="1">
        <v>23</v>
      </c>
      <c r="G26" s="1">
        <v>59</v>
      </c>
      <c r="H26" s="1">
        <v>52</v>
      </c>
      <c r="I26" s="1">
        <v>61</v>
      </c>
      <c r="J26" s="1">
        <f>IF(SUM(G26:I26)=0,"",SUM(G26:I26))</f>
        <v>172</v>
      </c>
      <c r="K26" s="7" t="s">
        <v>1014</v>
      </c>
      <c r="L26" s="7" t="s">
        <v>1015</v>
      </c>
      <c r="M26" s="7" t="s">
        <v>918</v>
      </c>
      <c r="O26" s="24" t="s">
        <v>437</v>
      </c>
      <c r="P26" s="25" t="s">
        <v>245</v>
      </c>
      <c r="Q26" s="25" t="s">
        <v>483</v>
      </c>
      <c r="R26" s="24" t="s">
        <v>72</v>
      </c>
      <c r="S26" s="25"/>
    </row>
    <row r="27" spans="1:19" x14ac:dyDescent="0.25">
      <c r="A27" s="1" t="s">
        <v>1082</v>
      </c>
      <c r="B27" s="1" t="s">
        <v>1083</v>
      </c>
      <c r="C27" s="1">
        <v>80</v>
      </c>
      <c r="D27" s="1">
        <v>5</v>
      </c>
      <c r="E27" s="1">
        <v>23</v>
      </c>
      <c r="F27" s="7" t="s">
        <v>1084</v>
      </c>
      <c r="G27" s="1">
        <v>58</v>
      </c>
      <c r="H27" s="1">
        <v>43</v>
      </c>
      <c r="I27" s="1">
        <v>67</v>
      </c>
      <c r="J27" s="1">
        <f>IF(SUM(G27:I27)=0,"",SUM(G27:I27))</f>
        <v>168</v>
      </c>
      <c r="M27" s="7" t="s">
        <v>1085</v>
      </c>
      <c r="O27" s="26" t="s">
        <v>438</v>
      </c>
      <c r="P27" s="27" t="s">
        <v>246</v>
      </c>
      <c r="Q27" s="27" t="s">
        <v>509</v>
      </c>
      <c r="R27" s="26" t="s">
        <v>184</v>
      </c>
      <c r="S27" s="27"/>
    </row>
    <row r="28" spans="1:19" x14ac:dyDescent="0.25">
      <c r="A28" s="1" t="s">
        <v>5</v>
      </c>
      <c r="B28" s="1" t="s">
        <v>573</v>
      </c>
      <c r="C28" s="1">
        <v>76</v>
      </c>
      <c r="D28" s="3">
        <v>5</v>
      </c>
      <c r="E28" s="1">
        <v>23</v>
      </c>
      <c r="F28" s="7" t="s">
        <v>17</v>
      </c>
      <c r="G28" s="1">
        <v>55</v>
      </c>
      <c r="H28" s="1">
        <v>62</v>
      </c>
      <c r="I28" s="1">
        <v>60</v>
      </c>
      <c r="J28" s="1">
        <f>IF(SUM(G28:I28)=0,"",SUM(G28:I28))</f>
        <v>177</v>
      </c>
      <c r="L28" s="7" t="s">
        <v>46</v>
      </c>
      <c r="M28" s="7" t="s">
        <v>447</v>
      </c>
      <c r="O28" s="26" t="s">
        <v>439</v>
      </c>
      <c r="P28" s="27" t="s">
        <v>247</v>
      </c>
      <c r="Q28" s="27" t="s">
        <v>484</v>
      </c>
      <c r="R28" s="26" t="s">
        <v>59</v>
      </c>
      <c r="S28" s="27"/>
    </row>
    <row r="29" spans="1:19" x14ac:dyDescent="0.25">
      <c r="A29" s="1" t="s">
        <v>1224</v>
      </c>
      <c r="B29" s="1" t="s">
        <v>1225</v>
      </c>
      <c r="C29" s="1">
        <v>77</v>
      </c>
      <c r="D29" s="1">
        <v>5</v>
      </c>
      <c r="E29" s="1">
        <v>23</v>
      </c>
      <c r="F29" s="7" t="s">
        <v>1190</v>
      </c>
      <c r="G29" s="1">
        <v>50</v>
      </c>
      <c r="H29" s="1">
        <v>63</v>
      </c>
      <c r="I29" s="1">
        <v>61</v>
      </c>
      <c r="J29" s="1">
        <f>IF(SUM(G29:I29)=0,"",SUM(G29:I29))</f>
        <v>174</v>
      </c>
      <c r="K29" s="7" t="s">
        <v>1226</v>
      </c>
      <c r="L29" s="7" t="s">
        <v>1227</v>
      </c>
      <c r="M29" s="7" t="s">
        <v>1228</v>
      </c>
      <c r="O29" s="26" t="s">
        <v>440</v>
      </c>
      <c r="P29" s="27" t="s">
        <v>248</v>
      </c>
      <c r="Q29" s="26" t="s">
        <v>407</v>
      </c>
      <c r="R29" s="26" t="s">
        <v>57</v>
      </c>
      <c r="S29" s="27"/>
    </row>
    <row r="30" spans="1:19" x14ac:dyDescent="0.25">
      <c r="A30" s="1" t="s">
        <v>1396</v>
      </c>
      <c r="B30" s="1" t="s">
        <v>1397</v>
      </c>
      <c r="C30" s="1">
        <v>77</v>
      </c>
      <c r="D30" s="1">
        <v>5</v>
      </c>
      <c r="E30" s="1">
        <v>23</v>
      </c>
      <c r="F30" s="7" t="s">
        <v>1398</v>
      </c>
      <c r="G30" s="1">
        <v>57</v>
      </c>
      <c r="H30" s="1">
        <v>49</v>
      </c>
      <c r="I30" s="1">
        <v>62</v>
      </c>
      <c r="J30" s="1">
        <f>IF(SUM(G30:I30)=0,"",SUM(G30:I30))</f>
        <v>168</v>
      </c>
      <c r="K30" s="7" t="s">
        <v>1399</v>
      </c>
      <c r="L30" s="7" t="s">
        <v>1400</v>
      </c>
      <c r="M30" s="7" t="s">
        <v>1401</v>
      </c>
      <c r="O30" s="28" t="s">
        <v>441</v>
      </c>
      <c r="P30" s="29" t="s">
        <v>249</v>
      </c>
      <c r="Q30" s="29"/>
      <c r="R30" s="28" t="s">
        <v>52</v>
      </c>
      <c r="S30" s="29"/>
    </row>
    <row r="31" spans="1:19" x14ac:dyDescent="0.25">
      <c r="A31" s="1" t="s">
        <v>1473</v>
      </c>
      <c r="B31" s="1" t="s">
        <v>1474</v>
      </c>
      <c r="C31" s="1">
        <v>80</v>
      </c>
      <c r="D31" s="1">
        <v>5</v>
      </c>
      <c r="E31" s="1">
        <v>23</v>
      </c>
      <c r="F31" s="7" t="s">
        <v>1472</v>
      </c>
      <c r="G31" s="1">
        <v>76</v>
      </c>
      <c r="H31" s="1">
        <v>74</v>
      </c>
      <c r="I31" s="1">
        <v>59</v>
      </c>
      <c r="J31" s="1">
        <f>IF(SUM(G31:I31)=0,"",SUM(G31:I31))</f>
        <v>209</v>
      </c>
      <c r="K31" s="7" t="s">
        <v>1475</v>
      </c>
      <c r="L31" s="7" t="s">
        <v>1476</v>
      </c>
      <c r="M31" s="7" t="s">
        <v>1454</v>
      </c>
      <c r="O31" s="28" t="s">
        <v>442</v>
      </c>
      <c r="P31" s="29" t="s">
        <v>250</v>
      </c>
      <c r="Q31" s="29"/>
      <c r="R31" s="28" t="s">
        <v>58</v>
      </c>
      <c r="S31" s="29"/>
    </row>
    <row r="32" spans="1:19" x14ac:dyDescent="0.25">
      <c r="A32" s="1" t="s">
        <v>302</v>
      </c>
      <c r="B32" s="1" t="s">
        <v>196</v>
      </c>
      <c r="C32" s="1">
        <v>80</v>
      </c>
      <c r="D32" s="1">
        <v>5</v>
      </c>
      <c r="E32" s="1">
        <v>23</v>
      </c>
      <c r="F32" s="7" t="s">
        <v>186</v>
      </c>
      <c r="G32" s="1">
        <v>67</v>
      </c>
      <c r="H32" s="1">
        <v>57</v>
      </c>
      <c r="I32" s="1">
        <v>65</v>
      </c>
      <c r="J32" s="1">
        <f>IF(SUM(G32:I32)=0,"",SUM(G32:I32))</f>
        <v>189</v>
      </c>
      <c r="L32" s="7" t="s">
        <v>20</v>
      </c>
      <c r="M32" s="7" t="s">
        <v>447</v>
      </c>
      <c r="O32" s="28">
        <v>10</v>
      </c>
      <c r="P32" s="29" t="s">
        <v>443</v>
      </c>
      <c r="Q32" s="29"/>
      <c r="R32" s="28" t="s">
        <v>42</v>
      </c>
      <c r="S32" s="29"/>
    </row>
    <row r="33" spans="1:19" x14ac:dyDescent="0.25">
      <c r="A33" s="1" t="s">
        <v>668</v>
      </c>
      <c r="B33" s="1" t="s">
        <v>669</v>
      </c>
      <c r="C33" s="1">
        <v>77</v>
      </c>
      <c r="D33" s="1">
        <v>5</v>
      </c>
      <c r="E33" s="1">
        <v>24</v>
      </c>
      <c r="F33" s="7" t="s">
        <v>670</v>
      </c>
      <c r="G33" s="1">
        <v>57</v>
      </c>
      <c r="H33" s="1">
        <v>49</v>
      </c>
      <c r="I33" s="1">
        <v>65</v>
      </c>
      <c r="J33" s="1">
        <f>IF(SUM(G33:I33)=0,"",SUM(G33:I33))</f>
        <v>171</v>
      </c>
      <c r="K33" s="7" t="s">
        <v>671</v>
      </c>
      <c r="L33" s="7" t="s">
        <v>672</v>
      </c>
      <c r="M33" s="7" t="s">
        <v>644</v>
      </c>
      <c r="O33" s="30">
        <v>11</v>
      </c>
      <c r="P33" s="31" t="s">
        <v>251</v>
      </c>
      <c r="Q33" s="31"/>
      <c r="R33" s="30" t="s">
        <v>165</v>
      </c>
      <c r="S33" s="31"/>
    </row>
    <row r="34" spans="1:19" x14ac:dyDescent="0.25">
      <c r="A34" s="1" t="s">
        <v>788</v>
      </c>
      <c r="B34" s="1" t="s">
        <v>789</v>
      </c>
      <c r="C34" s="1">
        <v>79</v>
      </c>
      <c r="D34" s="1">
        <v>5</v>
      </c>
      <c r="E34" s="1">
        <v>24</v>
      </c>
      <c r="F34" s="7" t="s">
        <v>790</v>
      </c>
      <c r="G34" s="1">
        <v>50</v>
      </c>
      <c r="H34" s="1">
        <v>71</v>
      </c>
      <c r="I34" s="1">
        <v>64</v>
      </c>
      <c r="J34" s="1">
        <f>IF(SUM(G34:I34)=0,"",SUM(G34:I34))</f>
        <v>185</v>
      </c>
      <c r="L34" s="7" t="s">
        <v>791</v>
      </c>
      <c r="M34" s="7" t="s">
        <v>688</v>
      </c>
      <c r="O34" s="30">
        <v>12</v>
      </c>
      <c r="P34" s="31" t="s">
        <v>252</v>
      </c>
      <c r="Q34" s="31"/>
      <c r="R34" s="30" t="s">
        <v>17</v>
      </c>
      <c r="S34" s="31"/>
    </row>
    <row r="35" spans="1:19" x14ac:dyDescent="0.25">
      <c r="A35" s="1" t="s">
        <v>47</v>
      </c>
      <c r="B35" s="1" t="s">
        <v>117</v>
      </c>
      <c r="C35" s="1">
        <v>79</v>
      </c>
      <c r="D35" s="1">
        <v>5</v>
      </c>
      <c r="E35" s="1">
        <v>24</v>
      </c>
      <c r="F35" s="7" t="s">
        <v>52</v>
      </c>
      <c r="G35" s="1">
        <v>56</v>
      </c>
      <c r="H35" s="1">
        <v>70</v>
      </c>
      <c r="I35" s="1">
        <v>66</v>
      </c>
      <c r="J35" s="1">
        <f>IF(SUM(G35:I35)=0,"",SUM(G35:I35))</f>
        <v>192</v>
      </c>
      <c r="L35" s="7" t="s">
        <v>197</v>
      </c>
      <c r="M35" s="7" t="s">
        <v>447</v>
      </c>
      <c r="O35" s="30">
        <v>13</v>
      </c>
      <c r="P35" s="31" t="s">
        <v>253</v>
      </c>
      <c r="Q35" s="31"/>
      <c r="R35" s="30" t="s">
        <v>22</v>
      </c>
      <c r="S35" s="31"/>
    </row>
    <row r="36" spans="1:19" x14ac:dyDescent="0.25">
      <c r="A36" s="1" t="s">
        <v>631</v>
      </c>
      <c r="B36" s="1" t="s">
        <v>1308</v>
      </c>
      <c r="C36" s="1">
        <v>81</v>
      </c>
      <c r="D36" s="1">
        <v>5</v>
      </c>
      <c r="E36" s="1">
        <v>24</v>
      </c>
      <c r="F36" s="7" t="s">
        <v>1277</v>
      </c>
      <c r="G36" s="1">
        <v>72</v>
      </c>
      <c r="H36" s="1">
        <v>47</v>
      </c>
      <c r="I36" s="1">
        <v>76</v>
      </c>
      <c r="J36" s="1">
        <f>IF(SUM(G36:I36)=0,"",SUM(G36:I36))</f>
        <v>195</v>
      </c>
      <c r="K36" s="7" t="s">
        <v>1252</v>
      </c>
      <c r="M36" s="7" t="s">
        <v>1309</v>
      </c>
      <c r="O36" s="32">
        <v>14</v>
      </c>
      <c r="P36" s="33" t="s">
        <v>254</v>
      </c>
      <c r="Q36" s="33"/>
      <c r="R36" s="32" t="s">
        <v>29</v>
      </c>
      <c r="S36" s="33"/>
    </row>
    <row r="37" spans="1:19" x14ac:dyDescent="0.25">
      <c r="A37" s="1" t="s">
        <v>631</v>
      </c>
      <c r="B37" s="1" t="s">
        <v>632</v>
      </c>
      <c r="C37" s="1">
        <v>78</v>
      </c>
      <c r="D37" s="1">
        <v>5</v>
      </c>
      <c r="E37" s="1">
        <v>24</v>
      </c>
      <c r="F37" s="7" t="s">
        <v>165</v>
      </c>
      <c r="G37" s="1">
        <v>50</v>
      </c>
      <c r="H37" s="1">
        <v>57</v>
      </c>
      <c r="I37" s="1">
        <v>64</v>
      </c>
      <c r="J37" s="1">
        <f>IF(SUM(G37:I37)=0,"",SUM(G37:I37))</f>
        <v>171</v>
      </c>
      <c r="L37" s="7" t="s">
        <v>633</v>
      </c>
      <c r="M37" s="7" t="s">
        <v>462</v>
      </c>
      <c r="O37" s="32">
        <v>15</v>
      </c>
      <c r="P37" s="33" t="s">
        <v>255</v>
      </c>
      <c r="Q37" s="33"/>
      <c r="R37" s="32" t="s">
        <v>371</v>
      </c>
      <c r="S37" s="33"/>
    </row>
    <row r="38" spans="1:19" x14ac:dyDescent="0.25">
      <c r="A38" s="1" t="s">
        <v>1601</v>
      </c>
      <c r="B38" s="1" t="s">
        <v>1602</v>
      </c>
      <c r="C38" s="1">
        <v>66</v>
      </c>
      <c r="D38" s="1">
        <v>4</v>
      </c>
      <c r="E38" s="1">
        <v>19</v>
      </c>
      <c r="G38" s="1">
        <v>50</v>
      </c>
      <c r="H38" s="1">
        <v>53</v>
      </c>
      <c r="I38" s="1">
        <v>43</v>
      </c>
      <c r="J38" s="1">
        <f>IF(SUM(G38:I38)=0,"",SUM(G38:I38))</f>
        <v>146</v>
      </c>
      <c r="M38" s="7" t="s">
        <v>1581</v>
      </c>
      <c r="O38" s="32">
        <v>16</v>
      </c>
      <c r="P38" s="33" t="s">
        <v>256</v>
      </c>
      <c r="Q38" s="33"/>
      <c r="R38" s="33" t="s">
        <v>109</v>
      </c>
      <c r="S38" s="33"/>
    </row>
    <row r="39" spans="1:19" x14ac:dyDescent="0.25">
      <c r="A39" s="1" t="s">
        <v>47</v>
      </c>
      <c r="B39" s="1" t="s">
        <v>1471</v>
      </c>
      <c r="C39" s="1">
        <v>70</v>
      </c>
      <c r="D39" s="1">
        <v>4</v>
      </c>
      <c r="E39" s="1">
        <v>20</v>
      </c>
      <c r="F39" s="7" t="s">
        <v>1472</v>
      </c>
      <c r="G39" s="1">
        <v>52</v>
      </c>
      <c r="H39" s="1">
        <v>67</v>
      </c>
      <c r="I39" s="1">
        <v>46</v>
      </c>
      <c r="J39" s="1">
        <f>IF(SUM(G39:I39)=0,"",SUM(G39:I39))</f>
        <v>165</v>
      </c>
      <c r="M39" s="7" t="s">
        <v>1454</v>
      </c>
      <c r="O39" s="32">
        <v>17</v>
      </c>
      <c r="P39" s="33" t="s">
        <v>257</v>
      </c>
      <c r="Q39" s="33"/>
      <c r="R39" s="33" t="s">
        <v>10</v>
      </c>
      <c r="S39" s="33"/>
    </row>
    <row r="40" spans="1:19" x14ac:dyDescent="0.25">
      <c r="A40" s="1" t="s">
        <v>813</v>
      </c>
      <c r="B40" s="1" t="s">
        <v>814</v>
      </c>
      <c r="C40" s="1">
        <v>74</v>
      </c>
      <c r="D40" s="1">
        <v>4</v>
      </c>
      <c r="E40" s="1">
        <v>22</v>
      </c>
      <c r="F40" s="7" t="s">
        <v>815</v>
      </c>
      <c r="G40" s="1">
        <v>62</v>
      </c>
      <c r="H40" s="1">
        <v>58</v>
      </c>
      <c r="I40" s="1">
        <v>54</v>
      </c>
      <c r="J40" s="1">
        <f>IF(SUM(G40:I40)=0,"",SUM(G40:I40))</f>
        <v>174</v>
      </c>
      <c r="M40" s="7" t="s">
        <v>816</v>
      </c>
      <c r="O40" s="34">
        <v>18</v>
      </c>
      <c r="P40" s="35" t="s">
        <v>258</v>
      </c>
      <c r="Q40" s="35"/>
      <c r="R40" s="35"/>
      <c r="S40" s="35"/>
    </row>
    <row r="41" spans="1:19" x14ac:dyDescent="0.25">
      <c r="A41" s="1" t="s">
        <v>698</v>
      </c>
      <c r="B41" s="1" t="s">
        <v>794</v>
      </c>
      <c r="C41" s="1">
        <v>64</v>
      </c>
      <c r="D41" s="1">
        <v>4</v>
      </c>
      <c r="E41" s="1">
        <v>22</v>
      </c>
      <c r="F41" s="7" t="s">
        <v>795</v>
      </c>
      <c r="G41" s="1">
        <v>41</v>
      </c>
      <c r="H41" s="1">
        <v>46</v>
      </c>
      <c r="I41" s="1">
        <v>45</v>
      </c>
      <c r="J41" s="1">
        <f>IF(SUM(G41:I41)=0,"",SUM(G41:I41))</f>
        <v>132</v>
      </c>
      <c r="L41" s="7" t="s">
        <v>796</v>
      </c>
      <c r="M41" s="7" t="s">
        <v>787</v>
      </c>
      <c r="O41" s="34">
        <v>19</v>
      </c>
      <c r="P41" s="35" t="s">
        <v>259</v>
      </c>
      <c r="Q41" s="35"/>
      <c r="R41" s="35"/>
      <c r="S41" s="35"/>
    </row>
    <row r="42" spans="1:19" x14ac:dyDescent="0.25">
      <c r="A42" s="1" t="s">
        <v>548</v>
      </c>
      <c r="B42" s="1" t="s">
        <v>549</v>
      </c>
      <c r="C42" s="1">
        <v>73</v>
      </c>
      <c r="D42" s="1">
        <v>4</v>
      </c>
      <c r="E42" s="1">
        <v>23</v>
      </c>
      <c r="F42" s="7" t="s">
        <v>550</v>
      </c>
      <c r="G42" s="1">
        <v>40</v>
      </c>
      <c r="H42" s="1">
        <v>50</v>
      </c>
      <c r="I42" s="1">
        <v>56</v>
      </c>
      <c r="J42" s="1">
        <f>IF(SUM(G42:I42)=0,"",SUM(G42:I42))</f>
        <v>146</v>
      </c>
      <c r="K42" s="7" t="s">
        <v>551</v>
      </c>
      <c r="M42" s="7" t="s">
        <v>552</v>
      </c>
      <c r="O42" s="34">
        <v>20</v>
      </c>
      <c r="P42" s="35" t="s">
        <v>260</v>
      </c>
      <c r="Q42" s="35"/>
      <c r="R42" s="35"/>
      <c r="S42" s="35"/>
    </row>
    <row r="43" spans="1:19" x14ac:dyDescent="0.25">
      <c r="A43" s="1" t="s">
        <v>47</v>
      </c>
      <c r="B43" s="1" t="s">
        <v>1477</v>
      </c>
      <c r="C43" s="1">
        <v>68</v>
      </c>
      <c r="D43" s="1">
        <v>4</v>
      </c>
      <c r="E43" s="1">
        <v>23</v>
      </c>
      <c r="G43" s="1">
        <v>58</v>
      </c>
      <c r="H43" s="1">
        <v>42</v>
      </c>
      <c r="I43" s="1">
        <v>43</v>
      </c>
      <c r="J43" s="1">
        <f>IF(SUM(G43:I43)=0,"",SUM(G43:I43))</f>
        <v>143</v>
      </c>
      <c r="M43" s="7" t="s">
        <v>1478</v>
      </c>
      <c r="O43" s="34">
        <v>21</v>
      </c>
      <c r="P43" s="35" t="s">
        <v>261</v>
      </c>
      <c r="Q43" s="35"/>
      <c r="R43" s="35"/>
      <c r="S43" s="35"/>
    </row>
    <row r="44" spans="1:19" x14ac:dyDescent="0.25">
      <c r="A44" s="1" t="s">
        <v>1366</v>
      </c>
      <c r="B44" s="1" t="s">
        <v>1367</v>
      </c>
      <c r="C44" s="1">
        <v>75</v>
      </c>
      <c r="D44" s="1">
        <v>4</v>
      </c>
      <c r="E44" s="1">
        <v>24</v>
      </c>
      <c r="F44" s="7" t="s">
        <v>1368</v>
      </c>
      <c r="G44" s="1">
        <v>78</v>
      </c>
      <c r="H44" s="1">
        <v>39</v>
      </c>
      <c r="I44" s="1">
        <v>60</v>
      </c>
      <c r="J44" s="1">
        <f>IF(SUM(G44:I44)=0,"",SUM(G44:I44))</f>
        <v>177</v>
      </c>
      <c r="L44" s="7" t="s">
        <v>1369</v>
      </c>
      <c r="M44" s="7" t="s">
        <v>1370</v>
      </c>
      <c r="O44" s="34">
        <v>22</v>
      </c>
      <c r="P44" s="35" t="s">
        <v>444</v>
      </c>
      <c r="Q44" s="35"/>
      <c r="R44" s="35"/>
      <c r="S44" s="35"/>
    </row>
  </sheetData>
  <sortState ref="A1:N45">
    <sortCondition descending="1" ref="D1:D100"/>
    <sortCondition ref="E1:E100"/>
    <sortCondition descending="1" ref="B1:B100"/>
  </sortState>
  <phoneticPr fontId="1" type="noConversion"/>
  <conditionalFormatting sqref="B1:B2 B21:B1048576 B15 B8:B11 B13 B4:B6">
    <cfRule type="duplicateValues" dxfId="74" priority="4"/>
  </conditionalFormatting>
  <conditionalFormatting sqref="A1:A2 A15:A16 A8:A11 A13 A18:A1048576 A4:A6">
    <cfRule type="containsText" dxfId="73" priority="1" operator="containsText" text="RMF">
      <formula>NOT(ISERROR(SEARCH("RMF",A1)))</formula>
    </cfRule>
    <cfRule type="containsText" dxfId="72" priority="2" operator="containsText" text="LMF">
      <formula>NOT(ISERROR(SEARCH("LMF",A1)))</formula>
    </cfRule>
  </conditionalFormatting>
  <pageMargins left="0.7" right="0.7" top="0.75" bottom="0.75" header="0.3" footer="0.3"/>
  <ignoredErrors>
    <ignoredError sqref="O1:O22 O45:O1048576 O23:S44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S22"/>
  <sheetViews>
    <sheetView workbookViewId="0">
      <selection activeCell="A13" sqref="A13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22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422</v>
      </c>
      <c r="B1" s="1" t="s">
        <v>337</v>
      </c>
      <c r="C1" s="1">
        <v>81</v>
      </c>
      <c r="D1" s="1">
        <v>7</v>
      </c>
      <c r="E1" s="1">
        <v>18</v>
      </c>
      <c r="F1" s="7" t="s">
        <v>59</v>
      </c>
      <c r="G1" s="1">
        <v>55</v>
      </c>
      <c r="H1" s="1">
        <v>83</v>
      </c>
      <c r="I1" s="1">
        <v>77</v>
      </c>
      <c r="J1" s="1">
        <f>IF(SUM(G1:I1)=0,"",SUM(G1:I1))</f>
        <v>215</v>
      </c>
      <c r="K1" s="7" t="s">
        <v>513</v>
      </c>
      <c r="L1" s="7" t="s">
        <v>338</v>
      </c>
      <c r="M1" s="7" t="s">
        <v>447</v>
      </c>
      <c r="N1" s="22" t="s">
        <v>586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1619</v>
      </c>
      <c r="B2" s="1" t="s">
        <v>681</v>
      </c>
      <c r="C2" s="1">
        <v>83</v>
      </c>
      <c r="D2" s="1">
        <v>7</v>
      </c>
      <c r="E2" s="1">
        <v>22</v>
      </c>
      <c r="F2" s="7" t="s">
        <v>1620</v>
      </c>
      <c r="G2" s="1">
        <v>51</v>
      </c>
      <c r="H2" s="1">
        <v>92</v>
      </c>
      <c r="I2" s="1">
        <v>75</v>
      </c>
      <c r="J2" s="1">
        <f>IF(SUM(G2:I2)=0,"",SUM(G2:I2))</f>
        <v>218</v>
      </c>
      <c r="K2" s="7" t="s">
        <v>1569</v>
      </c>
      <c r="L2" s="7" t="s">
        <v>1569</v>
      </c>
      <c r="M2" s="7" t="s">
        <v>1581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408</v>
      </c>
      <c r="B3" s="1" t="s">
        <v>409</v>
      </c>
      <c r="C3" s="1">
        <v>84</v>
      </c>
      <c r="D3" s="1">
        <v>7</v>
      </c>
      <c r="E3" s="1">
        <v>23</v>
      </c>
      <c r="F3" s="7" t="s">
        <v>410</v>
      </c>
      <c r="G3" s="1">
        <v>52</v>
      </c>
      <c r="H3" s="1">
        <v>92</v>
      </c>
      <c r="I3" s="1">
        <v>81</v>
      </c>
      <c r="J3" s="1">
        <f>IF(SUM(G3:I3)=0,"",SUM(G3:I3))</f>
        <v>225</v>
      </c>
      <c r="K3" s="7" t="s">
        <v>479</v>
      </c>
      <c r="L3" s="7" t="s">
        <v>411</v>
      </c>
      <c r="M3" s="7" t="s">
        <v>447</v>
      </c>
      <c r="N3" s="22" t="s">
        <v>590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336</v>
      </c>
      <c r="B4" s="1" t="s">
        <v>21</v>
      </c>
      <c r="C4" s="1">
        <v>77</v>
      </c>
      <c r="D4" s="1">
        <v>6</v>
      </c>
      <c r="E4" s="1">
        <v>18</v>
      </c>
      <c r="F4" s="7" t="s">
        <v>57</v>
      </c>
      <c r="G4" s="1">
        <v>49</v>
      </c>
      <c r="H4" s="1">
        <v>76</v>
      </c>
      <c r="I4" s="1">
        <v>64</v>
      </c>
      <c r="J4" s="1">
        <f>IF(SUM(G4:I4)=0,"",SUM(G4:I4))</f>
        <v>189</v>
      </c>
      <c r="L4" s="7" t="s">
        <v>188</v>
      </c>
      <c r="M4" s="7" t="s">
        <v>447</v>
      </c>
      <c r="N4" s="22" t="s">
        <v>589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715</v>
      </c>
      <c r="B5" s="1" t="s">
        <v>716</v>
      </c>
      <c r="C5" s="1">
        <v>80</v>
      </c>
      <c r="D5" s="1">
        <v>6</v>
      </c>
      <c r="E5" s="1">
        <v>18</v>
      </c>
      <c r="F5" s="7" t="s">
        <v>717</v>
      </c>
      <c r="G5" s="1">
        <v>55</v>
      </c>
      <c r="H5" s="1">
        <v>66</v>
      </c>
      <c r="I5" s="1">
        <v>71</v>
      </c>
      <c r="J5" s="1">
        <f>IF(SUM(G5:I5)=0,"",SUM(G5:I5))</f>
        <v>192</v>
      </c>
      <c r="L5" s="7" t="s">
        <v>718</v>
      </c>
      <c r="M5" s="7" t="s">
        <v>719</v>
      </c>
      <c r="N5" s="22" t="s">
        <v>720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78</v>
      </c>
      <c r="B6" s="1" t="s">
        <v>100</v>
      </c>
      <c r="C6" s="1">
        <v>80</v>
      </c>
      <c r="D6" s="1">
        <v>6</v>
      </c>
      <c r="E6" s="1">
        <v>21</v>
      </c>
      <c r="F6" s="7" t="s">
        <v>57</v>
      </c>
      <c r="G6" s="1">
        <v>55</v>
      </c>
      <c r="H6" s="1">
        <v>81</v>
      </c>
      <c r="I6" s="1">
        <v>70</v>
      </c>
      <c r="J6" s="1">
        <f>IF(SUM(G6:I6)=0,"",SUM(G6:I6))</f>
        <v>206</v>
      </c>
      <c r="L6" s="7" t="s">
        <v>76</v>
      </c>
      <c r="M6" s="7" t="s">
        <v>447</v>
      </c>
      <c r="N6" s="22" t="s">
        <v>588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1102</v>
      </c>
      <c r="B7" s="1" t="s">
        <v>1103</v>
      </c>
      <c r="C7" s="1">
        <v>80</v>
      </c>
      <c r="D7" s="1">
        <v>6</v>
      </c>
      <c r="E7" s="1">
        <v>23</v>
      </c>
      <c r="F7" s="7" t="s">
        <v>1104</v>
      </c>
      <c r="G7" s="1">
        <v>57</v>
      </c>
      <c r="H7" s="1">
        <v>67</v>
      </c>
      <c r="I7" s="1">
        <v>71</v>
      </c>
      <c r="J7" s="1">
        <f>IF(SUM(G7:I7)=0,"",SUM(G7:I7))</f>
        <v>195</v>
      </c>
      <c r="L7" s="7" t="s">
        <v>1105</v>
      </c>
      <c r="M7" s="7" t="s">
        <v>1106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78</v>
      </c>
      <c r="B8" s="1" t="s">
        <v>300</v>
      </c>
      <c r="C8" s="1">
        <v>73</v>
      </c>
      <c r="D8" s="1">
        <v>5</v>
      </c>
      <c r="E8" s="1">
        <v>20</v>
      </c>
      <c r="F8" s="7" t="s">
        <v>92</v>
      </c>
      <c r="G8" s="1">
        <v>55</v>
      </c>
      <c r="H8" s="1">
        <v>73</v>
      </c>
      <c r="I8" s="1">
        <v>55</v>
      </c>
      <c r="J8" s="1">
        <f>IF(SUM(G8:I8)=0,"",SUM(G8:I8))</f>
        <v>183</v>
      </c>
      <c r="L8" s="7" t="s">
        <v>107</v>
      </c>
      <c r="M8" s="7" t="s">
        <v>447</v>
      </c>
      <c r="N8" s="22" t="s">
        <v>587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1205</v>
      </c>
      <c r="B9" s="1" t="s">
        <v>1206</v>
      </c>
      <c r="C9" s="1">
        <v>69</v>
      </c>
      <c r="D9" s="1">
        <v>5</v>
      </c>
      <c r="E9" s="1">
        <v>21</v>
      </c>
      <c r="F9" s="7" t="s">
        <v>1207</v>
      </c>
      <c r="G9" s="1">
        <v>50</v>
      </c>
      <c r="H9" s="1">
        <v>58</v>
      </c>
      <c r="I9" s="1">
        <v>48</v>
      </c>
      <c r="J9" s="1">
        <f>IF(SUM(G9:I9)=0,"",SUM(G9:I9))</f>
        <v>156</v>
      </c>
      <c r="L9" s="7" t="s">
        <v>1208</v>
      </c>
      <c r="M9" s="7" t="s">
        <v>1209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336</v>
      </c>
      <c r="B10" s="1" t="s">
        <v>74</v>
      </c>
      <c r="C10" s="1">
        <v>74</v>
      </c>
      <c r="D10" s="1">
        <v>5</v>
      </c>
      <c r="E10" s="1">
        <v>22</v>
      </c>
      <c r="F10" s="7" t="s">
        <v>184</v>
      </c>
      <c r="G10" s="1">
        <v>52</v>
      </c>
      <c r="H10" s="1">
        <v>61</v>
      </c>
      <c r="I10" s="1">
        <v>65</v>
      </c>
      <c r="J10" s="1">
        <f>IF(SUM(G10:I10)=0,"",SUM(G10:I10))</f>
        <v>178</v>
      </c>
      <c r="L10" s="7" t="s">
        <v>77</v>
      </c>
      <c r="M10" s="7" t="s">
        <v>447</v>
      </c>
      <c r="N10" s="22" t="s">
        <v>586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288</v>
      </c>
      <c r="B11" s="1" t="s">
        <v>233</v>
      </c>
      <c r="C11" s="1">
        <v>67</v>
      </c>
      <c r="D11" s="1">
        <v>4</v>
      </c>
      <c r="E11" s="1">
        <v>18</v>
      </c>
      <c r="F11" s="7" t="s">
        <v>59</v>
      </c>
      <c r="G11" s="1">
        <v>55</v>
      </c>
      <c r="H11" s="1">
        <v>63</v>
      </c>
      <c r="I11" s="1">
        <v>46</v>
      </c>
      <c r="J11" s="1">
        <f>IF(SUM(G11:I11)=0,"",SUM(G11:I11))</f>
        <v>164</v>
      </c>
      <c r="L11" s="7" t="s">
        <v>234</v>
      </c>
      <c r="M11" s="7" t="s">
        <v>447</v>
      </c>
      <c r="N11" s="22" t="s">
        <v>586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853</v>
      </c>
      <c r="B12" s="1" t="s">
        <v>854</v>
      </c>
      <c r="C12" s="1">
        <v>71</v>
      </c>
      <c r="D12" s="1">
        <v>4</v>
      </c>
      <c r="E12" s="1">
        <v>22</v>
      </c>
      <c r="G12" s="1">
        <v>43</v>
      </c>
      <c r="H12" s="1">
        <v>75</v>
      </c>
      <c r="I12" s="1">
        <v>43</v>
      </c>
      <c r="J12" s="1">
        <f>IF(SUM(G12:I12)=0,"",SUM(G12:I12))</f>
        <v>161</v>
      </c>
      <c r="M12" s="7" t="s">
        <v>855</v>
      </c>
      <c r="N12" s="22" t="s">
        <v>591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O16" s="32">
        <v>16</v>
      </c>
      <c r="P16" s="33" t="s">
        <v>256</v>
      </c>
      <c r="Q16" s="33"/>
      <c r="R16" s="33" t="s">
        <v>109</v>
      </c>
      <c r="S16" s="33"/>
    </row>
    <row r="17" spans="15:19" x14ac:dyDescent="0.25">
      <c r="O17" s="32">
        <v>17</v>
      </c>
      <c r="P17" s="33" t="s">
        <v>257</v>
      </c>
      <c r="Q17" s="33"/>
      <c r="R17" s="33" t="s">
        <v>10</v>
      </c>
      <c r="S17" s="33"/>
    </row>
    <row r="18" spans="15:19" x14ac:dyDescent="0.25">
      <c r="O18" s="34">
        <v>18</v>
      </c>
      <c r="P18" s="35" t="s">
        <v>258</v>
      </c>
      <c r="Q18" s="35"/>
      <c r="R18" s="35"/>
      <c r="S18" s="35"/>
    </row>
    <row r="19" spans="15:19" x14ac:dyDescent="0.25">
      <c r="O19" s="34">
        <v>19</v>
      </c>
      <c r="P19" s="35" t="s">
        <v>259</v>
      </c>
      <c r="Q19" s="35"/>
      <c r="R19" s="35"/>
      <c r="S19" s="35"/>
    </row>
    <row r="20" spans="15:19" x14ac:dyDescent="0.25">
      <c r="O20" s="34">
        <v>20</v>
      </c>
      <c r="P20" s="35" t="s">
        <v>260</v>
      </c>
      <c r="Q20" s="35"/>
      <c r="R20" s="35"/>
      <c r="S20" s="35"/>
    </row>
    <row r="21" spans="15:19" x14ac:dyDescent="0.25">
      <c r="O21" s="34">
        <v>21</v>
      </c>
      <c r="P21" s="35" t="s">
        <v>261</v>
      </c>
      <c r="Q21" s="35"/>
      <c r="R21" s="35"/>
      <c r="S21" s="35"/>
    </row>
    <row r="22" spans="15:19" x14ac:dyDescent="0.25">
      <c r="O22" s="34">
        <v>22</v>
      </c>
      <c r="P22" s="35" t="s">
        <v>444</v>
      </c>
      <c r="Q22" s="35"/>
      <c r="R22" s="35"/>
      <c r="S22" s="35"/>
    </row>
  </sheetData>
  <sortState ref="A1:N22">
    <sortCondition descending="1" ref="D1:D100"/>
    <sortCondition ref="E1:E100"/>
    <sortCondition descending="1" ref="B1:B100"/>
  </sortState>
  <phoneticPr fontId="1" type="noConversion"/>
  <conditionalFormatting sqref="B1">
    <cfRule type="duplicateValues" dxfId="71" priority="17"/>
  </conditionalFormatting>
  <conditionalFormatting sqref="B2">
    <cfRule type="duplicateValues" dxfId="70" priority="14"/>
  </conditionalFormatting>
  <conditionalFormatting sqref="B3:B4">
    <cfRule type="duplicateValues" dxfId="69" priority="11"/>
  </conditionalFormatting>
  <conditionalFormatting sqref="B5">
    <cfRule type="duplicateValues" dxfId="68" priority="8"/>
  </conditionalFormatting>
  <conditionalFormatting sqref="B8">
    <cfRule type="duplicateValues" dxfId="67" priority="3"/>
  </conditionalFormatting>
  <pageMargins left="0.7" right="0.7" top="0.75" bottom="0.75" header="0.3" footer="0.3"/>
  <ignoredErrors>
    <ignoredError sqref="O1:O1048576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S22"/>
  <sheetViews>
    <sheetView workbookViewId="0">
      <selection activeCell="A13" sqref="A13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23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683</v>
      </c>
      <c r="B1" s="1" t="s">
        <v>684</v>
      </c>
      <c r="C1" s="37">
        <v>73</v>
      </c>
      <c r="D1" s="1">
        <v>6</v>
      </c>
      <c r="E1" s="1">
        <v>18</v>
      </c>
      <c r="F1" s="7" t="s">
        <v>685</v>
      </c>
      <c r="G1" s="1">
        <v>41</v>
      </c>
      <c r="H1" s="1">
        <v>69</v>
      </c>
      <c r="I1" s="1">
        <v>62</v>
      </c>
      <c r="J1" s="1">
        <f>IF(SUM(G1:I1)=0,"",SUM(G1:I1))</f>
        <v>172</v>
      </c>
      <c r="K1" s="7" t="s">
        <v>686</v>
      </c>
      <c r="L1" s="7" t="s">
        <v>687</v>
      </c>
      <c r="M1" s="7" t="s">
        <v>688</v>
      </c>
      <c r="N1" s="23" t="s">
        <v>721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1294</v>
      </c>
      <c r="B2" s="1" t="s">
        <v>1295</v>
      </c>
      <c r="C2" s="37">
        <v>77</v>
      </c>
      <c r="D2" s="1">
        <v>6</v>
      </c>
      <c r="E2" s="1">
        <v>21</v>
      </c>
      <c r="F2" s="7" t="s">
        <v>1296</v>
      </c>
      <c r="G2" s="1">
        <v>34</v>
      </c>
      <c r="H2" s="1">
        <v>92</v>
      </c>
      <c r="I2" s="1">
        <v>59</v>
      </c>
      <c r="J2" s="1">
        <f>IF(SUM(G2:I2)=0,"",SUM(G2:I2))</f>
        <v>185</v>
      </c>
      <c r="K2" s="7" t="s">
        <v>1297</v>
      </c>
      <c r="L2" s="7" t="s">
        <v>1298</v>
      </c>
      <c r="M2" s="7" t="s">
        <v>1243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79</v>
      </c>
      <c r="B3" s="1" t="s">
        <v>1616</v>
      </c>
      <c r="C3" s="37">
        <v>77</v>
      </c>
      <c r="D3" s="1">
        <v>6</v>
      </c>
      <c r="E3" s="1">
        <v>21</v>
      </c>
      <c r="F3" s="7" t="s">
        <v>1568</v>
      </c>
      <c r="G3" s="1">
        <v>34</v>
      </c>
      <c r="H3" s="1">
        <v>93</v>
      </c>
      <c r="I3" s="1">
        <v>61</v>
      </c>
      <c r="J3" s="1">
        <f>IF(SUM(G3:I3)=0,"",SUM(G3:I3))</f>
        <v>188</v>
      </c>
      <c r="K3" s="7" t="s">
        <v>1617</v>
      </c>
      <c r="L3" s="7" t="s">
        <v>1618</v>
      </c>
      <c r="M3" s="7" t="s">
        <v>1607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768</v>
      </c>
      <c r="B4" s="1" t="s">
        <v>769</v>
      </c>
      <c r="C4" s="37">
        <v>80</v>
      </c>
      <c r="D4" s="1">
        <v>6</v>
      </c>
      <c r="E4" s="1">
        <v>22</v>
      </c>
      <c r="F4" s="7" t="s">
        <v>764</v>
      </c>
      <c r="G4" s="1">
        <v>33</v>
      </c>
      <c r="H4" s="1">
        <v>89</v>
      </c>
      <c r="I4" s="1">
        <v>74</v>
      </c>
      <c r="J4" s="1">
        <f>IF(SUM(G4:I4)=0,"",SUM(G4:I4))</f>
        <v>196</v>
      </c>
      <c r="K4" s="7" t="s">
        <v>770</v>
      </c>
      <c r="L4" s="7" t="s">
        <v>771</v>
      </c>
      <c r="M4" s="7" t="s">
        <v>732</v>
      </c>
      <c r="N4" s="23" t="s">
        <v>772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504</v>
      </c>
      <c r="B5" s="1" t="s">
        <v>505</v>
      </c>
      <c r="C5" s="37">
        <v>81</v>
      </c>
      <c r="D5" s="1">
        <v>6</v>
      </c>
      <c r="E5" s="1">
        <v>22</v>
      </c>
      <c r="F5" s="7" t="s">
        <v>506</v>
      </c>
      <c r="G5" s="1">
        <v>67</v>
      </c>
      <c r="H5" s="1">
        <v>67</v>
      </c>
      <c r="I5" s="1">
        <v>68</v>
      </c>
      <c r="J5" s="1">
        <f>IF(SUM(G5:I5)=0,"",SUM(G5:I5))</f>
        <v>202</v>
      </c>
      <c r="L5" s="7" t="s">
        <v>507</v>
      </c>
      <c r="M5" s="7" t="s">
        <v>508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2</v>
      </c>
      <c r="B6" s="1" t="s">
        <v>54</v>
      </c>
      <c r="C6" s="37">
        <v>81</v>
      </c>
      <c r="D6" s="2">
        <v>6</v>
      </c>
      <c r="E6" s="1">
        <v>23</v>
      </c>
      <c r="F6" s="7" t="s">
        <v>52</v>
      </c>
      <c r="G6" s="1">
        <v>64</v>
      </c>
      <c r="H6" s="1">
        <v>73</v>
      </c>
      <c r="I6" s="1">
        <v>73</v>
      </c>
      <c r="J6" s="1">
        <f>IF(SUM(G6:I6)=0,"",SUM(G6:I6))</f>
        <v>210</v>
      </c>
      <c r="L6" s="7" t="s">
        <v>220</v>
      </c>
      <c r="M6" s="7" t="s">
        <v>447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904</v>
      </c>
      <c r="B7" s="1" t="s">
        <v>905</v>
      </c>
      <c r="C7" s="37">
        <v>80</v>
      </c>
      <c r="D7" s="1">
        <v>6</v>
      </c>
      <c r="E7" s="1">
        <v>23</v>
      </c>
      <c r="F7" s="7" t="s">
        <v>906</v>
      </c>
      <c r="G7" s="1">
        <v>48</v>
      </c>
      <c r="H7" s="1">
        <v>78</v>
      </c>
      <c r="I7" s="1">
        <v>73</v>
      </c>
      <c r="J7" s="1">
        <f>IF(SUM(G7:I7)=0,"",SUM(G7:I7))</f>
        <v>199</v>
      </c>
      <c r="K7" s="7" t="s">
        <v>907</v>
      </c>
      <c r="L7" s="7" t="s">
        <v>908</v>
      </c>
      <c r="M7" s="7" t="s">
        <v>909</v>
      </c>
      <c r="N7" s="23" t="s">
        <v>910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639</v>
      </c>
      <c r="B8" s="1" t="s">
        <v>640</v>
      </c>
      <c r="C8" s="37">
        <v>84</v>
      </c>
      <c r="D8" s="1">
        <v>6</v>
      </c>
      <c r="E8" s="1">
        <v>24</v>
      </c>
      <c r="F8" s="7" t="s">
        <v>641</v>
      </c>
      <c r="G8" s="1">
        <v>38</v>
      </c>
      <c r="H8" s="1">
        <v>97</v>
      </c>
      <c r="I8" s="1">
        <v>72</v>
      </c>
      <c r="J8" s="1">
        <f>IF(SUM(G8:I8)=0,"",SUM(G8:I8))</f>
        <v>207</v>
      </c>
      <c r="K8" s="7" t="s">
        <v>642</v>
      </c>
      <c r="L8" s="7" t="s">
        <v>643</v>
      </c>
      <c r="M8" s="7" t="s">
        <v>644</v>
      </c>
      <c r="N8" s="23" t="s">
        <v>645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328</v>
      </c>
      <c r="B9" s="1" t="s">
        <v>129</v>
      </c>
      <c r="C9" s="37">
        <v>74</v>
      </c>
      <c r="D9" s="1">
        <v>5</v>
      </c>
      <c r="E9" s="1">
        <v>19</v>
      </c>
      <c r="F9" s="7" t="s">
        <v>58</v>
      </c>
      <c r="G9" s="1">
        <v>58</v>
      </c>
      <c r="H9" s="1">
        <v>57</v>
      </c>
      <c r="I9" s="1">
        <v>56</v>
      </c>
      <c r="J9" s="1">
        <f>IF(SUM(G9:I9)=0,"",SUM(G9:I9))</f>
        <v>171</v>
      </c>
      <c r="M9" s="7" t="s">
        <v>447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418</v>
      </c>
      <c r="B10" s="1" t="s">
        <v>396</v>
      </c>
      <c r="C10" s="37">
        <v>76</v>
      </c>
      <c r="D10" s="1">
        <v>5</v>
      </c>
      <c r="E10" s="1">
        <v>21</v>
      </c>
      <c r="F10" s="7" t="s">
        <v>184</v>
      </c>
      <c r="G10" s="1">
        <v>62</v>
      </c>
      <c r="H10" s="1">
        <v>71</v>
      </c>
      <c r="I10" s="1">
        <v>63</v>
      </c>
      <c r="J10" s="1">
        <f>IF(SUM(G10:I10)=0,"",SUM(G10:I10))</f>
        <v>196</v>
      </c>
      <c r="L10" s="7" t="s">
        <v>397</v>
      </c>
      <c r="M10" s="7" t="s">
        <v>447</v>
      </c>
      <c r="N10" s="23" t="s">
        <v>585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880</v>
      </c>
      <c r="B11" s="1" t="s">
        <v>881</v>
      </c>
      <c r="C11" s="37">
        <v>76</v>
      </c>
      <c r="D11" s="1">
        <v>5</v>
      </c>
      <c r="E11" s="1">
        <v>23</v>
      </c>
      <c r="F11" s="7" t="s">
        <v>882</v>
      </c>
      <c r="G11" s="1">
        <v>50</v>
      </c>
      <c r="H11" s="1">
        <v>67</v>
      </c>
      <c r="I11" s="1">
        <v>63</v>
      </c>
      <c r="J11" s="1">
        <f>IF(SUM(G11:I11)=0,"",SUM(G11:I11))</f>
        <v>180</v>
      </c>
      <c r="K11" s="7" t="s">
        <v>883</v>
      </c>
      <c r="L11" s="7" t="s">
        <v>884</v>
      </c>
      <c r="M11" s="7" t="s">
        <v>885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841</v>
      </c>
      <c r="B12" s="1" t="s">
        <v>842</v>
      </c>
      <c r="C12" s="37">
        <v>74</v>
      </c>
      <c r="D12" s="1">
        <v>5</v>
      </c>
      <c r="E12" s="1">
        <v>23</v>
      </c>
      <c r="F12" s="7" t="s">
        <v>843</v>
      </c>
      <c r="G12" s="1">
        <v>61</v>
      </c>
      <c r="H12" s="1">
        <v>71</v>
      </c>
      <c r="I12" s="1">
        <v>58</v>
      </c>
      <c r="J12" s="1">
        <f>IF(SUM(G12:I12)=0,"",SUM(G12:I12))</f>
        <v>190</v>
      </c>
      <c r="K12" s="7" t="s">
        <v>845</v>
      </c>
      <c r="L12" s="7" t="s">
        <v>846</v>
      </c>
      <c r="M12" s="7" t="s">
        <v>847</v>
      </c>
      <c r="N12" s="23" t="s">
        <v>844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C13" s="37"/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C14" s="37"/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O16" s="32">
        <v>16</v>
      </c>
      <c r="P16" s="33" t="s">
        <v>256</v>
      </c>
      <c r="Q16" s="33"/>
      <c r="R16" s="33" t="s">
        <v>109</v>
      </c>
      <c r="S16" s="33"/>
    </row>
    <row r="17" spans="15:19" x14ac:dyDescent="0.25">
      <c r="O17" s="32">
        <v>17</v>
      </c>
      <c r="P17" s="33" t="s">
        <v>257</v>
      </c>
      <c r="Q17" s="33"/>
      <c r="R17" s="33" t="s">
        <v>10</v>
      </c>
      <c r="S17" s="33"/>
    </row>
    <row r="18" spans="15:19" x14ac:dyDescent="0.25">
      <c r="O18" s="34">
        <v>18</v>
      </c>
      <c r="P18" s="35" t="s">
        <v>258</v>
      </c>
      <c r="Q18" s="35"/>
      <c r="R18" s="35"/>
      <c r="S18" s="35"/>
    </row>
    <row r="19" spans="15:19" x14ac:dyDescent="0.25">
      <c r="O19" s="34">
        <v>19</v>
      </c>
      <c r="P19" s="35" t="s">
        <v>259</v>
      </c>
      <c r="Q19" s="35"/>
      <c r="R19" s="35"/>
      <c r="S19" s="35"/>
    </row>
    <row r="20" spans="15:19" x14ac:dyDescent="0.25">
      <c r="O20" s="34">
        <v>20</v>
      </c>
      <c r="P20" s="35" t="s">
        <v>260</v>
      </c>
      <c r="Q20" s="35"/>
      <c r="R20" s="35"/>
      <c r="S20" s="35"/>
    </row>
    <row r="21" spans="15:19" x14ac:dyDescent="0.25">
      <c r="O21" s="34">
        <v>21</v>
      </c>
      <c r="P21" s="35" t="s">
        <v>261</v>
      </c>
      <c r="Q21" s="35"/>
      <c r="R21" s="35"/>
      <c r="S21" s="35"/>
    </row>
    <row r="22" spans="15:19" x14ac:dyDescent="0.25">
      <c r="O22" s="34">
        <v>22</v>
      </c>
      <c r="P22" s="35" t="s">
        <v>444</v>
      </c>
      <c r="Q22" s="35"/>
      <c r="R22" s="35"/>
      <c r="S22" s="35"/>
    </row>
  </sheetData>
  <sortState ref="A1:N22">
    <sortCondition descending="1" ref="D1:D100"/>
    <sortCondition ref="E1:E100"/>
    <sortCondition descending="1" ref="B1:B100"/>
  </sortState>
  <phoneticPr fontId="1" type="noConversion"/>
  <conditionalFormatting sqref="B1">
    <cfRule type="duplicateValues" dxfId="66" priority="12"/>
  </conditionalFormatting>
  <conditionalFormatting sqref="B2">
    <cfRule type="duplicateValues" dxfId="65" priority="9"/>
  </conditionalFormatting>
  <conditionalFormatting sqref="B3">
    <cfRule type="duplicateValues" dxfId="64" priority="6"/>
  </conditionalFormatting>
  <conditionalFormatting sqref="B4">
    <cfRule type="duplicateValues" dxfId="63" priority="3"/>
  </conditionalFormatting>
  <pageMargins left="0.7" right="0.7" top="0.75" bottom="0.75" header="0.3" footer="0.3"/>
  <ignoredErrors>
    <ignoredError sqref="O1:O1048576" numberStoredAsText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S66"/>
  <sheetViews>
    <sheetView topLeftCell="A16" workbookViewId="0">
      <selection activeCell="A51" sqref="A51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4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0</v>
      </c>
      <c r="B1" s="1" t="s">
        <v>1030</v>
      </c>
      <c r="C1" s="1">
        <v>80</v>
      </c>
      <c r="D1" s="1">
        <v>7</v>
      </c>
      <c r="E1" s="1">
        <v>21</v>
      </c>
      <c r="F1" s="7" t="s">
        <v>1031</v>
      </c>
      <c r="G1" s="1">
        <v>29</v>
      </c>
      <c r="H1" s="1">
        <v>67</v>
      </c>
      <c r="I1" s="1">
        <v>74</v>
      </c>
      <c r="J1" s="1">
        <f>IF(SUM(G1:I1)=0,"",SUM(G1:I1))</f>
        <v>170</v>
      </c>
      <c r="K1" s="7" t="s">
        <v>1032</v>
      </c>
      <c r="L1" s="7" t="s">
        <v>1033</v>
      </c>
      <c r="M1" s="7" t="s">
        <v>1034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603</v>
      </c>
      <c r="B2" s="1" t="s">
        <v>613</v>
      </c>
      <c r="C2" s="1">
        <v>87</v>
      </c>
      <c r="D2" s="1">
        <v>7</v>
      </c>
      <c r="E2" s="1">
        <v>22</v>
      </c>
      <c r="F2" s="7" t="s">
        <v>614</v>
      </c>
      <c r="G2" s="1">
        <v>61</v>
      </c>
      <c r="H2" s="1">
        <v>88</v>
      </c>
      <c r="I2" s="1">
        <v>81</v>
      </c>
      <c r="J2" s="1">
        <f>IF(SUM(G2:I2)=0,"",SUM(G2:I2))</f>
        <v>230</v>
      </c>
      <c r="K2" s="7" t="s">
        <v>615</v>
      </c>
      <c r="L2" s="7" t="s">
        <v>616</v>
      </c>
      <c r="M2" s="7" t="s">
        <v>617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0</v>
      </c>
      <c r="B3" s="1" t="s">
        <v>1138</v>
      </c>
      <c r="C3" s="1">
        <v>84</v>
      </c>
      <c r="D3" s="1">
        <v>7</v>
      </c>
      <c r="E3" s="1">
        <v>22</v>
      </c>
      <c r="F3" s="7" t="s">
        <v>52</v>
      </c>
      <c r="G3" s="1">
        <v>59</v>
      </c>
      <c r="H3" s="1">
        <v>75</v>
      </c>
      <c r="I3" s="1">
        <v>77</v>
      </c>
      <c r="J3" s="1">
        <f>IF(SUM(G3:I3)=0,"",SUM(G3:I3))</f>
        <v>211</v>
      </c>
      <c r="K3" s="7" t="s">
        <v>514</v>
      </c>
      <c r="L3" s="7" t="s">
        <v>395</v>
      </c>
      <c r="M3" s="7" t="s">
        <v>447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417</v>
      </c>
      <c r="B4" s="1" t="s">
        <v>122</v>
      </c>
      <c r="C4" s="1">
        <v>79</v>
      </c>
      <c r="D4" s="1">
        <v>6</v>
      </c>
      <c r="E4" s="1">
        <v>22</v>
      </c>
      <c r="G4" s="1">
        <v>68</v>
      </c>
      <c r="H4" s="1">
        <v>59</v>
      </c>
      <c r="I4" s="1">
        <v>71</v>
      </c>
      <c r="J4" s="1">
        <f>IF(SUM(G4:I4)=0,"",SUM(G4:I4))</f>
        <v>198</v>
      </c>
      <c r="L4" s="7" t="s">
        <v>123</v>
      </c>
      <c r="M4" s="7" t="s">
        <v>447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0</v>
      </c>
      <c r="B5" s="1" t="s">
        <v>1027</v>
      </c>
      <c r="C5" s="1">
        <v>79</v>
      </c>
      <c r="D5" s="1">
        <v>6</v>
      </c>
      <c r="E5" s="1">
        <v>22</v>
      </c>
      <c r="F5" s="7" t="s">
        <v>959</v>
      </c>
      <c r="G5" s="1">
        <v>37</v>
      </c>
      <c r="H5" s="1">
        <v>62</v>
      </c>
      <c r="I5" s="1">
        <v>69</v>
      </c>
      <c r="J5" s="1">
        <f>IF(SUM(G5:I5)=0,"",SUM(G5:I5))</f>
        <v>168</v>
      </c>
      <c r="K5" s="7" t="s">
        <v>1028</v>
      </c>
      <c r="L5" s="7" t="s">
        <v>1029</v>
      </c>
      <c r="M5" s="7" t="s">
        <v>1026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0</v>
      </c>
      <c r="B6" s="1" t="s">
        <v>53</v>
      </c>
      <c r="C6" s="1">
        <v>80</v>
      </c>
      <c r="D6" s="1">
        <v>6</v>
      </c>
      <c r="E6" s="1">
        <v>22</v>
      </c>
      <c r="F6" s="7" t="s">
        <v>52</v>
      </c>
      <c r="G6" s="1">
        <v>44</v>
      </c>
      <c r="H6" s="1">
        <v>48</v>
      </c>
      <c r="I6" s="1">
        <v>77</v>
      </c>
      <c r="J6" s="1">
        <f>IF(SUM(G6:I6)=0,"",SUM(G6:I6))</f>
        <v>169</v>
      </c>
      <c r="L6" s="7" t="s">
        <v>219</v>
      </c>
      <c r="M6" s="7" t="s">
        <v>447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689</v>
      </c>
      <c r="B7" s="1" t="s">
        <v>690</v>
      </c>
      <c r="C7" s="1">
        <v>79</v>
      </c>
      <c r="D7" s="1">
        <v>6</v>
      </c>
      <c r="E7" s="1">
        <v>22</v>
      </c>
      <c r="F7" s="7" t="s">
        <v>685</v>
      </c>
      <c r="G7" s="1">
        <v>54</v>
      </c>
      <c r="H7" s="1">
        <v>62</v>
      </c>
      <c r="I7" s="1">
        <v>66</v>
      </c>
      <c r="J7" s="1">
        <f>IF(SUM(G7:I7)=0,"",SUM(G7:I7))</f>
        <v>182</v>
      </c>
      <c r="K7" s="7" t="s">
        <v>691</v>
      </c>
      <c r="L7" s="7" t="s">
        <v>692</v>
      </c>
      <c r="M7" s="7" t="s">
        <v>688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1001</v>
      </c>
      <c r="B8" s="1" t="s">
        <v>1002</v>
      </c>
      <c r="C8" s="1">
        <v>78</v>
      </c>
      <c r="D8" s="1">
        <v>6</v>
      </c>
      <c r="E8" s="1">
        <v>22</v>
      </c>
      <c r="F8" s="7" t="s">
        <v>906</v>
      </c>
      <c r="G8" s="1">
        <v>54</v>
      </c>
      <c r="H8" s="1">
        <v>62</v>
      </c>
      <c r="I8" s="1">
        <v>64</v>
      </c>
      <c r="J8" s="1">
        <f>IF(SUM(G8:I8)=0,"",SUM(G8:I8))</f>
        <v>180</v>
      </c>
      <c r="K8" s="7" t="s">
        <v>1003</v>
      </c>
      <c r="L8" s="7" t="s">
        <v>1004</v>
      </c>
      <c r="M8" s="7" t="s">
        <v>918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1149</v>
      </c>
      <c r="B9" s="1" t="s">
        <v>1150</v>
      </c>
      <c r="C9" s="1">
        <v>76</v>
      </c>
      <c r="D9" s="1">
        <v>6</v>
      </c>
      <c r="E9" s="1">
        <v>23</v>
      </c>
      <c r="F9" s="7" t="s">
        <v>1151</v>
      </c>
      <c r="G9" s="1">
        <v>43</v>
      </c>
      <c r="H9" s="1">
        <v>68</v>
      </c>
      <c r="I9" s="1">
        <v>67</v>
      </c>
      <c r="J9" s="1">
        <f>IF(SUM(G9:I9)=0,"",SUM(G9:I9))</f>
        <v>178</v>
      </c>
      <c r="K9" s="7" t="s">
        <v>1152</v>
      </c>
      <c r="L9" s="7" t="s">
        <v>1153</v>
      </c>
      <c r="M9" s="7" t="s">
        <v>1154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121</v>
      </c>
      <c r="B10" s="1" t="s">
        <v>180</v>
      </c>
      <c r="C10" s="1">
        <v>85</v>
      </c>
      <c r="D10" s="1">
        <v>6</v>
      </c>
      <c r="E10" s="1">
        <v>24</v>
      </c>
      <c r="G10" s="1">
        <v>54</v>
      </c>
      <c r="H10" s="1">
        <v>75</v>
      </c>
      <c r="I10" s="1">
        <v>77</v>
      </c>
      <c r="J10" s="1">
        <f>IF(SUM(G10:I10)=0,"",SUM(G10:I10))</f>
        <v>206</v>
      </c>
      <c r="L10" s="7" t="s">
        <v>181</v>
      </c>
      <c r="M10" s="7" t="s">
        <v>447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121</v>
      </c>
      <c r="B11" s="1" t="s">
        <v>218</v>
      </c>
      <c r="C11" s="1">
        <v>85</v>
      </c>
      <c r="D11" s="1">
        <v>6</v>
      </c>
      <c r="E11" s="1">
        <v>24</v>
      </c>
      <c r="F11" s="7" t="s">
        <v>58</v>
      </c>
      <c r="G11" s="1">
        <v>60</v>
      </c>
      <c r="H11" s="1">
        <v>67</v>
      </c>
      <c r="I11" s="1">
        <v>77</v>
      </c>
      <c r="J11" s="1">
        <f>IF(SUM(G11:I11)=0,"",SUM(G11:I11))</f>
        <v>204</v>
      </c>
      <c r="L11" s="7" t="s">
        <v>221</v>
      </c>
      <c r="M11" s="7" t="s">
        <v>447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121</v>
      </c>
      <c r="B12" s="1" t="s">
        <v>218</v>
      </c>
      <c r="C12" s="1">
        <v>84</v>
      </c>
      <c r="D12" s="1">
        <v>6</v>
      </c>
      <c r="E12" s="1">
        <v>24</v>
      </c>
      <c r="F12" s="7" t="s">
        <v>58</v>
      </c>
      <c r="G12" s="1">
        <v>60</v>
      </c>
      <c r="H12" s="1">
        <v>67</v>
      </c>
      <c r="I12" s="1">
        <v>77</v>
      </c>
      <c r="J12" s="1">
        <f>IF(SUM(G12:I12)=0,"",SUM(G12:I12))</f>
        <v>204</v>
      </c>
      <c r="L12" s="7" t="s">
        <v>221</v>
      </c>
      <c r="M12" s="7" t="s">
        <v>447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898</v>
      </c>
      <c r="B13" s="1" t="s">
        <v>899</v>
      </c>
      <c r="C13" s="1">
        <v>87</v>
      </c>
      <c r="D13" s="1">
        <v>6</v>
      </c>
      <c r="E13" s="1">
        <v>24</v>
      </c>
      <c r="F13" s="7" t="s">
        <v>900</v>
      </c>
      <c r="G13" s="1">
        <v>33</v>
      </c>
      <c r="H13" s="1">
        <v>65</v>
      </c>
      <c r="I13" s="1">
        <v>86</v>
      </c>
      <c r="J13" s="1">
        <f>IF(SUM(G13:I13)=0,"",SUM(G13:I13))</f>
        <v>184</v>
      </c>
      <c r="K13" s="7" t="s">
        <v>901</v>
      </c>
      <c r="L13" s="7" t="s">
        <v>902</v>
      </c>
      <c r="M13" s="7" t="s">
        <v>903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472</v>
      </c>
      <c r="B14" s="1" t="s">
        <v>473</v>
      </c>
      <c r="C14" s="1">
        <v>71</v>
      </c>
      <c r="D14" s="1">
        <v>5</v>
      </c>
      <c r="E14" s="1">
        <v>18</v>
      </c>
      <c r="G14" s="1">
        <v>53</v>
      </c>
      <c r="H14" s="1">
        <v>48</v>
      </c>
      <c r="I14" s="1">
        <v>57</v>
      </c>
      <c r="J14" s="1">
        <f>IF(SUM(G14:I14)=0,"",SUM(G14:I14))</f>
        <v>158</v>
      </c>
      <c r="L14" s="7" t="s">
        <v>474</v>
      </c>
      <c r="M14" s="7" t="s">
        <v>475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1035</v>
      </c>
      <c r="B15" s="1" t="s">
        <v>1036</v>
      </c>
      <c r="C15" s="1">
        <v>69</v>
      </c>
      <c r="D15" s="1">
        <v>5</v>
      </c>
      <c r="E15" s="1">
        <v>18</v>
      </c>
      <c r="F15" s="7" t="s">
        <v>1037</v>
      </c>
      <c r="G15" s="1">
        <v>13</v>
      </c>
      <c r="H15" s="1">
        <v>62</v>
      </c>
      <c r="I15" s="1">
        <v>57</v>
      </c>
      <c r="J15" s="1">
        <f>IF(SUM(G15:I15)=0,"",SUM(G15:I15))</f>
        <v>132</v>
      </c>
      <c r="L15" s="7" t="s">
        <v>1038</v>
      </c>
      <c r="M15" s="7" t="s">
        <v>1039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331</v>
      </c>
      <c r="B16" s="1" t="s">
        <v>785</v>
      </c>
      <c r="C16" s="1">
        <v>62</v>
      </c>
      <c r="D16" s="1">
        <v>5</v>
      </c>
      <c r="E16" s="1">
        <v>20</v>
      </c>
      <c r="G16" s="1">
        <v>50</v>
      </c>
      <c r="H16" s="1">
        <v>47</v>
      </c>
      <c r="I16" s="1">
        <v>43</v>
      </c>
      <c r="J16" s="1">
        <f>IF(SUM(G16:I16)=0,"",SUM(G16:I16))</f>
        <v>140</v>
      </c>
      <c r="L16" s="7" t="s">
        <v>786</v>
      </c>
      <c r="M16" s="7" t="s">
        <v>787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661</v>
      </c>
      <c r="B17" s="1" t="s">
        <v>662</v>
      </c>
      <c r="C17" s="1">
        <v>74</v>
      </c>
      <c r="D17" s="1">
        <v>5</v>
      </c>
      <c r="E17" s="1">
        <v>20</v>
      </c>
      <c r="F17" s="7" t="s">
        <v>663</v>
      </c>
      <c r="G17" s="1">
        <v>61</v>
      </c>
      <c r="H17" s="1">
        <v>75</v>
      </c>
      <c r="I17" s="1">
        <v>51</v>
      </c>
      <c r="J17" s="1">
        <f>IF(SUM(G17:I17)=0,"",SUM(G17:I17))</f>
        <v>187</v>
      </c>
      <c r="M17" s="7" t="s">
        <v>651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331</v>
      </c>
      <c r="B18" s="1" t="s">
        <v>1599</v>
      </c>
      <c r="C18" s="1">
        <v>76</v>
      </c>
      <c r="D18" s="1">
        <v>5</v>
      </c>
      <c r="E18" s="1">
        <v>20</v>
      </c>
      <c r="F18" s="7" t="s">
        <v>1574</v>
      </c>
      <c r="G18" s="1">
        <v>62</v>
      </c>
      <c r="H18" s="1">
        <v>57</v>
      </c>
      <c r="I18" s="1">
        <v>61</v>
      </c>
      <c r="J18" s="1">
        <f>IF(SUM(G18:I18)=0,"",SUM(G18:I18))</f>
        <v>180</v>
      </c>
      <c r="K18" s="7" t="s">
        <v>1575</v>
      </c>
      <c r="L18" s="7" t="s">
        <v>1600</v>
      </c>
      <c r="M18" s="7" t="s">
        <v>1595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0</v>
      </c>
      <c r="B19" s="1" t="s">
        <v>55</v>
      </c>
      <c r="C19" s="1">
        <v>74</v>
      </c>
      <c r="D19" s="1">
        <v>5</v>
      </c>
      <c r="E19" s="1">
        <v>21</v>
      </c>
      <c r="F19" s="7" t="s">
        <v>58</v>
      </c>
      <c r="G19" s="1">
        <v>57</v>
      </c>
      <c r="H19" s="1">
        <v>57</v>
      </c>
      <c r="I19" s="1">
        <v>61</v>
      </c>
      <c r="J19" s="1">
        <f>IF(SUM(G19:I19)=0,"",SUM(G19:I19))</f>
        <v>175</v>
      </c>
      <c r="L19" s="7" t="s">
        <v>51</v>
      </c>
      <c r="M19" s="7" t="s">
        <v>447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1194</v>
      </c>
      <c r="B20" s="1" t="s">
        <v>1195</v>
      </c>
      <c r="C20" s="1">
        <v>64</v>
      </c>
      <c r="D20" s="1">
        <v>5</v>
      </c>
      <c r="E20" s="1">
        <v>21</v>
      </c>
      <c r="F20" s="7" t="s">
        <v>1196</v>
      </c>
      <c r="G20" s="1">
        <v>33</v>
      </c>
      <c r="H20" s="1">
        <v>43</v>
      </c>
      <c r="I20" s="1">
        <v>53</v>
      </c>
      <c r="J20" s="1">
        <f>IF(SUM(G20:I20)=0,"",SUM(G20:I20))</f>
        <v>129</v>
      </c>
      <c r="K20" s="7" t="s">
        <v>1191</v>
      </c>
      <c r="L20" s="7" t="s">
        <v>1197</v>
      </c>
      <c r="M20" s="7" t="s">
        <v>1198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1077</v>
      </c>
      <c r="B21" s="1" t="s">
        <v>1078</v>
      </c>
      <c r="C21" s="1">
        <v>74</v>
      </c>
      <c r="D21" s="1">
        <v>5</v>
      </c>
      <c r="E21" s="1">
        <v>22</v>
      </c>
      <c r="F21" s="7" t="s">
        <v>1079</v>
      </c>
      <c r="G21" s="1">
        <v>57</v>
      </c>
      <c r="H21" s="1">
        <v>41</v>
      </c>
      <c r="I21" s="1">
        <v>62</v>
      </c>
      <c r="J21" s="1">
        <f>IF(SUM(G21:I21)=0,"",SUM(G21:I21))</f>
        <v>160</v>
      </c>
      <c r="K21" s="7" t="s">
        <v>1080</v>
      </c>
      <c r="L21" s="7" t="s">
        <v>1081</v>
      </c>
      <c r="M21" s="7" t="s">
        <v>1071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0</v>
      </c>
      <c r="B22" s="1" t="s">
        <v>144</v>
      </c>
      <c r="C22" s="1">
        <v>74</v>
      </c>
      <c r="D22" s="2">
        <v>5</v>
      </c>
      <c r="E22" s="1">
        <v>22</v>
      </c>
      <c r="G22" s="1">
        <v>54</v>
      </c>
      <c r="H22" s="1">
        <v>58</v>
      </c>
      <c r="I22" s="1">
        <v>60</v>
      </c>
      <c r="J22" s="1">
        <f>IF(SUM(G22:I22)=0,"",SUM(G22:I22))</f>
        <v>172</v>
      </c>
      <c r="L22" s="7" t="s">
        <v>61</v>
      </c>
      <c r="M22" s="7" t="s">
        <v>447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121</v>
      </c>
      <c r="B23" s="1" t="s">
        <v>227</v>
      </c>
      <c r="C23" s="1">
        <v>76</v>
      </c>
      <c r="D23" s="2">
        <v>5</v>
      </c>
      <c r="E23" s="1">
        <v>22</v>
      </c>
      <c r="G23" s="1">
        <v>43</v>
      </c>
      <c r="H23" s="1">
        <v>65</v>
      </c>
      <c r="I23" s="1">
        <v>65</v>
      </c>
      <c r="J23" s="1">
        <f>IF(SUM(G23:I23)=0,"",SUM(G23:I23))</f>
        <v>173</v>
      </c>
      <c r="L23" s="7" t="s">
        <v>228</v>
      </c>
      <c r="M23" s="7" t="s">
        <v>447</v>
      </c>
      <c r="O23" s="24" t="s">
        <v>434</v>
      </c>
      <c r="P23" s="25" t="s">
        <v>242</v>
      </c>
      <c r="Q23" s="25" t="s">
        <v>480</v>
      </c>
      <c r="R23" s="24" t="s">
        <v>70</v>
      </c>
      <c r="S23" s="25" t="s">
        <v>451</v>
      </c>
    </row>
    <row r="24" spans="1:19" x14ac:dyDescent="0.25">
      <c r="A24" s="1" t="s">
        <v>0</v>
      </c>
      <c r="B24" s="1" t="s">
        <v>149</v>
      </c>
      <c r="C24" s="1">
        <v>74</v>
      </c>
      <c r="D24" s="1">
        <v>5</v>
      </c>
      <c r="E24" s="1">
        <v>22</v>
      </c>
      <c r="G24" s="1">
        <v>55</v>
      </c>
      <c r="H24" s="1">
        <v>59</v>
      </c>
      <c r="I24" s="1">
        <v>56</v>
      </c>
      <c r="J24" s="1">
        <f>IF(SUM(G24:I24)=0,"",SUM(G24:I24))</f>
        <v>170</v>
      </c>
      <c r="M24" s="7" t="s">
        <v>447</v>
      </c>
      <c r="O24" s="24" t="s">
        <v>435</v>
      </c>
      <c r="P24" s="25" t="s">
        <v>243</v>
      </c>
      <c r="Q24" s="25" t="s">
        <v>481</v>
      </c>
      <c r="R24" s="24" t="s">
        <v>92</v>
      </c>
      <c r="S24" s="25" t="s">
        <v>447</v>
      </c>
    </row>
    <row r="25" spans="1:19" x14ac:dyDescent="0.25">
      <c r="A25" s="1" t="s">
        <v>1589</v>
      </c>
      <c r="B25" s="1" t="s">
        <v>1592</v>
      </c>
      <c r="C25" s="1">
        <v>81</v>
      </c>
      <c r="D25" s="1">
        <v>5</v>
      </c>
      <c r="E25" s="1">
        <v>22</v>
      </c>
      <c r="F25" s="7" t="s">
        <v>1591</v>
      </c>
      <c r="G25" s="1">
        <v>64</v>
      </c>
      <c r="H25" s="1">
        <v>55</v>
      </c>
      <c r="I25" s="1">
        <v>76</v>
      </c>
      <c r="J25" s="1">
        <f>IF(SUM(G25:I25)=0,"",SUM(G25:I25))</f>
        <v>195</v>
      </c>
      <c r="K25" s="7" t="s">
        <v>1593</v>
      </c>
      <c r="L25" s="7" t="s">
        <v>1594</v>
      </c>
      <c r="M25" s="7" t="s">
        <v>1595</v>
      </c>
      <c r="O25" s="24" t="s">
        <v>436</v>
      </c>
      <c r="P25" s="25" t="s">
        <v>244</v>
      </c>
      <c r="Q25" s="25" t="s">
        <v>482</v>
      </c>
      <c r="R25" s="24" t="s">
        <v>120</v>
      </c>
      <c r="S25" s="25" t="s">
        <v>405</v>
      </c>
    </row>
    <row r="26" spans="1:19" x14ac:dyDescent="0.25">
      <c r="A26" s="1" t="s">
        <v>762</v>
      </c>
      <c r="B26" s="1" t="s">
        <v>763</v>
      </c>
      <c r="C26" s="1">
        <v>77</v>
      </c>
      <c r="D26" s="1">
        <v>5</v>
      </c>
      <c r="E26" s="1">
        <v>23</v>
      </c>
      <c r="F26" s="7" t="s">
        <v>764</v>
      </c>
      <c r="G26" s="1">
        <v>63</v>
      </c>
      <c r="H26" s="1">
        <v>72</v>
      </c>
      <c r="I26" s="1">
        <v>60</v>
      </c>
      <c r="J26" s="1">
        <f>IF(SUM(G26:I26)=0,"",SUM(G26:I26))</f>
        <v>195</v>
      </c>
      <c r="K26" s="7" t="s">
        <v>765</v>
      </c>
      <c r="L26" s="7" t="s">
        <v>766</v>
      </c>
      <c r="M26" s="7" t="s">
        <v>767</v>
      </c>
      <c r="O26" s="24" t="s">
        <v>437</v>
      </c>
      <c r="P26" s="25" t="s">
        <v>245</v>
      </c>
      <c r="Q26" s="25" t="s">
        <v>483</v>
      </c>
      <c r="R26" s="24" t="s">
        <v>72</v>
      </c>
      <c r="S26" s="25"/>
    </row>
    <row r="27" spans="1:19" x14ac:dyDescent="0.25">
      <c r="A27" s="1" t="s">
        <v>1464</v>
      </c>
      <c r="B27" s="1" t="s">
        <v>1467</v>
      </c>
      <c r="C27" s="1">
        <v>75</v>
      </c>
      <c r="D27" s="1">
        <v>5</v>
      </c>
      <c r="E27" s="1">
        <v>23</v>
      </c>
      <c r="F27" s="7" t="s">
        <v>1468</v>
      </c>
      <c r="G27" s="1">
        <v>53</v>
      </c>
      <c r="H27" s="1">
        <v>75</v>
      </c>
      <c r="I27" s="1">
        <v>57</v>
      </c>
      <c r="J27" s="1">
        <f>IF(SUM(G27:I27)=0,"",SUM(G27:I27))</f>
        <v>185</v>
      </c>
      <c r="K27" s="7" t="s">
        <v>1469</v>
      </c>
      <c r="L27" s="7" t="s">
        <v>1470</v>
      </c>
      <c r="M27" s="7" t="s">
        <v>1454</v>
      </c>
      <c r="O27" s="26" t="s">
        <v>438</v>
      </c>
      <c r="P27" s="27" t="s">
        <v>246</v>
      </c>
      <c r="Q27" s="27" t="s">
        <v>509</v>
      </c>
      <c r="R27" s="26" t="s">
        <v>184</v>
      </c>
      <c r="S27" s="27"/>
    </row>
    <row r="28" spans="1:19" x14ac:dyDescent="0.25">
      <c r="A28" s="1" t="s">
        <v>575</v>
      </c>
      <c r="B28" s="1" t="s">
        <v>1262</v>
      </c>
      <c r="C28" s="1">
        <v>77</v>
      </c>
      <c r="D28" s="1">
        <v>5</v>
      </c>
      <c r="E28" s="1">
        <v>23</v>
      </c>
      <c r="F28" s="7" t="s">
        <v>1263</v>
      </c>
      <c r="G28" s="1">
        <v>54</v>
      </c>
      <c r="H28" s="1">
        <v>64</v>
      </c>
      <c r="I28" s="1">
        <v>65</v>
      </c>
      <c r="J28" s="1">
        <f>IF(SUM(G28:I28)=0,"",SUM(G28:I28))</f>
        <v>183</v>
      </c>
      <c r="K28" s="7" t="s">
        <v>1264</v>
      </c>
      <c r="L28" s="7" t="s">
        <v>1265</v>
      </c>
      <c r="M28" s="7" t="s">
        <v>1243</v>
      </c>
      <c r="O28" s="26" t="s">
        <v>439</v>
      </c>
      <c r="P28" s="27" t="s">
        <v>247</v>
      </c>
      <c r="Q28" s="27" t="s">
        <v>484</v>
      </c>
      <c r="R28" s="26" t="s">
        <v>59</v>
      </c>
      <c r="S28" s="27"/>
    </row>
    <row r="29" spans="1:19" x14ac:dyDescent="0.25">
      <c r="A29" s="1" t="s">
        <v>603</v>
      </c>
      <c r="B29" s="1" t="s">
        <v>604</v>
      </c>
      <c r="C29" s="1">
        <v>77</v>
      </c>
      <c r="D29" s="1">
        <v>5</v>
      </c>
      <c r="E29" s="1">
        <v>23</v>
      </c>
      <c r="F29" s="7" t="s">
        <v>605</v>
      </c>
      <c r="G29" s="1">
        <v>68</v>
      </c>
      <c r="H29" s="1">
        <v>41</v>
      </c>
      <c r="I29" s="1">
        <v>66</v>
      </c>
      <c r="J29" s="1">
        <f>IF(SUM(G29:I29)=0,"",SUM(G29:I29))</f>
        <v>175</v>
      </c>
      <c r="K29" s="7" t="s">
        <v>606</v>
      </c>
      <c r="L29" s="7" t="s">
        <v>607</v>
      </c>
      <c r="M29" s="7" t="s">
        <v>608</v>
      </c>
      <c r="O29" s="26" t="s">
        <v>440</v>
      </c>
      <c r="P29" s="27" t="s">
        <v>248</v>
      </c>
      <c r="Q29" s="26" t="s">
        <v>407</v>
      </c>
      <c r="R29" s="26" t="s">
        <v>57</v>
      </c>
      <c r="S29" s="27"/>
    </row>
    <row r="30" spans="1:19" x14ac:dyDescent="0.25">
      <c r="A30" s="1" t="s">
        <v>0</v>
      </c>
      <c r="B30" s="1" t="s">
        <v>144</v>
      </c>
      <c r="C30" s="1">
        <v>76</v>
      </c>
      <c r="D30" s="1">
        <v>5</v>
      </c>
      <c r="E30" s="1">
        <v>23</v>
      </c>
      <c r="G30" s="1">
        <v>56</v>
      </c>
      <c r="H30" s="1">
        <v>41</v>
      </c>
      <c r="I30" s="1">
        <v>70</v>
      </c>
      <c r="J30" s="1">
        <f>IF(SUM(G30:I30)=0,"",SUM(G30:I30))</f>
        <v>167</v>
      </c>
      <c r="L30" s="7" t="s">
        <v>23</v>
      </c>
      <c r="M30" s="7" t="s">
        <v>447</v>
      </c>
      <c r="O30" s="28" t="s">
        <v>441</v>
      </c>
      <c r="P30" s="29" t="s">
        <v>249</v>
      </c>
      <c r="Q30" s="29"/>
      <c r="R30" s="28" t="s">
        <v>52</v>
      </c>
      <c r="S30" s="29"/>
    </row>
    <row r="31" spans="1:19" x14ac:dyDescent="0.25">
      <c r="A31" s="1" t="s">
        <v>1132</v>
      </c>
      <c r="B31" s="1" t="s">
        <v>1133</v>
      </c>
      <c r="C31" s="1">
        <v>75</v>
      </c>
      <c r="D31" s="1">
        <v>5</v>
      </c>
      <c r="E31" s="1">
        <v>23</v>
      </c>
      <c r="F31" s="7" t="s">
        <v>1134</v>
      </c>
      <c r="G31" s="1">
        <v>49</v>
      </c>
      <c r="H31" s="1">
        <v>63</v>
      </c>
      <c r="I31" s="1">
        <v>64</v>
      </c>
      <c r="J31" s="1">
        <f>IF(SUM(G31:I31)=0,"",SUM(G31:I31))</f>
        <v>176</v>
      </c>
      <c r="K31" s="7" t="s">
        <v>1135</v>
      </c>
      <c r="L31" s="7" t="s">
        <v>1136</v>
      </c>
      <c r="M31" s="7" t="s">
        <v>1106</v>
      </c>
      <c r="O31" s="28" t="s">
        <v>442</v>
      </c>
      <c r="P31" s="29" t="s">
        <v>250</v>
      </c>
      <c r="Q31" s="29"/>
      <c r="R31" s="28" t="s">
        <v>58</v>
      </c>
      <c r="S31" s="29"/>
    </row>
    <row r="32" spans="1:19" x14ac:dyDescent="0.25">
      <c r="A32" s="1" t="s">
        <v>0</v>
      </c>
      <c r="B32" s="1" t="s">
        <v>1020</v>
      </c>
      <c r="C32" s="1">
        <v>76</v>
      </c>
      <c r="D32" s="1">
        <v>5</v>
      </c>
      <c r="E32" s="1">
        <v>23</v>
      </c>
      <c r="F32" s="7" t="s">
        <v>1021</v>
      </c>
      <c r="G32" s="1">
        <v>53</v>
      </c>
      <c r="H32" s="1">
        <v>64</v>
      </c>
      <c r="I32" s="1">
        <v>61</v>
      </c>
      <c r="J32" s="1">
        <f>IF(SUM(G32:I32)=0,"",SUM(G32:I32))</f>
        <v>178</v>
      </c>
      <c r="K32" s="7" t="s">
        <v>1022</v>
      </c>
      <c r="M32" s="7" t="s">
        <v>1008</v>
      </c>
      <c r="O32" s="28">
        <v>10</v>
      </c>
      <c r="P32" s="29" t="s">
        <v>443</v>
      </c>
      <c r="Q32" s="29"/>
      <c r="R32" s="28" t="s">
        <v>42</v>
      </c>
      <c r="S32" s="29"/>
    </row>
    <row r="33" spans="1:19" x14ac:dyDescent="0.25">
      <c r="A33" s="1" t="s">
        <v>419</v>
      </c>
      <c r="B33" s="1" t="s">
        <v>353</v>
      </c>
      <c r="C33" s="1">
        <v>78</v>
      </c>
      <c r="D33" s="1">
        <v>5</v>
      </c>
      <c r="E33" s="1">
        <v>23</v>
      </c>
      <c r="G33" s="1">
        <v>57</v>
      </c>
      <c r="H33" s="1">
        <v>63</v>
      </c>
      <c r="I33" s="1">
        <v>64</v>
      </c>
      <c r="J33" s="1">
        <f>IF(SUM(G33:I33)=0,"",SUM(G33:I33))</f>
        <v>184</v>
      </c>
      <c r="M33" s="7" t="s">
        <v>447</v>
      </c>
      <c r="O33" s="30">
        <v>11</v>
      </c>
      <c r="P33" s="31" t="s">
        <v>251</v>
      </c>
      <c r="Q33" s="31"/>
      <c r="R33" s="30" t="s">
        <v>165</v>
      </c>
      <c r="S33" s="31"/>
    </row>
    <row r="34" spans="1:19" x14ac:dyDescent="0.25">
      <c r="A34" s="1" t="s">
        <v>1589</v>
      </c>
      <c r="B34" s="1" t="s">
        <v>1590</v>
      </c>
      <c r="C34" s="1">
        <v>77</v>
      </c>
      <c r="D34" s="1">
        <v>5</v>
      </c>
      <c r="E34" s="1">
        <v>23</v>
      </c>
      <c r="F34" s="7" t="s">
        <v>1591</v>
      </c>
      <c r="G34" s="1">
        <v>41</v>
      </c>
      <c r="H34" s="1">
        <v>61</v>
      </c>
      <c r="I34" s="1">
        <v>66</v>
      </c>
      <c r="J34" s="1">
        <f>IF(SUM(G34:I34)=0,"",SUM(G34:I34))</f>
        <v>168</v>
      </c>
      <c r="L34" s="7" t="s">
        <v>1580</v>
      </c>
      <c r="M34" s="7" t="s">
        <v>1581</v>
      </c>
      <c r="O34" s="30">
        <v>12</v>
      </c>
      <c r="P34" s="31" t="s">
        <v>252</v>
      </c>
      <c r="Q34" s="31"/>
      <c r="R34" s="30" t="s">
        <v>17</v>
      </c>
      <c r="S34" s="31"/>
    </row>
    <row r="35" spans="1:19" x14ac:dyDescent="0.25">
      <c r="A35" s="1" t="s">
        <v>0</v>
      </c>
      <c r="B35" s="1" t="s">
        <v>384</v>
      </c>
      <c r="C35" s="1">
        <v>78</v>
      </c>
      <c r="D35" s="1">
        <v>5</v>
      </c>
      <c r="E35" s="1">
        <v>23</v>
      </c>
      <c r="F35" s="7" t="s">
        <v>184</v>
      </c>
      <c r="G35" s="1">
        <v>51</v>
      </c>
      <c r="H35" s="1">
        <v>69</v>
      </c>
      <c r="I35" s="1">
        <v>70</v>
      </c>
      <c r="J35" s="1">
        <f>IF(SUM(G35:I35)=0,"",SUM(G35:I35))</f>
        <v>190</v>
      </c>
      <c r="L35" s="7" t="s">
        <v>385</v>
      </c>
      <c r="M35" s="7" t="s">
        <v>447</v>
      </c>
      <c r="O35" s="30">
        <v>13</v>
      </c>
      <c r="P35" s="31" t="s">
        <v>253</v>
      </c>
      <c r="Q35" s="31"/>
      <c r="R35" s="30" t="s">
        <v>22</v>
      </c>
      <c r="S35" s="31"/>
    </row>
    <row r="36" spans="1:19" x14ac:dyDescent="0.25">
      <c r="A36" s="1" t="s">
        <v>0</v>
      </c>
      <c r="B36" s="1" t="s">
        <v>271</v>
      </c>
      <c r="C36" s="1">
        <v>77</v>
      </c>
      <c r="D36" s="1">
        <v>5</v>
      </c>
      <c r="E36" s="1">
        <v>23</v>
      </c>
      <c r="F36" s="7" t="s">
        <v>52</v>
      </c>
      <c r="G36" s="1">
        <v>65</v>
      </c>
      <c r="H36" s="1">
        <v>72</v>
      </c>
      <c r="I36" s="1">
        <v>59</v>
      </c>
      <c r="J36" s="1">
        <f>IF(SUM(G36:I36)=0,"",SUM(G36:I36))</f>
        <v>196</v>
      </c>
      <c r="L36" s="7" t="s">
        <v>272</v>
      </c>
      <c r="M36" s="7" t="s">
        <v>447</v>
      </c>
      <c r="O36" s="32">
        <v>14</v>
      </c>
      <c r="P36" s="33" t="s">
        <v>254</v>
      </c>
      <c r="Q36" s="33"/>
      <c r="R36" s="32" t="s">
        <v>29</v>
      </c>
      <c r="S36" s="33"/>
    </row>
    <row r="37" spans="1:19" x14ac:dyDescent="0.25">
      <c r="A37" s="1" t="s">
        <v>1188</v>
      </c>
      <c r="B37" s="1" t="s">
        <v>1189</v>
      </c>
      <c r="C37" s="1">
        <v>82</v>
      </c>
      <c r="D37" s="1">
        <v>5</v>
      </c>
      <c r="E37" s="1">
        <v>23</v>
      </c>
      <c r="F37" s="7" t="s">
        <v>1190</v>
      </c>
      <c r="G37" s="1">
        <v>50</v>
      </c>
      <c r="H37" s="1">
        <v>49</v>
      </c>
      <c r="I37" s="1">
        <v>75</v>
      </c>
      <c r="J37" s="1">
        <f>IF(SUM(G37:I37)=0,"",SUM(G37:I37))</f>
        <v>174</v>
      </c>
      <c r="K37" s="7" t="s">
        <v>1191</v>
      </c>
      <c r="L37" s="7" t="s">
        <v>1192</v>
      </c>
      <c r="M37" s="7" t="s">
        <v>1193</v>
      </c>
      <c r="O37" s="32">
        <v>15</v>
      </c>
      <c r="P37" s="33" t="s">
        <v>255</v>
      </c>
      <c r="Q37" s="33"/>
      <c r="R37" s="32" t="s">
        <v>371</v>
      </c>
      <c r="S37" s="33"/>
    </row>
    <row r="38" spans="1:19" x14ac:dyDescent="0.25">
      <c r="A38" s="1" t="s">
        <v>417</v>
      </c>
      <c r="B38" s="1" t="s">
        <v>149</v>
      </c>
      <c r="C38" s="1">
        <v>76</v>
      </c>
      <c r="D38" s="1">
        <v>5</v>
      </c>
      <c r="E38" s="1">
        <v>23</v>
      </c>
      <c r="G38" s="1">
        <v>65</v>
      </c>
      <c r="H38" s="1">
        <v>75</v>
      </c>
      <c r="I38" s="1">
        <v>60</v>
      </c>
      <c r="J38" s="1">
        <f>IF(SUM(G38:I38)=0,"",SUM(G38:I38))</f>
        <v>200</v>
      </c>
      <c r="M38" s="7" t="s">
        <v>447</v>
      </c>
      <c r="O38" s="32">
        <v>16</v>
      </c>
      <c r="P38" s="33" t="s">
        <v>256</v>
      </c>
      <c r="Q38" s="33"/>
      <c r="R38" s="33" t="s">
        <v>109</v>
      </c>
      <c r="S38" s="33"/>
    </row>
    <row r="39" spans="1:19" x14ac:dyDescent="0.25">
      <c r="A39" s="1" t="s">
        <v>417</v>
      </c>
      <c r="B39" s="1" t="s">
        <v>149</v>
      </c>
      <c r="C39" s="1">
        <v>76</v>
      </c>
      <c r="D39" s="1">
        <v>5</v>
      </c>
      <c r="E39" s="1">
        <v>23</v>
      </c>
      <c r="G39" s="1">
        <v>64</v>
      </c>
      <c r="H39" s="1">
        <v>74</v>
      </c>
      <c r="I39" s="1">
        <v>60</v>
      </c>
      <c r="J39" s="1">
        <f>IF(SUM(G39:I39)=0,"",SUM(G39:I39))</f>
        <v>198</v>
      </c>
      <c r="M39" s="7" t="s">
        <v>447</v>
      </c>
      <c r="O39" s="32">
        <v>17</v>
      </c>
      <c r="P39" s="33" t="s">
        <v>257</v>
      </c>
      <c r="Q39" s="33"/>
      <c r="R39" s="33" t="s">
        <v>10</v>
      </c>
      <c r="S39" s="33"/>
    </row>
    <row r="40" spans="1:19" x14ac:dyDescent="0.25">
      <c r="A40" s="1" t="s">
        <v>121</v>
      </c>
      <c r="B40" s="1" t="s">
        <v>275</v>
      </c>
      <c r="C40" s="1">
        <v>79</v>
      </c>
      <c r="D40" s="1">
        <v>5</v>
      </c>
      <c r="E40" s="1">
        <v>24</v>
      </c>
      <c r="F40" s="7" t="s">
        <v>52</v>
      </c>
      <c r="G40" s="1">
        <v>50</v>
      </c>
      <c r="H40" s="1">
        <v>65</v>
      </c>
      <c r="I40" s="1">
        <v>66</v>
      </c>
      <c r="J40" s="1">
        <f>IF(SUM(G40:I40)=0,"",SUM(G40:I40))</f>
        <v>181</v>
      </c>
      <c r="L40" s="7" t="s">
        <v>281</v>
      </c>
      <c r="M40" s="7" t="s">
        <v>447</v>
      </c>
      <c r="O40" s="34">
        <v>18</v>
      </c>
      <c r="P40" s="35" t="s">
        <v>258</v>
      </c>
      <c r="Q40" s="35"/>
      <c r="R40" s="35"/>
      <c r="S40" s="35"/>
    </row>
    <row r="41" spans="1:19" x14ac:dyDescent="0.25">
      <c r="A41" s="1" t="s">
        <v>331</v>
      </c>
      <c r="B41" s="1" t="s">
        <v>1596</v>
      </c>
      <c r="C41" s="1">
        <v>79</v>
      </c>
      <c r="D41" s="1">
        <v>5</v>
      </c>
      <c r="E41" s="1">
        <v>24</v>
      </c>
      <c r="F41" s="7" t="s">
        <v>1574</v>
      </c>
      <c r="G41" s="1">
        <v>53</v>
      </c>
      <c r="H41" s="1">
        <v>57</v>
      </c>
      <c r="I41" s="1">
        <v>70</v>
      </c>
      <c r="J41" s="1">
        <f>IF(SUM(G41:I41)=0,"",SUM(G41:I41))</f>
        <v>180</v>
      </c>
      <c r="K41" s="7" t="s">
        <v>1597</v>
      </c>
      <c r="L41" s="7" t="s">
        <v>1598</v>
      </c>
      <c r="M41" s="7" t="s">
        <v>1581</v>
      </c>
      <c r="O41" s="34">
        <v>19</v>
      </c>
      <c r="P41" s="35" t="s">
        <v>259</v>
      </c>
      <c r="Q41" s="35"/>
      <c r="R41" s="35"/>
      <c r="S41" s="35"/>
    </row>
    <row r="42" spans="1:19" x14ac:dyDescent="0.25">
      <c r="A42" s="1" t="s">
        <v>780</v>
      </c>
      <c r="B42" s="1" t="s">
        <v>781</v>
      </c>
      <c r="C42" s="1">
        <v>81</v>
      </c>
      <c r="D42" s="1">
        <v>5</v>
      </c>
      <c r="E42" s="1">
        <v>24</v>
      </c>
      <c r="F42" s="7" t="s">
        <v>782</v>
      </c>
      <c r="G42" s="1">
        <v>59</v>
      </c>
      <c r="H42" s="1">
        <v>78</v>
      </c>
      <c r="I42" s="1">
        <v>71</v>
      </c>
      <c r="J42" s="1">
        <f>IF(SUM(G42:I42)=0,"",SUM(G42:I42))</f>
        <v>208</v>
      </c>
      <c r="K42" s="7" t="s">
        <v>783</v>
      </c>
      <c r="L42" s="7" t="s">
        <v>784</v>
      </c>
      <c r="M42" s="7" t="s">
        <v>688</v>
      </c>
      <c r="O42" s="34">
        <v>20</v>
      </c>
      <c r="P42" s="35" t="s">
        <v>260</v>
      </c>
      <c r="Q42" s="35"/>
      <c r="R42" s="35"/>
      <c r="S42" s="35"/>
    </row>
    <row r="43" spans="1:19" x14ac:dyDescent="0.25">
      <c r="A43" s="1" t="s">
        <v>0</v>
      </c>
      <c r="B43" s="1" t="s">
        <v>279</v>
      </c>
      <c r="C43" s="1">
        <v>79</v>
      </c>
      <c r="D43" s="2">
        <v>5</v>
      </c>
      <c r="E43" s="1">
        <v>24</v>
      </c>
      <c r="F43" s="7" t="s">
        <v>52</v>
      </c>
      <c r="G43" s="1">
        <v>52</v>
      </c>
      <c r="H43" s="1">
        <v>73</v>
      </c>
      <c r="I43" s="1">
        <v>71</v>
      </c>
      <c r="J43" s="1">
        <f>IF(SUM(G43:I43)=0,"",SUM(G43:I43))</f>
        <v>196</v>
      </c>
      <c r="L43" s="7" t="s">
        <v>280</v>
      </c>
      <c r="M43" s="7" t="s">
        <v>447</v>
      </c>
      <c r="O43" s="34">
        <v>21</v>
      </c>
      <c r="P43" s="35" t="s">
        <v>261</v>
      </c>
      <c r="Q43" s="35"/>
      <c r="R43" s="35"/>
      <c r="S43" s="35"/>
    </row>
    <row r="44" spans="1:19" x14ac:dyDescent="0.25">
      <c r="A44" s="1" t="s">
        <v>520</v>
      </c>
      <c r="B44" s="1" t="s">
        <v>1137</v>
      </c>
      <c r="C44" s="1">
        <v>80</v>
      </c>
      <c r="D44" s="1">
        <v>5</v>
      </c>
      <c r="E44" s="1">
        <v>24</v>
      </c>
      <c r="F44" s="7" t="s">
        <v>521</v>
      </c>
      <c r="G44" s="1">
        <v>64</v>
      </c>
      <c r="H44" s="1">
        <v>54</v>
      </c>
      <c r="I44" s="1">
        <v>74</v>
      </c>
      <c r="J44" s="1">
        <f>IF(SUM(G44:I44)=0,"",SUM(G44:I44))</f>
        <v>192</v>
      </c>
      <c r="K44" s="7" t="s">
        <v>522</v>
      </c>
      <c r="L44" s="7" t="s">
        <v>523</v>
      </c>
      <c r="M44" s="7" t="s">
        <v>519</v>
      </c>
      <c r="O44" s="34">
        <v>22</v>
      </c>
      <c r="P44" s="35" t="s">
        <v>444</v>
      </c>
      <c r="Q44" s="35"/>
      <c r="R44" s="35"/>
      <c r="S44" s="35"/>
    </row>
    <row r="45" spans="1:19" x14ac:dyDescent="0.25">
      <c r="A45" s="1" t="s">
        <v>331</v>
      </c>
      <c r="B45" s="1" t="s">
        <v>1587</v>
      </c>
      <c r="C45" s="1">
        <v>61</v>
      </c>
      <c r="D45" s="1">
        <v>4</v>
      </c>
      <c r="E45" s="1">
        <v>21</v>
      </c>
      <c r="F45" s="7" t="s">
        <v>1574</v>
      </c>
      <c r="G45" s="1">
        <v>47</v>
      </c>
      <c r="H45" s="1">
        <v>54</v>
      </c>
      <c r="I45" s="1">
        <v>41</v>
      </c>
      <c r="J45" s="1">
        <f>IF(SUM(G45:I45)=0,"",SUM(G45:I45))</f>
        <v>142</v>
      </c>
      <c r="K45" s="7" t="s">
        <v>1575</v>
      </c>
      <c r="L45" s="7" t="s">
        <v>1585</v>
      </c>
      <c r="M45" s="7" t="s">
        <v>1588</v>
      </c>
      <c r="O45" s="24" t="s">
        <v>434</v>
      </c>
      <c r="P45" s="25" t="s">
        <v>242</v>
      </c>
      <c r="Q45" s="25" t="s">
        <v>480</v>
      </c>
      <c r="R45" s="24" t="s">
        <v>70</v>
      </c>
      <c r="S45" s="25" t="s">
        <v>451</v>
      </c>
    </row>
    <row r="46" spans="1:19" x14ac:dyDescent="0.25">
      <c r="A46" s="1" t="s">
        <v>1364</v>
      </c>
      <c r="B46" s="1" t="s">
        <v>1365</v>
      </c>
      <c r="C46" s="1">
        <v>72</v>
      </c>
      <c r="D46" s="1">
        <v>4</v>
      </c>
      <c r="E46" s="1">
        <v>22</v>
      </c>
      <c r="G46" s="1">
        <v>55</v>
      </c>
      <c r="H46" s="1">
        <v>67</v>
      </c>
      <c r="I46" s="1">
        <v>52</v>
      </c>
      <c r="J46" s="1">
        <f>IF(SUM(G46:I46)=0,"",SUM(G46:I46))</f>
        <v>174</v>
      </c>
      <c r="M46" s="7" t="s">
        <v>1360</v>
      </c>
      <c r="O46" s="24" t="s">
        <v>435</v>
      </c>
      <c r="P46" s="25" t="s">
        <v>243</v>
      </c>
      <c r="Q46" s="25" t="s">
        <v>481</v>
      </c>
      <c r="R46" s="24" t="s">
        <v>92</v>
      </c>
      <c r="S46" s="25" t="s">
        <v>447</v>
      </c>
    </row>
    <row r="47" spans="1:19" x14ac:dyDescent="0.25">
      <c r="A47" s="1" t="s">
        <v>1464</v>
      </c>
      <c r="B47" s="1" t="s">
        <v>1465</v>
      </c>
      <c r="C47" s="1">
        <v>73</v>
      </c>
      <c r="D47" s="1">
        <v>4</v>
      </c>
      <c r="E47" s="1">
        <v>23</v>
      </c>
      <c r="G47" s="1">
        <v>57</v>
      </c>
      <c r="H47" s="1">
        <v>69</v>
      </c>
      <c r="I47" s="1">
        <v>55</v>
      </c>
      <c r="J47" s="1">
        <f>IF(SUM(G47:I47)=0,"",SUM(G47:I47))</f>
        <v>181</v>
      </c>
      <c r="M47" s="7" t="s">
        <v>1466</v>
      </c>
      <c r="O47" s="24" t="s">
        <v>436</v>
      </c>
      <c r="P47" s="25" t="s">
        <v>244</v>
      </c>
      <c r="Q47" s="25" t="s">
        <v>482</v>
      </c>
      <c r="R47" s="24" t="s">
        <v>120</v>
      </c>
      <c r="S47" s="25" t="s">
        <v>405</v>
      </c>
    </row>
    <row r="48" spans="1:19" x14ac:dyDescent="0.25">
      <c r="A48" s="1" t="s">
        <v>582</v>
      </c>
      <c r="B48" s="1" t="s">
        <v>583</v>
      </c>
      <c r="C48" s="1">
        <v>75</v>
      </c>
      <c r="D48" s="1">
        <v>4</v>
      </c>
      <c r="E48" s="1">
        <v>24</v>
      </c>
      <c r="G48" s="1">
        <v>11</v>
      </c>
      <c r="H48" s="1">
        <v>66</v>
      </c>
      <c r="I48" s="1">
        <v>62</v>
      </c>
      <c r="J48" s="1">
        <f>IF(SUM(G48:I48)=0,"",SUM(G48:I48))</f>
        <v>139</v>
      </c>
      <c r="M48" s="7" t="s">
        <v>584</v>
      </c>
      <c r="O48" s="24" t="s">
        <v>437</v>
      </c>
      <c r="P48" s="25" t="s">
        <v>245</v>
      </c>
      <c r="Q48" s="25" t="s">
        <v>483</v>
      </c>
      <c r="R48" s="24" t="s">
        <v>72</v>
      </c>
      <c r="S48" s="25"/>
    </row>
    <row r="49" spans="1:19" x14ac:dyDescent="0.25">
      <c r="A49" s="1" t="s">
        <v>575</v>
      </c>
      <c r="B49" s="1" t="s">
        <v>576</v>
      </c>
      <c r="C49" s="1">
        <v>76</v>
      </c>
      <c r="D49" s="1">
        <v>4</v>
      </c>
      <c r="E49" s="1">
        <v>24</v>
      </c>
      <c r="G49" s="1">
        <v>62</v>
      </c>
      <c r="H49" s="1">
        <v>58</v>
      </c>
      <c r="I49" s="1">
        <v>64</v>
      </c>
      <c r="J49" s="1">
        <f>IF(SUM(G49:I49)=0,"",SUM(G49:I49))</f>
        <v>184</v>
      </c>
      <c r="L49" s="7" t="s">
        <v>23</v>
      </c>
      <c r="M49" s="7" t="s">
        <v>447</v>
      </c>
      <c r="O49" s="26" t="s">
        <v>438</v>
      </c>
      <c r="P49" s="27" t="s">
        <v>246</v>
      </c>
      <c r="Q49" s="27" t="s">
        <v>509</v>
      </c>
      <c r="R49" s="26" t="s">
        <v>184</v>
      </c>
      <c r="S49" s="27"/>
    </row>
    <row r="50" spans="1:19" x14ac:dyDescent="0.25">
      <c r="A50" s="1" t="s">
        <v>821</v>
      </c>
      <c r="B50" s="1" t="s">
        <v>822</v>
      </c>
      <c r="C50" s="1">
        <v>73</v>
      </c>
      <c r="D50" s="1">
        <v>4</v>
      </c>
      <c r="E50" s="1">
        <v>24</v>
      </c>
      <c r="G50" s="1">
        <v>34</v>
      </c>
      <c r="H50" s="1">
        <v>70</v>
      </c>
      <c r="I50" s="1">
        <v>55</v>
      </c>
      <c r="J50" s="1">
        <f>IF(SUM(G50:I50)=0,"",SUM(G50:I50))</f>
        <v>159</v>
      </c>
      <c r="L50" s="7" t="s">
        <v>823</v>
      </c>
      <c r="M50" s="7" t="s">
        <v>824</v>
      </c>
      <c r="O50" s="26" t="s">
        <v>439</v>
      </c>
      <c r="P50" s="27" t="s">
        <v>247</v>
      </c>
      <c r="Q50" s="27" t="s">
        <v>484</v>
      </c>
      <c r="R50" s="26" t="s">
        <v>59</v>
      </c>
      <c r="S50" s="27"/>
    </row>
    <row r="51" spans="1:19" x14ac:dyDescent="0.25">
      <c r="O51" s="26" t="s">
        <v>440</v>
      </c>
      <c r="P51" s="27" t="s">
        <v>248</v>
      </c>
      <c r="Q51" s="26" t="s">
        <v>407</v>
      </c>
      <c r="R51" s="26" t="s">
        <v>57</v>
      </c>
      <c r="S51" s="27"/>
    </row>
    <row r="52" spans="1:19" x14ac:dyDescent="0.25">
      <c r="O52" s="28" t="s">
        <v>441</v>
      </c>
      <c r="P52" s="29" t="s">
        <v>249</v>
      </c>
      <c r="Q52" s="29"/>
      <c r="R52" s="28" t="s">
        <v>52</v>
      </c>
      <c r="S52" s="29"/>
    </row>
    <row r="53" spans="1:19" x14ac:dyDescent="0.25">
      <c r="O53" s="28" t="s">
        <v>442</v>
      </c>
      <c r="P53" s="29" t="s">
        <v>250</v>
      </c>
      <c r="Q53" s="29"/>
      <c r="R53" s="28" t="s">
        <v>58</v>
      </c>
      <c r="S53" s="29"/>
    </row>
    <row r="54" spans="1:19" x14ac:dyDescent="0.25">
      <c r="O54" s="28">
        <v>10</v>
      </c>
      <c r="P54" s="29" t="s">
        <v>443</v>
      </c>
      <c r="Q54" s="29"/>
      <c r="R54" s="28" t="s">
        <v>42</v>
      </c>
      <c r="S54" s="29"/>
    </row>
    <row r="55" spans="1:19" x14ac:dyDescent="0.25">
      <c r="O55" s="30">
        <v>11</v>
      </c>
      <c r="P55" s="31" t="s">
        <v>251</v>
      </c>
      <c r="Q55" s="31"/>
      <c r="R55" s="30" t="s">
        <v>165</v>
      </c>
      <c r="S55" s="31"/>
    </row>
    <row r="56" spans="1:19" x14ac:dyDescent="0.25">
      <c r="O56" s="30">
        <v>12</v>
      </c>
      <c r="P56" s="31" t="s">
        <v>252</v>
      </c>
      <c r="Q56" s="31"/>
      <c r="R56" s="30" t="s">
        <v>17</v>
      </c>
      <c r="S56" s="31"/>
    </row>
    <row r="57" spans="1:19" x14ac:dyDescent="0.25">
      <c r="O57" s="30">
        <v>13</v>
      </c>
      <c r="P57" s="31" t="s">
        <v>253</v>
      </c>
      <c r="Q57" s="31"/>
      <c r="R57" s="30" t="s">
        <v>22</v>
      </c>
      <c r="S57" s="31"/>
    </row>
    <row r="58" spans="1:19" x14ac:dyDescent="0.25">
      <c r="O58" s="32">
        <v>14</v>
      </c>
      <c r="P58" s="33" t="s">
        <v>254</v>
      </c>
      <c r="Q58" s="33"/>
      <c r="R58" s="32" t="s">
        <v>29</v>
      </c>
      <c r="S58" s="33"/>
    </row>
    <row r="59" spans="1:19" x14ac:dyDescent="0.25">
      <c r="O59" s="32">
        <v>15</v>
      </c>
      <c r="P59" s="33" t="s">
        <v>255</v>
      </c>
      <c r="Q59" s="33"/>
      <c r="R59" s="32" t="s">
        <v>371</v>
      </c>
      <c r="S59" s="33"/>
    </row>
    <row r="60" spans="1:19" x14ac:dyDescent="0.25">
      <c r="O60" s="32">
        <v>16</v>
      </c>
      <c r="P60" s="33" t="s">
        <v>256</v>
      </c>
      <c r="Q60" s="33"/>
      <c r="R60" s="33" t="s">
        <v>109</v>
      </c>
      <c r="S60" s="33"/>
    </row>
    <row r="61" spans="1:19" x14ac:dyDescent="0.25">
      <c r="O61" s="32">
        <v>17</v>
      </c>
      <c r="P61" s="33" t="s">
        <v>257</v>
      </c>
      <c r="Q61" s="33"/>
      <c r="R61" s="33" t="s">
        <v>10</v>
      </c>
      <c r="S61" s="33"/>
    </row>
    <row r="62" spans="1:19" x14ac:dyDescent="0.25">
      <c r="O62" s="34">
        <v>18</v>
      </c>
      <c r="P62" s="35" t="s">
        <v>258</v>
      </c>
      <c r="Q62" s="35"/>
      <c r="R62" s="35"/>
      <c r="S62" s="35"/>
    </row>
    <row r="63" spans="1:19" x14ac:dyDescent="0.25">
      <c r="O63" s="34">
        <v>19</v>
      </c>
      <c r="P63" s="35" t="s">
        <v>259</v>
      </c>
      <c r="Q63" s="35"/>
      <c r="R63" s="35"/>
      <c r="S63" s="35"/>
    </row>
    <row r="64" spans="1:19" x14ac:dyDescent="0.25">
      <c r="O64" s="34">
        <v>20</v>
      </c>
      <c r="P64" s="35" t="s">
        <v>260</v>
      </c>
      <c r="Q64" s="35"/>
      <c r="R64" s="35"/>
      <c r="S64" s="35"/>
    </row>
    <row r="65" spans="15:19" x14ac:dyDescent="0.25">
      <c r="O65" s="34">
        <v>21</v>
      </c>
      <c r="P65" s="35" t="s">
        <v>261</v>
      </c>
      <c r="Q65" s="35"/>
      <c r="R65" s="35"/>
      <c r="S65" s="35"/>
    </row>
    <row r="66" spans="15:19" x14ac:dyDescent="0.25">
      <c r="O66" s="34">
        <v>22</v>
      </c>
      <c r="P66" s="35" t="s">
        <v>444</v>
      </c>
      <c r="Q66" s="35"/>
      <c r="R66" s="35"/>
      <c r="S66" s="35"/>
    </row>
  </sheetData>
  <sortState ref="A1:N66">
    <sortCondition descending="1" ref="D1:D100"/>
    <sortCondition ref="E1:E100"/>
    <sortCondition descending="1" ref="B1:B100"/>
  </sortState>
  <phoneticPr fontId="1" type="noConversion"/>
  <conditionalFormatting sqref="B1 B16:B23 B25:B26 B28:B1048576 B3 B7:B8 B13 B10:B11 B5">
    <cfRule type="duplicateValues" dxfId="62" priority="5"/>
  </conditionalFormatting>
  <conditionalFormatting sqref="B14">
    <cfRule type="duplicateValues" dxfId="61" priority="4"/>
  </conditionalFormatting>
  <conditionalFormatting sqref="A1 A28:A1048576 A3 A7:A8 A13:A14 A16:A26 A10:A11 A5">
    <cfRule type="containsText" dxfId="60" priority="1" operator="containsText" text="RMF">
      <formula>NOT(ISERROR(SEARCH("RMF",A1)))</formula>
    </cfRule>
    <cfRule type="containsText" dxfId="59" priority="2" operator="containsText" text="LMF">
      <formula>NOT(ISERROR(SEARCH("LMF",A1)))</formula>
    </cfRule>
  </conditionalFormatting>
  <pageMargins left="0.7" right="0.7" top="0.75" bottom="0.75" header="0.3" footer="0.3"/>
  <ignoredErrors>
    <ignoredError sqref="O1:O22 O67:O1048576 O23:S44 O45:S66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S22"/>
  <sheetViews>
    <sheetView workbookViewId="0">
      <selection activeCell="A22" sqref="A22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21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1455</v>
      </c>
      <c r="B1" s="1" t="s">
        <v>1456</v>
      </c>
      <c r="C1" s="1">
        <v>84</v>
      </c>
      <c r="D1" s="1">
        <v>7</v>
      </c>
      <c r="E1" s="1">
        <v>21</v>
      </c>
      <c r="F1" s="7" t="s">
        <v>1457</v>
      </c>
      <c r="G1" s="1">
        <v>42</v>
      </c>
      <c r="H1" s="1">
        <v>92</v>
      </c>
      <c r="I1" s="1">
        <v>75</v>
      </c>
      <c r="J1" s="1">
        <f>IF(SUM(G1:I1)=0,"",SUM(G1:I1))</f>
        <v>209</v>
      </c>
      <c r="K1" s="7" t="s">
        <v>1458</v>
      </c>
      <c r="L1" s="7" t="s">
        <v>1459</v>
      </c>
      <c r="M1" s="7" t="s">
        <v>1454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703</v>
      </c>
      <c r="B2" s="1" t="s">
        <v>704</v>
      </c>
      <c r="C2" s="1">
        <v>85</v>
      </c>
      <c r="D2" s="1">
        <v>7</v>
      </c>
      <c r="E2" s="1">
        <v>23</v>
      </c>
      <c r="F2" s="7" t="s">
        <v>705</v>
      </c>
      <c r="G2" s="1">
        <v>55</v>
      </c>
      <c r="H2" s="1">
        <v>85</v>
      </c>
      <c r="I2" s="1">
        <v>76</v>
      </c>
      <c r="J2" s="1">
        <f>IF(SUM(G2:I2)=0,"",SUM(G2:I2))</f>
        <v>216</v>
      </c>
      <c r="K2" s="7" t="s">
        <v>706</v>
      </c>
      <c r="L2" s="7" t="s">
        <v>707</v>
      </c>
      <c r="M2" s="7" t="s">
        <v>708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919</v>
      </c>
      <c r="B3" s="1" t="s">
        <v>920</v>
      </c>
      <c r="C3" s="1">
        <v>73</v>
      </c>
      <c r="D3" s="1">
        <v>6</v>
      </c>
      <c r="E3" s="1">
        <v>22</v>
      </c>
      <c r="F3" s="7" t="s">
        <v>921</v>
      </c>
      <c r="G3" s="1">
        <v>28</v>
      </c>
      <c r="H3" s="1">
        <v>76</v>
      </c>
      <c r="I3" s="1">
        <v>60</v>
      </c>
      <c r="J3" s="1">
        <f>IF(SUM(G3:I3)=0,"",SUM(G3:I3))</f>
        <v>164</v>
      </c>
      <c r="K3" s="7" t="s">
        <v>901</v>
      </c>
      <c r="L3" s="7" t="s">
        <v>922</v>
      </c>
      <c r="M3" s="7" t="s">
        <v>923</v>
      </c>
      <c r="N3" s="21" t="s">
        <v>936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586</v>
      </c>
      <c r="B4" s="1" t="s">
        <v>1232</v>
      </c>
      <c r="C4" s="1">
        <v>82</v>
      </c>
      <c r="D4" s="1">
        <v>6</v>
      </c>
      <c r="E4" s="1">
        <v>23</v>
      </c>
      <c r="F4" s="7" t="s">
        <v>1233</v>
      </c>
      <c r="G4" s="1">
        <v>34</v>
      </c>
      <c r="H4" s="1">
        <v>80</v>
      </c>
      <c r="I4" s="1">
        <v>75</v>
      </c>
      <c r="J4" s="1">
        <f>IF(SUM(G4:I4)=0,"",SUM(G4:I4))</f>
        <v>189</v>
      </c>
      <c r="K4" s="7" t="s">
        <v>1234</v>
      </c>
      <c r="L4" s="7" t="s">
        <v>1235</v>
      </c>
      <c r="M4" s="7" t="s">
        <v>1236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7</v>
      </c>
      <c r="B5" s="1" t="s">
        <v>159</v>
      </c>
      <c r="C5" s="1">
        <v>72</v>
      </c>
      <c r="D5" s="2">
        <v>5</v>
      </c>
      <c r="E5" s="1">
        <v>20</v>
      </c>
      <c r="F5" s="7" t="s">
        <v>59</v>
      </c>
      <c r="G5" s="1">
        <v>39</v>
      </c>
      <c r="H5" s="1">
        <v>78</v>
      </c>
      <c r="I5" s="1">
        <v>54</v>
      </c>
      <c r="J5" s="1">
        <f>IF(SUM(G5:I5)=0,"",SUM(G5:I5))</f>
        <v>171</v>
      </c>
      <c r="L5" s="7" t="s">
        <v>161</v>
      </c>
      <c r="M5" s="7" t="s">
        <v>447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89</v>
      </c>
      <c r="B6" s="1" t="s">
        <v>1567</v>
      </c>
      <c r="C6" s="1">
        <v>65</v>
      </c>
      <c r="D6" s="1">
        <v>5</v>
      </c>
      <c r="E6" s="1">
        <v>20</v>
      </c>
      <c r="F6" s="7" t="s">
        <v>1568</v>
      </c>
      <c r="G6" s="1">
        <v>49</v>
      </c>
      <c r="H6" s="1">
        <v>64</v>
      </c>
      <c r="I6" s="1">
        <v>41</v>
      </c>
      <c r="J6" s="1">
        <f>IF(SUM(G6:I6)=0,"",SUM(G6:I6))</f>
        <v>154</v>
      </c>
      <c r="K6" s="7" t="s">
        <v>1569</v>
      </c>
      <c r="L6" s="7" t="s">
        <v>1570</v>
      </c>
      <c r="M6" s="7" t="s">
        <v>1571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566</v>
      </c>
      <c r="B7" s="1" t="s">
        <v>567</v>
      </c>
      <c r="C7" s="1">
        <v>74</v>
      </c>
      <c r="D7" s="1">
        <v>5</v>
      </c>
      <c r="E7" s="1">
        <v>21</v>
      </c>
      <c r="F7" s="7" t="s">
        <v>568</v>
      </c>
      <c r="G7" s="1">
        <v>39</v>
      </c>
      <c r="H7" s="1">
        <v>82</v>
      </c>
      <c r="I7" s="1">
        <v>63</v>
      </c>
      <c r="J7" s="1">
        <f>IF(SUM(G7:I7)=0,"",SUM(G7:I7))</f>
        <v>184</v>
      </c>
      <c r="K7" s="7" t="s">
        <v>569</v>
      </c>
      <c r="L7" s="7" t="s">
        <v>570</v>
      </c>
      <c r="M7" s="7" t="s">
        <v>571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89</v>
      </c>
      <c r="B8" s="1" t="s">
        <v>90</v>
      </c>
      <c r="C8" s="1">
        <v>74</v>
      </c>
      <c r="D8" s="1">
        <v>5</v>
      </c>
      <c r="E8" s="1">
        <v>21</v>
      </c>
      <c r="F8" s="7" t="s">
        <v>59</v>
      </c>
      <c r="G8" s="1">
        <v>69</v>
      </c>
      <c r="H8" s="1">
        <v>69</v>
      </c>
      <c r="I8" s="1">
        <v>51</v>
      </c>
      <c r="J8" s="1">
        <f>IF(SUM(G8:I8)=0,"",SUM(G8:I8))</f>
        <v>189</v>
      </c>
      <c r="L8" s="7" t="s">
        <v>160</v>
      </c>
      <c r="M8" s="7" t="s">
        <v>447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957</v>
      </c>
      <c r="B9" s="1" t="s">
        <v>958</v>
      </c>
      <c r="C9" s="1">
        <v>82</v>
      </c>
      <c r="D9" s="1">
        <v>5</v>
      </c>
      <c r="E9" s="1">
        <v>22</v>
      </c>
      <c r="F9" s="7" t="s">
        <v>959</v>
      </c>
      <c r="G9" s="1">
        <v>35</v>
      </c>
      <c r="H9" s="1">
        <v>90</v>
      </c>
      <c r="I9" s="1">
        <v>74</v>
      </c>
      <c r="J9" s="1">
        <f>IF(SUM(G9:I9)=0,"",SUM(G9:I9))</f>
        <v>199</v>
      </c>
      <c r="K9" s="7" t="s">
        <v>960</v>
      </c>
      <c r="L9" s="7" t="s">
        <v>961</v>
      </c>
      <c r="M9" s="7" t="s">
        <v>962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398</v>
      </c>
      <c r="B10" s="1" t="s">
        <v>399</v>
      </c>
      <c r="C10" s="1">
        <v>75</v>
      </c>
      <c r="D10" s="1">
        <v>5</v>
      </c>
      <c r="E10" s="1">
        <v>22</v>
      </c>
      <c r="F10" s="7" t="s">
        <v>70</v>
      </c>
      <c r="G10" s="1">
        <v>55</v>
      </c>
      <c r="H10" s="1">
        <v>78</v>
      </c>
      <c r="I10" s="1">
        <v>64</v>
      </c>
      <c r="J10" s="1">
        <f>IF(SUM(G10:I10)=0,"",SUM(G10:I10))</f>
        <v>197</v>
      </c>
      <c r="L10" s="7" t="s">
        <v>400</v>
      </c>
      <c r="M10" s="7" t="s">
        <v>447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423</v>
      </c>
      <c r="B11" s="1" t="s">
        <v>292</v>
      </c>
      <c r="C11" s="1">
        <v>78</v>
      </c>
      <c r="D11" s="1">
        <v>5</v>
      </c>
      <c r="E11" s="1">
        <v>22</v>
      </c>
      <c r="F11" s="7" t="s">
        <v>59</v>
      </c>
      <c r="G11" s="1">
        <v>49</v>
      </c>
      <c r="H11" s="1">
        <v>92</v>
      </c>
      <c r="I11" s="1">
        <v>65</v>
      </c>
      <c r="J11" s="1">
        <f>IF(SUM(G11:I11)=0,"",SUM(G11:I11))</f>
        <v>206</v>
      </c>
      <c r="L11" s="7" t="s">
        <v>285</v>
      </c>
      <c r="M11" s="7" t="s">
        <v>447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7</v>
      </c>
      <c r="B12" s="1" t="s">
        <v>240</v>
      </c>
      <c r="C12" s="1">
        <v>77</v>
      </c>
      <c r="D12" s="1">
        <v>5</v>
      </c>
      <c r="E12" s="1">
        <v>22</v>
      </c>
      <c r="F12" s="7" t="s">
        <v>59</v>
      </c>
      <c r="G12" s="1">
        <v>54</v>
      </c>
      <c r="H12" s="1">
        <v>80</v>
      </c>
      <c r="I12" s="1">
        <v>63</v>
      </c>
      <c r="J12" s="1">
        <f>IF(SUM(G12:I12)=0,"",SUM(G12:I12))</f>
        <v>197</v>
      </c>
      <c r="L12" s="7" t="s">
        <v>241</v>
      </c>
      <c r="M12" s="7" t="s">
        <v>447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1449</v>
      </c>
      <c r="B13" s="1" t="s">
        <v>1450</v>
      </c>
      <c r="C13" s="1">
        <v>81</v>
      </c>
      <c r="D13" s="1">
        <v>5</v>
      </c>
      <c r="E13" s="1">
        <v>23</v>
      </c>
      <c r="F13" s="7" t="s">
        <v>1451</v>
      </c>
      <c r="G13" s="1">
        <v>48</v>
      </c>
      <c r="H13" s="1">
        <v>77</v>
      </c>
      <c r="I13" s="1">
        <v>73</v>
      </c>
      <c r="J13" s="1">
        <f>IF(SUM(G13:I13)=0,"",SUM(G13:I13))</f>
        <v>198</v>
      </c>
      <c r="K13" s="7" t="s">
        <v>1452</v>
      </c>
      <c r="L13" s="7" t="s">
        <v>1453</v>
      </c>
      <c r="M13" s="7" t="s">
        <v>1454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646</v>
      </c>
      <c r="B14" s="1" t="s">
        <v>647</v>
      </c>
      <c r="C14" s="1">
        <v>78</v>
      </c>
      <c r="D14" s="1">
        <v>5</v>
      </c>
      <c r="E14" s="1">
        <v>23</v>
      </c>
      <c r="F14" s="7" t="s">
        <v>648</v>
      </c>
      <c r="G14" s="1">
        <v>63</v>
      </c>
      <c r="H14" s="1">
        <v>71</v>
      </c>
      <c r="I14" s="1">
        <v>65</v>
      </c>
      <c r="J14" s="1">
        <f>IF(SUM(G14:I14)=0,"",SUM(G14:I14))</f>
        <v>199</v>
      </c>
      <c r="K14" s="7" t="s">
        <v>649</v>
      </c>
      <c r="L14" s="7" t="s">
        <v>650</v>
      </c>
      <c r="M14" s="7" t="s">
        <v>651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7</v>
      </c>
      <c r="B15" s="1" t="s">
        <v>240</v>
      </c>
      <c r="C15" s="1">
        <v>79</v>
      </c>
      <c r="D15" s="2">
        <v>5</v>
      </c>
      <c r="E15" s="1">
        <v>23</v>
      </c>
      <c r="F15" s="7" t="s">
        <v>59</v>
      </c>
      <c r="G15" s="1">
        <v>54</v>
      </c>
      <c r="H15" s="1">
        <v>83</v>
      </c>
      <c r="I15" s="1">
        <v>68</v>
      </c>
      <c r="J15" s="1">
        <f>IF(SUM(G15:I15)=0,"",SUM(G15:I15))</f>
        <v>205</v>
      </c>
      <c r="L15" s="7" t="s">
        <v>241</v>
      </c>
      <c r="M15" s="7" t="s">
        <v>447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89</v>
      </c>
      <c r="B16" s="1" t="s">
        <v>974</v>
      </c>
      <c r="C16" s="1">
        <v>79</v>
      </c>
      <c r="D16" s="1">
        <v>5</v>
      </c>
      <c r="E16" s="1">
        <v>24</v>
      </c>
      <c r="F16" s="7" t="s">
        <v>959</v>
      </c>
      <c r="G16" s="1">
        <v>33</v>
      </c>
      <c r="H16" s="1">
        <v>83</v>
      </c>
      <c r="I16" s="1">
        <v>67</v>
      </c>
      <c r="J16" s="1">
        <f>IF(SUM(G16:I16)=0,"",SUM(G16:I16))</f>
        <v>183</v>
      </c>
      <c r="K16" s="7" t="s">
        <v>975</v>
      </c>
      <c r="L16" s="7" t="s">
        <v>976</v>
      </c>
      <c r="M16" s="7" t="s">
        <v>918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1582</v>
      </c>
      <c r="B17" s="1" t="s">
        <v>1583</v>
      </c>
      <c r="C17" s="1">
        <v>78</v>
      </c>
      <c r="D17" s="1">
        <v>5</v>
      </c>
      <c r="E17" s="1">
        <v>24</v>
      </c>
      <c r="F17" s="7" t="s">
        <v>1584</v>
      </c>
      <c r="G17" s="1">
        <v>51</v>
      </c>
      <c r="H17" s="1">
        <v>56</v>
      </c>
      <c r="I17" s="1">
        <v>72</v>
      </c>
      <c r="J17" s="1">
        <f>IF(SUM(G17:I17)=0,"",SUM(G17:I17))</f>
        <v>179</v>
      </c>
      <c r="K17" s="7" t="s">
        <v>1585</v>
      </c>
      <c r="L17" s="7" t="s">
        <v>1586</v>
      </c>
      <c r="M17" s="7" t="s">
        <v>1581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1449</v>
      </c>
      <c r="B18" s="1" t="s">
        <v>1460</v>
      </c>
      <c r="C18" s="1">
        <v>72</v>
      </c>
      <c r="D18" s="1">
        <v>4</v>
      </c>
      <c r="E18" s="1">
        <v>22</v>
      </c>
      <c r="F18" s="7" t="s">
        <v>1461</v>
      </c>
      <c r="G18" s="1">
        <v>51</v>
      </c>
      <c r="H18" s="1">
        <v>70</v>
      </c>
      <c r="I18" s="1">
        <v>54</v>
      </c>
      <c r="J18" s="1">
        <f>IF(SUM(G18:I18)=0,"",SUM(G18:I18))</f>
        <v>175</v>
      </c>
      <c r="K18" s="7" t="s">
        <v>1462</v>
      </c>
      <c r="L18" s="7" t="s">
        <v>1463</v>
      </c>
      <c r="M18" s="7" t="s">
        <v>1454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89</v>
      </c>
      <c r="B19" s="1" t="s">
        <v>1577</v>
      </c>
      <c r="C19" s="1">
        <v>75</v>
      </c>
      <c r="D19" s="1">
        <v>4</v>
      </c>
      <c r="E19" s="1">
        <v>23</v>
      </c>
      <c r="F19" s="7" t="s">
        <v>1578</v>
      </c>
      <c r="G19" s="1">
        <v>41</v>
      </c>
      <c r="H19" s="1">
        <v>80</v>
      </c>
      <c r="I19" s="1">
        <v>66</v>
      </c>
      <c r="J19" s="1">
        <f>IF(SUM(G19:I19)=0,"",SUM(G19:I19))</f>
        <v>187</v>
      </c>
      <c r="K19" s="7" t="s">
        <v>1579</v>
      </c>
      <c r="L19" s="7" t="s">
        <v>1580</v>
      </c>
      <c r="M19" s="7" t="s">
        <v>1581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89</v>
      </c>
      <c r="B20" s="1" t="s">
        <v>1333</v>
      </c>
      <c r="C20" s="1">
        <v>75</v>
      </c>
      <c r="D20" s="1">
        <v>4</v>
      </c>
      <c r="E20" s="1">
        <v>24</v>
      </c>
      <c r="F20" s="7" t="s">
        <v>1334</v>
      </c>
      <c r="G20" s="1">
        <v>34</v>
      </c>
      <c r="H20" s="1">
        <v>68</v>
      </c>
      <c r="I20" s="1">
        <v>66</v>
      </c>
      <c r="J20" s="1">
        <f>IF(SUM(G20:I20)=0,"",SUM(G20:I20))</f>
        <v>168</v>
      </c>
      <c r="K20" s="7" t="s">
        <v>1335</v>
      </c>
      <c r="L20" s="7" t="s">
        <v>1336</v>
      </c>
      <c r="M20" s="7" t="s">
        <v>1332</v>
      </c>
      <c r="N20" s="21" t="s">
        <v>937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1572</v>
      </c>
      <c r="B21" s="1" t="s">
        <v>1573</v>
      </c>
      <c r="C21" s="1">
        <v>75</v>
      </c>
      <c r="D21" s="1">
        <v>4</v>
      </c>
      <c r="E21" s="1">
        <v>24</v>
      </c>
      <c r="F21" s="7" t="s">
        <v>1574</v>
      </c>
      <c r="G21" s="1">
        <v>35</v>
      </c>
      <c r="H21" s="1">
        <v>68</v>
      </c>
      <c r="I21" s="1">
        <v>66</v>
      </c>
      <c r="J21" s="1">
        <f>IF(SUM(G21:I21)=0,"",SUM(G21:I21))</f>
        <v>169</v>
      </c>
      <c r="K21" s="7" t="s">
        <v>1575</v>
      </c>
      <c r="L21" s="7" t="s">
        <v>1575</v>
      </c>
      <c r="M21" s="7" t="s">
        <v>1576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O22" s="34">
        <v>22</v>
      </c>
      <c r="P22" s="35" t="s">
        <v>444</v>
      </c>
      <c r="Q22" s="35"/>
      <c r="R22" s="35"/>
      <c r="S22" s="35"/>
    </row>
  </sheetData>
  <sortState ref="A1:N22">
    <sortCondition descending="1" ref="D1:D100"/>
    <sortCondition ref="E1:E100"/>
    <sortCondition descending="1" ref="B1:B100"/>
  </sortState>
  <phoneticPr fontId="1" type="noConversion"/>
  <conditionalFormatting sqref="B2:B4 B9 B11:B20 B6 B23:B1048576">
    <cfRule type="duplicateValues" dxfId="58" priority="7"/>
  </conditionalFormatting>
  <conditionalFormatting sqref="A2:A4 A11:A20 A9 A6 A23:A1048576">
    <cfRule type="containsText" dxfId="57" priority="4" operator="containsText" text="RMF">
      <formula>NOT(ISERROR(SEARCH("RMF",A2)))</formula>
    </cfRule>
    <cfRule type="containsText" dxfId="56" priority="5" operator="containsText" text="LMF">
      <formula>NOT(ISERROR(SEARCH("LMF",A2)))</formula>
    </cfRule>
  </conditionalFormatting>
  <conditionalFormatting sqref="B21">
    <cfRule type="duplicateValues" dxfId="55" priority="3"/>
  </conditionalFormatting>
  <conditionalFormatting sqref="A21">
    <cfRule type="containsText" dxfId="54" priority="1" operator="containsText" text="RMF">
      <formula>NOT(ISERROR(SEARCH("RMF",A21)))</formula>
    </cfRule>
    <cfRule type="containsText" dxfId="53" priority="2" operator="containsText" text="LMF">
      <formula>NOT(ISERROR(SEARCH("LMF",A21)))</formula>
    </cfRule>
  </conditionalFormatting>
  <pageMargins left="0.7" right="0.7" top="0.75" bottom="0.75" header="0.3" footer="0.3"/>
  <ignoredErrors>
    <ignoredError sqref="O1:O1048576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S36"/>
  <sheetViews>
    <sheetView workbookViewId="0">
      <selection activeCell="A24" sqref="A24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7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709</v>
      </c>
      <c r="B1" s="1" t="s">
        <v>710</v>
      </c>
      <c r="C1" s="1">
        <v>80</v>
      </c>
      <c r="D1" s="1">
        <v>7</v>
      </c>
      <c r="E1" s="1">
        <v>23</v>
      </c>
      <c r="F1" s="7" t="s">
        <v>711</v>
      </c>
      <c r="G1" s="1">
        <v>62</v>
      </c>
      <c r="H1" s="1">
        <v>93</v>
      </c>
      <c r="I1" s="1">
        <v>60</v>
      </c>
      <c r="J1" s="1">
        <f>IF(SUM(G1:I1)=0,"",SUM(G1:I1))</f>
        <v>215</v>
      </c>
      <c r="K1" s="7" t="s">
        <v>712</v>
      </c>
      <c r="L1" s="7" t="s">
        <v>713</v>
      </c>
      <c r="M1" s="7" t="s">
        <v>714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1443</v>
      </c>
      <c r="B2" s="1" t="s">
        <v>1444</v>
      </c>
      <c r="C2" s="1">
        <v>81</v>
      </c>
      <c r="D2" s="1">
        <v>6</v>
      </c>
      <c r="E2" s="1">
        <v>23</v>
      </c>
      <c r="F2" s="7" t="s">
        <v>1445</v>
      </c>
      <c r="G2" s="1">
        <v>38</v>
      </c>
      <c r="H2" s="1">
        <v>92</v>
      </c>
      <c r="I2" s="1">
        <v>70</v>
      </c>
      <c r="J2" s="1">
        <f>IF(SUM(G2:I2)=0,"",SUM(G2:I2))</f>
        <v>200</v>
      </c>
      <c r="K2" s="7" t="s">
        <v>1446</v>
      </c>
      <c r="L2" s="7" t="s">
        <v>1447</v>
      </c>
      <c r="M2" s="7" t="s">
        <v>1448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60</v>
      </c>
      <c r="B3" s="1" t="s">
        <v>980</v>
      </c>
      <c r="C3" s="1">
        <v>87</v>
      </c>
      <c r="D3" s="1">
        <v>6</v>
      </c>
      <c r="E3" s="1">
        <v>23</v>
      </c>
      <c r="F3" s="7" t="s">
        <v>981</v>
      </c>
      <c r="G3" s="1">
        <v>75</v>
      </c>
      <c r="H3" s="1">
        <v>59</v>
      </c>
      <c r="I3" s="1">
        <v>81</v>
      </c>
      <c r="J3" s="1">
        <f>IF(SUM(G3:I3)=0,"",SUM(G3:I3))</f>
        <v>215</v>
      </c>
      <c r="L3" s="7" t="s">
        <v>983</v>
      </c>
      <c r="M3" s="7" t="s">
        <v>984</v>
      </c>
      <c r="N3" s="17" t="s">
        <v>982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924</v>
      </c>
      <c r="B4" s="1" t="s">
        <v>925</v>
      </c>
      <c r="C4" s="1">
        <v>80</v>
      </c>
      <c r="D4" s="1">
        <v>6</v>
      </c>
      <c r="E4" s="1">
        <v>23</v>
      </c>
      <c r="G4" s="1">
        <v>45</v>
      </c>
      <c r="H4" s="1">
        <v>86</v>
      </c>
      <c r="I4" s="1">
        <v>68</v>
      </c>
      <c r="J4" s="1">
        <f>IF(SUM(G4:I4)=0,"",SUM(G4:I4))</f>
        <v>199</v>
      </c>
      <c r="K4" s="7" t="s">
        <v>926</v>
      </c>
      <c r="L4" s="7" t="s">
        <v>927</v>
      </c>
      <c r="M4" s="7" t="s">
        <v>928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1342</v>
      </c>
      <c r="B5" s="1" t="s">
        <v>1343</v>
      </c>
      <c r="C5" s="1">
        <v>82</v>
      </c>
      <c r="D5" s="1">
        <v>6</v>
      </c>
      <c r="E5" s="1">
        <v>24</v>
      </c>
      <c r="F5" s="7" t="s">
        <v>1344</v>
      </c>
      <c r="G5" s="1">
        <v>48</v>
      </c>
      <c r="H5" s="1">
        <v>73</v>
      </c>
      <c r="I5" s="1">
        <v>78</v>
      </c>
      <c r="J5" s="1">
        <f>IF(SUM(G5:I5)=0,"",SUM(G5:I5))</f>
        <v>199</v>
      </c>
      <c r="K5" s="7" t="s">
        <v>1345</v>
      </c>
      <c r="L5" s="7" t="s">
        <v>1346</v>
      </c>
      <c r="M5" s="7" t="s">
        <v>1347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60</v>
      </c>
      <c r="B6" s="1" t="s">
        <v>1564</v>
      </c>
      <c r="C6" s="1">
        <v>71</v>
      </c>
      <c r="D6" s="1">
        <v>5</v>
      </c>
      <c r="E6" s="1">
        <v>18</v>
      </c>
      <c r="F6" s="7" t="s">
        <v>1565</v>
      </c>
      <c r="G6" s="1">
        <v>57</v>
      </c>
      <c r="H6" s="1">
        <v>67</v>
      </c>
      <c r="I6" s="1">
        <v>53</v>
      </c>
      <c r="J6" s="1">
        <f>IF(SUM(G6:I6)=0,"",SUM(G6:I6))</f>
        <v>177</v>
      </c>
      <c r="K6" s="7" t="s">
        <v>1554</v>
      </c>
      <c r="L6" s="7" t="s">
        <v>1562</v>
      </c>
      <c r="M6" s="7" t="s">
        <v>1543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364</v>
      </c>
      <c r="B7" s="1" t="s">
        <v>365</v>
      </c>
      <c r="C7" s="1">
        <v>73</v>
      </c>
      <c r="D7" s="1">
        <v>5</v>
      </c>
      <c r="E7" s="1">
        <v>20</v>
      </c>
      <c r="F7" s="7" t="s">
        <v>59</v>
      </c>
      <c r="G7" s="1">
        <v>46</v>
      </c>
      <c r="H7" s="1">
        <v>92</v>
      </c>
      <c r="I7" s="1">
        <v>53</v>
      </c>
      <c r="J7" s="1">
        <f>IF(SUM(G7:I7)=0,"",SUM(G7:I7))</f>
        <v>191</v>
      </c>
      <c r="L7" s="7" t="s">
        <v>366</v>
      </c>
      <c r="M7" s="7" t="s">
        <v>447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60</v>
      </c>
      <c r="B8" s="1" t="s">
        <v>873</v>
      </c>
      <c r="C8" s="1">
        <v>74</v>
      </c>
      <c r="D8" s="1">
        <v>5</v>
      </c>
      <c r="E8" s="1">
        <v>20</v>
      </c>
      <c r="F8" s="7" t="s">
        <v>874</v>
      </c>
      <c r="G8" s="1">
        <v>27</v>
      </c>
      <c r="H8" s="1">
        <v>68</v>
      </c>
      <c r="I8" s="1">
        <v>63</v>
      </c>
      <c r="J8" s="1">
        <f>IF(SUM(G8:I8)=0,"",SUM(G8:I8))</f>
        <v>158</v>
      </c>
      <c r="K8" s="7" t="s">
        <v>875</v>
      </c>
      <c r="L8" s="7" t="s">
        <v>876</v>
      </c>
      <c r="M8" s="7" t="s">
        <v>877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954</v>
      </c>
      <c r="B9" s="1" t="s">
        <v>955</v>
      </c>
      <c r="C9" s="1">
        <v>74</v>
      </c>
      <c r="D9" s="1">
        <v>5</v>
      </c>
      <c r="E9" s="1">
        <v>21</v>
      </c>
      <c r="G9" s="1">
        <v>68</v>
      </c>
      <c r="H9" s="1">
        <v>65</v>
      </c>
      <c r="I9" s="1">
        <v>53</v>
      </c>
      <c r="J9" s="1">
        <f>IF(SUM(G9:I9)=0,"",SUM(G9:I9))</f>
        <v>186</v>
      </c>
      <c r="M9" s="7" t="s">
        <v>956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722</v>
      </c>
      <c r="B10" s="1" t="s">
        <v>723</v>
      </c>
      <c r="C10" s="1">
        <v>82</v>
      </c>
      <c r="D10" s="1">
        <v>5</v>
      </c>
      <c r="E10" s="1">
        <v>23</v>
      </c>
      <c r="F10" s="7" t="s">
        <v>724</v>
      </c>
      <c r="G10" s="1">
        <v>35</v>
      </c>
      <c r="H10" s="1">
        <v>91</v>
      </c>
      <c r="I10" s="1">
        <v>73</v>
      </c>
      <c r="J10" s="1">
        <f>IF(SUM(G10:I10)=0,"",SUM(G10:I10))</f>
        <v>199</v>
      </c>
      <c r="K10" s="7" t="s">
        <v>725</v>
      </c>
      <c r="L10" s="7" t="s">
        <v>726</v>
      </c>
      <c r="M10" s="7" t="s">
        <v>727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421</v>
      </c>
      <c r="B11" s="1" t="s">
        <v>63</v>
      </c>
      <c r="C11" s="1">
        <v>78</v>
      </c>
      <c r="D11" s="1">
        <v>5</v>
      </c>
      <c r="E11" s="1">
        <v>23</v>
      </c>
      <c r="F11" s="7" t="s">
        <v>59</v>
      </c>
      <c r="G11" s="1">
        <v>61</v>
      </c>
      <c r="H11" s="1">
        <v>76</v>
      </c>
      <c r="I11" s="1">
        <v>66</v>
      </c>
      <c r="J11" s="1">
        <f>IF(SUM(G11:I11)=0,"",SUM(G11:I11))</f>
        <v>203</v>
      </c>
      <c r="L11" s="7" t="s">
        <v>64</v>
      </c>
      <c r="M11" s="7" t="s">
        <v>447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60</v>
      </c>
      <c r="B12" s="1" t="s">
        <v>152</v>
      </c>
      <c r="C12" s="1">
        <v>77</v>
      </c>
      <c r="D12" s="1">
        <v>5</v>
      </c>
      <c r="E12" s="1">
        <v>23</v>
      </c>
      <c r="F12" s="7" t="s">
        <v>59</v>
      </c>
      <c r="G12" s="1">
        <v>49</v>
      </c>
      <c r="H12" s="1">
        <v>73</v>
      </c>
      <c r="I12" s="1">
        <v>67</v>
      </c>
      <c r="J12" s="1">
        <f>IF(SUM(G12:I12)=0,"",SUM(G12:I12))</f>
        <v>189</v>
      </c>
      <c r="L12" s="7" t="s">
        <v>112</v>
      </c>
      <c r="M12" s="7" t="s">
        <v>447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1244</v>
      </c>
      <c r="B13" s="1" t="s">
        <v>1280</v>
      </c>
      <c r="C13" s="1">
        <v>78</v>
      </c>
      <c r="D13" s="1">
        <v>5</v>
      </c>
      <c r="E13" s="1">
        <v>23</v>
      </c>
      <c r="F13" s="7" t="s">
        <v>1281</v>
      </c>
      <c r="G13" s="1">
        <v>56</v>
      </c>
      <c r="H13" s="1">
        <v>76</v>
      </c>
      <c r="I13" s="1">
        <v>70</v>
      </c>
      <c r="J13" s="1">
        <f>IF(SUM(G13:I13)=0,"",SUM(G13:I13))</f>
        <v>202</v>
      </c>
      <c r="K13" s="7" t="s">
        <v>1282</v>
      </c>
      <c r="L13" s="7" t="s">
        <v>1283</v>
      </c>
      <c r="M13" s="7" t="s">
        <v>1248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553</v>
      </c>
      <c r="B14" s="1" t="s">
        <v>554</v>
      </c>
      <c r="C14" s="1">
        <v>77</v>
      </c>
      <c r="D14" s="1">
        <v>5</v>
      </c>
      <c r="E14" s="1">
        <v>23</v>
      </c>
      <c r="F14" s="7" t="s">
        <v>59</v>
      </c>
      <c r="G14" s="1">
        <v>45</v>
      </c>
      <c r="H14" s="1">
        <v>78</v>
      </c>
      <c r="I14" s="1">
        <v>66</v>
      </c>
      <c r="J14" s="1">
        <f>IF(SUM(G14:I14)=0,"",SUM(G14:I14))</f>
        <v>189</v>
      </c>
      <c r="K14" s="7" t="s">
        <v>555</v>
      </c>
      <c r="L14" s="7" t="s">
        <v>556</v>
      </c>
      <c r="M14" s="7" t="s">
        <v>557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1244</v>
      </c>
      <c r="B15" s="1" t="s">
        <v>1245</v>
      </c>
      <c r="C15" s="1">
        <v>77</v>
      </c>
      <c r="D15" s="1">
        <v>5</v>
      </c>
      <c r="E15" s="1">
        <v>23</v>
      </c>
      <c r="F15" s="7" t="s">
        <v>1246</v>
      </c>
      <c r="G15" s="1">
        <v>52</v>
      </c>
      <c r="H15" s="1">
        <v>87</v>
      </c>
      <c r="I15" s="1">
        <v>60</v>
      </c>
      <c r="J15" s="1">
        <f>IF(SUM(G15:I15)=0,"",SUM(G15:I15))</f>
        <v>199</v>
      </c>
      <c r="K15" s="7" t="s">
        <v>1247</v>
      </c>
      <c r="M15" s="7" t="s">
        <v>1248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560</v>
      </c>
      <c r="B16" s="1" t="s">
        <v>561</v>
      </c>
      <c r="C16" s="1">
        <v>77</v>
      </c>
      <c r="D16" s="1">
        <v>5</v>
      </c>
      <c r="E16" s="1">
        <v>24</v>
      </c>
      <c r="F16" s="7" t="s">
        <v>562</v>
      </c>
      <c r="G16" s="1">
        <v>57</v>
      </c>
      <c r="H16" s="1">
        <v>85</v>
      </c>
      <c r="I16" s="1">
        <v>62</v>
      </c>
      <c r="J16" s="1">
        <f>IF(SUM(G16:I16)=0,"",SUM(G16:I16))</f>
        <v>204</v>
      </c>
      <c r="K16" s="7" t="s">
        <v>563</v>
      </c>
      <c r="L16" s="7" t="s">
        <v>564</v>
      </c>
      <c r="M16" s="7" t="s">
        <v>565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1560</v>
      </c>
      <c r="B17" s="1" t="s">
        <v>1561</v>
      </c>
      <c r="C17" s="1">
        <v>78</v>
      </c>
      <c r="D17" s="1">
        <v>5</v>
      </c>
      <c r="E17" s="1">
        <v>24</v>
      </c>
      <c r="F17" s="7" t="s">
        <v>1549</v>
      </c>
      <c r="G17" s="1">
        <v>52</v>
      </c>
      <c r="H17" s="1">
        <v>87</v>
      </c>
      <c r="I17" s="1">
        <v>64</v>
      </c>
      <c r="J17" s="1">
        <f>IF(SUM(G17:I17)=0,"",SUM(G17:I17))</f>
        <v>203</v>
      </c>
      <c r="K17" s="7" t="s">
        <v>1562</v>
      </c>
      <c r="M17" s="7" t="s">
        <v>1563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1560</v>
      </c>
      <c r="B18" s="1" t="s">
        <v>1561</v>
      </c>
      <c r="C18" s="1">
        <v>71</v>
      </c>
      <c r="D18" s="1">
        <v>5</v>
      </c>
      <c r="E18" s="1">
        <v>24</v>
      </c>
      <c r="F18" s="7" t="s">
        <v>1565</v>
      </c>
      <c r="G18" s="1">
        <v>51</v>
      </c>
      <c r="H18" s="1">
        <v>85</v>
      </c>
      <c r="I18" s="1">
        <v>49</v>
      </c>
      <c r="J18" s="1">
        <f>IF(SUM(G18:I18)=0,"",SUM(G18:I18))</f>
        <v>185</v>
      </c>
      <c r="K18" s="7" t="s">
        <v>1554</v>
      </c>
      <c r="M18" s="7" t="s">
        <v>1566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577</v>
      </c>
      <c r="B19" s="1" t="s">
        <v>578</v>
      </c>
      <c r="C19" s="1">
        <v>69</v>
      </c>
      <c r="D19" s="1">
        <v>4</v>
      </c>
      <c r="E19" s="1">
        <v>21</v>
      </c>
      <c r="F19" s="7" t="s">
        <v>579</v>
      </c>
      <c r="G19" s="1">
        <v>42</v>
      </c>
      <c r="H19" s="1">
        <v>63</v>
      </c>
      <c r="I19" s="1">
        <v>52</v>
      </c>
      <c r="J19" s="1">
        <f>IF(SUM(G19:I19)=0,"",SUM(G19:I19))</f>
        <v>157</v>
      </c>
      <c r="K19" s="7" t="s">
        <v>580</v>
      </c>
      <c r="M19" s="7" t="s">
        <v>581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60</v>
      </c>
      <c r="B20" s="1" t="s">
        <v>828</v>
      </c>
      <c r="C20" s="1">
        <v>69</v>
      </c>
      <c r="D20" s="1">
        <v>4</v>
      </c>
      <c r="E20" s="1">
        <v>21</v>
      </c>
      <c r="G20" s="1">
        <v>42</v>
      </c>
      <c r="H20" s="1">
        <v>66</v>
      </c>
      <c r="I20" s="1">
        <v>49</v>
      </c>
      <c r="J20" s="1">
        <f>IF(SUM(G20:I20)=0,"",SUM(G20:I20))</f>
        <v>157</v>
      </c>
      <c r="M20" s="7" t="s">
        <v>829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1390</v>
      </c>
      <c r="B21" s="1" t="s">
        <v>1391</v>
      </c>
      <c r="C21" s="1">
        <v>73</v>
      </c>
      <c r="D21" s="1">
        <v>4</v>
      </c>
      <c r="E21" s="1">
        <v>23</v>
      </c>
      <c r="G21" s="1">
        <v>58</v>
      </c>
      <c r="H21" s="1">
        <v>50</v>
      </c>
      <c r="I21" s="1">
        <v>55</v>
      </c>
      <c r="J21" s="1">
        <f>IF(SUM(G21:I21)=0,"",SUM(G21:I21))</f>
        <v>163</v>
      </c>
      <c r="K21" s="7" t="s">
        <v>1392</v>
      </c>
      <c r="M21" s="7" t="s">
        <v>1393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1361</v>
      </c>
      <c r="B22" s="1" t="s">
        <v>1362</v>
      </c>
      <c r="C22" s="1">
        <v>74</v>
      </c>
      <c r="D22" s="1">
        <v>4</v>
      </c>
      <c r="E22" s="1">
        <v>23</v>
      </c>
      <c r="G22" s="1">
        <v>53</v>
      </c>
      <c r="H22" s="1">
        <v>68</v>
      </c>
      <c r="I22" s="1">
        <v>60</v>
      </c>
      <c r="J22" s="1">
        <f>IF(SUM(G22:I22)=0,"",SUM(G22:I22))</f>
        <v>181</v>
      </c>
      <c r="M22" s="7" t="s">
        <v>1363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1318</v>
      </c>
      <c r="B23" s="1" t="s">
        <v>1383</v>
      </c>
      <c r="C23" s="1">
        <v>74</v>
      </c>
      <c r="D23" s="1">
        <v>4</v>
      </c>
      <c r="E23" s="1">
        <v>23</v>
      </c>
      <c r="F23" s="7" t="s">
        <v>1319</v>
      </c>
      <c r="G23" s="1">
        <v>42</v>
      </c>
      <c r="H23" s="1">
        <v>74</v>
      </c>
      <c r="I23" s="1">
        <v>56</v>
      </c>
      <c r="J23" s="1">
        <f>IF(SUM(G23:I23)=0,"",SUM(G23:I23))</f>
        <v>172</v>
      </c>
      <c r="K23" s="7" t="s">
        <v>1384</v>
      </c>
      <c r="L23" s="7" t="s">
        <v>385</v>
      </c>
      <c r="M23" s="7" t="s">
        <v>1315</v>
      </c>
    </row>
    <row r="24" spans="1:19" x14ac:dyDescent="0.25">
      <c r="J24" s="1" t="str">
        <f>IF(SUM(G24:I24)=0,"",SUM(G24:I24))</f>
        <v/>
      </c>
    </row>
    <row r="25" spans="1:19" x14ac:dyDescent="0.25">
      <c r="J25" s="1" t="str">
        <f>IF(SUM(G25:I25)=0,"",SUM(G25:I25))</f>
        <v/>
      </c>
    </row>
    <row r="26" spans="1:19" x14ac:dyDescent="0.25">
      <c r="J26" s="1" t="str">
        <f>IF(SUM(G26:I26)=0,"",SUM(G26:I26))</f>
        <v/>
      </c>
    </row>
    <row r="27" spans="1:19" x14ac:dyDescent="0.25">
      <c r="J27" s="1" t="str">
        <f>IF(SUM(G27:I27)=0,"",SUM(G27:I27))</f>
        <v/>
      </c>
    </row>
    <row r="28" spans="1:19" x14ac:dyDescent="0.25">
      <c r="J28" s="1" t="str">
        <f>IF(SUM(G28:I28)=0,"",SUM(G28:I28))</f>
        <v/>
      </c>
    </row>
    <row r="29" spans="1:19" x14ac:dyDescent="0.25">
      <c r="J29" s="1" t="str">
        <f>IF(SUM(G29:I29)=0,"",SUM(G29:I29))</f>
        <v/>
      </c>
    </row>
    <row r="30" spans="1:19" x14ac:dyDescent="0.25">
      <c r="J30" s="1" t="str">
        <f>IF(SUM(G30:I30)=0,"",SUM(G30:I30))</f>
        <v/>
      </c>
    </row>
    <row r="31" spans="1:19" x14ac:dyDescent="0.25">
      <c r="J31" s="1" t="str">
        <f>IF(SUM(G31:I31)=0,"",SUM(G31:I31))</f>
        <v/>
      </c>
    </row>
    <row r="32" spans="1:19" x14ac:dyDescent="0.25">
      <c r="J32" s="1" t="str">
        <f>IF(SUM(G32:I32)=0,"",SUM(G32:I32))</f>
        <v/>
      </c>
    </row>
    <row r="33" spans="10:10" x14ac:dyDescent="0.25">
      <c r="J33" s="1" t="str">
        <f>IF(SUM(G33:I33)=0,"",SUM(G33:I33))</f>
        <v/>
      </c>
    </row>
    <row r="34" spans="10:10" x14ac:dyDescent="0.25">
      <c r="J34" s="1" t="str">
        <f>IF(SUM(G34:I34)=0,"",SUM(G34:I34))</f>
        <v/>
      </c>
    </row>
    <row r="35" spans="10:10" x14ac:dyDescent="0.25">
      <c r="J35" s="1" t="str">
        <f>IF(SUM(G35:I35)=0,"",SUM(G35:I35))</f>
        <v/>
      </c>
    </row>
    <row r="36" spans="10:10" x14ac:dyDescent="0.25">
      <c r="J36" s="1" t="str">
        <f>IF(SUM(G36:I36)=0,"",SUM(G36:I36))</f>
        <v/>
      </c>
    </row>
  </sheetData>
  <sortState ref="A1:N36">
    <sortCondition descending="1" ref="D1:D100"/>
    <sortCondition ref="E1:E100"/>
    <sortCondition descending="1" ref="B1:B100"/>
  </sortState>
  <phoneticPr fontId="1" type="noConversion"/>
  <conditionalFormatting sqref="B1:B3 B7:B17 B5 B21:B1048576 B19">
    <cfRule type="duplicateValues" dxfId="52" priority="10"/>
  </conditionalFormatting>
  <conditionalFormatting sqref="A1:A5 A7:A17 A21:A1048576 A19">
    <cfRule type="containsText" dxfId="51" priority="7" operator="containsText" text="RMF">
      <formula>NOT(ISERROR(SEARCH("RMF",A1)))</formula>
    </cfRule>
    <cfRule type="containsText" dxfId="50" priority="8" operator="containsText" text="LMF">
      <formula>NOT(ISERROR(SEARCH("LMF",A1)))</formula>
    </cfRule>
  </conditionalFormatting>
  <conditionalFormatting sqref="A20">
    <cfRule type="containsText" dxfId="49" priority="4" operator="containsText" text="RMF">
      <formula>NOT(ISERROR(SEARCH("RMF",A20)))</formula>
    </cfRule>
    <cfRule type="containsText" dxfId="48" priority="5" operator="containsText" text="LMF">
      <formula>NOT(ISERROR(SEARCH("LMF",A20)))</formula>
    </cfRule>
  </conditionalFormatting>
  <conditionalFormatting sqref="C20">
    <cfRule type="duplicateValues" dxfId="47" priority="6"/>
  </conditionalFormatting>
  <conditionalFormatting sqref="A18">
    <cfRule type="containsText" dxfId="46" priority="1" operator="containsText" text="RMF">
      <formula>NOT(ISERROR(SEARCH("RMF",A18)))</formula>
    </cfRule>
    <cfRule type="containsText" dxfId="45" priority="2" operator="containsText" text="LMF">
      <formula>NOT(ISERROR(SEARCH("LMF",A18)))</formula>
    </cfRule>
  </conditionalFormatting>
  <conditionalFormatting sqref="C18">
    <cfRule type="duplicateValues" dxfId="44" priority="3"/>
  </conditionalFormatting>
  <pageMargins left="0.7" right="0.7" top="0.75" bottom="0.75" header="0.3" footer="0.3"/>
  <ignoredErrors>
    <ignoredError sqref="O1:O1048576" numberStoredAsText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S22"/>
  <sheetViews>
    <sheetView workbookViewId="0">
      <selection activeCell="A15" sqref="A15"/>
    </sheetView>
  </sheetViews>
  <sheetFormatPr defaultColWidth="9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8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9" style="1"/>
  </cols>
  <sheetData>
    <row r="1" spans="1:19" x14ac:dyDescent="0.25">
      <c r="A1" s="1" t="s">
        <v>1551</v>
      </c>
      <c r="B1" s="1" t="s">
        <v>1555</v>
      </c>
      <c r="C1" s="1">
        <v>80</v>
      </c>
      <c r="D1" s="1">
        <v>7</v>
      </c>
      <c r="E1" s="1">
        <v>18</v>
      </c>
      <c r="F1" s="7" t="s">
        <v>1549</v>
      </c>
      <c r="G1" s="1">
        <v>39</v>
      </c>
      <c r="H1" s="1">
        <v>78</v>
      </c>
      <c r="I1" s="1">
        <v>66</v>
      </c>
      <c r="J1" s="1">
        <f>IF(SUM(G1:I1)=0,"",SUM(G1:I1))</f>
        <v>183</v>
      </c>
      <c r="K1" s="7" t="s">
        <v>1556</v>
      </c>
      <c r="L1" s="7" t="s">
        <v>1557</v>
      </c>
      <c r="M1" s="7" t="s">
        <v>1543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81</v>
      </c>
      <c r="B2" s="1" t="s">
        <v>1555</v>
      </c>
      <c r="C2" s="1">
        <v>83</v>
      </c>
      <c r="D2" s="1">
        <v>7</v>
      </c>
      <c r="E2" s="1">
        <v>21</v>
      </c>
      <c r="F2" s="7" t="s">
        <v>1549</v>
      </c>
      <c r="G2" s="1">
        <v>45</v>
      </c>
      <c r="H2" s="1">
        <v>83</v>
      </c>
      <c r="I2" s="1">
        <v>68</v>
      </c>
      <c r="J2" s="1">
        <f>IF(SUM(G2:I2)=0,"",SUM(G2:I2))</f>
        <v>196</v>
      </c>
      <c r="K2" s="7" t="s">
        <v>1558</v>
      </c>
      <c r="L2" s="7" t="s">
        <v>1559</v>
      </c>
      <c r="M2" s="7" t="s">
        <v>1533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542</v>
      </c>
      <c r="B3" s="1" t="s">
        <v>543</v>
      </c>
      <c r="C3" s="1">
        <v>74</v>
      </c>
      <c r="D3" s="1">
        <v>6</v>
      </c>
      <c r="E3" s="1">
        <v>23</v>
      </c>
      <c r="F3" s="7" t="s">
        <v>544</v>
      </c>
      <c r="G3" s="1">
        <v>45</v>
      </c>
      <c r="H3" s="1">
        <v>76</v>
      </c>
      <c r="I3" s="1">
        <v>59</v>
      </c>
      <c r="J3" s="1">
        <f>IF(SUM(G3:I3)=0,"",SUM(G3:I3))</f>
        <v>180</v>
      </c>
      <c r="K3" s="7" t="s">
        <v>545</v>
      </c>
      <c r="L3" s="7" t="s">
        <v>546</v>
      </c>
      <c r="M3" s="7" t="s">
        <v>547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1544</v>
      </c>
      <c r="B4" s="1" t="s">
        <v>332</v>
      </c>
      <c r="C4" s="1">
        <v>81</v>
      </c>
      <c r="D4" s="1">
        <v>6</v>
      </c>
      <c r="E4" s="1">
        <v>23</v>
      </c>
      <c r="F4" s="7" t="s">
        <v>1537</v>
      </c>
      <c r="G4" s="1">
        <v>48</v>
      </c>
      <c r="H4" s="1">
        <v>79</v>
      </c>
      <c r="I4" s="1">
        <v>72</v>
      </c>
      <c r="J4" s="1">
        <f>IF(SUM(G4:I4)=0,"",SUM(G4:I4))</f>
        <v>199</v>
      </c>
      <c r="K4" s="7" t="s">
        <v>1545</v>
      </c>
      <c r="L4" s="7" t="s">
        <v>1546</v>
      </c>
      <c r="M4" s="7" t="s">
        <v>1533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127</v>
      </c>
      <c r="B5" s="1" t="s">
        <v>187</v>
      </c>
      <c r="C5" s="1">
        <v>72</v>
      </c>
      <c r="D5" s="1">
        <v>5</v>
      </c>
      <c r="E5" s="1">
        <v>19</v>
      </c>
      <c r="F5" s="7" t="s">
        <v>184</v>
      </c>
      <c r="G5" s="1">
        <v>59</v>
      </c>
      <c r="H5" s="1">
        <v>57</v>
      </c>
      <c r="I5" s="1">
        <v>60</v>
      </c>
      <c r="J5" s="1">
        <f>IF(SUM(G5:I5)=0,"",SUM(G5:I5))</f>
        <v>176</v>
      </c>
      <c r="L5" s="7" t="s">
        <v>181</v>
      </c>
      <c r="M5" s="7" t="s">
        <v>447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1551</v>
      </c>
      <c r="B6" s="1" t="s">
        <v>1552</v>
      </c>
      <c r="C6" s="1">
        <v>74</v>
      </c>
      <c r="D6" s="1">
        <v>5</v>
      </c>
      <c r="E6" s="1">
        <v>21</v>
      </c>
      <c r="F6" s="7" t="s">
        <v>1553</v>
      </c>
      <c r="G6" s="1">
        <v>36</v>
      </c>
      <c r="H6" s="1">
        <v>76</v>
      </c>
      <c r="I6" s="1">
        <v>59</v>
      </c>
      <c r="J6" s="1">
        <f>IF(SUM(G6:I6)=0,"",SUM(G6:I6))</f>
        <v>171</v>
      </c>
      <c r="K6" s="7" t="s">
        <v>1554</v>
      </c>
      <c r="M6" s="7" t="s">
        <v>1533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1547</v>
      </c>
      <c r="B7" s="1" t="s">
        <v>1548</v>
      </c>
      <c r="C7" s="1">
        <v>75</v>
      </c>
      <c r="D7" s="1">
        <v>5</v>
      </c>
      <c r="E7" s="1">
        <v>22</v>
      </c>
      <c r="F7" s="7" t="s">
        <v>1549</v>
      </c>
      <c r="G7" s="1">
        <v>42</v>
      </c>
      <c r="H7" s="1">
        <v>78</v>
      </c>
      <c r="I7" s="1">
        <v>57</v>
      </c>
      <c r="J7" s="1">
        <f>IF(SUM(G7:I7)=0,"",SUM(G7:I7))</f>
        <v>177</v>
      </c>
      <c r="K7" s="7" t="s">
        <v>1546</v>
      </c>
      <c r="L7" s="7" t="s">
        <v>1550</v>
      </c>
      <c r="M7" s="7" t="s">
        <v>1543</v>
      </c>
      <c r="O7" s="26" t="s">
        <v>440</v>
      </c>
      <c r="P7" s="27" t="s">
        <v>248</v>
      </c>
      <c r="Q7" s="26" t="s">
        <v>407</v>
      </c>
      <c r="R7" s="26" t="s">
        <v>57</v>
      </c>
      <c r="S7" s="27"/>
    </row>
    <row r="8" spans="1:19" x14ac:dyDescent="0.25">
      <c r="A8" s="1" t="s">
        <v>81</v>
      </c>
      <c r="B8" s="1" t="s">
        <v>104</v>
      </c>
      <c r="C8" s="1">
        <v>76</v>
      </c>
      <c r="D8" s="1">
        <v>5</v>
      </c>
      <c r="E8" s="1">
        <v>22</v>
      </c>
      <c r="G8" s="1">
        <v>61</v>
      </c>
      <c r="H8" s="1">
        <v>71</v>
      </c>
      <c r="I8" s="1">
        <v>61</v>
      </c>
      <c r="J8" s="1">
        <f>IF(SUM(G8:I8)=0,"",SUM(G8:I8))</f>
        <v>193</v>
      </c>
      <c r="M8" s="7" t="s">
        <v>447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81</v>
      </c>
      <c r="B9" s="1" t="s">
        <v>319</v>
      </c>
      <c r="C9" s="1">
        <v>74</v>
      </c>
      <c r="D9" s="1">
        <v>5</v>
      </c>
      <c r="E9" s="1">
        <v>22</v>
      </c>
      <c r="G9" s="1">
        <v>64</v>
      </c>
      <c r="H9" s="1">
        <v>76</v>
      </c>
      <c r="I9" s="1">
        <v>58</v>
      </c>
      <c r="J9" s="1">
        <f>IF(SUM(G9:I9)=0,"",SUM(G9:I9))</f>
        <v>198</v>
      </c>
      <c r="M9" s="7" t="s">
        <v>447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1199</v>
      </c>
      <c r="B10" s="1" t="s">
        <v>1200</v>
      </c>
      <c r="C10" s="1">
        <v>78</v>
      </c>
      <c r="D10" s="1">
        <v>5</v>
      </c>
      <c r="E10" s="1">
        <v>23</v>
      </c>
      <c r="F10" s="7" t="s">
        <v>1201</v>
      </c>
      <c r="G10" s="1">
        <v>77</v>
      </c>
      <c r="H10" s="1">
        <v>92</v>
      </c>
      <c r="I10" s="1">
        <v>60</v>
      </c>
      <c r="J10" s="1">
        <f>IF(SUM(G10:I10)=0,"",SUM(G10:I10))</f>
        <v>229</v>
      </c>
      <c r="K10" s="7" t="s">
        <v>1202</v>
      </c>
      <c r="L10" s="7" t="s">
        <v>1203</v>
      </c>
      <c r="M10" s="7" t="s">
        <v>1204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1127</v>
      </c>
      <c r="B11" s="1" t="s">
        <v>1128</v>
      </c>
      <c r="C11" s="1">
        <v>77</v>
      </c>
      <c r="D11" s="1">
        <v>5</v>
      </c>
      <c r="E11" s="1">
        <v>23</v>
      </c>
      <c r="F11" s="7" t="s">
        <v>1129</v>
      </c>
      <c r="G11" s="1">
        <v>43</v>
      </c>
      <c r="H11" s="1">
        <v>71</v>
      </c>
      <c r="I11" s="1">
        <v>64</v>
      </c>
      <c r="J11" s="1">
        <f>IF(SUM(G11:I11)=0,"",SUM(G11:I11))</f>
        <v>178</v>
      </c>
      <c r="K11" s="7" t="s">
        <v>1130</v>
      </c>
      <c r="L11" s="7" t="s">
        <v>1131</v>
      </c>
      <c r="M11" s="7" t="s">
        <v>1113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1057</v>
      </c>
      <c r="B12" s="1" t="s">
        <v>1058</v>
      </c>
      <c r="C12" s="1">
        <v>80</v>
      </c>
      <c r="D12" s="1">
        <v>5</v>
      </c>
      <c r="E12" s="1">
        <v>24</v>
      </c>
      <c r="F12" s="7" t="s">
        <v>1059</v>
      </c>
      <c r="G12" s="1">
        <v>56</v>
      </c>
      <c r="H12" s="1">
        <v>67</v>
      </c>
      <c r="I12" s="1">
        <v>73</v>
      </c>
      <c r="J12" s="1">
        <f>IF(SUM(G12:I12)=0,"",SUM(G12:I12))</f>
        <v>196</v>
      </c>
      <c r="K12" s="7" t="s">
        <v>1060</v>
      </c>
      <c r="M12" s="7" t="s">
        <v>1050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756</v>
      </c>
      <c r="B13" s="1" t="s">
        <v>757</v>
      </c>
      <c r="C13" s="1">
        <v>78</v>
      </c>
      <c r="D13" s="1">
        <v>5</v>
      </c>
      <c r="E13" s="1">
        <v>24</v>
      </c>
      <c r="G13" s="1">
        <v>57</v>
      </c>
      <c r="H13" s="1">
        <v>74</v>
      </c>
      <c r="I13" s="1">
        <v>65</v>
      </c>
      <c r="J13" s="1">
        <f>IF(SUM(G13:I13)=0,"",SUM(G13:I13))</f>
        <v>196</v>
      </c>
      <c r="K13" s="7" t="s">
        <v>758</v>
      </c>
      <c r="L13" s="7" t="s">
        <v>759</v>
      </c>
      <c r="M13" s="7" t="s">
        <v>737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825</v>
      </c>
      <c r="B14" s="1" t="s">
        <v>826</v>
      </c>
      <c r="C14" s="1">
        <v>74</v>
      </c>
      <c r="D14" s="1">
        <v>4</v>
      </c>
      <c r="E14" s="1">
        <v>23</v>
      </c>
      <c r="G14" s="1">
        <v>54</v>
      </c>
      <c r="H14" s="1">
        <v>67</v>
      </c>
      <c r="I14" s="1">
        <v>52</v>
      </c>
      <c r="J14" s="1">
        <f>IF(SUM(G14:I14)=0,"",SUM(G14:I14))</f>
        <v>173</v>
      </c>
      <c r="M14" s="7" t="s">
        <v>827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O16" s="32">
        <v>16</v>
      </c>
      <c r="P16" s="33" t="s">
        <v>256</v>
      </c>
      <c r="Q16" s="33"/>
      <c r="R16" s="33" t="s">
        <v>109</v>
      </c>
      <c r="S16" s="33"/>
    </row>
    <row r="17" spans="15:19" x14ac:dyDescent="0.25">
      <c r="O17" s="32">
        <v>17</v>
      </c>
      <c r="P17" s="33" t="s">
        <v>257</v>
      </c>
      <c r="Q17" s="33"/>
      <c r="R17" s="33" t="s">
        <v>10</v>
      </c>
      <c r="S17" s="33"/>
    </row>
    <row r="18" spans="15:19" x14ac:dyDescent="0.25">
      <c r="O18" s="34">
        <v>18</v>
      </c>
      <c r="P18" s="35" t="s">
        <v>258</v>
      </c>
      <c r="Q18" s="35"/>
      <c r="R18" s="35"/>
      <c r="S18" s="35"/>
    </row>
    <row r="19" spans="15:19" x14ac:dyDescent="0.25">
      <c r="O19" s="34">
        <v>19</v>
      </c>
      <c r="P19" s="35" t="s">
        <v>259</v>
      </c>
      <c r="Q19" s="35"/>
      <c r="R19" s="35"/>
      <c r="S19" s="35"/>
    </row>
    <row r="20" spans="15:19" x14ac:dyDescent="0.25">
      <c r="O20" s="34">
        <v>20</v>
      </c>
      <c r="P20" s="35" t="s">
        <v>260</v>
      </c>
      <c r="Q20" s="35"/>
      <c r="R20" s="35"/>
      <c r="S20" s="35"/>
    </row>
    <row r="21" spans="15:19" x14ac:dyDescent="0.25">
      <c r="O21" s="34">
        <v>21</v>
      </c>
      <c r="P21" s="35" t="s">
        <v>261</v>
      </c>
      <c r="Q21" s="35"/>
      <c r="R21" s="35"/>
      <c r="S21" s="35"/>
    </row>
    <row r="22" spans="15:19" x14ac:dyDescent="0.25">
      <c r="O22" s="34">
        <v>22</v>
      </c>
      <c r="P22" s="35" t="s">
        <v>444</v>
      </c>
      <c r="Q22" s="35"/>
      <c r="R22" s="35"/>
      <c r="S22" s="35"/>
    </row>
  </sheetData>
  <sortState ref="A1:N22">
    <sortCondition descending="1" ref="D1:D100"/>
    <sortCondition ref="E1:E100"/>
    <sortCondition descending="1" ref="B1:B100"/>
  </sortState>
  <phoneticPr fontId="1" type="noConversion"/>
  <conditionalFormatting sqref="B4 B8:B1048576">
    <cfRule type="duplicateValues" dxfId="43" priority="11"/>
  </conditionalFormatting>
  <conditionalFormatting sqref="A4 A8:A1048576">
    <cfRule type="containsText" dxfId="42" priority="4" operator="containsText" text="RMF">
      <formula>NOT(ISERROR(SEARCH("RMF",A4)))</formula>
    </cfRule>
    <cfRule type="containsText" dxfId="41" priority="5" operator="containsText" text="LMF">
      <formula>NOT(ISERROR(SEARCH("LMF",A4)))</formula>
    </cfRule>
  </conditionalFormatting>
  <conditionalFormatting sqref="B6">
    <cfRule type="duplicateValues" dxfId="40" priority="3"/>
  </conditionalFormatting>
  <conditionalFormatting sqref="A6">
    <cfRule type="containsText" dxfId="39" priority="1" operator="containsText" text="RMF">
      <formula>NOT(ISERROR(SEARCH("RMF",A6)))</formula>
    </cfRule>
    <cfRule type="containsText" dxfId="38" priority="2" operator="containsText" text="LMF">
      <formula>NOT(ISERROR(SEARCH("LMF",A6)))</formula>
    </cfRule>
  </conditionalFormatting>
  <pageMargins left="0.7" right="0.7" top="0.75" bottom="0.75" header="0.3" footer="0.3"/>
  <ignoredErrors>
    <ignoredError sqref="O1:O1048576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S76"/>
  <sheetViews>
    <sheetView topLeftCell="A41" workbookViewId="0">
      <selection activeCell="A58" sqref="A58"/>
    </sheetView>
  </sheetViews>
  <sheetFormatPr defaultColWidth="8.875" defaultRowHeight="15.75" x14ac:dyDescent="0.25"/>
  <cols>
    <col min="1" max="1" width="6" style="1" customWidth="1"/>
    <col min="2" max="2" width="5.625" style="1" customWidth="1"/>
    <col min="3" max="3" width="4" style="1" customWidth="1"/>
    <col min="4" max="4" width="2.875" style="1" customWidth="1"/>
    <col min="5" max="5" width="4" style="1" bestFit="1" customWidth="1"/>
    <col min="6" max="6" width="20.7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75" style="7" bestFit="1" customWidth="1"/>
    <col min="14" max="14" width="9" style="15" customWidth="1"/>
    <col min="15" max="15" width="4" style="1" bestFit="1" customWidth="1"/>
    <col min="16" max="16" width="18.625" style="1" bestFit="1" customWidth="1"/>
    <col min="17" max="17" width="20.75" style="1" bestFit="1" customWidth="1"/>
    <col min="18" max="18" width="14.125" style="1" customWidth="1"/>
    <col min="19" max="19" width="9.75" style="1" bestFit="1" customWidth="1"/>
    <col min="20" max="16384" width="8.875" style="1"/>
  </cols>
  <sheetData>
    <row r="1" spans="1:19" x14ac:dyDescent="0.25">
      <c r="A1" s="1" t="s">
        <v>420</v>
      </c>
      <c r="B1" s="1" t="s">
        <v>267</v>
      </c>
      <c r="C1" s="1">
        <v>79</v>
      </c>
      <c r="D1" s="1">
        <v>7</v>
      </c>
      <c r="E1" s="1">
        <v>19</v>
      </c>
      <c r="F1" s="7" t="s">
        <v>72</v>
      </c>
      <c r="G1" s="1">
        <v>88</v>
      </c>
      <c r="H1" s="1">
        <v>41</v>
      </c>
      <c r="I1" s="1">
        <v>69</v>
      </c>
      <c r="J1" s="1">
        <f>IF(SUM(G1:I1)=0,"",SUM(G1:I1))</f>
        <v>198</v>
      </c>
      <c r="L1" s="7" t="s">
        <v>380</v>
      </c>
      <c r="M1" s="7" t="s">
        <v>447</v>
      </c>
      <c r="O1" s="24" t="s">
        <v>434</v>
      </c>
      <c r="P1" s="25" t="s">
        <v>242</v>
      </c>
      <c r="Q1" s="25" t="s">
        <v>480</v>
      </c>
      <c r="R1" s="24" t="s">
        <v>70</v>
      </c>
      <c r="S1" s="25" t="s">
        <v>451</v>
      </c>
    </row>
    <row r="2" spans="1:19" x14ac:dyDescent="0.25">
      <c r="A2" s="1" t="s">
        <v>378</v>
      </c>
      <c r="B2" s="1" t="s">
        <v>379</v>
      </c>
      <c r="C2" s="1">
        <v>81</v>
      </c>
      <c r="D2" s="1">
        <v>7</v>
      </c>
      <c r="E2" s="1">
        <v>21</v>
      </c>
      <c r="F2" s="7" t="s">
        <v>120</v>
      </c>
      <c r="G2" s="1">
        <v>88</v>
      </c>
      <c r="H2" s="1">
        <v>62</v>
      </c>
      <c r="I2" s="1">
        <v>71</v>
      </c>
      <c r="J2" s="1">
        <f>IF(SUM(G2:I2)=0,"",SUM(G2:I2))</f>
        <v>221</v>
      </c>
      <c r="L2" s="7" t="s">
        <v>381</v>
      </c>
      <c r="M2" s="7" t="s">
        <v>447</v>
      </c>
      <c r="O2" s="24" t="s">
        <v>435</v>
      </c>
      <c r="P2" s="25" t="s">
        <v>243</v>
      </c>
      <c r="Q2" s="25" t="s">
        <v>481</v>
      </c>
      <c r="R2" s="24" t="s">
        <v>92</v>
      </c>
      <c r="S2" s="25" t="s">
        <v>447</v>
      </c>
    </row>
    <row r="3" spans="1:19" x14ac:dyDescent="0.25">
      <c r="A3" s="1" t="s">
        <v>1270</v>
      </c>
      <c r="B3" s="1" t="s">
        <v>1271</v>
      </c>
      <c r="C3" s="1">
        <v>83</v>
      </c>
      <c r="D3" s="1">
        <v>7</v>
      </c>
      <c r="E3" s="1">
        <v>22</v>
      </c>
      <c r="F3" s="7" t="s">
        <v>1259</v>
      </c>
      <c r="G3" s="1">
        <v>55</v>
      </c>
      <c r="H3" s="1">
        <v>91</v>
      </c>
      <c r="I3" s="1">
        <v>80</v>
      </c>
      <c r="J3" s="1">
        <f>IF(SUM(G3:I3)=0,"",SUM(G3:I3))</f>
        <v>226</v>
      </c>
      <c r="K3" s="7" t="s">
        <v>1272</v>
      </c>
      <c r="L3" s="7" t="s">
        <v>1273</v>
      </c>
      <c r="M3" s="7" t="s">
        <v>1274</v>
      </c>
      <c r="O3" s="24" t="s">
        <v>436</v>
      </c>
      <c r="P3" s="25" t="s">
        <v>244</v>
      </c>
      <c r="Q3" s="25" t="s">
        <v>482</v>
      </c>
      <c r="R3" s="24" t="s">
        <v>120</v>
      </c>
      <c r="S3" s="25" t="s">
        <v>405</v>
      </c>
    </row>
    <row r="4" spans="1:19" x14ac:dyDescent="0.25">
      <c r="A4" s="1" t="s">
        <v>1423</v>
      </c>
      <c r="B4" s="1" t="s">
        <v>1428</v>
      </c>
      <c r="C4" s="1">
        <v>83</v>
      </c>
      <c r="D4" s="1">
        <v>7</v>
      </c>
      <c r="E4" s="1">
        <v>22</v>
      </c>
      <c r="F4" s="7" t="s">
        <v>1429</v>
      </c>
      <c r="G4" s="1">
        <v>67</v>
      </c>
      <c r="H4" s="1">
        <v>99</v>
      </c>
      <c r="I4" s="1">
        <v>70</v>
      </c>
      <c r="J4" s="1">
        <f>IF(SUM(G4:I4)=0,"",SUM(G4:I4))</f>
        <v>236</v>
      </c>
      <c r="K4" s="7" t="s">
        <v>1430</v>
      </c>
      <c r="L4" s="7" t="s">
        <v>1431</v>
      </c>
      <c r="M4" s="7" t="s">
        <v>1427</v>
      </c>
      <c r="O4" s="24" t="s">
        <v>437</v>
      </c>
      <c r="P4" s="25" t="s">
        <v>245</v>
      </c>
      <c r="Q4" s="25" t="s">
        <v>483</v>
      </c>
      <c r="R4" s="24" t="s">
        <v>72</v>
      </c>
      <c r="S4" s="25"/>
    </row>
    <row r="5" spans="1:19" x14ac:dyDescent="0.25">
      <c r="A5" s="1" t="s">
        <v>592</v>
      </c>
      <c r="B5" s="1" t="s">
        <v>609</v>
      </c>
      <c r="C5" s="1">
        <v>85</v>
      </c>
      <c r="D5" s="1">
        <v>7</v>
      </c>
      <c r="E5" s="1">
        <v>23</v>
      </c>
      <c r="F5" s="7" t="s">
        <v>610</v>
      </c>
      <c r="G5" s="1">
        <v>92</v>
      </c>
      <c r="H5" s="1">
        <v>69</v>
      </c>
      <c r="I5" s="1">
        <v>75</v>
      </c>
      <c r="J5" s="1">
        <f>IF(SUM(G5:I5)=0,"",SUM(G5:I5))</f>
        <v>236</v>
      </c>
      <c r="K5" s="7" t="s">
        <v>1531</v>
      </c>
      <c r="L5" s="7" t="s">
        <v>611</v>
      </c>
      <c r="M5" s="7" t="s">
        <v>612</v>
      </c>
      <c r="O5" s="26" t="s">
        <v>438</v>
      </c>
      <c r="P5" s="27" t="s">
        <v>246</v>
      </c>
      <c r="Q5" s="27" t="s">
        <v>509</v>
      </c>
      <c r="R5" s="26" t="s">
        <v>184</v>
      </c>
      <c r="S5" s="27"/>
    </row>
    <row r="6" spans="1:19" x14ac:dyDescent="0.25">
      <c r="A6" s="1" t="s">
        <v>141</v>
      </c>
      <c r="B6" s="1" t="s">
        <v>189</v>
      </c>
      <c r="C6" s="1">
        <v>86</v>
      </c>
      <c r="D6" s="1">
        <v>7</v>
      </c>
      <c r="E6" s="1">
        <v>24</v>
      </c>
      <c r="F6" s="7" t="s">
        <v>70</v>
      </c>
      <c r="G6" s="1">
        <v>84</v>
      </c>
      <c r="H6" s="1">
        <v>76</v>
      </c>
      <c r="I6" s="1">
        <v>76</v>
      </c>
      <c r="J6" s="1">
        <f>IF(SUM(G6:I6)=0,"",SUM(G6:I6))</f>
        <v>236</v>
      </c>
      <c r="L6" s="7" t="s">
        <v>310</v>
      </c>
      <c r="M6" s="7" t="s">
        <v>447</v>
      </c>
      <c r="O6" s="26" t="s">
        <v>439</v>
      </c>
      <c r="P6" s="27" t="s">
        <v>247</v>
      </c>
      <c r="Q6" s="27" t="s">
        <v>484</v>
      </c>
      <c r="R6" s="26" t="s">
        <v>59</v>
      </c>
      <c r="S6" s="27"/>
    </row>
    <row r="7" spans="1:19" x14ac:dyDescent="0.25">
      <c r="A7" s="1" t="s">
        <v>308</v>
      </c>
      <c r="B7" s="1" t="s">
        <v>309</v>
      </c>
      <c r="C7" s="1">
        <v>77</v>
      </c>
      <c r="D7" s="1">
        <v>6</v>
      </c>
      <c r="E7" s="1">
        <v>19</v>
      </c>
      <c r="F7" s="7" t="s">
        <v>72</v>
      </c>
      <c r="G7" s="1">
        <v>81</v>
      </c>
      <c r="H7" s="1">
        <v>27</v>
      </c>
      <c r="I7" s="1">
        <v>65</v>
      </c>
      <c r="J7" s="1">
        <f>IF(SUM(G7:I7)=0,"",SUM(G7:I7))</f>
        <v>173</v>
      </c>
      <c r="L7" s="7" t="s">
        <v>311</v>
      </c>
      <c r="M7" s="7" t="s">
        <v>447</v>
      </c>
      <c r="O7" s="26" t="s">
        <v>440</v>
      </c>
      <c r="P7" s="27" t="s">
        <v>248</v>
      </c>
      <c r="Q7" s="26" t="s">
        <v>1529</v>
      </c>
      <c r="R7" s="26" t="s">
        <v>57</v>
      </c>
      <c r="S7" s="27"/>
    </row>
    <row r="8" spans="1:19" x14ac:dyDescent="0.25">
      <c r="A8" s="1" t="s">
        <v>141</v>
      </c>
      <c r="B8" s="1" t="s">
        <v>210</v>
      </c>
      <c r="C8" s="1">
        <v>75</v>
      </c>
      <c r="D8" s="1">
        <v>6</v>
      </c>
      <c r="E8" s="1">
        <v>21</v>
      </c>
      <c r="G8" s="1">
        <v>75</v>
      </c>
      <c r="H8" s="1">
        <v>74</v>
      </c>
      <c r="I8" s="1">
        <v>65</v>
      </c>
      <c r="J8" s="1">
        <f>IF(SUM(G8:I8)=0,"",SUM(G8:I8))</f>
        <v>214</v>
      </c>
      <c r="L8" s="7" t="s">
        <v>107</v>
      </c>
      <c r="M8" s="7" t="s">
        <v>447</v>
      </c>
      <c r="O8" s="28" t="s">
        <v>441</v>
      </c>
      <c r="P8" s="29" t="s">
        <v>249</v>
      </c>
      <c r="Q8" s="29"/>
      <c r="R8" s="28" t="s">
        <v>52</v>
      </c>
      <c r="S8" s="29"/>
    </row>
    <row r="9" spans="1:19" x14ac:dyDescent="0.25">
      <c r="A9" s="1" t="s">
        <v>69</v>
      </c>
      <c r="B9" s="1" t="s">
        <v>932</v>
      </c>
      <c r="C9" s="1">
        <v>66</v>
      </c>
      <c r="D9" s="1">
        <v>6</v>
      </c>
      <c r="E9" s="1">
        <v>21</v>
      </c>
      <c r="F9" s="7" t="s">
        <v>933</v>
      </c>
      <c r="G9" s="1">
        <v>76</v>
      </c>
      <c r="H9" s="1">
        <v>66</v>
      </c>
      <c r="I9" s="1">
        <v>43</v>
      </c>
      <c r="J9" s="1">
        <f>IF(SUM(G9:I9)=0,"",SUM(G9:I9))</f>
        <v>185</v>
      </c>
      <c r="L9" s="7" t="s">
        <v>934</v>
      </c>
      <c r="M9" s="7" t="s">
        <v>935</v>
      </c>
      <c r="O9" s="28" t="s">
        <v>442</v>
      </c>
      <c r="P9" s="29" t="s">
        <v>250</v>
      </c>
      <c r="Q9" s="29"/>
      <c r="R9" s="28" t="s">
        <v>58</v>
      </c>
      <c r="S9" s="29"/>
    </row>
    <row r="10" spans="1:19" x14ac:dyDescent="0.25">
      <c r="A10" s="1" t="s">
        <v>987</v>
      </c>
      <c r="B10" s="1" t="s">
        <v>988</v>
      </c>
      <c r="C10" s="1">
        <v>78</v>
      </c>
      <c r="D10" s="1">
        <v>6</v>
      </c>
      <c r="E10" s="1">
        <v>22</v>
      </c>
      <c r="F10" s="7" t="s">
        <v>939</v>
      </c>
      <c r="G10" s="1">
        <v>79</v>
      </c>
      <c r="H10" s="1">
        <v>61</v>
      </c>
      <c r="I10" s="1">
        <v>63</v>
      </c>
      <c r="J10" s="1">
        <f>IF(SUM(G10:I10)=0,"",SUM(G10:I10))</f>
        <v>203</v>
      </c>
      <c r="L10" s="7" t="s">
        <v>989</v>
      </c>
      <c r="M10" s="7" t="s">
        <v>941</v>
      </c>
      <c r="O10" s="28">
        <v>10</v>
      </c>
      <c r="P10" s="29" t="s">
        <v>443</v>
      </c>
      <c r="Q10" s="29"/>
      <c r="R10" s="28" t="s">
        <v>42</v>
      </c>
      <c r="S10" s="29"/>
    </row>
    <row r="11" spans="1:19" x14ac:dyDescent="0.25">
      <c r="A11" s="1" t="s">
        <v>69</v>
      </c>
      <c r="B11" s="1" t="s">
        <v>990</v>
      </c>
      <c r="C11" s="1">
        <v>83</v>
      </c>
      <c r="D11" s="1">
        <v>6</v>
      </c>
      <c r="E11" s="1">
        <v>22</v>
      </c>
      <c r="F11" s="7" t="s">
        <v>991</v>
      </c>
      <c r="G11" s="1">
        <v>71</v>
      </c>
      <c r="H11" s="1">
        <v>55</v>
      </c>
      <c r="I11" s="1">
        <v>78</v>
      </c>
      <c r="J11" s="1">
        <f>IF(SUM(G11:I11)=0,"",SUM(G11:I11))</f>
        <v>204</v>
      </c>
      <c r="L11" s="7" t="s">
        <v>992</v>
      </c>
      <c r="M11" s="7" t="s">
        <v>993</v>
      </c>
      <c r="O11" s="30">
        <v>11</v>
      </c>
      <c r="P11" s="31" t="s">
        <v>251</v>
      </c>
      <c r="Q11" s="31"/>
      <c r="R11" s="30" t="s">
        <v>165</v>
      </c>
      <c r="S11" s="31"/>
    </row>
    <row r="12" spans="1:19" x14ac:dyDescent="0.25">
      <c r="A12" s="1" t="s">
        <v>69</v>
      </c>
      <c r="B12" s="1" t="s">
        <v>994</v>
      </c>
      <c r="C12" s="1">
        <v>79</v>
      </c>
      <c r="D12" s="1">
        <v>6</v>
      </c>
      <c r="E12" s="1">
        <v>22</v>
      </c>
      <c r="F12" s="7" t="s">
        <v>995</v>
      </c>
      <c r="G12" s="1">
        <v>80</v>
      </c>
      <c r="H12" s="1">
        <v>69</v>
      </c>
      <c r="I12" s="1">
        <v>65</v>
      </c>
      <c r="J12" s="1">
        <f>IF(SUM(G12:I12)=0,"",SUM(G12:I12))</f>
        <v>214</v>
      </c>
      <c r="L12" s="7" t="s">
        <v>996</v>
      </c>
      <c r="M12" s="7" t="s">
        <v>941</v>
      </c>
      <c r="O12" s="30">
        <v>12</v>
      </c>
      <c r="P12" s="31" t="s">
        <v>252</v>
      </c>
      <c r="Q12" s="31"/>
      <c r="R12" s="30" t="s">
        <v>17</v>
      </c>
      <c r="S12" s="31"/>
    </row>
    <row r="13" spans="1:19" x14ac:dyDescent="0.25">
      <c r="A13" s="1" t="s">
        <v>324</v>
      </c>
      <c r="B13" s="1" t="s">
        <v>326</v>
      </c>
      <c r="C13" s="1">
        <v>77</v>
      </c>
      <c r="D13" s="1">
        <v>6</v>
      </c>
      <c r="E13" s="1">
        <v>22</v>
      </c>
      <c r="F13" s="7" t="s">
        <v>120</v>
      </c>
      <c r="G13" s="1">
        <v>66</v>
      </c>
      <c r="H13" s="1">
        <v>78</v>
      </c>
      <c r="I13" s="1">
        <v>63</v>
      </c>
      <c r="J13" s="1">
        <f>IF(SUM(G13:I13)=0,"",SUM(G13:I13))</f>
        <v>207</v>
      </c>
      <c r="L13" s="7" t="s">
        <v>327</v>
      </c>
      <c r="M13" s="7" t="s">
        <v>447</v>
      </c>
      <c r="O13" s="30">
        <v>13</v>
      </c>
      <c r="P13" s="31" t="s">
        <v>253</v>
      </c>
      <c r="Q13" s="31"/>
      <c r="R13" s="30" t="s">
        <v>22</v>
      </c>
      <c r="S13" s="31"/>
    </row>
    <row r="14" spans="1:19" x14ac:dyDescent="0.25">
      <c r="A14" s="1" t="s">
        <v>592</v>
      </c>
      <c r="B14" s="1" t="s">
        <v>1258</v>
      </c>
      <c r="C14" s="1">
        <v>80</v>
      </c>
      <c r="D14" s="1">
        <v>6</v>
      </c>
      <c r="E14" s="1">
        <v>23</v>
      </c>
      <c r="F14" s="7" t="s">
        <v>1259</v>
      </c>
      <c r="G14" s="1">
        <v>58</v>
      </c>
      <c r="H14" s="1">
        <v>82</v>
      </c>
      <c r="I14" s="1">
        <v>69</v>
      </c>
      <c r="J14" s="1">
        <f>IF(SUM(G14:I14)=0,"",SUM(G14:I14))</f>
        <v>209</v>
      </c>
      <c r="K14" s="7" t="s">
        <v>1260</v>
      </c>
      <c r="L14" s="7" t="s">
        <v>1261</v>
      </c>
      <c r="M14" s="7" t="s">
        <v>1248</v>
      </c>
      <c r="O14" s="32">
        <v>14</v>
      </c>
      <c r="P14" s="33" t="s">
        <v>254</v>
      </c>
      <c r="Q14" s="33"/>
      <c r="R14" s="32" t="s">
        <v>29</v>
      </c>
      <c r="S14" s="33"/>
    </row>
    <row r="15" spans="1:19" x14ac:dyDescent="0.25">
      <c r="A15" s="1" t="s">
        <v>69</v>
      </c>
      <c r="B15" s="1" t="s">
        <v>938</v>
      </c>
      <c r="C15" s="1">
        <v>79</v>
      </c>
      <c r="D15" s="1">
        <v>6</v>
      </c>
      <c r="E15" s="1">
        <v>23</v>
      </c>
      <c r="F15" s="7" t="s">
        <v>939</v>
      </c>
      <c r="G15" s="1">
        <v>81</v>
      </c>
      <c r="H15" s="1">
        <v>74</v>
      </c>
      <c r="I15" s="1">
        <v>64</v>
      </c>
      <c r="J15" s="1">
        <f>IF(SUM(G15:I15)=0,"",SUM(G15:I15))</f>
        <v>219</v>
      </c>
      <c r="L15" s="7" t="s">
        <v>940</v>
      </c>
      <c r="M15" s="7" t="s">
        <v>941</v>
      </c>
      <c r="O15" s="32">
        <v>15</v>
      </c>
      <c r="P15" s="33" t="s">
        <v>255</v>
      </c>
      <c r="Q15" s="33"/>
      <c r="R15" s="32" t="s">
        <v>371</v>
      </c>
      <c r="S15" s="33"/>
    </row>
    <row r="16" spans="1:19" x14ac:dyDescent="0.25">
      <c r="A16" s="1" t="s">
        <v>69</v>
      </c>
      <c r="B16" s="1" t="s">
        <v>68</v>
      </c>
      <c r="C16" s="1">
        <v>81</v>
      </c>
      <c r="D16" s="1">
        <v>6</v>
      </c>
      <c r="E16" s="1">
        <v>23</v>
      </c>
      <c r="G16" s="1">
        <v>81</v>
      </c>
      <c r="H16" s="1">
        <v>71</v>
      </c>
      <c r="I16" s="1">
        <v>68</v>
      </c>
      <c r="J16" s="1">
        <f>IF(SUM(G16:I16)=0,"",SUM(G16:I16))</f>
        <v>220</v>
      </c>
      <c r="L16" s="7" t="s">
        <v>71</v>
      </c>
      <c r="M16" s="7" t="s">
        <v>447</v>
      </c>
      <c r="O16" s="32">
        <v>16</v>
      </c>
      <c r="P16" s="33" t="s">
        <v>256</v>
      </c>
      <c r="Q16" s="33"/>
      <c r="R16" s="33" t="s">
        <v>109</v>
      </c>
      <c r="S16" s="33"/>
    </row>
    <row r="17" spans="1:19" x14ac:dyDescent="0.25">
      <c r="A17" s="1" t="s">
        <v>69</v>
      </c>
      <c r="B17" s="1" t="s">
        <v>67</v>
      </c>
      <c r="C17" s="1">
        <v>80</v>
      </c>
      <c r="D17" s="1">
        <v>6</v>
      </c>
      <c r="E17" s="1">
        <v>23</v>
      </c>
      <c r="F17" s="7" t="s">
        <v>70</v>
      </c>
      <c r="G17" s="1">
        <v>69</v>
      </c>
      <c r="H17" s="1">
        <v>80</v>
      </c>
      <c r="I17" s="1">
        <v>68</v>
      </c>
      <c r="J17" s="1">
        <f>IF(SUM(G17:I17)=0,"",SUM(G17:I17))</f>
        <v>217</v>
      </c>
      <c r="L17" s="7" t="s">
        <v>346</v>
      </c>
      <c r="M17" s="7" t="s">
        <v>447</v>
      </c>
      <c r="O17" s="32">
        <v>17</v>
      </c>
      <c r="P17" s="33" t="s">
        <v>257</v>
      </c>
      <c r="Q17" s="33"/>
      <c r="R17" s="33" t="s">
        <v>10</v>
      </c>
      <c r="S17" s="33"/>
    </row>
    <row r="18" spans="1:19" x14ac:dyDescent="0.25">
      <c r="A18" s="1" t="s">
        <v>536</v>
      </c>
      <c r="B18" s="1" t="s">
        <v>537</v>
      </c>
      <c r="C18" s="1">
        <v>81</v>
      </c>
      <c r="D18" s="1">
        <v>6</v>
      </c>
      <c r="E18" s="1">
        <v>24</v>
      </c>
      <c r="F18" s="7" t="s">
        <v>538</v>
      </c>
      <c r="G18" s="1">
        <v>60</v>
      </c>
      <c r="H18" s="1">
        <v>82</v>
      </c>
      <c r="I18" s="1">
        <v>73</v>
      </c>
      <c r="J18" s="1">
        <f>IF(SUM(G18:I18)=0,"",SUM(G18:I18))</f>
        <v>215</v>
      </c>
      <c r="K18" s="7" t="s">
        <v>539</v>
      </c>
      <c r="L18" s="7" t="s">
        <v>540</v>
      </c>
      <c r="M18" s="7" t="s">
        <v>541</v>
      </c>
      <c r="O18" s="34">
        <v>18</v>
      </c>
      <c r="P18" s="35" t="s">
        <v>258</v>
      </c>
      <c r="Q18" s="35"/>
      <c r="R18" s="35"/>
      <c r="S18" s="35"/>
    </row>
    <row r="19" spans="1:19" x14ac:dyDescent="0.25">
      <c r="A19" s="1" t="s">
        <v>1539</v>
      </c>
      <c r="B19" s="1" t="s">
        <v>1540</v>
      </c>
      <c r="C19" s="1">
        <v>68</v>
      </c>
      <c r="D19" s="1">
        <v>5</v>
      </c>
      <c r="E19" s="1">
        <v>18</v>
      </c>
      <c r="G19" s="1">
        <v>46</v>
      </c>
      <c r="H19" s="1">
        <v>74</v>
      </c>
      <c r="I19" s="1">
        <v>49</v>
      </c>
      <c r="J19" s="1">
        <f>IF(SUM(G19:I19)=0,"",SUM(G19:I19))</f>
        <v>169</v>
      </c>
      <c r="K19" s="7" t="s">
        <v>1541</v>
      </c>
      <c r="L19" s="7" t="s">
        <v>1542</v>
      </c>
      <c r="M19" s="7" t="s">
        <v>1543</v>
      </c>
      <c r="O19" s="34">
        <v>19</v>
      </c>
      <c r="P19" s="35" t="s">
        <v>259</v>
      </c>
      <c r="Q19" s="35"/>
      <c r="R19" s="35"/>
      <c r="S19" s="35"/>
    </row>
    <row r="20" spans="1:19" x14ac:dyDescent="0.25">
      <c r="A20" s="1" t="s">
        <v>378</v>
      </c>
      <c r="B20" s="1" t="s">
        <v>1111</v>
      </c>
      <c r="C20" s="1">
        <v>70</v>
      </c>
      <c r="D20" s="1">
        <v>5</v>
      </c>
      <c r="E20" s="1">
        <v>19</v>
      </c>
      <c r="G20" s="1">
        <v>43</v>
      </c>
      <c r="H20" s="1">
        <v>76</v>
      </c>
      <c r="I20" s="1">
        <v>53</v>
      </c>
      <c r="J20" s="1">
        <f>IF(SUM(G20:I20)=0,"",SUM(G20:I20))</f>
        <v>172</v>
      </c>
      <c r="L20" s="7" t="s">
        <v>1112</v>
      </c>
      <c r="M20" s="7" t="s">
        <v>1113</v>
      </c>
      <c r="O20" s="34">
        <v>20</v>
      </c>
      <c r="P20" s="35" t="s">
        <v>260</v>
      </c>
      <c r="Q20" s="35"/>
      <c r="R20" s="35"/>
      <c r="S20" s="35"/>
    </row>
    <row r="21" spans="1:19" x14ac:dyDescent="0.25">
      <c r="A21" s="1" t="s">
        <v>869</v>
      </c>
      <c r="B21" s="1" t="s">
        <v>870</v>
      </c>
      <c r="C21" s="1">
        <v>70</v>
      </c>
      <c r="D21" s="1">
        <v>5</v>
      </c>
      <c r="E21" s="1">
        <v>20</v>
      </c>
      <c r="F21" s="7" t="s">
        <v>871</v>
      </c>
      <c r="G21" s="1">
        <v>76</v>
      </c>
      <c r="H21" s="1">
        <v>41</v>
      </c>
      <c r="I21" s="1">
        <v>55</v>
      </c>
      <c r="J21" s="1">
        <f>IF(SUM(G21:I21)=0,"",SUM(G21:I21))</f>
        <v>172</v>
      </c>
      <c r="M21" s="7" t="s">
        <v>872</v>
      </c>
      <c r="O21" s="34">
        <v>21</v>
      </c>
      <c r="P21" s="35" t="s">
        <v>261</v>
      </c>
      <c r="Q21" s="35"/>
      <c r="R21" s="35"/>
      <c r="S21" s="35"/>
    </row>
    <row r="22" spans="1:19" x14ac:dyDescent="0.25">
      <c r="A22" s="1" t="s">
        <v>1009</v>
      </c>
      <c r="B22" s="1" t="s">
        <v>1010</v>
      </c>
      <c r="C22" s="1">
        <v>63</v>
      </c>
      <c r="D22" s="1">
        <v>5</v>
      </c>
      <c r="E22" s="1">
        <v>21</v>
      </c>
      <c r="F22" s="7" t="s">
        <v>991</v>
      </c>
      <c r="G22" s="1">
        <v>68</v>
      </c>
      <c r="H22" s="1">
        <v>50</v>
      </c>
      <c r="I22" s="1">
        <v>39</v>
      </c>
      <c r="J22" s="1">
        <f>IF(SUM(G22:I22)=0,"",SUM(G22:I22))</f>
        <v>157</v>
      </c>
      <c r="L22" s="7" t="s">
        <v>940</v>
      </c>
      <c r="M22" s="7" t="s">
        <v>1011</v>
      </c>
      <c r="O22" s="34">
        <v>22</v>
      </c>
      <c r="P22" s="35" t="s">
        <v>444</v>
      </c>
      <c r="Q22" s="35"/>
      <c r="R22" s="35"/>
      <c r="S22" s="35"/>
    </row>
    <row r="23" spans="1:19" x14ac:dyDescent="0.25">
      <c r="A23" s="1" t="s">
        <v>733</v>
      </c>
      <c r="B23" s="1" t="s">
        <v>734</v>
      </c>
      <c r="C23" s="1">
        <v>74</v>
      </c>
      <c r="D23" s="1">
        <v>5</v>
      </c>
      <c r="E23" s="1">
        <v>21</v>
      </c>
      <c r="F23" s="7" t="s">
        <v>735</v>
      </c>
      <c r="G23" s="1">
        <v>59</v>
      </c>
      <c r="H23" s="1">
        <v>66</v>
      </c>
      <c r="I23" s="1">
        <v>57</v>
      </c>
      <c r="J23" s="1">
        <f>IF(SUM(G23:I23)=0,"",SUM(G23:I23))</f>
        <v>182</v>
      </c>
      <c r="L23" s="7" t="s">
        <v>736</v>
      </c>
      <c r="M23" s="7" t="s">
        <v>737</v>
      </c>
      <c r="O23" s="24" t="s">
        <v>434</v>
      </c>
      <c r="P23" s="25" t="s">
        <v>242</v>
      </c>
      <c r="Q23" s="25" t="s">
        <v>480</v>
      </c>
      <c r="R23" s="24" t="s">
        <v>70</v>
      </c>
      <c r="S23" s="25" t="s">
        <v>451</v>
      </c>
    </row>
    <row r="24" spans="1:19" x14ac:dyDescent="0.25">
      <c r="A24" s="1" t="s">
        <v>1214</v>
      </c>
      <c r="B24" s="1" t="s">
        <v>1215</v>
      </c>
      <c r="C24" s="1">
        <v>76</v>
      </c>
      <c r="D24" s="1">
        <v>5</v>
      </c>
      <c r="E24" s="1">
        <v>22</v>
      </c>
      <c r="F24" s="7" t="s">
        <v>1216</v>
      </c>
      <c r="G24" s="1">
        <v>53</v>
      </c>
      <c r="H24" s="1">
        <v>67</v>
      </c>
      <c r="I24" s="1">
        <v>64</v>
      </c>
      <c r="J24" s="1">
        <f>IF(SUM(G24:I24)=0,"",SUM(G24:I24))</f>
        <v>184</v>
      </c>
      <c r="K24" s="7" t="s">
        <v>1217</v>
      </c>
      <c r="L24" s="7" t="s">
        <v>1218</v>
      </c>
      <c r="M24" s="7" t="s">
        <v>1204</v>
      </c>
      <c r="O24" s="24" t="s">
        <v>435</v>
      </c>
      <c r="P24" s="25" t="s">
        <v>243</v>
      </c>
      <c r="Q24" s="25" t="s">
        <v>481</v>
      </c>
      <c r="R24" s="24" t="s">
        <v>92</v>
      </c>
      <c r="S24" s="25" t="s">
        <v>447</v>
      </c>
    </row>
    <row r="25" spans="1:19" x14ac:dyDescent="0.25">
      <c r="A25" s="1" t="s">
        <v>1089</v>
      </c>
      <c r="B25" s="1" t="s">
        <v>1090</v>
      </c>
      <c r="C25" s="1">
        <v>81</v>
      </c>
      <c r="D25" s="1">
        <v>5</v>
      </c>
      <c r="E25" s="1">
        <v>22</v>
      </c>
      <c r="F25" s="7" t="s">
        <v>1074</v>
      </c>
      <c r="G25" s="1">
        <v>78</v>
      </c>
      <c r="H25" s="1">
        <v>59</v>
      </c>
      <c r="I25" s="1">
        <v>68</v>
      </c>
      <c r="J25" s="1">
        <f>IF(SUM(G25:I25)=0,"",SUM(G25:I25))</f>
        <v>205</v>
      </c>
      <c r="L25" s="7" t="s">
        <v>1091</v>
      </c>
      <c r="M25" s="7" t="s">
        <v>1092</v>
      </c>
      <c r="O25" s="24" t="s">
        <v>436</v>
      </c>
      <c r="P25" s="25" t="s">
        <v>244</v>
      </c>
      <c r="Q25" s="25" t="s">
        <v>482</v>
      </c>
      <c r="R25" s="24" t="s">
        <v>120</v>
      </c>
      <c r="S25" s="25" t="s">
        <v>405</v>
      </c>
    </row>
    <row r="26" spans="1:19" x14ac:dyDescent="0.25">
      <c r="A26" s="1" t="s">
        <v>1423</v>
      </c>
      <c r="B26" s="1" t="s">
        <v>1436</v>
      </c>
      <c r="C26" s="1">
        <v>75</v>
      </c>
      <c r="D26" s="1">
        <v>5</v>
      </c>
      <c r="E26" s="1">
        <v>22</v>
      </c>
      <c r="F26" s="7" t="s">
        <v>1437</v>
      </c>
      <c r="G26" s="1">
        <v>69</v>
      </c>
      <c r="H26" s="1">
        <v>55</v>
      </c>
      <c r="I26" s="1">
        <v>61</v>
      </c>
      <c r="J26" s="1">
        <f>IF(SUM(G26:I26)=0,"",SUM(G26:I26))</f>
        <v>185</v>
      </c>
      <c r="L26" s="7" t="s">
        <v>1438</v>
      </c>
      <c r="M26" s="7" t="s">
        <v>1439</v>
      </c>
      <c r="O26" s="24" t="s">
        <v>437</v>
      </c>
      <c r="P26" s="25" t="s">
        <v>245</v>
      </c>
      <c r="Q26" s="25" t="s">
        <v>483</v>
      </c>
      <c r="R26" s="24" t="s">
        <v>72</v>
      </c>
      <c r="S26" s="25"/>
    </row>
    <row r="27" spans="1:19" x14ac:dyDescent="0.25">
      <c r="A27" s="1" t="s">
        <v>1046</v>
      </c>
      <c r="B27" s="1" t="s">
        <v>1047</v>
      </c>
      <c r="C27" s="1">
        <v>74</v>
      </c>
      <c r="D27" s="1">
        <v>5</v>
      </c>
      <c r="E27" s="1">
        <v>22</v>
      </c>
      <c r="F27" s="7" t="s">
        <v>1048</v>
      </c>
      <c r="G27" s="1">
        <v>71</v>
      </c>
      <c r="H27" s="1">
        <v>52</v>
      </c>
      <c r="I27" s="1">
        <v>62</v>
      </c>
      <c r="J27" s="1">
        <f>IF(SUM(G27:I27)=0,"",SUM(G27:I27))</f>
        <v>185</v>
      </c>
      <c r="L27" s="7" t="s">
        <v>1049</v>
      </c>
      <c r="M27" s="7" t="s">
        <v>1050</v>
      </c>
      <c r="O27" s="26" t="s">
        <v>438</v>
      </c>
      <c r="P27" s="27" t="s">
        <v>246</v>
      </c>
      <c r="Q27" s="27" t="s">
        <v>509</v>
      </c>
      <c r="R27" s="26" t="s">
        <v>184</v>
      </c>
      <c r="S27" s="27"/>
    </row>
    <row r="28" spans="1:19" x14ac:dyDescent="0.25">
      <c r="A28" s="1" t="s">
        <v>69</v>
      </c>
      <c r="B28" s="1" t="s">
        <v>495</v>
      </c>
      <c r="C28" s="1">
        <v>73</v>
      </c>
      <c r="D28" s="3">
        <v>5</v>
      </c>
      <c r="E28" s="1">
        <v>22</v>
      </c>
      <c r="F28" s="7" t="s">
        <v>70</v>
      </c>
      <c r="G28" s="1">
        <v>63</v>
      </c>
      <c r="H28" s="1">
        <v>63</v>
      </c>
      <c r="I28" s="1">
        <v>58</v>
      </c>
      <c r="J28" s="1">
        <f>IF(SUM(G28:I28)=0,"",SUM(G28:I28))</f>
        <v>184</v>
      </c>
      <c r="L28" s="7" t="s">
        <v>496</v>
      </c>
      <c r="M28" s="7" t="s">
        <v>487</v>
      </c>
      <c r="O28" s="26" t="s">
        <v>439</v>
      </c>
      <c r="P28" s="27" t="s">
        <v>247</v>
      </c>
      <c r="Q28" s="27" t="s">
        <v>484</v>
      </c>
      <c r="R28" s="26" t="s">
        <v>59</v>
      </c>
      <c r="S28" s="27"/>
    </row>
    <row r="29" spans="1:19" x14ac:dyDescent="0.25">
      <c r="A29" s="1" t="s">
        <v>420</v>
      </c>
      <c r="B29" s="1" t="s">
        <v>147</v>
      </c>
      <c r="C29" s="1">
        <v>78</v>
      </c>
      <c r="D29" s="1">
        <v>5</v>
      </c>
      <c r="E29" s="1">
        <v>22</v>
      </c>
      <c r="G29" s="1">
        <v>72</v>
      </c>
      <c r="H29" s="1">
        <v>64</v>
      </c>
      <c r="I29" s="1">
        <v>68</v>
      </c>
      <c r="J29" s="1">
        <f>IF(SUM(G29:I29)=0,"",SUM(G29:I29))</f>
        <v>204</v>
      </c>
      <c r="M29" s="7" t="s">
        <v>447</v>
      </c>
      <c r="O29" s="26" t="s">
        <v>440</v>
      </c>
      <c r="P29" s="27" t="s">
        <v>248</v>
      </c>
      <c r="Q29" s="26" t="s">
        <v>1530</v>
      </c>
      <c r="R29" s="26" t="s">
        <v>57</v>
      </c>
      <c r="S29" s="27"/>
    </row>
    <row r="30" spans="1:19" x14ac:dyDescent="0.25">
      <c r="A30" s="1" t="s">
        <v>515</v>
      </c>
      <c r="B30" s="1" t="s">
        <v>516</v>
      </c>
      <c r="C30" s="1">
        <v>75</v>
      </c>
      <c r="D30" s="1">
        <v>5</v>
      </c>
      <c r="E30" s="1">
        <v>22</v>
      </c>
      <c r="F30" s="7" t="s">
        <v>517</v>
      </c>
      <c r="G30" s="1">
        <v>84</v>
      </c>
      <c r="H30" s="1">
        <v>57</v>
      </c>
      <c r="I30" s="1">
        <v>57</v>
      </c>
      <c r="J30" s="1">
        <f>IF(SUM(G30:I30)=0,"",SUM(G30:I30))</f>
        <v>198</v>
      </c>
      <c r="L30" s="7" t="s">
        <v>518</v>
      </c>
      <c r="M30" s="7" t="s">
        <v>519</v>
      </c>
      <c r="O30" s="28" t="s">
        <v>441</v>
      </c>
      <c r="P30" s="29" t="s">
        <v>249</v>
      </c>
      <c r="Q30" s="29"/>
      <c r="R30" s="28" t="s">
        <v>52</v>
      </c>
      <c r="S30" s="29"/>
    </row>
    <row r="31" spans="1:19" x14ac:dyDescent="0.25">
      <c r="A31" s="1" t="s">
        <v>420</v>
      </c>
      <c r="B31" s="1" t="s">
        <v>87</v>
      </c>
      <c r="C31" s="1">
        <v>77</v>
      </c>
      <c r="D31" s="1">
        <v>5</v>
      </c>
      <c r="E31" s="1">
        <v>22</v>
      </c>
      <c r="F31" s="7" t="s">
        <v>70</v>
      </c>
      <c r="G31" s="1">
        <v>88</v>
      </c>
      <c r="H31" s="1">
        <v>52</v>
      </c>
      <c r="I31" s="1">
        <v>62</v>
      </c>
      <c r="J31" s="1">
        <f>IF(SUM(G31:I31)=0,"",SUM(G31:I31))</f>
        <v>202</v>
      </c>
      <c r="L31" s="7" t="s">
        <v>88</v>
      </c>
      <c r="M31" s="7" t="s">
        <v>447</v>
      </c>
      <c r="O31" s="28" t="s">
        <v>442</v>
      </c>
      <c r="P31" s="29" t="s">
        <v>250</v>
      </c>
      <c r="Q31" s="29"/>
      <c r="R31" s="28" t="s">
        <v>58</v>
      </c>
      <c r="S31" s="29"/>
    </row>
    <row r="32" spans="1:19" x14ac:dyDescent="0.25">
      <c r="A32" s="1" t="s">
        <v>1432</v>
      </c>
      <c r="B32" s="1" t="s">
        <v>1433</v>
      </c>
      <c r="C32" s="1">
        <v>65</v>
      </c>
      <c r="D32" s="1">
        <v>5</v>
      </c>
      <c r="E32" s="1">
        <v>22</v>
      </c>
      <c r="G32" s="1">
        <v>43</v>
      </c>
      <c r="H32" s="1">
        <v>76</v>
      </c>
      <c r="I32" s="1">
        <v>45</v>
      </c>
      <c r="J32" s="1">
        <f>IF(SUM(G32:I32)=0,"",SUM(G32:I32))</f>
        <v>164</v>
      </c>
      <c r="L32" s="7" t="s">
        <v>1434</v>
      </c>
      <c r="M32" s="7" t="s">
        <v>1435</v>
      </c>
      <c r="O32" s="28">
        <v>10</v>
      </c>
      <c r="P32" s="29" t="s">
        <v>443</v>
      </c>
      <c r="Q32" s="29"/>
      <c r="R32" s="28" t="s">
        <v>42</v>
      </c>
      <c r="S32" s="29"/>
    </row>
    <row r="33" spans="1:19" x14ac:dyDescent="0.25">
      <c r="A33" s="1" t="s">
        <v>141</v>
      </c>
      <c r="B33" s="1" t="s">
        <v>199</v>
      </c>
      <c r="C33" s="1">
        <v>74</v>
      </c>
      <c r="D33" s="1">
        <v>5</v>
      </c>
      <c r="E33" s="1">
        <v>22</v>
      </c>
      <c r="F33" s="7" t="s">
        <v>120</v>
      </c>
      <c r="G33" s="1">
        <v>74</v>
      </c>
      <c r="H33" s="1">
        <v>78</v>
      </c>
      <c r="I33" s="1">
        <v>59</v>
      </c>
      <c r="J33" s="1">
        <f>IF(SUM(G33:I33)=0,"",SUM(G33:I33))</f>
        <v>211</v>
      </c>
      <c r="L33" s="7" t="s">
        <v>88</v>
      </c>
      <c r="M33" s="7" t="s">
        <v>447</v>
      </c>
      <c r="O33" s="30">
        <v>11</v>
      </c>
      <c r="P33" s="31" t="s">
        <v>251</v>
      </c>
      <c r="Q33" s="31"/>
      <c r="R33" s="30" t="s">
        <v>165</v>
      </c>
      <c r="S33" s="31"/>
    </row>
    <row r="34" spans="1:19" x14ac:dyDescent="0.25">
      <c r="A34" s="1" t="s">
        <v>378</v>
      </c>
      <c r="B34" s="1" t="s">
        <v>1118</v>
      </c>
      <c r="C34" s="1">
        <v>76</v>
      </c>
      <c r="D34" s="1">
        <v>5</v>
      </c>
      <c r="E34" s="1">
        <v>23</v>
      </c>
      <c r="G34" s="1">
        <v>69</v>
      </c>
      <c r="H34" s="1">
        <v>60</v>
      </c>
      <c r="I34" s="1">
        <v>58</v>
      </c>
      <c r="J34" s="1">
        <f>IF(SUM(G34:I34)=0,"",SUM(G34:I34))</f>
        <v>187</v>
      </c>
      <c r="L34" s="7" t="s">
        <v>1119</v>
      </c>
      <c r="M34" s="7" t="s">
        <v>1113</v>
      </c>
      <c r="O34" s="30">
        <v>12</v>
      </c>
      <c r="P34" s="31" t="s">
        <v>252</v>
      </c>
      <c r="Q34" s="31"/>
      <c r="R34" s="30" t="s">
        <v>17</v>
      </c>
      <c r="S34" s="31"/>
    </row>
    <row r="35" spans="1:19" x14ac:dyDescent="0.25">
      <c r="A35" s="1" t="s">
        <v>420</v>
      </c>
      <c r="B35" s="1" t="s">
        <v>345</v>
      </c>
      <c r="C35" s="1">
        <v>77</v>
      </c>
      <c r="D35" s="1">
        <v>5</v>
      </c>
      <c r="E35" s="1">
        <v>23</v>
      </c>
      <c r="F35" s="7" t="s">
        <v>70</v>
      </c>
      <c r="G35" s="1">
        <v>62</v>
      </c>
      <c r="H35" s="1">
        <v>78</v>
      </c>
      <c r="I35" s="1">
        <v>66</v>
      </c>
      <c r="J35" s="1">
        <f>IF(SUM(G35:I35)=0,"",SUM(G35:I35))</f>
        <v>206</v>
      </c>
      <c r="L35" s="7" t="s">
        <v>347</v>
      </c>
      <c r="M35" s="7" t="s">
        <v>447</v>
      </c>
      <c r="O35" s="30">
        <v>13</v>
      </c>
      <c r="P35" s="31" t="s">
        <v>253</v>
      </c>
      <c r="Q35" s="31"/>
      <c r="R35" s="30" t="s">
        <v>22</v>
      </c>
      <c r="S35" s="31"/>
    </row>
    <row r="36" spans="1:19" x14ac:dyDescent="0.25">
      <c r="A36" s="1" t="s">
        <v>1174</v>
      </c>
      <c r="B36" s="1" t="s">
        <v>1175</v>
      </c>
      <c r="C36" s="1">
        <v>78</v>
      </c>
      <c r="D36" s="3">
        <v>5</v>
      </c>
      <c r="E36" s="1">
        <v>23</v>
      </c>
      <c r="F36" s="7" t="s">
        <v>1162</v>
      </c>
      <c r="G36" s="1">
        <v>50</v>
      </c>
      <c r="H36" s="1">
        <v>68</v>
      </c>
      <c r="I36" s="1">
        <v>70</v>
      </c>
      <c r="J36" s="1">
        <f>IF(SUM(G36:I36)=0,"",SUM(G36:I36))</f>
        <v>188</v>
      </c>
      <c r="M36" s="7" t="s">
        <v>1164</v>
      </c>
      <c r="O36" s="32">
        <v>14</v>
      </c>
      <c r="P36" s="33" t="s">
        <v>254</v>
      </c>
      <c r="Q36" s="33"/>
      <c r="R36" s="32" t="s">
        <v>29</v>
      </c>
      <c r="S36" s="33"/>
    </row>
    <row r="37" spans="1:19" x14ac:dyDescent="0.25">
      <c r="A37" s="1" t="s">
        <v>1535</v>
      </c>
      <c r="B37" s="1" t="s">
        <v>1536</v>
      </c>
      <c r="C37" s="1">
        <v>80</v>
      </c>
      <c r="D37" s="1">
        <v>5</v>
      </c>
      <c r="E37" s="1">
        <v>23</v>
      </c>
      <c r="F37" s="7" t="s">
        <v>1537</v>
      </c>
      <c r="G37" s="1">
        <v>66</v>
      </c>
      <c r="H37" s="1">
        <v>69</v>
      </c>
      <c r="I37" s="1">
        <v>66</v>
      </c>
      <c r="J37" s="1">
        <f>IF(SUM(G37:I37)=0,"",SUM(G37:I37))</f>
        <v>201</v>
      </c>
      <c r="L37" s="7" t="s">
        <v>1538</v>
      </c>
      <c r="M37" s="7" t="s">
        <v>1533</v>
      </c>
      <c r="O37" s="32">
        <v>15</v>
      </c>
      <c r="P37" s="33" t="s">
        <v>255</v>
      </c>
      <c r="Q37" s="33"/>
      <c r="R37" s="32" t="s">
        <v>371</v>
      </c>
      <c r="S37" s="33"/>
    </row>
    <row r="38" spans="1:19" x14ac:dyDescent="0.25">
      <c r="A38" s="1" t="s">
        <v>141</v>
      </c>
      <c r="B38" s="1" t="s">
        <v>148</v>
      </c>
      <c r="C38" s="1">
        <v>75</v>
      </c>
      <c r="D38" s="1">
        <v>5</v>
      </c>
      <c r="E38" s="1">
        <v>23</v>
      </c>
      <c r="F38" s="7" t="s">
        <v>70</v>
      </c>
      <c r="G38" s="1">
        <v>63</v>
      </c>
      <c r="H38" s="1">
        <v>67</v>
      </c>
      <c r="I38" s="1">
        <v>62</v>
      </c>
      <c r="J38" s="1">
        <f>IF(SUM(G38:I38)=0,"",SUM(G38:I38))</f>
        <v>192</v>
      </c>
      <c r="L38" s="7" t="s">
        <v>71</v>
      </c>
      <c r="M38" s="7" t="s">
        <v>447</v>
      </c>
      <c r="O38" s="32">
        <v>16</v>
      </c>
      <c r="P38" s="33" t="s">
        <v>256</v>
      </c>
      <c r="Q38" s="33"/>
      <c r="R38" s="33" t="s">
        <v>109</v>
      </c>
      <c r="S38" s="33"/>
    </row>
    <row r="39" spans="1:19" x14ac:dyDescent="0.25">
      <c r="A39" s="1" t="s">
        <v>1046</v>
      </c>
      <c r="B39" s="1" t="s">
        <v>1051</v>
      </c>
      <c r="C39" s="1">
        <v>77</v>
      </c>
      <c r="D39" s="3">
        <v>5</v>
      </c>
      <c r="E39" s="1">
        <v>23</v>
      </c>
      <c r="F39" s="7" t="s">
        <v>1048</v>
      </c>
      <c r="G39" s="1">
        <v>64</v>
      </c>
      <c r="H39" s="1">
        <v>72</v>
      </c>
      <c r="I39" s="1">
        <v>65</v>
      </c>
      <c r="J39" s="1">
        <f>IF(SUM(G39:I39)=0,"",SUM(G39:I39))</f>
        <v>201</v>
      </c>
      <c r="M39" s="7" t="s">
        <v>1052</v>
      </c>
      <c r="O39" s="32">
        <v>17</v>
      </c>
      <c r="P39" s="33" t="s">
        <v>257</v>
      </c>
      <c r="Q39" s="33"/>
      <c r="R39" s="33" t="s">
        <v>10</v>
      </c>
      <c r="S39" s="33"/>
    </row>
    <row r="40" spans="1:19" x14ac:dyDescent="0.25">
      <c r="A40" s="1" t="s">
        <v>1093</v>
      </c>
      <c r="B40" s="1" t="s">
        <v>1094</v>
      </c>
      <c r="C40" s="1">
        <v>78</v>
      </c>
      <c r="D40" s="1">
        <v>5</v>
      </c>
      <c r="E40" s="1">
        <v>23</v>
      </c>
      <c r="G40" s="1">
        <v>78</v>
      </c>
      <c r="H40" s="1">
        <v>61</v>
      </c>
      <c r="I40" s="1">
        <v>64</v>
      </c>
      <c r="J40" s="1">
        <f>IF(SUM(G40:I40)=0,"",SUM(G40:I40))</f>
        <v>203</v>
      </c>
      <c r="L40" s="7" t="s">
        <v>1095</v>
      </c>
      <c r="M40" s="7" t="s">
        <v>1096</v>
      </c>
      <c r="O40" s="34">
        <v>18</v>
      </c>
      <c r="P40" s="35" t="s">
        <v>258</v>
      </c>
      <c r="Q40" s="35"/>
      <c r="R40" s="35"/>
      <c r="S40" s="35"/>
    </row>
    <row r="41" spans="1:19" x14ac:dyDescent="0.25">
      <c r="A41" s="1" t="s">
        <v>747</v>
      </c>
      <c r="B41" s="1" t="s">
        <v>748</v>
      </c>
      <c r="C41" s="1">
        <v>77</v>
      </c>
      <c r="D41" s="1">
        <v>5</v>
      </c>
      <c r="E41" s="1">
        <v>23</v>
      </c>
      <c r="F41" s="7" t="s">
        <v>749</v>
      </c>
      <c r="G41" s="1">
        <v>69</v>
      </c>
      <c r="H41" s="1">
        <v>52</v>
      </c>
      <c r="I41" s="1">
        <v>68</v>
      </c>
      <c r="J41" s="1">
        <f>IF(SUM(G41:I41)=0,"",SUM(G41:I41))</f>
        <v>189</v>
      </c>
      <c r="L41" s="7" t="s">
        <v>750</v>
      </c>
      <c r="M41" s="7" t="s">
        <v>737</v>
      </c>
      <c r="O41" s="34">
        <v>19</v>
      </c>
      <c r="P41" s="35" t="s">
        <v>259</v>
      </c>
      <c r="Q41" s="35"/>
      <c r="R41" s="35"/>
      <c r="S41" s="35"/>
    </row>
    <row r="42" spans="1:19" x14ac:dyDescent="0.25">
      <c r="A42" s="1" t="s">
        <v>141</v>
      </c>
      <c r="B42" s="1" t="s">
        <v>199</v>
      </c>
      <c r="C42" s="1">
        <v>79</v>
      </c>
      <c r="D42" s="3">
        <v>5</v>
      </c>
      <c r="E42" s="1">
        <v>23</v>
      </c>
      <c r="G42" s="1">
        <v>91</v>
      </c>
      <c r="H42" s="1">
        <v>69</v>
      </c>
      <c r="I42" s="1">
        <v>65</v>
      </c>
      <c r="J42" s="1">
        <f>IF(SUM(G42:I42)=0,"",SUM(G42:I42))</f>
        <v>225</v>
      </c>
      <c r="L42" s="7" t="s">
        <v>200</v>
      </c>
      <c r="M42" s="7" t="s">
        <v>447</v>
      </c>
      <c r="O42" s="34">
        <v>20</v>
      </c>
      <c r="P42" s="35" t="s">
        <v>260</v>
      </c>
      <c r="Q42" s="35"/>
      <c r="R42" s="35"/>
      <c r="S42" s="35"/>
    </row>
    <row r="43" spans="1:19" x14ac:dyDescent="0.25">
      <c r="A43" s="1" t="s">
        <v>1379</v>
      </c>
      <c r="B43" s="1" t="s">
        <v>1380</v>
      </c>
      <c r="C43" s="1">
        <v>77</v>
      </c>
      <c r="D43" s="2">
        <v>5</v>
      </c>
      <c r="E43" s="1">
        <v>24</v>
      </c>
      <c r="G43" s="1">
        <v>71</v>
      </c>
      <c r="H43" s="1">
        <v>60</v>
      </c>
      <c r="I43" s="1">
        <v>61</v>
      </c>
      <c r="J43" s="1">
        <f>IF(SUM(G43:I43)=0,"",SUM(G43:I43))</f>
        <v>192</v>
      </c>
      <c r="L43" s="7" t="s">
        <v>1381</v>
      </c>
      <c r="M43" s="7" t="s">
        <v>1382</v>
      </c>
      <c r="O43" s="34">
        <v>21</v>
      </c>
      <c r="P43" s="35" t="s">
        <v>261</v>
      </c>
      <c r="Q43" s="35"/>
      <c r="R43" s="35"/>
      <c r="S43" s="35"/>
    </row>
    <row r="44" spans="1:19" x14ac:dyDescent="0.25">
      <c r="A44" s="1" t="s">
        <v>141</v>
      </c>
      <c r="B44" s="1" t="s">
        <v>223</v>
      </c>
      <c r="C44" s="1">
        <v>78</v>
      </c>
      <c r="D44" s="2">
        <v>5</v>
      </c>
      <c r="E44" s="1">
        <v>24</v>
      </c>
      <c r="F44" s="7" t="s">
        <v>70</v>
      </c>
      <c r="G44" s="1">
        <v>64</v>
      </c>
      <c r="H44" s="1">
        <v>64</v>
      </c>
      <c r="I44" s="1">
        <v>73</v>
      </c>
      <c r="J44" s="1">
        <f>IF(SUM(G44:I44)=0,"",SUM(G44:I44))</f>
        <v>201</v>
      </c>
      <c r="L44" s="7" t="s">
        <v>224</v>
      </c>
      <c r="M44" s="7" t="s">
        <v>447</v>
      </c>
      <c r="O44" s="34">
        <v>22</v>
      </c>
      <c r="P44" s="35" t="s">
        <v>444</v>
      </c>
      <c r="Q44" s="35"/>
      <c r="R44" s="35"/>
      <c r="S44" s="35"/>
    </row>
    <row r="45" spans="1:19" x14ac:dyDescent="0.25">
      <c r="A45" s="1" t="s">
        <v>500</v>
      </c>
      <c r="B45" s="1" t="s">
        <v>501</v>
      </c>
      <c r="C45" s="1">
        <v>79</v>
      </c>
      <c r="D45" s="1">
        <v>5</v>
      </c>
      <c r="E45" s="1">
        <v>24</v>
      </c>
      <c r="F45" s="7" t="s">
        <v>120</v>
      </c>
      <c r="G45" s="1">
        <v>69</v>
      </c>
      <c r="H45" s="1">
        <v>57</v>
      </c>
      <c r="I45" s="1">
        <v>67</v>
      </c>
      <c r="J45" s="1">
        <f>IF(SUM(G45:I45)=0,"",SUM(G45:I45))</f>
        <v>193</v>
      </c>
      <c r="L45" s="7" t="s">
        <v>502</v>
      </c>
      <c r="M45" s="7" t="s">
        <v>503</v>
      </c>
      <c r="O45" s="24" t="s">
        <v>434</v>
      </c>
      <c r="P45" s="25" t="s">
        <v>242</v>
      </c>
      <c r="Q45" s="25" t="s">
        <v>480</v>
      </c>
      <c r="R45" s="24" t="s">
        <v>70</v>
      </c>
      <c r="S45" s="25" t="s">
        <v>451</v>
      </c>
    </row>
    <row r="46" spans="1:19" x14ac:dyDescent="0.25">
      <c r="A46" s="1" t="s">
        <v>308</v>
      </c>
      <c r="B46" s="1" t="s">
        <v>1075</v>
      </c>
      <c r="C46" s="1">
        <v>80</v>
      </c>
      <c r="D46" s="1">
        <v>5</v>
      </c>
      <c r="E46" s="1">
        <v>24</v>
      </c>
      <c r="F46" s="7" t="s">
        <v>1074</v>
      </c>
      <c r="G46" s="1">
        <v>86</v>
      </c>
      <c r="H46" s="1">
        <v>62</v>
      </c>
      <c r="I46" s="1">
        <v>65</v>
      </c>
      <c r="J46" s="1">
        <f>IF(SUM(G46:I46)=0,"",SUM(G46:I46))</f>
        <v>213</v>
      </c>
      <c r="M46" s="7" t="s">
        <v>1076</v>
      </c>
      <c r="O46" s="24" t="s">
        <v>435</v>
      </c>
      <c r="P46" s="25" t="s">
        <v>243</v>
      </c>
      <c r="Q46" s="25" t="s">
        <v>481</v>
      </c>
      <c r="R46" s="24" t="s">
        <v>92</v>
      </c>
      <c r="S46" s="25" t="s">
        <v>447</v>
      </c>
    </row>
    <row r="47" spans="1:19" x14ac:dyDescent="0.25">
      <c r="A47" s="1" t="s">
        <v>1160</v>
      </c>
      <c r="B47" s="1" t="s">
        <v>1161</v>
      </c>
      <c r="C47" s="1">
        <v>78</v>
      </c>
      <c r="D47" s="1">
        <v>5</v>
      </c>
      <c r="E47" s="1">
        <v>24</v>
      </c>
      <c r="F47" s="7" t="s">
        <v>1163</v>
      </c>
      <c r="G47" s="1">
        <v>85</v>
      </c>
      <c r="H47" s="1">
        <v>64</v>
      </c>
      <c r="I47" s="1">
        <v>65</v>
      </c>
      <c r="J47" s="1">
        <f>IF(SUM(G47:I47)=0,"",SUM(G47:I47))</f>
        <v>214</v>
      </c>
      <c r="M47" s="7" t="s">
        <v>1164</v>
      </c>
      <c r="O47" s="24" t="s">
        <v>436</v>
      </c>
      <c r="P47" s="25" t="s">
        <v>244</v>
      </c>
      <c r="Q47" s="25" t="s">
        <v>482</v>
      </c>
      <c r="R47" s="24" t="s">
        <v>120</v>
      </c>
      <c r="S47" s="25" t="s">
        <v>405</v>
      </c>
    </row>
    <row r="48" spans="1:19" x14ac:dyDescent="0.25">
      <c r="A48" s="8" t="s">
        <v>308</v>
      </c>
      <c r="B48" s="1" t="s">
        <v>65</v>
      </c>
      <c r="C48" s="1">
        <v>67</v>
      </c>
      <c r="D48" s="1">
        <v>4</v>
      </c>
      <c r="E48" s="1">
        <v>19</v>
      </c>
      <c r="F48" s="7" t="s">
        <v>72</v>
      </c>
      <c r="G48" s="1">
        <v>67</v>
      </c>
      <c r="H48" s="1">
        <v>30</v>
      </c>
      <c r="I48" s="1">
        <v>54</v>
      </c>
      <c r="J48" s="1">
        <f>IF(SUM(G48:I48)=0,"",SUM(G48:I48))</f>
        <v>151</v>
      </c>
      <c r="L48" s="7" t="s">
        <v>263</v>
      </c>
      <c r="M48" s="7" t="s">
        <v>447</v>
      </c>
      <c r="O48" s="24" t="s">
        <v>437</v>
      </c>
      <c r="P48" s="25" t="s">
        <v>245</v>
      </c>
      <c r="Q48" s="25" t="s">
        <v>483</v>
      </c>
      <c r="R48" s="24" t="s">
        <v>72</v>
      </c>
      <c r="S48" s="25"/>
    </row>
    <row r="49" spans="1:19" x14ac:dyDescent="0.25">
      <c r="A49" s="1" t="s">
        <v>69</v>
      </c>
      <c r="B49" s="1" t="s">
        <v>893</v>
      </c>
      <c r="C49" s="1">
        <v>70</v>
      </c>
      <c r="D49" s="1">
        <v>4</v>
      </c>
      <c r="E49" s="1">
        <v>20</v>
      </c>
      <c r="F49" s="7" t="s">
        <v>894</v>
      </c>
      <c r="G49" s="1">
        <v>39</v>
      </c>
      <c r="H49" s="1">
        <v>87</v>
      </c>
      <c r="I49" s="1">
        <v>55</v>
      </c>
      <c r="J49" s="1">
        <f>IF(SUM(G49:I49)=0,"",SUM(G49:I49))</f>
        <v>181</v>
      </c>
      <c r="K49" s="7" t="s">
        <v>895</v>
      </c>
      <c r="L49" s="7" t="s">
        <v>896</v>
      </c>
      <c r="M49" s="7" t="s">
        <v>897</v>
      </c>
      <c r="O49" s="26" t="s">
        <v>438</v>
      </c>
      <c r="P49" s="27" t="s">
        <v>246</v>
      </c>
      <c r="Q49" s="27" t="s">
        <v>509</v>
      </c>
      <c r="R49" s="26" t="s">
        <v>184</v>
      </c>
      <c r="S49" s="27"/>
    </row>
    <row r="50" spans="1:19" x14ac:dyDescent="0.25">
      <c r="A50" s="1" t="s">
        <v>308</v>
      </c>
      <c r="B50" s="1" t="s">
        <v>216</v>
      </c>
      <c r="C50" s="1">
        <v>70</v>
      </c>
      <c r="D50" s="1">
        <v>4</v>
      </c>
      <c r="E50" s="1">
        <v>21</v>
      </c>
      <c r="F50" s="7" t="s">
        <v>70</v>
      </c>
      <c r="G50" s="1">
        <v>65</v>
      </c>
      <c r="H50" s="1">
        <v>65</v>
      </c>
      <c r="I50" s="1">
        <v>53</v>
      </c>
      <c r="J50" s="1">
        <f>IF(SUM(G50:I50)=0,"",SUM(G50:I50))</f>
        <v>183</v>
      </c>
      <c r="L50" s="7" t="s">
        <v>128</v>
      </c>
      <c r="M50" s="7" t="s">
        <v>447</v>
      </c>
      <c r="O50" s="26" t="s">
        <v>439</v>
      </c>
      <c r="P50" s="27" t="s">
        <v>247</v>
      </c>
      <c r="Q50" s="27" t="s">
        <v>484</v>
      </c>
      <c r="R50" s="26" t="s">
        <v>59</v>
      </c>
      <c r="S50" s="27"/>
    </row>
    <row r="51" spans="1:19" x14ac:dyDescent="0.25">
      <c r="A51" s="1" t="s">
        <v>308</v>
      </c>
      <c r="B51" s="1" t="s">
        <v>216</v>
      </c>
      <c r="C51" s="1">
        <v>72</v>
      </c>
      <c r="D51" s="1">
        <v>4</v>
      </c>
      <c r="E51" s="1">
        <v>22</v>
      </c>
      <c r="F51" s="7" t="s">
        <v>70</v>
      </c>
      <c r="G51" s="1">
        <v>67</v>
      </c>
      <c r="H51" s="1">
        <v>67</v>
      </c>
      <c r="I51" s="1">
        <v>57</v>
      </c>
      <c r="J51" s="1">
        <f>IF(SUM(G51:I51)=0,"",SUM(G51:I51))</f>
        <v>191</v>
      </c>
      <c r="L51" s="7" t="s">
        <v>128</v>
      </c>
      <c r="M51" s="7" t="s">
        <v>447</v>
      </c>
      <c r="O51" s="26" t="s">
        <v>440</v>
      </c>
      <c r="P51" s="27" t="s">
        <v>248</v>
      </c>
      <c r="Q51" s="26" t="s">
        <v>1530</v>
      </c>
      <c r="R51" s="26" t="s">
        <v>57</v>
      </c>
      <c r="S51" s="27"/>
    </row>
    <row r="52" spans="1:19" x14ac:dyDescent="0.25">
      <c r="A52" s="1" t="s">
        <v>1526</v>
      </c>
      <c r="B52" s="1" t="s">
        <v>1527</v>
      </c>
      <c r="C52" s="1">
        <v>76</v>
      </c>
      <c r="D52" s="1">
        <v>4</v>
      </c>
      <c r="E52" s="1">
        <v>23</v>
      </c>
      <c r="F52" s="7" t="s">
        <v>1528</v>
      </c>
      <c r="G52" s="1">
        <v>78</v>
      </c>
      <c r="H52" s="1">
        <v>50</v>
      </c>
      <c r="I52" s="1">
        <v>62</v>
      </c>
      <c r="J52" s="1">
        <f>IF(SUM(G52:I52)=0,"",SUM(G52:I52))</f>
        <v>190</v>
      </c>
      <c r="K52" s="7" t="s">
        <v>1532</v>
      </c>
      <c r="L52" s="7" t="s">
        <v>1534</v>
      </c>
      <c r="M52" s="7" t="s">
        <v>1533</v>
      </c>
      <c r="O52" s="28" t="s">
        <v>441</v>
      </c>
      <c r="P52" s="29" t="s">
        <v>249</v>
      </c>
      <c r="Q52" s="29"/>
      <c r="R52" s="28" t="s">
        <v>52</v>
      </c>
      <c r="S52" s="29"/>
    </row>
    <row r="53" spans="1:19" x14ac:dyDescent="0.25">
      <c r="A53" s="1" t="s">
        <v>1371</v>
      </c>
      <c r="B53" s="1" t="s">
        <v>1372</v>
      </c>
      <c r="C53" s="1">
        <v>72</v>
      </c>
      <c r="D53" s="1">
        <v>4</v>
      </c>
      <c r="E53" s="1">
        <v>23</v>
      </c>
      <c r="G53" s="1">
        <v>74</v>
      </c>
      <c r="H53" s="1">
        <v>78</v>
      </c>
      <c r="I53" s="1">
        <v>52</v>
      </c>
      <c r="J53" s="1">
        <f>IF(SUM(G53:I53)=0,"",SUM(G53:I53))</f>
        <v>204</v>
      </c>
      <c r="M53" s="7" t="s">
        <v>1373</v>
      </c>
      <c r="O53" s="28" t="s">
        <v>442</v>
      </c>
      <c r="P53" s="29" t="s">
        <v>250</v>
      </c>
      <c r="Q53" s="29"/>
      <c r="R53" s="28" t="s">
        <v>58</v>
      </c>
      <c r="S53" s="29"/>
    </row>
    <row r="54" spans="1:19" x14ac:dyDescent="0.25">
      <c r="A54" s="1" t="s">
        <v>69</v>
      </c>
      <c r="B54" s="1" t="s">
        <v>1440</v>
      </c>
      <c r="C54" s="1">
        <v>75</v>
      </c>
      <c r="D54" s="1">
        <v>4</v>
      </c>
      <c r="E54" s="1">
        <v>23</v>
      </c>
      <c r="F54" s="7" t="s">
        <v>1437</v>
      </c>
      <c r="G54" s="1">
        <v>78</v>
      </c>
      <c r="H54" s="1">
        <v>69</v>
      </c>
      <c r="I54" s="1">
        <v>59</v>
      </c>
      <c r="J54" s="1">
        <f>IF(SUM(G54:I54)=0,"",SUM(G54:I54))</f>
        <v>206</v>
      </c>
      <c r="L54" s="7" t="s">
        <v>1441</v>
      </c>
      <c r="M54" s="7" t="s">
        <v>1442</v>
      </c>
      <c r="O54" s="28">
        <v>10</v>
      </c>
      <c r="P54" s="29" t="s">
        <v>443</v>
      </c>
      <c r="Q54" s="29"/>
      <c r="R54" s="28" t="s">
        <v>42</v>
      </c>
      <c r="S54" s="29"/>
    </row>
    <row r="55" spans="1:19" x14ac:dyDescent="0.25">
      <c r="A55" s="1" t="s">
        <v>308</v>
      </c>
      <c r="B55" s="1" t="s">
        <v>216</v>
      </c>
      <c r="C55" s="1">
        <v>76</v>
      </c>
      <c r="D55" s="1">
        <v>4</v>
      </c>
      <c r="E55" s="1">
        <v>24</v>
      </c>
      <c r="F55" s="7" t="s">
        <v>70</v>
      </c>
      <c r="G55" s="1">
        <v>67</v>
      </c>
      <c r="H55" s="1">
        <v>68</v>
      </c>
      <c r="I55" s="1">
        <v>62</v>
      </c>
      <c r="J55" s="1">
        <f>IF(SUM(G55:I55)=0,"",SUM(G55:I55))</f>
        <v>197</v>
      </c>
      <c r="L55" s="7" t="s">
        <v>128</v>
      </c>
      <c r="M55" s="7" t="s">
        <v>447</v>
      </c>
      <c r="O55" s="30">
        <v>11</v>
      </c>
      <c r="P55" s="31" t="s">
        <v>251</v>
      </c>
      <c r="Q55" s="31"/>
      <c r="R55" s="30" t="s">
        <v>165</v>
      </c>
      <c r="S55" s="31"/>
    </row>
    <row r="56" spans="1:19" x14ac:dyDescent="0.25">
      <c r="A56" s="1" t="s">
        <v>1423</v>
      </c>
      <c r="B56" s="1" t="s">
        <v>1424</v>
      </c>
      <c r="C56" s="1">
        <v>74</v>
      </c>
      <c r="D56" s="1">
        <v>4</v>
      </c>
      <c r="E56" s="1">
        <v>24</v>
      </c>
      <c r="F56" s="7" t="s">
        <v>1425</v>
      </c>
      <c r="G56" s="1">
        <v>64</v>
      </c>
      <c r="H56" s="1">
        <v>69</v>
      </c>
      <c r="I56" s="1">
        <v>61</v>
      </c>
      <c r="J56" s="1">
        <f>IF(SUM(G56:I56)=0,"",SUM(G56:I56))</f>
        <v>194</v>
      </c>
      <c r="L56" s="7" t="s">
        <v>1426</v>
      </c>
      <c r="M56" s="7" t="s">
        <v>1427</v>
      </c>
      <c r="O56" s="30">
        <v>12</v>
      </c>
      <c r="P56" s="31" t="s">
        <v>252</v>
      </c>
      <c r="Q56" s="31"/>
      <c r="R56" s="30" t="s">
        <v>17</v>
      </c>
      <c r="S56" s="31"/>
    </row>
    <row r="57" spans="1:19" x14ac:dyDescent="0.25">
      <c r="A57" s="1" t="s">
        <v>141</v>
      </c>
      <c r="B57" s="1" t="s">
        <v>1385</v>
      </c>
      <c r="C57" s="1">
        <v>77</v>
      </c>
      <c r="D57" s="1">
        <v>4</v>
      </c>
      <c r="E57" s="1">
        <v>24</v>
      </c>
      <c r="G57" s="1">
        <v>72</v>
      </c>
      <c r="H57" s="1">
        <v>65</v>
      </c>
      <c r="I57" s="1">
        <v>63</v>
      </c>
      <c r="J57" s="1">
        <f>IF(SUM(G57:I57)=0,"",SUM(G57:I57))</f>
        <v>200</v>
      </c>
      <c r="L57" s="7" t="s">
        <v>71</v>
      </c>
      <c r="M57" s="7" t="s">
        <v>1315</v>
      </c>
      <c r="O57" s="30">
        <v>13</v>
      </c>
      <c r="P57" s="31" t="s">
        <v>253</v>
      </c>
      <c r="Q57" s="31"/>
      <c r="R57" s="30" t="s">
        <v>22</v>
      </c>
      <c r="S57" s="31"/>
    </row>
    <row r="58" spans="1:19" x14ac:dyDescent="0.25">
      <c r="J58" s="1" t="str">
        <f>IF(SUM(G58:I58)=0,"",SUM(G58:I58))</f>
        <v/>
      </c>
      <c r="O58" s="32">
        <v>14</v>
      </c>
      <c r="P58" s="33" t="s">
        <v>254</v>
      </c>
      <c r="Q58" s="33"/>
      <c r="R58" s="32" t="s">
        <v>29</v>
      </c>
      <c r="S58" s="33"/>
    </row>
    <row r="59" spans="1:19" x14ac:dyDescent="0.25">
      <c r="J59" s="1" t="str">
        <f>IF(SUM(G59:I59)=0,"",SUM(G59:I59))</f>
        <v/>
      </c>
      <c r="O59" s="32">
        <v>15</v>
      </c>
      <c r="P59" s="33" t="s">
        <v>255</v>
      </c>
      <c r="Q59" s="33"/>
      <c r="R59" s="32" t="s">
        <v>371</v>
      </c>
      <c r="S59" s="33"/>
    </row>
    <row r="60" spans="1:19" x14ac:dyDescent="0.25">
      <c r="J60" s="1" t="str">
        <f>IF(SUM(G60:I60)=0,"",SUM(G60:I60))</f>
        <v/>
      </c>
      <c r="O60" s="32">
        <v>16</v>
      </c>
      <c r="P60" s="33" t="s">
        <v>256</v>
      </c>
      <c r="Q60" s="33"/>
      <c r="R60" s="33" t="s">
        <v>109</v>
      </c>
      <c r="S60" s="33"/>
    </row>
    <row r="61" spans="1:19" x14ac:dyDescent="0.25">
      <c r="J61" s="1" t="str">
        <f>IF(SUM(G61:I61)=0,"",SUM(G61:I61))</f>
        <v/>
      </c>
      <c r="O61" s="32">
        <v>17</v>
      </c>
      <c r="P61" s="33" t="s">
        <v>257</v>
      </c>
      <c r="Q61" s="33"/>
      <c r="R61" s="33" t="s">
        <v>10</v>
      </c>
      <c r="S61" s="33"/>
    </row>
    <row r="62" spans="1:19" x14ac:dyDescent="0.25">
      <c r="J62" s="1" t="str">
        <f>IF(SUM(G62:I62)=0,"",SUM(G62:I62))</f>
        <v/>
      </c>
      <c r="O62" s="34">
        <v>18</v>
      </c>
      <c r="P62" s="35" t="s">
        <v>258</v>
      </c>
      <c r="Q62" s="35"/>
      <c r="R62" s="35"/>
      <c r="S62" s="35"/>
    </row>
    <row r="63" spans="1:19" x14ac:dyDescent="0.25">
      <c r="J63" s="1" t="str">
        <f>IF(SUM(G63:I63)=0,"",SUM(G63:I63))</f>
        <v/>
      </c>
      <c r="O63" s="34">
        <v>19</v>
      </c>
      <c r="P63" s="35" t="s">
        <v>259</v>
      </c>
      <c r="Q63" s="35"/>
      <c r="R63" s="35"/>
      <c r="S63" s="35"/>
    </row>
    <row r="64" spans="1:19" x14ac:dyDescent="0.25">
      <c r="J64" s="1" t="str">
        <f>IF(SUM(G64:I64)=0,"",SUM(G64:I64))</f>
        <v/>
      </c>
      <c r="O64" s="34">
        <v>20</v>
      </c>
      <c r="P64" s="35" t="s">
        <v>260</v>
      </c>
      <c r="Q64" s="35"/>
      <c r="R64" s="35"/>
      <c r="S64" s="35"/>
    </row>
    <row r="65" spans="10:19" x14ac:dyDescent="0.25">
      <c r="J65" s="1" t="str">
        <f>IF(SUM(G65:I65)=0,"",SUM(G65:I65))</f>
        <v/>
      </c>
      <c r="O65" s="34">
        <v>21</v>
      </c>
      <c r="P65" s="35" t="s">
        <v>261</v>
      </c>
      <c r="Q65" s="35"/>
      <c r="R65" s="35"/>
      <c r="S65" s="35"/>
    </row>
    <row r="66" spans="10:19" x14ac:dyDescent="0.25">
      <c r="J66" s="1" t="str">
        <f>IF(SUM(G66:I66)=0,"",SUM(G66:I66))</f>
        <v/>
      </c>
      <c r="O66" s="34">
        <v>22</v>
      </c>
      <c r="P66" s="35" t="s">
        <v>444</v>
      </c>
      <c r="Q66" s="35"/>
      <c r="R66" s="35"/>
      <c r="S66" s="35"/>
    </row>
    <row r="67" spans="10:19" x14ac:dyDescent="0.25">
      <c r="J67" s="1" t="str">
        <f>IF(SUM(G67:I67)=0,"",SUM(G67:I67))</f>
        <v/>
      </c>
    </row>
    <row r="68" spans="10:19" x14ac:dyDescent="0.25">
      <c r="J68" s="1" t="str">
        <f>IF(SUM(G68:I68)=0,"",SUM(G68:I68))</f>
        <v/>
      </c>
    </row>
    <row r="69" spans="10:19" x14ac:dyDescent="0.25">
      <c r="J69" s="1" t="str">
        <f>IF(SUM(G69:I69)=0,"",SUM(G69:I69))</f>
        <v/>
      </c>
    </row>
    <row r="70" spans="10:19" x14ac:dyDescent="0.25">
      <c r="J70" s="1" t="str">
        <f>IF(SUM(G70:I70)=0,"",SUM(G70:I70))</f>
        <v/>
      </c>
    </row>
    <row r="71" spans="10:19" x14ac:dyDescent="0.25">
      <c r="J71" s="1" t="str">
        <f>IF(SUM(G71:I71)=0,"",SUM(G71:I71))</f>
        <v/>
      </c>
    </row>
    <row r="72" spans="10:19" x14ac:dyDescent="0.25">
      <c r="J72" s="1" t="str">
        <f>IF(SUM(G72:I72)=0,"",SUM(G72:I72))</f>
        <v/>
      </c>
    </row>
    <row r="73" spans="10:19" x14ac:dyDescent="0.25">
      <c r="J73" s="1" t="str">
        <f>IF(SUM(G73:I73)=0,"",SUM(G73:I73))</f>
        <v/>
      </c>
    </row>
    <row r="74" spans="10:19" x14ac:dyDescent="0.25">
      <c r="J74" s="1" t="str">
        <f>IF(SUM(G74:I74)=0,"",SUM(G74:I74))</f>
        <v/>
      </c>
    </row>
    <row r="75" spans="10:19" x14ac:dyDescent="0.25">
      <c r="J75" s="1" t="str">
        <f>IF(SUM(G75:I75)=0,"",SUM(G75:I75))</f>
        <v/>
      </c>
    </row>
    <row r="76" spans="10:19" x14ac:dyDescent="0.25">
      <c r="J76" s="1" t="str">
        <f>IF(SUM(G76:I76)=0,"",SUM(G76:I76))</f>
        <v/>
      </c>
    </row>
  </sheetData>
  <sortState ref="A1:N76">
    <sortCondition descending="1" ref="D1:D100"/>
    <sortCondition ref="E1:E100"/>
    <sortCondition descending="1" ref="B1:B100"/>
  </sortState>
  <phoneticPr fontId="1" type="noConversion"/>
  <conditionalFormatting sqref="B21:B25 B1:B5 B18 B15 B27:B50 B7:B13 B52:B1048576">
    <cfRule type="duplicateValues" dxfId="37" priority="7"/>
  </conditionalFormatting>
  <conditionalFormatting sqref="A1:A5 A15:A16 A18:A19 A21:A25 A27:A50 A7:A13 A52:A1048576">
    <cfRule type="containsText" dxfId="36" priority="4" operator="containsText" text="RMF">
      <formula>NOT(ISERROR(SEARCH("RMF",A1)))</formula>
    </cfRule>
    <cfRule type="containsText" dxfId="35" priority="5" operator="containsText" text="LMF">
      <formula>NOT(ISERROR(SEARCH("LMF",A1)))</formula>
    </cfRule>
  </conditionalFormatting>
  <conditionalFormatting sqref="B17">
    <cfRule type="duplicateValues" dxfId="34" priority="3"/>
  </conditionalFormatting>
  <conditionalFormatting sqref="A17">
    <cfRule type="containsText" dxfId="33" priority="1" operator="containsText" text="RMF">
      <formula>NOT(ISERROR(SEARCH("RMF",A17)))</formula>
    </cfRule>
    <cfRule type="containsText" dxfId="32" priority="2" operator="containsText" text="LMF">
      <formula>NOT(ISERROR(SEARCH("LMF",A17)))</formula>
    </cfRule>
  </conditionalFormatting>
  <pageMargins left="0.7" right="0.7" top="0.75" bottom="0.75" header="0.3" footer="0.3"/>
  <ignoredErrors>
    <ignoredError sqref="O1:O22 O67:O1048576 O23:O31 O45:S50 O52:S66 O51:P51 R51:S5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S15"/>
  <sheetViews>
    <sheetView tabSelected="1" workbookViewId="0">
      <selection activeCell="C10" sqref="C10"/>
    </sheetView>
  </sheetViews>
  <sheetFormatPr defaultColWidth="8.875" defaultRowHeight="15.75" x14ac:dyDescent="0.25"/>
  <cols>
    <col min="1" max="8" width="9" style="1" customWidth="1"/>
    <col min="9" max="9" width="21.125" style="1" customWidth="1"/>
    <col min="10" max="17" width="9" style="1" customWidth="1"/>
    <col min="18" max="16384" width="8.875" style="1"/>
  </cols>
  <sheetData>
    <row r="1" spans="1:19" x14ac:dyDescent="0.25">
      <c r="A1" s="5" t="s">
        <v>170</v>
      </c>
      <c r="B1" s="5" t="s">
        <v>171</v>
      </c>
      <c r="C1" s="5" t="s">
        <v>172</v>
      </c>
      <c r="D1" s="5" t="s">
        <v>203</v>
      </c>
      <c r="E1" s="5" t="s">
        <v>204</v>
      </c>
      <c r="F1" s="5" t="s">
        <v>205</v>
      </c>
      <c r="G1" s="5" t="s">
        <v>173</v>
      </c>
      <c r="R1" s="5">
        <v>7</v>
      </c>
      <c r="S1" s="1">
        <v>207.16666670000001</v>
      </c>
    </row>
    <row r="2" spans="1:19" ht="18" x14ac:dyDescent="0.25">
      <c r="A2" s="1" t="str">
        <f ca="1">MID(CELL("filename",GK!A1),FIND("]",CELL("filename",GK!A1))+1,256)</f>
        <v>GK</v>
      </c>
      <c r="B2" s="1">
        <f>COUNTIF(GK!A:A,"*")</f>
        <v>43</v>
      </c>
      <c r="C2" s="1">
        <f>COUNTIF(GK!D:D,"&lt;=4")</f>
        <v>7</v>
      </c>
      <c r="D2" s="1">
        <f>COUNTIF(GK!D:D,"=5")</f>
        <v>25</v>
      </c>
      <c r="E2" s="1">
        <f>COUNTIF(GK!D:D,"=6")</f>
        <v>9</v>
      </c>
      <c r="F2" s="1">
        <f>COUNTIF(GK!D:D,"=7")</f>
        <v>2</v>
      </c>
      <c r="G2" s="1">
        <f t="shared" ref="G2:G14" si="0">SUM(D2:F2)</f>
        <v>36</v>
      </c>
      <c r="H2" s="16">
        <f>ROUND(G$15/11/4*3,0)</f>
        <v>27</v>
      </c>
      <c r="I2" s="6">
        <f>IF(G2-H2=0,"",(G2-H2)/H2*100/11)</f>
        <v>3.0303030303030298</v>
      </c>
      <c r="R2" s="5">
        <v>6</v>
      </c>
      <c r="S2" s="1">
        <v>193.7380952</v>
      </c>
    </row>
    <row r="3" spans="1:19" ht="18" x14ac:dyDescent="0.25">
      <c r="A3" s="1" t="s">
        <v>93</v>
      </c>
      <c r="B3" s="1">
        <f>COUNTIF(CB!A:A,"*")</f>
        <v>77</v>
      </c>
      <c r="C3" s="1">
        <f>COUNTIF(CB!D:D,"&lt;=4")</f>
        <v>7</v>
      </c>
      <c r="D3" s="1">
        <f>COUNTIF(CB!D:D,"=5")</f>
        <v>44</v>
      </c>
      <c r="E3" s="1">
        <f>COUNTIF(CB!D:D,"=6")</f>
        <v>19</v>
      </c>
      <c r="F3" s="1">
        <f>COUNTIF(CB!D:D,"=7")</f>
        <v>7</v>
      </c>
      <c r="G3" s="1">
        <f t="shared" si="0"/>
        <v>70</v>
      </c>
      <c r="H3" s="16">
        <f>ROUND(G$15/11*2,0)</f>
        <v>72</v>
      </c>
      <c r="I3" s="6">
        <f t="shared" ref="I3:I14" si="1">IF(G3-H3=0,"",(G3-H3)/H3*100/11)</f>
        <v>-0.25252525252525254</v>
      </c>
      <c r="R3" s="5">
        <v>5</v>
      </c>
      <c r="S3" s="1">
        <v>183.76237620000001</v>
      </c>
    </row>
    <row r="4" spans="1:19" ht="18" x14ac:dyDescent="0.25">
      <c r="A4" s="1" t="s">
        <v>1</v>
      </c>
      <c r="B4" s="1">
        <f>COUNTIF(LB!A:A,"*")</f>
        <v>38</v>
      </c>
      <c r="C4" s="1">
        <f>COUNTIF(LB!D:D,"&lt;=4")</f>
        <v>6</v>
      </c>
      <c r="D4" s="1">
        <f>COUNTIF(LB!D:D,"=5")</f>
        <v>21</v>
      </c>
      <c r="E4" s="1">
        <f>COUNTIF(LB!D:D,"=6")</f>
        <v>9</v>
      </c>
      <c r="F4" s="1">
        <f>COUNTIF(LB!D:D,"=7")</f>
        <v>2</v>
      </c>
      <c r="G4" s="1">
        <f t="shared" si="0"/>
        <v>32</v>
      </c>
      <c r="H4" s="16">
        <f>ROUND(G$15/11,0)</f>
        <v>36</v>
      </c>
      <c r="I4" s="6">
        <f t="shared" si="1"/>
        <v>-1.0101010101010102</v>
      </c>
      <c r="R4" s="5">
        <v>4</v>
      </c>
      <c r="S4" s="1">
        <v>172.3673469</v>
      </c>
    </row>
    <row r="5" spans="1:19" ht="18" x14ac:dyDescent="0.25">
      <c r="A5" s="1" t="s">
        <v>37</v>
      </c>
      <c r="B5" s="1">
        <f>COUNTIF(RB!A:A,"*")</f>
        <v>37</v>
      </c>
      <c r="C5" s="1">
        <f>COUNTIF(RB!D:D,"&lt;=4")</f>
        <v>8</v>
      </c>
      <c r="D5" s="1">
        <f>COUNTIF(RB!D:D,"=5")</f>
        <v>18</v>
      </c>
      <c r="E5" s="1">
        <f>COUNTIF(RB!D:D,"=6")</f>
        <v>11</v>
      </c>
      <c r="F5" s="1">
        <f>COUNTIF(RB!D:D,"=7")</f>
        <v>0</v>
      </c>
      <c r="G5" s="1">
        <f t="shared" si="0"/>
        <v>29</v>
      </c>
      <c r="H5" s="16">
        <f t="shared" ref="H5:H7" si="2">ROUND(G$15/11,0)</f>
        <v>36</v>
      </c>
      <c r="I5" s="6">
        <f t="shared" si="1"/>
        <v>-1.767676767676768</v>
      </c>
    </row>
    <row r="6" spans="1:19" ht="18" x14ac:dyDescent="0.25">
      <c r="A6" s="1" t="s">
        <v>40</v>
      </c>
      <c r="B6" s="1">
        <f>COUNTIF(DMF!A:A,"*")</f>
        <v>34</v>
      </c>
      <c r="C6" s="1">
        <f>COUNTIF(DMF!D:D,"&lt;=4")</f>
        <v>5</v>
      </c>
      <c r="D6" s="1">
        <f>COUNTIF(DMF!D:D,"=5")</f>
        <v>21</v>
      </c>
      <c r="E6" s="1">
        <f>COUNTIF(DMF!D:D,"=6")</f>
        <v>6</v>
      </c>
      <c r="F6" s="1">
        <f>COUNTIF(DMF!D:D,"=7")</f>
        <v>2</v>
      </c>
      <c r="G6" s="1">
        <f t="shared" si="0"/>
        <v>29</v>
      </c>
      <c r="H6" s="16">
        <f t="shared" si="2"/>
        <v>36</v>
      </c>
      <c r="I6" s="6">
        <f t="shared" si="1"/>
        <v>-1.767676767676768</v>
      </c>
    </row>
    <row r="7" spans="1:19" ht="18" x14ac:dyDescent="0.25">
      <c r="A7" s="1" t="s">
        <v>47</v>
      </c>
      <c r="B7" s="1">
        <f>COUNTIF(CMF!A:A,"*")</f>
        <v>44</v>
      </c>
      <c r="C7" s="1">
        <f>COUNTIF(CMF!D:D,"&lt;=4")</f>
        <v>7</v>
      </c>
      <c r="D7" s="1">
        <f>COUNTIF(CMF!D:D,"=5")</f>
        <v>24</v>
      </c>
      <c r="E7" s="1">
        <f>COUNTIF(CMF!D:D,"=6")</f>
        <v>11</v>
      </c>
      <c r="F7" s="1">
        <f>COUNTIF(CMF!D:D,"=7")</f>
        <v>2</v>
      </c>
      <c r="G7" s="1">
        <f t="shared" si="0"/>
        <v>37</v>
      </c>
      <c r="H7" s="16">
        <f t="shared" si="2"/>
        <v>36</v>
      </c>
      <c r="I7" s="6">
        <f t="shared" si="1"/>
        <v>0.25252525252525254</v>
      </c>
    </row>
    <row r="8" spans="1:19" ht="18" x14ac:dyDescent="0.25">
      <c r="A8" s="1" t="s">
        <v>558</v>
      </c>
      <c r="B8" s="1">
        <f>COUNTIF(LMF!A:A,"*")</f>
        <v>12</v>
      </c>
      <c r="C8" s="1">
        <f>COUNTIF(LMF!D:D,"&lt;=4")</f>
        <v>2</v>
      </c>
      <c r="D8" s="1">
        <f>COUNTIF(LMF!D:D,"=5")</f>
        <v>3</v>
      </c>
      <c r="E8" s="1">
        <f>COUNTIF(LMF!D:D,"=6")</f>
        <v>4</v>
      </c>
      <c r="F8" s="1">
        <f>COUNTIF(LMF!D:D,"=7")</f>
        <v>3</v>
      </c>
      <c r="G8" s="1">
        <f t="shared" si="0"/>
        <v>10</v>
      </c>
      <c r="H8" s="16">
        <f>ROUND(G$15/11/3,0)</f>
        <v>12</v>
      </c>
      <c r="I8" s="6">
        <f t="shared" si="1"/>
        <v>-1.5151515151515149</v>
      </c>
    </row>
    <row r="9" spans="1:19" ht="18" x14ac:dyDescent="0.25">
      <c r="A9" s="1" t="s">
        <v>559</v>
      </c>
      <c r="B9" s="1">
        <f>COUNTIF(RMF!A:A,"*")</f>
        <v>12</v>
      </c>
      <c r="C9" s="1">
        <f>COUNTIF(RMF!D:D,"&lt;=4")</f>
        <v>0</v>
      </c>
      <c r="D9" s="1">
        <f>COUNTIF(RMF!D:D,"=5")</f>
        <v>4</v>
      </c>
      <c r="E9" s="1">
        <f>COUNTIF(RMF!D:D,"=6")</f>
        <v>8</v>
      </c>
      <c r="F9" s="1">
        <f>COUNTIF(RMF!D:D,"=7")</f>
        <v>0</v>
      </c>
      <c r="G9" s="1">
        <f t="shared" si="0"/>
        <v>12</v>
      </c>
      <c r="H9" s="16">
        <f>ROUND(G$15/11/3,0)</f>
        <v>12</v>
      </c>
      <c r="I9" s="6" t="str">
        <f t="shared" si="1"/>
        <v/>
      </c>
    </row>
    <row r="10" spans="1:19" ht="18" x14ac:dyDescent="0.25">
      <c r="A10" s="1" t="s">
        <v>0</v>
      </c>
      <c r="B10" s="1">
        <f>COUNTIF(AMF!A:A,"*")</f>
        <v>50</v>
      </c>
      <c r="C10" s="1">
        <f>COUNTIF(AMF!D:D,"&lt;=4")</f>
        <v>6</v>
      </c>
      <c r="D10" s="1">
        <f>COUNTIF(AMF!D:D,"=5")</f>
        <v>31</v>
      </c>
      <c r="E10" s="1">
        <f>COUNTIF(AMF!D:D,"=6")</f>
        <v>10</v>
      </c>
      <c r="F10" s="1">
        <f>COUNTIF(AMF!D:D,"=7")</f>
        <v>3</v>
      </c>
      <c r="G10" s="1">
        <f t="shared" si="0"/>
        <v>44</v>
      </c>
      <c r="H10" s="16">
        <f>ROUND(G$15/11,0)</f>
        <v>36</v>
      </c>
      <c r="I10" s="6">
        <f t="shared" si="1"/>
        <v>2.0202020202020203</v>
      </c>
    </row>
    <row r="11" spans="1:19" ht="18" x14ac:dyDescent="0.25">
      <c r="A11" s="1" t="s">
        <v>69</v>
      </c>
      <c r="B11" s="1">
        <f>COUNTIF(CF!A:A,"*")</f>
        <v>57</v>
      </c>
      <c r="C11" s="1">
        <f>COUNTIF(CF!D:D,"&lt;=4")</f>
        <v>10</v>
      </c>
      <c r="D11" s="1">
        <f>COUNTIF(CF!D:D,"=5")</f>
        <v>29</v>
      </c>
      <c r="E11" s="1">
        <f>COUNTIF(CF!D:D,"=6")</f>
        <v>12</v>
      </c>
      <c r="F11" s="1">
        <f>COUNTIF(CF!D:D,"=7")</f>
        <v>6</v>
      </c>
      <c r="G11" s="1">
        <f t="shared" si="0"/>
        <v>47</v>
      </c>
      <c r="H11" s="16">
        <f t="shared" ref="H11" si="3">ROUND(G$15/11,0)</f>
        <v>36</v>
      </c>
      <c r="I11" s="6">
        <f t="shared" si="1"/>
        <v>2.7777777777777781</v>
      </c>
    </row>
    <row r="12" spans="1:19" ht="18" x14ac:dyDescent="0.25">
      <c r="A12" s="1" t="s">
        <v>81</v>
      </c>
      <c r="B12" s="1">
        <f>COUNTIF(SS!A:A,"*")</f>
        <v>14</v>
      </c>
      <c r="C12" s="1">
        <f>COUNTIF(SS!D:D,"&lt;=4")</f>
        <v>1</v>
      </c>
      <c r="D12" s="1">
        <f>COUNTIF(SS!D:D,"=5")</f>
        <v>9</v>
      </c>
      <c r="E12" s="1">
        <f>COUNTIF(SS!D:D,"=6")</f>
        <v>2</v>
      </c>
      <c r="F12" s="1">
        <f>COUNTIF(SS!D:D,"=7")</f>
        <v>2</v>
      </c>
      <c r="G12" s="1">
        <f t="shared" si="0"/>
        <v>13</v>
      </c>
      <c r="H12" s="16">
        <f>ROUND(G$15/11/2,0)</f>
        <v>18</v>
      </c>
      <c r="I12" s="6">
        <f t="shared" si="1"/>
        <v>-2.5252525252525255</v>
      </c>
    </row>
    <row r="13" spans="1:19" ht="18" x14ac:dyDescent="0.25">
      <c r="A13" s="1" t="s">
        <v>60</v>
      </c>
      <c r="B13" s="1">
        <f>COUNTA(RWF!A:A)</f>
        <v>23</v>
      </c>
      <c r="C13" s="1">
        <f>COUNTIF(RWF!D:D,"&lt;=4")</f>
        <v>5</v>
      </c>
      <c r="D13" s="1">
        <f>COUNTIF(RWF!D:D,"=5")</f>
        <v>13</v>
      </c>
      <c r="E13" s="1">
        <f>COUNTIF(RWF!D:D,"=6")</f>
        <v>4</v>
      </c>
      <c r="F13" s="1">
        <f>COUNTIF(RWF!D:D,"=7")</f>
        <v>1</v>
      </c>
      <c r="G13" s="1">
        <f t="shared" si="0"/>
        <v>18</v>
      </c>
      <c r="H13" s="16">
        <f t="shared" ref="H13:H14" si="4">ROUND(G$15/11/2,0)</f>
        <v>18</v>
      </c>
      <c r="I13" s="6" t="str">
        <f t="shared" si="1"/>
        <v/>
      </c>
    </row>
    <row r="14" spans="1:19" ht="18" x14ac:dyDescent="0.25">
      <c r="A14" s="1" t="s">
        <v>89</v>
      </c>
      <c r="B14" s="1">
        <f>COUNTIF(LWF!A:A,"*")</f>
        <v>21</v>
      </c>
      <c r="C14" s="1">
        <f>COUNTIF(LWF!D:D,"&lt;=4")</f>
        <v>4</v>
      </c>
      <c r="D14" s="1">
        <f>COUNTIF(LWF!D:D,"=5")</f>
        <v>13</v>
      </c>
      <c r="E14" s="1">
        <f>COUNTIF(LWF!D:D,"=6")</f>
        <v>2</v>
      </c>
      <c r="F14" s="1">
        <f>COUNTIF(LWF!D:D,"=7")</f>
        <v>2</v>
      </c>
      <c r="G14" s="1">
        <f t="shared" si="0"/>
        <v>17</v>
      </c>
      <c r="H14" s="16">
        <f t="shared" si="4"/>
        <v>18</v>
      </c>
      <c r="I14" s="6">
        <f t="shared" si="1"/>
        <v>-0.50505050505050508</v>
      </c>
    </row>
    <row r="15" spans="1:19" x14ac:dyDescent="0.25">
      <c r="B15" s="1">
        <f t="shared" ref="B15:G15" si="5">SUM(B2:B14)</f>
        <v>462</v>
      </c>
      <c r="C15" s="1">
        <f t="shared" si="5"/>
        <v>68</v>
      </c>
      <c r="D15" s="1">
        <f t="shared" si="5"/>
        <v>255</v>
      </c>
      <c r="E15" s="1">
        <f t="shared" si="5"/>
        <v>107</v>
      </c>
      <c r="F15" s="1">
        <f t="shared" si="5"/>
        <v>32</v>
      </c>
      <c r="G15" s="1">
        <f t="shared" si="5"/>
        <v>394</v>
      </c>
      <c r="H15" s="16">
        <f>SUM(H2:H14)</f>
        <v>393</v>
      </c>
    </row>
  </sheetData>
  <phoneticPr fontId="1" type="noConversion"/>
  <conditionalFormatting sqref="G16:G1048576 I2:I14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{1861BF9B-C254-4AC3-98A2-A335E7FB7A10}</x14:id>
        </ext>
      </extLst>
    </cfRule>
  </conditionalFormatting>
  <conditionalFormatting sqref="C2:C14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{B3517B08-4180-4352-9EAB-CB33479BFB66}</x14:id>
        </ext>
      </extLst>
    </cfRule>
  </conditionalFormatting>
  <conditionalFormatting sqref="C26:C2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:F14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{8F4EAB93-6114-45DE-BD3C-E72C0C86B152}</x14:id>
        </ext>
      </extLst>
    </cfRule>
  </conditionalFormatting>
  <conditionalFormatting sqref="D2:D14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{32D6F69D-519F-4F2F-9F9F-5DB9CE1AF3E4}</x14:id>
        </ext>
      </extLst>
    </cfRule>
  </conditionalFormatting>
  <conditionalFormatting sqref="L1:L1048576"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M22:M1048576 M1:M17 K18:K21"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N1:N1048576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1:O1048576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Q5:Q1048576 S1:S4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R5:R1048576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S5:S1048576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T1:T104857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39:E1048576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{1DCA8459-55D4-47C8-88AA-B3B2A96232DB}</x14:id>
        </ext>
      </extLst>
    </cfRule>
  </conditionalFormatting>
  <conditionalFormatting sqref="E2:E14">
    <cfRule type="dataBar" priority="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{6ED57F31-7CC1-4363-B061-A134E61F74BE}</x14:id>
        </ext>
      </extLst>
    </cfRule>
  </conditionalFormatting>
  <conditionalFormatting sqref="E25:E242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61BF9B-C254-4AC3-98A2-A335E7FB7A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G16:G1048576 I2:I14</xm:sqref>
        </x14:conditionalFormatting>
        <x14:conditionalFormatting xmlns:xm="http://schemas.microsoft.com/office/excel/2006/main">
          <x14:cfRule type="dataBar" id="{B3517B08-4180-4352-9EAB-CB33479BFB6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C2:C14</xm:sqref>
        </x14:conditionalFormatting>
        <x14:conditionalFormatting xmlns:xm="http://schemas.microsoft.com/office/excel/2006/main">
          <x14:cfRule type="dataBar" id="{8F4EAB93-6114-45DE-BD3C-E72C0C86B1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F2:F14</xm:sqref>
        </x14:conditionalFormatting>
        <x14:conditionalFormatting xmlns:xm="http://schemas.microsoft.com/office/excel/2006/main">
          <x14:cfRule type="dataBar" id="{32D6F69D-519F-4F2F-9F9F-5DB9CE1AF3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D2:D14</xm:sqref>
        </x14:conditionalFormatting>
        <x14:conditionalFormatting xmlns:xm="http://schemas.microsoft.com/office/excel/2006/main">
          <x14:cfRule type="dataBar" id="{1DCA8459-55D4-47C8-88AA-B3B2A96232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E39:E1048576</xm:sqref>
        </x14:conditionalFormatting>
        <x14:conditionalFormatting xmlns:xm="http://schemas.microsoft.com/office/excel/2006/main">
          <x14:cfRule type="dataBar" id="{6ED57F31-7CC1-4363-B061-A134E61F74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E2:E14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86"/>
  <sheetViews>
    <sheetView topLeftCell="A65" workbookViewId="0">
      <selection activeCell="K86" sqref="K86"/>
    </sheetView>
  </sheetViews>
  <sheetFormatPr defaultColWidth="8.875" defaultRowHeight="15.75" x14ac:dyDescent="0.25"/>
  <cols>
    <col min="1" max="1" width="6" style="1" customWidth="1"/>
    <col min="2" max="2" width="4" style="1" bestFit="1" customWidth="1"/>
    <col min="3" max="3" width="5.625" style="1" customWidth="1"/>
    <col min="4" max="4" width="2.875" style="1" customWidth="1"/>
    <col min="5" max="5" width="4" style="1" bestFit="1" customWidth="1"/>
    <col min="6" max="6" width="20.625" style="7" customWidth="1"/>
    <col min="7" max="9" width="4" style="1" bestFit="1" customWidth="1"/>
    <col min="10" max="10" width="5.125" style="1" bestFit="1" customWidth="1"/>
    <col min="11" max="11" width="15.625" style="7" customWidth="1"/>
    <col min="12" max="12" width="30.625" style="7" customWidth="1"/>
    <col min="13" max="13" width="9.625" style="7" bestFit="1" customWidth="1"/>
    <col min="14" max="16384" width="8.875" style="1"/>
  </cols>
  <sheetData>
    <row r="1" spans="1:13" x14ac:dyDescent="0.25">
      <c r="A1" s="1" t="s">
        <v>530</v>
      </c>
      <c r="B1" s="1" t="s">
        <v>231</v>
      </c>
      <c r="C1" s="1">
        <v>4</v>
      </c>
      <c r="D1" s="1">
        <v>22</v>
      </c>
      <c r="E1" s="1">
        <v>72</v>
      </c>
      <c r="F1" s="7">
        <v>50</v>
      </c>
      <c r="G1" s="1">
        <v>65</v>
      </c>
      <c r="H1" s="1">
        <v>51</v>
      </c>
      <c r="I1" s="1">
        <f t="shared" ref="I1:I10" si="0">IF(SUM(F1:H1)=0,"",SUM(F1:H1))</f>
        <v>166</v>
      </c>
      <c r="J1" s="1" t="s">
        <v>29</v>
      </c>
      <c r="K1" s="7" t="s">
        <v>85</v>
      </c>
      <c r="M1" s="1"/>
    </row>
    <row r="2" spans="1:13" x14ac:dyDescent="0.25">
      <c r="A2" s="1" t="s">
        <v>531</v>
      </c>
      <c r="B2" s="1" t="s">
        <v>262</v>
      </c>
      <c r="C2" s="1">
        <v>4</v>
      </c>
      <c r="D2" s="1">
        <v>23</v>
      </c>
      <c r="E2" s="1">
        <v>71</v>
      </c>
      <c r="F2" s="7">
        <v>68</v>
      </c>
      <c r="G2" s="1">
        <v>53</v>
      </c>
      <c r="H2" s="1">
        <v>54</v>
      </c>
      <c r="I2" s="1">
        <f t="shared" si="0"/>
        <v>175</v>
      </c>
      <c r="J2" s="1" t="s">
        <v>120</v>
      </c>
      <c r="K2" s="7" t="s">
        <v>264</v>
      </c>
      <c r="M2" s="1"/>
    </row>
    <row r="3" spans="1:13" x14ac:dyDescent="0.25">
      <c r="A3" s="1" t="s">
        <v>532</v>
      </c>
      <c r="B3" s="1" t="s">
        <v>183</v>
      </c>
      <c r="C3" s="1">
        <v>4</v>
      </c>
      <c r="D3" s="1">
        <v>24</v>
      </c>
      <c r="E3" s="1">
        <v>75</v>
      </c>
      <c r="F3" s="7">
        <v>57</v>
      </c>
      <c r="G3" s="1">
        <v>59</v>
      </c>
      <c r="H3" s="1">
        <v>51</v>
      </c>
      <c r="I3" s="1">
        <f t="shared" si="0"/>
        <v>167</v>
      </c>
      <c r="J3" s="1" t="s">
        <v>17</v>
      </c>
      <c r="K3" s="7" t="s">
        <v>107</v>
      </c>
      <c r="M3" s="1"/>
    </row>
    <row r="4" spans="1:13" x14ac:dyDescent="0.25">
      <c r="A4" s="1" t="s">
        <v>533</v>
      </c>
      <c r="B4" s="1" t="s">
        <v>225</v>
      </c>
      <c r="C4" s="1">
        <v>4</v>
      </c>
      <c r="D4" s="1">
        <v>22</v>
      </c>
      <c r="E4" s="1">
        <v>74</v>
      </c>
      <c r="F4" s="7">
        <v>55</v>
      </c>
      <c r="G4" s="1">
        <v>50</v>
      </c>
      <c r="H4" s="1">
        <v>54</v>
      </c>
      <c r="I4" s="1">
        <f t="shared" si="0"/>
        <v>159</v>
      </c>
      <c r="J4" s="1" t="s">
        <v>215</v>
      </c>
      <c r="K4" s="7" t="s">
        <v>226</v>
      </c>
      <c r="M4" s="1"/>
    </row>
    <row r="5" spans="1:13" x14ac:dyDescent="0.25">
      <c r="A5" s="1" t="s">
        <v>534</v>
      </c>
      <c r="B5" s="1" t="s">
        <v>131</v>
      </c>
      <c r="C5" s="1">
        <v>4</v>
      </c>
      <c r="D5" s="1">
        <v>23</v>
      </c>
      <c r="E5" s="1">
        <v>71</v>
      </c>
      <c r="F5" s="7">
        <v>51</v>
      </c>
      <c r="G5" s="1">
        <v>59</v>
      </c>
      <c r="H5" s="1">
        <v>53</v>
      </c>
      <c r="I5" s="1">
        <f t="shared" si="0"/>
        <v>163</v>
      </c>
      <c r="J5" s="1" t="s">
        <v>17</v>
      </c>
      <c r="M5" s="1"/>
    </row>
    <row r="6" spans="1:13" x14ac:dyDescent="0.25">
      <c r="A6" s="1" t="s">
        <v>535</v>
      </c>
      <c r="B6" s="1" t="s">
        <v>270</v>
      </c>
      <c r="C6" s="1">
        <v>4</v>
      </c>
      <c r="D6" s="1">
        <v>18</v>
      </c>
      <c r="E6" s="1">
        <v>67</v>
      </c>
      <c r="F6" s="7">
        <v>73</v>
      </c>
      <c r="G6" s="1">
        <v>43</v>
      </c>
      <c r="H6" s="1">
        <v>33</v>
      </c>
      <c r="I6" s="1">
        <f t="shared" si="0"/>
        <v>149</v>
      </c>
      <c r="J6" s="1" t="s">
        <v>42</v>
      </c>
      <c r="K6" s="7" t="s">
        <v>282</v>
      </c>
    </row>
    <row r="7" spans="1:13" x14ac:dyDescent="0.25">
      <c r="A7" s="1" t="s">
        <v>124</v>
      </c>
      <c r="B7" s="1" t="s">
        <v>146</v>
      </c>
      <c r="C7" s="1">
        <v>4</v>
      </c>
      <c r="D7" s="1">
        <v>22</v>
      </c>
      <c r="E7" s="1">
        <v>73</v>
      </c>
      <c r="F7" s="7">
        <v>74</v>
      </c>
      <c r="G7" s="1">
        <v>55</v>
      </c>
      <c r="H7" s="1">
        <v>40</v>
      </c>
      <c r="I7" s="1">
        <f t="shared" si="0"/>
        <v>169</v>
      </c>
      <c r="K7" s="7" t="s">
        <v>20</v>
      </c>
    </row>
    <row r="8" spans="1:13" ht="18" x14ac:dyDescent="0.25">
      <c r="A8" s="1" t="s">
        <v>60</v>
      </c>
      <c r="B8" s="1" t="s">
        <v>66</v>
      </c>
      <c r="C8" s="1">
        <v>4</v>
      </c>
      <c r="D8" s="1">
        <v>23</v>
      </c>
      <c r="E8" s="1">
        <v>73</v>
      </c>
      <c r="F8" s="7">
        <v>60</v>
      </c>
      <c r="G8" s="1">
        <v>67</v>
      </c>
      <c r="H8" s="1">
        <v>59</v>
      </c>
      <c r="I8" s="1">
        <f t="shared" si="0"/>
        <v>186</v>
      </c>
    </row>
    <row r="9" spans="1:13" x14ac:dyDescent="0.25">
      <c r="A9" s="1" t="s">
        <v>127</v>
      </c>
      <c r="B9" s="1" t="s">
        <v>146</v>
      </c>
      <c r="C9" s="1">
        <v>4</v>
      </c>
      <c r="D9" s="1">
        <v>19</v>
      </c>
      <c r="E9" s="1">
        <v>66</v>
      </c>
      <c r="F9" s="7">
        <v>57</v>
      </c>
      <c r="G9" s="1">
        <v>50</v>
      </c>
      <c r="H9" s="1">
        <v>51</v>
      </c>
      <c r="I9" s="1">
        <f t="shared" si="0"/>
        <v>158</v>
      </c>
      <c r="J9" s="1" t="s">
        <v>120</v>
      </c>
      <c r="K9" s="7" t="s">
        <v>71</v>
      </c>
    </row>
    <row r="10" spans="1:13" x14ac:dyDescent="0.25">
      <c r="A10" s="1" t="s">
        <v>47</v>
      </c>
      <c r="B10" s="1" t="s">
        <v>48</v>
      </c>
      <c r="C10" s="1">
        <v>4</v>
      </c>
      <c r="D10" s="1">
        <v>23</v>
      </c>
      <c r="E10" s="1">
        <v>72</v>
      </c>
      <c r="F10" s="7">
        <v>61</v>
      </c>
      <c r="G10" s="1">
        <v>52</v>
      </c>
      <c r="H10" s="1">
        <v>52</v>
      </c>
      <c r="I10" s="1">
        <f t="shared" si="0"/>
        <v>165</v>
      </c>
      <c r="J10" s="1" t="s">
        <v>186</v>
      </c>
    </row>
    <row r="11" spans="1:13" x14ac:dyDescent="0.25">
      <c r="A11" s="1" t="s">
        <v>79</v>
      </c>
      <c r="B11" s="1" t="s">
        <v>91</v>
      </c>
      <c r="C11" s="1">
        <v>4</v>
      </c>
      <c r="D11" s="1">
        <v>23</v>
      </c>
      <c r="E11" s="1">
        <v>75</v>
      </c>
      <c r="F11" s="7">
        <v>52</v>
      </c>
      <c r="G11" s="1">
        <v>69</v>
      </c>
      <c r="H11" s="1">
        <v>64</v>
      </c>
      <c r="I11" s="1">
        <f t="shared" ref="I11:I16" si="1">IF(SUM(F11:H11)=0,"",SUM(F11:H11))</f>
        <v>185</v>
      </c>
      <c r="J11" s="1" t="s">
        <v>50</v>
      </c>
      <c r="K11" s="7" t="s">
        <v>107</v>
      </c>
    </row>
    <row r="12" spans="1:13" x14ac:dyDescent="0.25">
      <c r="A12" s="1" t="s">
        <v>324</v>
      </c>
      <c r="B12" s="1" t="s">
        <v>325</v>
      </c>
      <c r="C12" s="1">
        <v>4</v>
      </c>
      <c r="D12" s="1">
        <v>23</v>
      </c>
      <c r="E12" s="1">
        <v>74</v>
      </c>
      <c r="F12" s="7">
        <v>50</v>
      </c>
      <c r="G12" s="1">
        <v>75</v>
      </c>
      <c r="H12" s="1">
        <v>69</v>
      </c>
      <c r="I12" s="1">
        <f t="shared" si="1"/>
        <v>194</v>
      </c>
      <c r="J12" s="1" t="s">
        <v>59</v>
      </c>
      <c r="K12" s="7" t="s">
        <v>208</v>
      </c>
    </row>
    <row r="13" spans="1:13" x14ac:dyDescent="0.25">
      <c r="A13" s="1" t="s">
        <v>322</v>
      </c>
      <c r="B13" s="1" t="s">
        <v>323</v>
      </c>
      <c r="C13" s="1">
        <v>4</v>
      </c>
      <c r="D13" s="1">
        <v>24</v>
      </c>
      <c r="E13" s="1">
        <v>77</v>
      </c>
      <c r="F13" s="7">
        <v>75</v>
      </c>
      <c r="G13" s="1">
        <v>48</v>
      </c>
      <c r="H13" s="1">
        <v>54</v>
      </c>
      <c r="I13" s="1">
        <f t="shared" si="1"/>
        <v>177</v>
      </c>
      <c r="J13" s="1" t="s">
        <v>17</v>
      </c>
    </row>
    <row r="14" spans="1:13" x14ac:dyDescent="0.25">
      <c r="A14" s="1" t="s">
        <v>132</v>
      </c>
      <c r="B14" s="1" t="s">
        <v>217</v>
      </c>
      <c r="C14" s="1">
        <v>4</v>
      </c>
      <c r="D14" s="1">
        <v>23</v>
      </c>
      <c r="E14" s="1">
        <v>76</v>
      </c>
      <c r="F14" s="7">
        <v>59</v>
      </c>
      <c r="G14" s="1">
        <v>64</v>
      </c>
      <c r="H14" s="1">
        <v>53</v>
      </c>
      <c r="I14" s="1">
        <f t="shared" si="1"/>
        <v>176</v>
      </c>
      <c r="J14" s="1" t="s">
        <v>29</v>
      </c>
      <c r="K14" s="7" t="s">
        <v>158</v>
      </c>
    </row>
    <row r="15" spans="1:13" x14ac:dyDescent="0.25">
      <c r="A15" s="1" t="s">
        <v>5</v>
      </c>
      <c r="B15" s="1" t="s">
        <v>145</v>
      </c>
      <c r="C15" s="1">
        <v>4</v>
      </c>
      <c r="D15" s="1">
        <v>24</v>
      </c>
      <c r="E15" s="1">
        <v>76</v>
      </c>
      <c r="F15" s="7">
        <v>68</v>
      </c>
      <c r="G15" s="1">
        <v>52</v>
      </c>
      <c r="H15" s="1">
        <v>61</v>
      </c>
      <c r="I15" s="1">
        <f t="shared" si="1"/>
        <v>181</v>
      </c>
      <c r="J15" s="1" t="s">
        <v>52</v>
      </c>
    </row>
    <row r="16" spans="1:13" x14ac:dyDescent="0.25">
      <c r="A16" s="1" t="s">
        <v>78</v>
      </c>
      <c r="B16" s="1" t="s">
        <v>73</v>
      </c>
      <c r="C16" s="1">
        <v>4</v>
      </c>
      <c r="D16" s="1">
        <v>23</v>
      </c>
      <c r="E16" s="1">
        <v>72</v>
      </c>
      <c r="F16" s="7">
        <v>46</v>
      </c>
      <c r="G16" s="1">
        <v>75</v>
      </c>
      <c r="H16" s="1">
        <v>58</v>
      </c>
      <c r="I16" s="1">
        <f t="shared" si="1"/>
        <v>179</v>
      </c>
      <c r="J16" s="1" t="s">
        <v>52</v>
      </c>
    </row>
    <row r="17" spans="1:11" x14ac:dyDescent="0.25">
      <c r="A17" s="1" t="s">
        <v>141</v>
      </c>
      <c r="B17" s="1" t="s">
        <v>142</v>
      </c>
      <c r="C17" s="1">
        <v>4</v>
      </c>
      <c r="D17" s="1">
        <v>23</v>
      </c>
      <c r="E17" s="1">
        <v>75</v>
      </c>
      <c r="F17" s="7">
        <v>74</v>
      </c>
      <c r="G17" s="1">
        <v>63</v>
      </c>
      <c r="H17" s="1">
        <v>58</v>
      </c>
      <c r="I17" s="1">
        <f t="shared" ref="I17:I22" si="2">IF(SUM(F17:H17)=0,"",SUM(F17:H17))</f>
        <v>195</v>
      </c>
      <c r="J17" s="1" t="s">
        <v>70</v>
      </c>
      <c r="K17" s="7" t="s">
        <v>143</v>
      </c>
    </row>
    <row r="18" spans="1:11" x14ac:dyDescent="0.25">
      <c r="A18" s="1" t="s">
        <v>4</v>
      </c>
      <c r="B18" s="1" t="s">
        <v>284</v>
      </c>
      <c r="C18" s="1">
        <v>4</v>
      </c>
      <c r="D18" s="1">
        <v>24</v>
      </c>
      <c r="E18" s="1">
        <v>74</v>
      </c>
      <c r="F18" s="7">
        <v>53</v>
      </c>
      <c r="G18" s="1">
        <v>71</v>
      </c>
      <c r="H18" s="1">
        <v>52</v>
      </c>
      <c r="I18" s="1">
        <f t="shared" si="2"/>
        <v>176</v>
      </c>
      <c r="J18" s="1" t="s">
        <v>215</v>
      </c>
      <c r="K18" s="7" t="s">
        <v>285</v>
      </c>
    </row>
    <row r="19" spans="1:11" x14ac:dyDescent="0.25">
      <c r="A19" s="1" t="s">
        <v>5</v>
      </c>
      <c r="B19" s="1" t="s">
        <v>136</v>
      </c>
      <c r="C19" s="1">
        <v>4</v>
      </c>
      <c r="D19" s="1">
        <v>23</v>
      </c>
      <c r="E19" s="1">
        <v>74</v>
      </c>
      <c r="F19" s="7">
        <v>69</v>
      </c>
      <c r="G19" s="1">
        <v>64</v>
      </c>
      <c r="H19" s="1">
        <v>52</v>
      </c>
      <c r="I19" s="1">
        <f t="shared" si="2"/>
        <v>185</v>
      </c>
      <c r="J19" s="1" t="s">
        <v>58</v>
      </c>
      <c r="K19" s="7" t="s">
        <v>137</v>
      </c>
    </row>
    <row r="20" spans="1:11" x14ac:dyDescent="0.25">
      <c r="A20" s="1" t="s">
        <v>4</v>
      </c>
      <c r="B20" s="1" t="s">
        <v>270</v>
      </c>
      <c r="C20" s="1">
        <v>4</v>
      </c>
      <c r="D20" s="1">
        <v>22</v>
      </c>
      <c r="E20" s="1">
        <v>71</v>
      </c>
      <c r="F20" s="7">
        <v>55</v>
      </c>
      <c r="G20" s="1">
        <v>64</v>
      </c>
      <c r="H20" s="1">
        <v>46</v>
      </c>
      <c r="I20" s="1">
        <f t="shared" si="2"/>
        <v>165</v>
      </c>
      <c r="J20" s="1" t="s">
        <v>215</v>
      </c>
    </row>
    <row r="21" spans="1:11" ht="18" x14ac:dyDescent="0.25">
      <c r="A21" s="1" t="s">
        <v>333</v>
      </c>
      <c r="B21" s="1" t="s">
        <v>334</v>
      </c>
      <c r="C21" s="1">
        <v>4</v>
      </c>
      <c r="D21" s="1">
        <v>23</v>
      </c>
      <c r="E21" s="1">
        <v>71</v>
      </c>
      <c r="F21" s="7">
        <v>37</v>
      </c>
      <c r="G21" s="1">
        <v>50</v>
      </c>
      <c r="H21" s="1">
        <v>52</v>
      </c>
      <c r="I21" s="1">
        <f t="shared" si="2"/>
        <v>139</v>
      </c>
    </row>
    <row r="22" spans="1:11" x14ac:dyDescent="0.25">
      <c r="A22" s="1" t="s">
        <v>6</v>
      </c>
      <c r="B22" s="1" t="s">
        <v>193</v>
      </c>
      <c r="C22" s="1">
        <v>4</v>
      </c>
      <c r="D22" s="1">
        <v>22</v>
      </c>
      <c r="E22" s="1">
        <v>69</v>
      </c>
      <c r="F22" s="7">
        <v>59</v>
      </c>
      <c r="G22" s="1">
        <v>57</v>
      </c>
      <c r="H22" s="1">
        <v>40</v>
      </c>
      <c r="I22" s="1">
        <f t="shared" si="2"/>
        <v>156</v>
      </c>
      <c r="J22" s="1" t="s">
        <v>17</v>
      </c>
      <c r="K22" s="7" t="s">
        <v>195</v>
      </c>
    </row>
    <row r="23" spans="1:11" x14ac:dyDescent="0.25">
      <c r="A23" s="1" t="s">
        <v>132</v>
      </c>
      <c r="B23" s="1" t="s">
        <v>211</v>
      </c>
      <c r="C23" s="1">
        <v>5</v>
      </c>
      <c r="D23" s="1">
        <v>23</v>
      </c>
      <c r="E23" s="1">
        <v>79</v>
      </c>
      <c r="F23" s="7">
        <v>64</v>
      </c>
      <c r="G23" s="1">
        <v>59</v>
      </c>
      <c r="H23" s="1">
        <v>57</v>
      </c>
      <c r="I23" s="1">
        <f t="shared" ref="I23:I32" si="3">IF(SUM(F23:H23)=0,"",SUM(F23:H23))</f>
        <v>180</v>
      </c>
      <c r="J23" s="1" t="s">
        <v>29</v>
      </c>
      <c r="K23" s="7" t="s">
        <v>85</v>
      </c>
    </row>
    <row r="24" spans="1:11" x14ac:dyDescent="0.25">
      <c r="A24" s="1" t="s">
        <v>7</v>
      </c>
      <c r="B24" s="1" t="s">
        <v>159</v>
      </c>
      <c r="C24" s="1">
        <v>5</v>
      </c>
      <c r="D24" s="1">
        <v>23</v>
      </c>
      <c r="E24" s="1">
        <v>78</v>
      </c>
      <c r="F24" s="7">
        <v>43</v>
      </c>
      <c r="G24" s="1">
        <v>83</v>
      </c>
      <c r="H24" s="1">
        <v>62</v>
      </c>
      <c r="I24" s="1">
        <f t="shared" si="3"/>
        <v>188</v>
      </c>
      <c r="J24" s="1" t="s">
        <v>59</v>
      </c>
      <c r="K24" s="7" t="s">
        <v>161</v>
      </c>
    </row>
    <row r="25" spans="1:11" ht="18" x14ac:dyDescent="0.25">
      <c r="A25" s="1" t="s">
        <v>14</v>
      </c>
      <c r="B25" s="1" t="s">
        <v>16</v>
      </c>
      <c r="C25" s="1">
        <v>5</v>
      </c>
      <c r="D25" s="1">
        <v>24</v>
      </c>
      <c r="E25" s="1">
        <v>78</v>
      </c>
      <c r="F25" s="7">
        <v>76</v>
      </c>
      <c r="G25" s="1">
        <v>49</v>
      </c>
      <c r="H25" s="1">
        <v>57</v>
      </c>
      <c r="I25" s="1">
        <f t="shared" si="3"/>
        <v>182</v>
      </c>
    </row>
    <row r="26" spans="1:11" x14ac:dyDescent="0.25">
      <c r="A26" s="1" t="s">
        <v>124</v>
      </c>
      <c r="B26" s="1" t="s">
        <v>273</v>
      </c>
      <c r="C26" s="1">
        <v>5</v>
      </c>
      <c r="D26" s="1">
        <v>24</v>
      </c>
      <c r="E26" s="1">
        <v>79</v>
      </c>
      <c r="F26" s="7">
        <v>77</v>
      </c>
      <c r="G26" s="1">
        <v>53</v>
      </c>
      <c r="H26" s="1">
        <v>50</v>
      </c>
      <c r="I26" s="1">
        <f t="shared" si="3"/>
        <v>180</v>
      </c>
      <c r="K26" s="7" t="s">
        <v>20</v>
      </c>
    </row>
    <row r="27" spans="1:11" x14ac:dyDescent="0.25">
      <c r="A27" s="1" t="s">
        <v>1</v>
      </c>
      <c r="B27" s="1" t="s">
        <v>99</v>
      </c>
      <c r="C27" s="1">
        <v>5</v>
      </c>
      <c r="D27" s="1">
        <v>24</v>
      </c>
      <c r="E27" s="1">
        <v>78</v>
      </c>
      <c r="F27" s="7">
        <v>62</v>
      </c>
      <c r="G27" s="1">
        <v>65</v>
      </c>
      <c r="H27" s="1">
        <v>59</v>
      </c>
      <c r="I27" s="1">
        <f t="shared" si="3"/>
        <v>186</v>
      </c>
      <c r="K27" s="7" t="s">
        <v>20</v>
      </c>
    </row>
    <row r="28" spans="1:11" x14ac:dyDescent="0.25">
      <c r="A28" s="1" t="s">
        <v>5</v>
      </c>
      <c r="B28" s="1" t="s">
        <v>274</v>
      </c>
      <c r="C28" s="1">
        <v>5</v>
      </c>
      <c r="D28" s="1">
        <v>24</v>
      </c>
      <c r="E28" s="1">
        <v>77</v>
      </c>
      <c r="F28" s="7">
        <v>52</v>
      </c>
      <c r="G28" s="1">
        <v>61</v>
      </c>
      <c r="H28" s="1">
        <v>61</v>
      </c>
      <c r="I28" s="1">
        <f t="shared" si="3"/>
        <v>174</v>
      </c>
      <c r="K28" s="7" t="s">
        <v>208</v>
      </c>
    </row>
    <row r="29" spans="1:11" x14ac:dyDescent="0.25">
      <c r="A29" s="1" t="s">
        <v>0</v>
      </c>
      <c r="B29" s="1" t="s">
        <v>54</v>
      </c>
      <c r="C29" s="1">
        <v>5</v>
      </c>
      <c r="D29" s="1">
        <v>24</v>
      </c>
      <c r="E29" s="1">
        <v>78</v>
      </c>
      <c r="F29" s="7">
        <v>53</v>
      </c>
      <c r="G29" s="1">
        <v>55</v>
      </c>
      <c r="H29" s="1">
        <v>67</v>
      </c>
      <c r="I29" s="1">
        <f t="shared" si="3"/>
        <v>175</v>
      </c>
      <c r="J29" s="1" t="s">
        <v>57</v>
      </c>
      <c r="K29" s="7" t="s">
        <v>301</v>
      </c>
    </row>
    <row r="30" spans="1:11" x14ac:dyDescent="0.25">
      <c r="A30" s="1" t="s">
        <v>79</v>
      </c>
      <c r="B30" s="1" t="s">
        <v>75</v>
      </c>
      <c r="C30" s="1">
        <v>5</v>
      </c>
      <c r="D30" s="1">
        <v>24</v>
      </c>
      <c r="E30" s="1">
        <v>79</v>
      </c>
      <c r="F30" s="7">
        <v>63</v>
      </c>
      <c r="G30" s="1">
        <v>71</v>
      </c>
      <c r="H30" s="1">
        <v>66</v>
      </c>
      <c r="I30" s="1">
        <f t="shared" si="3"/>
        <v>200</v>
      </c>
      <c r="J30" s="1" t="s">
        <v>58</v>
      </c>
      <c r="K30" s="7" t="s">
        <v>33</v>
      </c>
    </row>
    <row r="31" spans="1:11" ht="18" x14ac:dyDescent="0.25">
      <c r="A31" s="1" t="s">
        <v>141</v>
      </c>
      <c r="B31" s="1" t="s">
        <v>198</v>
      </c>
      <c r="C31" s="1">
        <v>5</v>
      </c>
      <c r="D31" s="1">
        <v>24</v>
      </c>
      <c r="E31" s="1">
        <v>79</v>
      </c>
      <c r="F31" s="7">
        <v>59</v>
      </c>
      <c r="G31" s="1">
        <v>65</v>
      </c>
      <c r="H31" s="1">
        <v>72</v>
      </c>
      <c r="I31" s="1">
        <f t="shared" si="3"/>
        <v>196</v>
      </c>
    </row>
    <row r="32" spans="1:11" x14ac:dyDescent="0.25">
      <c r="A32" s="1" t="s">
        <v>5</v>
      </c>
      <c r="B32" s="1" t="s">
        <v>207</v>
      </c>
      <c r="C32" s="1">
        <v>5</v>
      </c>
      <c r="D32" s="1">
        <v>24</v>
      </c>
      <c r="E32" s="1">
        <v>78</v>
      </c>
      <c r="F32" s="7">
        <v>50</v>
      </c>
      <c r="G32" s="1">
        <v>73</v>
      </c>
      <c r="H32" s="1">
        <v>61</v>
      </c>
      <c r="I32" s="1">
        <f t="shared" si="3"/>
        <v>184</v>
      </c>
      <c r="J32" s="1" t="s">
        <v>50</v>
      </c>
      <c r="K32" s="7" t="s">
        <v>208</v>
      </c>
    </row>
    <row r="33" spans="1:12" x14ac:dyDescent="0.25">
      <c r="A33" s="1" t="s">
        <v>69</v>
      </c>
      <c r="B33" s="1" t="s">
        <v>147</v>
      </c>
      <c r="C33" s="1">
        <v>4</v>
      </c>
      <c r="D33" s="1">
        <v>23</v>
      </c>
      <c r="E33" s="1">
        <v>74</v>
      </c>
      <c r="F33" s="7">
        <v>54</v>
      </c>
      <c r="G33" s="1">
        <v>67</v>
      </c>
      <c r="H33" s="1">
        <v>62</v>
      </c>
      <c r="I33" s="1">
        <f t="shared" ref="I33:I38" si="4">IF(SUM(F33:H33)=0,"",SUM(F33:H33))</f>
        <v>183</v>
      </c>
      <c r="J33" s="1" t="s">
        <v>92</v>
      </c>
      <c r="K33" s="7" t="s">
        <v>107</v>
      </c>
    </row>
    <row r="34" spans="1:12" x14ac:dyDescent="0.25">
      <c r="A34" s="1" t="s">
        <v>359</v>
      </c>
      <c r="B34" s="1" t="s">
        <v>360</v>
      </c>
      <c r="C34" s="1">
        <v>4</v>
      </c>
      <c r="D34" s="1">
        <v>24</v>
      </c>
      <c r="E34" s="1">
        <v>79</v>
      </c>
      <c r="F34" s="7">
        <v>72</v>
      </c>
      <c r="G34" s="1">
        <v>60</v>
      </c>
      <c r="H34" s="1">
        <v>56</v>
      </c>
      <c r="I34" s="1">
        <f t="shared" si="4"/>
        <v>188</v>
      </c>
      <c r="K34" s="7" t="s">
        <v>156</v>
      </c>
    </row>
    <row r="35" spans="1:12" x14ac:dyDescent="0.25">
      <c r="A35" s="1" t="s">
        <v>81</v>
      </c>
      <c r="B35" s="1" t="s">
        <v>56</v>
      </c>
      <c r="C35" s="1">
        <v>4</v>
      </c>
      <c r="D35" s="1">
        <v>21</v>
      </c>
      <c r="E35" s="1">
        <v>70</v>
      </c>
      <c r="F35" s="7">
        <v>38</v>
      </c>
      <c r="G35" s="1">
        <v>76</v>
      </c>
      <c r="H35" s="1">
        <v>50</v>
      </c>
      <c r="I35" s="1">
        <f t="shared" si="4"/>
        <v>164</v>
      </c>
      <c r="J35" s="1" t="s">
        <v>59</v>
      </c>
      <c r="K35" s="7" t="s">
        <v>82</v>
      </c>
    </row>
    <row r="36" spans="1:12" x14ac:dyDescent="0.25">
      <c r="A36" s="1" t="s">
        <v>124</v>
      </c>
      <c r="B36" s="1" t="s">
        <v>146</v>
      </c>
      <c r="C36" s="1">
        <v>4</v>
      </c>
      <c r="D36" s="1">
        <v>22</v>
      </c>
      <c r="E36" s="1">
        <v>73</v>
      </c>
      <c r="F36" s="7">
        <v>74</v>
      </c>
      <c r="G36" s="1">
        <v>56</v>
      </c>
      <c r="H36" s="1">
        <v>41</v>
      </c>
      <c r="I36" s="1">
        <f t="shared" si="4"/>
        <v>171</v>
      </c>
      <c r="K36" s="7" t="s">
        <v>20</v>
      </c>
    </row>
    <row r="37" spans="1:12" x14ac:dyDescent="0.25">
      <c r="A37" s="1" t="s">
        <v>6</v>
      </c>
      <c r="B37" s="1" t="s">
        <v>131</v>
      </c>
      <c r="C37" s="1">
        <v>4</v>
      </c>
      <c r="D37" s="1">
        <v>22</v>
      </c>
      <c r="E37" s="1">
        <v>70</v>
      </c>
      <c r="F37" s="7">
        <v>50</v>
      </c>
      <c r="G37" s="1">
        <v>59</v>
      </c>
      <c r="H37" s="1">
        <v>49</v>
      </c>
      <c r="I37" s="1">
        <f t="shared" si="4"/>
        <v>158</v>
      </c>
      <c r="J37" s="1" t="s">
        <v>17</v>
      </c>
    </row>
    <row r="38" spans="1:12" x14ac:dyDescent="0.25">
      <c r="A38" s="1" t="s">
        <v>328</v>
      </c>
      <c r="B38" s="1" t="s">
        <v>329</v>
      </c>
      <c r="C38" s="1">
        <v>4</v>
      </c>
      <c r="D38" s="1">
        <v>23</v>
      </c>
      <c r="E38" s="1">
        <v>76</v>
      </c>
      <c r="F38" s="7">
        <v>47</v>
      </c>
      <c r="G38" s="1">
        <v>67</v>
      </c>
      <c r="H38" s="1">
        <v>63</v>
      </c>
      <c r="I38" s="1">
        <f t="shared" si="4"/>
        <v>177</v>
      </c>
      <c r="J38" s="1" t="s">
        <v>52</v>
      </c>
      <c r="K38" s="7" t="s">
        <v>330</v>
      </c>
    </row>
    <row r="39" spans="1:12" x14ac:dyDescent="0.25">
      <c r="A39" s="1" t="s">
        <v>4</v>
      </c>
      <c r="B39" s="1" t="s">
        <v>214</v>
      </c>
      <c r="C39" s="1">
        <v>4</v>
      </c>
      <c r="D39" s="1">
        <v>21</v>
      </c>
      <c r="E39" s="1">
        <v>71</v>
      </c>
      <c r="F39" s="7">
        <v>53</v>
      </c>
      <c r="G39" s="1">
        <v>62</v>
      </c>
      <c r="H39" s="1">
        <v>49</v>
      </c>
      <c r="I39" s="1">
        <f>IF(SUM(F39:H39)=0,"",SUM(F39:H39))</f>
        <v>164</v>
      </c>
      <c r="J39" s="1" t="s">
        <v>215</v>
      </c>
      <c r="K39" s="7" t="s">
        <v>156</v>
      </c>
    </row>
    <row r="40" spans="1:12" x14ac:dyDescent="0.25">
      <c r="A40" s="1" t="s">
        <v>141</v>
      </c>
      <c r="B40" s="1" t="s">
        <v>237</v>
      </c>
      <c r="C40" s="1">
        <v>4</v>
      </c>
      <c r="D40" s="1">
        <v>24</v>
      </c>
      <c r="E40" s="1">
        <v>76</v>
      </c>
      <c r="F40" s="7">
        <v>69</v>
      </c>
      <c r="G40" s="1">
        <v>83</v>
      </c>
      <c r="H40" s="1">
        <v>63</v>
      </c>
      <c r="I40" s="1">
        <f>IF(SUM(F40:H40)=0,"",SUM(F40:H40))</f>
        <v>215</v>
      </c>
      <c r="J40" s="1" t="s">
        <v>120</v>
      </c>
      <c r="K40" s="7" t="s">
        <v>238</v>
      </c>
    </row>
    <row r="41" spans="1:12" x14ac:dyDescent="0.25">
      <c r="A41" s="1" t="s">
        <v>382</v>
      </c>
      <c r="B41" s="1">
        <v>78</v>
      </c>
      <c r="C41" s="1" t="s">
        <v>383</v>
      </c>
      <c r="D41" s="1">
        <v>5</v>
      </c>
      <c r="E41" s="1">
        <v>24</v>
      </c>
      <c r="F41" s="7" t="s">
        <v>58</v>
      </c>
      <c r="G41" s="1">
        <v>63</v>
      </c>
      <c r="H41" s="1">
        <v>71</v>
      </c>
      <c r="I41" s="1">
        <v>65</v>
      </c>
      <c r="J41" s="1">
        <f t="shared" ref="J41:J48" si="5">IF(SUM(G41:I41)=0,"",SUM(G41:I41))</f>
        <v>199</v>
      </c>
      <c r="L41" s="7" t="s">
        <v>88</v>
      </c>
    </row>
    <row r="42" spans="1:12" ht="18" x14ac:dyDescent="0.25">
      <c r="A42" s="1" t="s">
        <v>0</v>
      </c>
      <c r="B42" s="1">
        <v>77</v>
      </c>
      <c r="C42" s="1" t="s">
        <v>56</v>
      </c>
      <c r="D42" s="1">
        <v>5</v>
      </c>
      <c r="E42" s="1">
        <v>24</v>
      </c>
      <c r="G42" s="1">
        <v>59</v>
      </c>
      <c r="H42" s="1">
        <v>57</v>
      </c>
      <c r="I42" s="1">
        <v>67</v>
      </c>
      <c r="J42" s="1">
        <f t="shared" si="5"/>
        <v>183</v>
      </c>
    </row>
    <row r="43" spans="1:12" x14ac:dyDescent="0.25">
      <c r="A43" s="1" t="s">
        <v>37</v>
      </c>
      <c r="B43" s="1">
        <v>76</v>
      </c>
      <c r="C43" s="1" t="s">
        <v>36</v>
      </c>
      <c r="D43" s="1">
        <v>5</v>
      </c>
      <c r="E43" s="1">
        <v>23</v>
      </c>
      <c r="F43" s="7" t="s">
        <v>29</v>
      </c>
      <c r="G43" s="1">
        <v>58</v>
      </c>
      <c r="H43" s="1">
        <v>89</v>
      </c>
      <c r="I43" s="1">
        <v>41</v>
      </c>
      <c r="J43" s="1">
        <f t="shared" si="5"/>
        <v>188</v>
      </c>
      <c r="L43" s="7" t="s">
        <v>35</v>
      </c>
    </row>
    <row r="44" spans="1:12" x14ac:dyDescent="0.25">
      <c r="A44" s="1" t="s">
        <v>27</v>
      </c>
      <c r="B44" s="1">
        <v>78</v>
      </c>
      <c r="C44" s="1" t="s">
        <v>28</v>
      </c>
      <c r="D44" s="1">
        <v>5</v>
      </c>
      <c r="E44" s="1">
        <v>24</v>
      </c>
      <c r="F44" s="7" t="s">
        <v>29</v>
      </c>
      <c r="G44" s="1">
        <v>62</v>
      </c>
      <c r="H44" s="1">
        <v>62</v>
      </c>
      <c r="I44" s="1">
        <v>64</v>
      </c>
      <c r="J44" s="1">
        <f t="shared" si="5"/>
        <v>188</v>
      </c>
      <c r="L44" s="7" t="s">
        <v>30</v>
      </c>
    </row>
    <row r="45" spans="1:12" ht="18" x14ac:dyDescent="0.25">
      <c r="A45" s="1" t="s">
        <v>93</v>
      </c>
      <c r="B45" s="1">
        <v>78</v>
      </c>
      <c r="C45" s="1" t="s">
        <v>98</v>
      </c>
      <c r="D45" s="1">
        <v>5</v>
      </c>
      <c r="E45" s="1">
        <v>24</v>
      </c>
      <c r="G45" s="1">
        <v>85</v>
      </c>
      <c r="H45" s="1">
        <v>57</v>
      </c>
      <c r="I45" s="1">
        <v>53</v>
      </c>
      <c r="J45" s="1">
        <f t="shared" si="5"/>
        <v>195</v>
      </c>
    </row>
    <row r="46" spans="1:12" x14ac:dyDescent="0.25">
      <c r="A46" s="1" t="s">
        <v>415</v>
      </c>
      <c r="B46" s="1">
        <v>75</v>
      </c>
      <c r="C46" s="1" t="s">
        <v>176</v>
      </c>
      <c r="D46" s="1">
        <v>4</v>
      </c>
      <c r="E46" s="1">
        <v>23</v>
      </c>
      <c r="F46" s="7" t="s">
        <v>165</v>
      </c>
      <c r="G46" s="1">
        <v>69</v>
      </c>
      <c r="H46" s="1">
        <v>64</v>
      </c>
      <c r="I46" s="1">
        <v>51</v>
      </c>
      <c r="J46" s="1">
        <f t="shared" si="5"/>
        <v>184</v>
      </c>
    </row>
    <row r="47" spans="1:12" ht="18" x14ac:dyDescent="0.25">
      <c r="A47" s="1" t="s">
        <v>331</v>
      </c>
      <c r="B47" s="1">
        <v>76</v>
      </c>
      <c r="C47" s="1" t="s">
        <v>332</v>
      </c>
      <c r="D47" s="1">
        <v>4</v>
      </c>
      <c r="E47" s="1">
        <v>24</v>
      </c>
      <c r="G47" s="1">
        <v>57</v>
      </c>
      <c r="H47" s="1">
        <v>71</v>
      </c>
      <c r="I47" s="1">
        <v>61</v>
      </c>
      <c r="J47" s="1">
        <f t="shared" si="5"/>
        <v>189</v>
      </c>
    </row>
    <row r="48" spans="1:12" x14ac:dyDescent="0.25">
      <c r="A48" s="1" t="s">
        <v>336</v>
      </c>
      <c r="B48" s="1">
        <v>72</v>
      </c>
      <c r="C48" s="1" t="s">
        <v>80</v>
      </c>
      <c r="D48" s="1">
        <v>4</v>
      </c>
      <c r="E48" s="1">
        <v>22</v>
      </c>
      <c r="F48" s="7" t="s">
        <v>59</v>
      </c>
      <c r="G48" s="1">
        <v>55</v>
      </c>
      <c r="H48" s="1">
        <v>73</v>
      </c>
      <c r="I48" s="1">
        <v>53</v>
      </c>
      <c r="J48" s="1">
        <f t="shared" si="5"/>
        <v>181</v>
      </c>
    </row>
    <row r="49" spans="1:13" ht="18" x14ac:dyDescent="0.25">
      <c r="A49" s="1" t="s">
        <v>108</v>
      </c>
      <c r="B49" s="1">
        <v>76</v>
      </c>
      <c r="C49" s="1" t="s">
        <v>144</v>
      </c>
      <c r="D49" s="1">
        <v>5</v>
      </c>
      <c r="E49" s="1">
        <v>23</v>
      </c>
      <c r="G49" s="1">
        <v>80</v>
      </c>
      <c r="H49" s="1">
        <v>45</v>
      </c>
      <c r="I49" s="1">
        <v>49</v>
      </c>
      <c r="J49" s="1">
        <f t="shared" ref="J49:J54" si="6">IF(SUM(G49:I49)=0,"",SUM(G49:I49))</f>
        <v>174</v>
      </c>
    </row>
    <row r="50" spans="1:13" x14ac:dyDescent="0.25">
      <c r="A50" s="1" t="s">
        <v>288</v>
      </c>
      <c r="B50" s="1">
        <v>76</v>
      </c>
      <c r="C50" s="1" t="s">
        <v>277</v>
      </c>
      <c r="D50" s="1">
        <v>5</v>
      </c>
      <c r="E50" s="1">
        <v>23</v>
      </c>
      <c r="F50" s="7" t="s">
        <v>58</v>
      </c>
      <c r="G50" s="1">
        <v>72</v>
      </c>
      <c r="H50" s="1">
        <v>74</v>
      </c>
      <c r="I50" s="1">
        <v>60</v>
      </c>
      <c r="J50" s="1">
        <f t="shared" si="6"/>
        <v>206</v>
      </c>
    </row>
    <row r="51" spans="1:13" x14ac:dyDescent="0.25">
      <c r="A51" s="1" t="s">
        <v>5</v>
      </c>
      <c r="B51" s="1">
        <v>79</v>
      </c>
      <c r="C51" s="1" t="s">
        <v>175</v>
      </c>
      <c r="D51" s="1">
        <v>5</v>
      </c>
      <c r="E51" s="1">
        <v>23</v>
      </c>
      <c r="F51" s="7" t="s">
        <v>42</v>
      </c>
      <c r="G51" s="1">
        <v>67</v>
      </c>
      <c r="H51" s="1">
        <v>41</v>
      </c>
      <c r="I51" s="1">
        <v>67</v>
      </c>
      <c r="J51" s="1">
        <f t="shared" si="6"/>
        <v>175</v>
      </c>
      <c r="L51" s="7" t="s">
        <v>278</v>
      </c>
    </row>
    <row r="52" spans="1:13" x14ac:dyDescent="0.25">
      <c r="A52" s="1" t="s">
        <v>141</v>
      </c>
      <c r="B52" s="1">
        <v>77</v>
      </c>
      <c r="C52" s="1" t="s">
        <v>297</v>
      </c>
      <c r="D52" s="1">
        <v>5</v>
      </c>
      <c r="E52" s="1">
        <v>23</v>
      </c>
      <c r="F52" s="7" t="s">
        <v>72</v>
      </c>
      <c r="G52" s="1">
        <v>76</v>
      </c>
      <c r="H52" s="1">
        <v>62</v>
      </c>
      <c r="I52" s="1">
        <v>63</v>
      </c>
      <c r="J52" s="1">
        <f t="shared" si="6"/>
        <v>201</v>
      </c>
    </row>
    <row r="53" spans="1:13" x14ac:dyDescent="0.25">
      <c r="A53" s="1" t="s">
        <v>81</v>
      </c>
      <c r="B53" s="1">
        <v>78</v>
      </c>
      <c r="C53" s="1" t="s">
        <v>86</v>
      </c>
      <c r="D53" s="1">
        <v>5</v>
      </c>
      <c r="E53" s="1">
        <v>23</v>
      </c>
      <c r="G53" s="1">
        <v>50</v>
      </c>
      <c r="H53" s="1">
        <v>71</v>
      </c>
      <c r="I53" s="1">
        <v>68</v>
      </c>
      <c r="J53" s="1">
        <f t="shared" si="6"/>
        <v>189</v>
      </c>
      <c r="L53" s="7" t="s">
        <v>85</v>
      </c>
    </row>
    <row r="54" spans="1:13" x14ac:dyDescent="0.25">
      <c r="A54" s="1" t="s">
        <v>7</v>
      </c>
      <c r="B54" s="1">
        <v>80</v>
      </c>
      <c r="C54" s="1" t="s">
        <v>154</v>
      </c>
      <c r="D54" s="1">
        <v>5</v>
      </c>
      <c r="E54" s="1">
        <v>23</v>
      </c>
      <c r="F54" s="7" t="s">
        <v>59</v>
      </c>
      <c r="G54" s="1">
        <v>58</v>
      </c>
      <c r="H54" s="1">
        <v>79</v>
      </c>
      <c r="I54" s="1">
        <v>67</v>
      </c>
      <c r="J54" s="1">
        <f t="shared" si="6"/>
        <v>204</v>
      </c>
      <c r="L54" s="7" t="s">
        <v>306</v>
      </c>
    </row>
    <row r="55" spans="1:13" x14ac:dyDescent="0.25">
      <c r="A55" s="1" t="s">
        <v>93</v>
      </c>
      <c r="B55" s="1">
        <v>80</v>
      </c>
      <c r="C55" s="1" t="s">
        <v>103</v>
      </c>
      <c r="D55" s="1">
        <v>5</v>
      </c>
      <c r="E55" s="1">
        <v>24</v>
      </c>
      <c r="G55" s="1">
        <v>83</v>
      </c>
      <c r="H55" s="1">
        <v>64</v>
      </c>
      <c r="I55" s="1">
        <v>58</v>
      </c>
      <c r="J55" s="1">
        <f t="shared" ref="J55:J60" si="7">IF(SUM(G55:I55)=0,"",SUM(G55:I55))</f>
        <v>205</v>
      </c>
      <c r="L55" s="7" t="s">
        <v>112</v>
      </c>
    </row>
    <row r="56" spans="1:13" x14ac:dyDescent="0.25">
      <c r="A56" s="1" t="s">
        <v>37</v>
      </c>
      <c r="B56" s="1">
        <v>80</v>
      </c>
      <c r="C56" s="1" t="s">
        <v>113</v>
      </c>
      <c r="D56" s="1">
        <v>5</v>
      </c>
      <c r="E56" s="1">
        <v>24</v>
      </c>
      <c r="G56" s="1">
        <v>62</v>
      </c>
      <c r="H56" s="1">
        <v>67</v>
      </c>
      <c r="I56" s="1">
        <v>63</v>
      </c>
      <c r="J56" s="1">
        <f t="shared" si="7"/>
        <v>192</v>
      </c>
      <c r="L56" s="7" t="s">
        <v>71</v>
      </c>
    </row>
    <row r="57" spans="1:13" ht="18" x14ac:dyDescent="0.25">
      <c r="A57" s="1" t="s">
        <v>414</v>
      </c>
      <c r="B57" s="1">
        <v>78</v>
      </c>
      <c r="C57" s="1" t="s">
        <v>376</v>
      </c>
      <c r="D57" s="1">
        <v>5</v>
      </c>
      <c r="E57" s="1">
        <v>24</v>
      </c>
      <c r="G57" s="1">
        <v>76</v>
      </c>
      <c r="H57" s="1">
        <v>57</v>
      </c>
      <c r="I57" s="1">
        <v>59</v>
      </c>
      <c r="J57" s="1">
        <f t="shared" si="7"/>
        <v>192</v>
      </c>
    </row>
    <row r="58" spans="1:13" x14ac:dyDescent="0.25">
      <c r="A58" s="1" t="s">
        <v>393</v>
      </c>
      <c r="B58" s="1">
        <v>78</v>
      </c>
      <c r="C58" s="1" t="s">
        <v>394</v>
      </c>
      <c r="D58" s="1">
        <v>5</v>
      </c>
      <c r="E58" s="1">
        <v>24</v>
      </c>
      <c r="F58" s="7" t="s">
        <v>184</v>
      </c>
      <c r="G58" s="1">
        <v>52</v>
      </c>
      <c r="H58" s="1">
        <v>63</v>
      </c>
      <c r="I58" s="1">
        <v>72</v>
      </c>
      <c r="J58" s="1">
        <f t="shared" si="7"/>
        <v>187</v>
      </c>
      <c r="L58" s="7" t="s">
        <v>71</v>
      </c>
    </row>
    <row r="59" spans="1:13" x14ac:dyDescent="0.25">
      <c r="A59" s="1" t="s">
        <v>108</v>
      </c>
      <c r="B59" s="1">
        <v>79</v>
      </c>
      <c r="C59" s="1" t="s">
        <v>9</v>
      </c>
      <c r="D59" s="1">
        <v>5</v>
      </c>
      <c r="E59" s="1">
        <v>24</v>
      </c>
      <c r="F59" s="7" t="s">
        <v>10</v>
      </c>
      <c r="G59" s="1">
        <v>80</v>
      </c>
      <c r="H59" s="1">
        <v>50</v>
      </c>
      <c r="I59" s="1">
        <v>53</v>
      </c>
      <c r="J59" s="1">
        <f t="shared" si="7"/>
        <v>183</v>
      </c>
      <c r="L59" s="7" t="s">
        <v>456</v>
      </c>
      <c r="M59" s="7" t="s">
        <v>487</v>
      </c>
    </row>
    <row r="60" spans="1:13" x14ac:dyDescent="0.25">
      <c r="A60" s="1" t="s">
        <v>14</v>
      </c>
      <c r="B60" s="1">
        <v>81</v>
      </c>
      <c r="C60" s="1" t="s">
        <v>21</v>
      </c>
      <c r="D60" s="1">
        <v>5</v>
      </c>
      <c r="E60" s="1">
        <v>24</v>
      </c>
      <c r="F60" s="7" t="s">
        <v>22</v>
      </c>
      <c r="G60" s="1">
        <v>79</v>
      </c>
      <c r="H60" s="1">
        <v>64</v>
      </c>
      <c r="I60" s="1">
        <v>51</v>
      </c>
      <c r="J60" s="1">
        <f t="shared" si="7"/>
        <v>194</v>
      </c>
      <c r="L60" s="7" t="s">
        <v>23</v>
      </c>
      <c r="M60" s="7" t="s">
        <v>447</v>
      </c>
    </row>
    <row r="61" spans="1:13" x14ac:dyDescent="0.25">
      <c r="A61" s="1" t="s">
        <v>467</v>
      </c>
      <c r="B61" s="1">
        <v>71</v>
      </c>
      <c r="C61" s="1" t="s">
        <v>468</v>
      </c>
      <c r="D61" s="1">
        <v>4</v>
      </c>
      <c r="E61" s="1">
        <v>21</v>
      </c>
      <c r="G61" s="1">
        <v>48</v>
      </c>
      <c r="H61" s="1">
        <v>71</v>
      </c>
      <c r="I61" s="1">
        <v>55</v>
      </c>
      <c r="J61" s="1">
        <f t="shared" ref="J61:J66" si="8">IF(SUM(G61:I61)=0,"",SUM(G61:I61))</f>
        <v>174</v>
      </c>
      <c r="K61" s="7" t="s">
        <v>471</v>
      </c>
      <c r="L61" s="7" t="s">
        <v>469</v>
      </c>
      <c r="M61" s="7" t="s">
        <v>470</v>
      </c>
    </row>
    <row r="62" spans="1:13" x14ac:dyDescent="0.25">
      <c r="A62" s="1" t="s">
        <v>4</v>
      </c>
      <c r="B62" s="1">
        <v>78</v>
      </c>
      <c r="C62" s="1" t="s">
        <v>136</v>
      </c>
      <c r="D62" s="1">
        <v>5</v>
      </c>
      <c r="E62" s="1">
        <v>24</v>
      </c>
      <c r="F62" s="7" t="s">
        <v>268</v>
      </c>
      <c r="G62" s="1">
        <v>72</v>
      </c>
      <c r="H62" s="1">
        <v>69</v>
      </c>
      <c r="I62" s="1">
        <v>55</v>
      </c>
      <c r="J62" s="1">
        <f t="shared" si="8"/>
        <v>196</v>
      </c>
      <c r="L62" s="7" t="s">
        <v>269</v>
      </c>
      <c r="M62" s="7" t="s">
        <v>487</v>
      </c>
    </row>
    <row r="63" spans="1:13" x14ac:dyDescent="0.25">
      <c r="A63" s="1" t="s">
        <v>331</v>
      </c>
      <c r="B63" s="1">
        <v>78</v>
      </c>
      <c r="C63" s="1" t="s">
        <v>342</v>
      </c>
      <c r="D63" s="1">
        <v>5</v>
      </c>
      <c r="E63" s="1">
        <v>24</v>
      </c>
      <c r="F63" s="7" t="s">
        <v>58</v>
      </c>
      <c r="G63" s="1">
        <v>59</v>
      </c>
      <c r="H63" s="1">
        <v>59</v>
      </c>
      <c r="I63" s="1">
        <v>69</v>
      </c>
      <c r="J63" s="1">
        <f t="shared" si="8"/>
        <v>187</v>
      </c>
      <c r="L63" s="7" t="s">
        <v>343</v>
      </c>
      <c r="M63" s="7" t="s">
        <v>447</v>
      </c>
    </row>
    <row r="64" spans="1:13" x14ac:dyDescent="0.25">
      <c r="A64" s="1" t="s">
        <v>497</v>
      </c>
      <c r="B64" s="1">
        <v>74</v>
      </c>
      <c r="C64" s="1" t="s">
        <v>498</v>
      </c>
      <c r="D64" s="1">
        <v>4</v>
      </c>
      <c r="E64" s="1">
        <v>23</v>
      </c>
      <c r="G64" s="1">
        <v>53</v>
      </c>
      <c r="H64" s="1">
        <v>68</v>
      </c>
      <c r="I64" s="1">
        <v>62</v>
      </c>
      <c r="J64" s="1">
        <f t="shared" si="8"/>
        <v>183</v>
      </c>
      <c r="M64" s="7" t="s">
        <v>499</v>
      </c>
    </row>
    <row r="65" spans="1:13" x14ac:dyDescent="0.25">
      <c r="A65" s="1" t="s">
        <v>386</v>
      </c>
      <c r="B65" s="1">
        <v>79</v>
      </c>
      <c r="C65" s="1" t="s">
        <v>387</v>
      </c>
      <c r="D65" s="1">
        <v>5</v>
      </c>
      <c r="E65" s="1">
        <v>24</v>
      </c>
      <c r="F65" s="7" t="s">
        <v>42</v>
      </c>
      <c r="G65" s="1">
        <v>81</v>
      </c>
      <c r="H65" s="1">
        <v>45</v>
      </c>
      <c r="I65" s="1">
        <v>59</v>
      </c>
      <c r="J65" s="1">
        <f t="shared" si="8"/>
        <v>185</v>
      </c>
      <c r="M65" s="1" t="s">
        <v>447</v>
      </c>
    </row>
    <row r="66" spans="1:13" x14ac:dyDescent="0.25">
      <c r="A66" s="1" t="s">
        <v>488</v>
      </c>
      <c r="B66" s="1">
        <v>82</v>
      </c>
      <c r="C66" s="1" t="s">
        <v>489</v>
      </c>
      <c r="D66" s="1">
        <v>5</v>
      </c>
      <c r="E66" s="1">
        <v>24</v>
      </c>
      <c r="G66" s="1">
        <v>86</v>
      </c>
      <c r="H66" s="1">
        <v>38</v>
      </c>
      <c r="I66" s="1">
        <v>57</v>
      </c>
      <c r="J66" s="1">
        <f t="shared" si="8"/>
        <v>181</v>
      </c>
      <c r="M66" s="7" t="s">
        <v>490</v>
      </c>
    </row>
    <row r="67" spans="1:13" x14ac:dyDescent="0.25">
      <c r="A67" s="1" t="s">
        <v>302</v>
      </c>
      <c r="B67" s="1">
        <v>77</v>
      </c>
      <c r="C67" s="1" t="s">
        <v>145</v>
      </c>
      <c r="D67" s="1">
        <v>4</v>
      </c>
      <c r="E67" s="1">
        <v>24</v>
      </c>
      <c r="F67" s="7" t="s">
        <v>52</v>
      </c>
      <c r="G67" s="1">
        <v>68</v>
      </c>
      <c r="H67" s="1">
        <v>52</v>
      </c>
      <c r="I67" s="1">
        <v>61</v>
      </c>
      <c r="J67" s="1">
        <f t="shared" ref="J67:J75" si="9">IF(SUM(G67:I67)=0,"",SUM(G67:I67))</f>
        <v>181</v>
      </c>
      <c r="M67" s="1" t="s">
        <v>447</v>
      </c>
    </row>
    <row r="68" spans="1:13" x14ac:dyDescent="0.25">
      <c r="A68" s="1" t="s">
        <v>463</v>
      </c>
      <c r="B68" s="1">
        <v>72</v>
      </c>
      <c r="C68" s="1" t="s">
        <v>464</v>
      </c>
      <c r="D68" s="1">
        <v>4</v>
      </c>
      <c r="E68" s="1">
        <v>23</v>
      </c>
      <c r="F68" s="7" t="s">
        <v>465</v>
      </c>
      <c r="G68" s="1">
        <v>65</v>
      </c>
      <c r="H68" s="1">
        <v>29</v>
      </c>
      <c r="I68" s="1">
        <v>41</v>
      </c>
      <c r="J68" s="1">
        <f t="shared" si="9"/>
        <v>135</v>
      </c>
      <c r="M68" s="7" t="s">
        <v>466</v>
      </c>
    </row>
    <row r="69" spans="1:13" x14ac:dyDescent="0.25">
      <c r="A69" s="1" t="s">
        <v>445</v>
      </c>
      <c r="B69" s="1">
        <v>69</v>
      </c>
      <c r="C69" s="1" t="s">
        <v>446</v>
      </c>
      <c r="D69" s="1">
        <v>4</v>
      </c>
      <c r="E69" s="1">
        <v>19</v>
      </c>
      <c r="F69" s="7" t="s">
        <v>10</v>
      </c>
      <c r="G69" s="1">
        <v>57</v>
      </c>
      <c r="H69" s="1">
        <v>22</v>
      </c>
      <c r="I69" s="1">
        <v>30</v>
      </c>
      <c r="J69" s="1">
        <f t="shared" si="9"/>
        <v>109</v>
      </c>
      <c r="L69" s="7" t="s">
        <v>454</v>
      </c>
      <c r="M69" s="7" t="s">
        <v>447</v>
      </c>
    </row>
    <row r="70" spans="1:13" x14ac:dyDescent="0.25">
      <c r="A70" s="1" t="s">
        <v>69</v>
      </c>
      <c r="B70" s="1">
        <v>67</v>
      </c>
      <c r="C70" s="1" t="s">
        <v>808</v>
      </c>
      <c r="D70" s="1">
        <v>4</v>
      </c>
      <c r="E70" s="1">
        <v>21</v>
      </c>
      <c r="F70" s="7" t="s">
        <v>809</v>
      </c>
      <c r="G70" s="1">
        <v>32</v>
      </c>
      <c r="H70" s="1">
        <v>86</v>
      </c>
      <c r="I70" s="1">
        <v>55</v>
      </c>
      <c r="J70" s="1">
        <f t="shared" si="9"/>
        <v>173</v>
      </c>
      <c r="K70" s="7" t="s">
        <v>810</v>
      </c>
      <c r="L70" s="7" t="s">
        <v>811</v>
      </c>
      <c r="M70" s="7" t="s">
        <v>812</v>
      </c>
    </row>
    <row r="71" spans="1:13" x14ac:dyDescent="0.25">
      <c r="A71" s="1" t="s">
        <v>574</v>
      </c>
      <c r="B71" s="1">
        <v>76</v>
      </c>
      <c r="C71" s="1" t="s">
        <v>142</v>
      </c>
      <c r="D71" s="1">
        <v>4</v>
      </c>
      <c r="E71" s="1">
        <v>23</v>
      </c>
      <c r="F71" s="7" t="s">
        <v>59</v>
      </c>
      <c r="G71" s="1">
        <v>49</v>
      </c>
      <c r="H71" s="1">
        <v>76</v>
      </c>
      <c r="I71" s="1">
        <v>58</v>
      </c>
      <c r="J71" s="1">
        <f t="shared" si="9"/>
        <v>183</v>
      </c>
      <c r="L71" s="7" t="s">
        <v>222</v>
      </c>
      <c r="M71" s="7" t="s">
        <v>447</v>
      </c>
    </row>
    <row r="72" spans="1:13" x14ac:dyDescent="0.25">
      <c r="A72" s="1" t="s">
        <v>634</v>
      </c>
      <c r="B72" s="1" t="s">
        <v>635</v>
      </c>
      <c r="C72" s="1">
        <v>76</v>
      </c>
      <c r="D72" s="1">
        <v>6</v>
      </c>
      <c r="E72" s="1">
        <v>18</v>
      </c>
      <c r="F72" s="7" t="s">
        <v>636</v>
      </c>
      <c r="G72" s="1">
        <v>66</v>
      </c>
      <c r="H72" s="1">
        <v>64</v>
      </c>
      <c r="I72" s="1">
        <v>51</v>
      </c>
      <c r="J72" s="1">
        <f t="shared" si="9"/>
        <v>181</v>
      </c>
      <c r="L72" s="7" t="s">
        <v>637</v>
      </c>
      <c r="M72" s="7" t="s">
        <v>638</v>
      </c>
    </row>
    <row r="73" spans="1:13" x14ac:dyDescent="0.25">
      <c r="A73" s="1" t="s">
        <v>373</v>
      </c>
      <c r="B73" s="1" t="s">
        <v>374</v>
      </c>
      <c r="C73" s="1">
        <v>77</v>
      </c>
      <c r="D73" s="1">
        <v>6</v>
      </c>
      <c r="E73" s="1">
        <v>18</v>
      </c>
      <c r="F73" s="7" t="s">
        <v>165</v>
      </c>
      <c r="G73" s="1">
        <v>63</v>
      </c>
      <c r="H73" s="1">
        <v>53</v>
      </c>
      <c r="I73" s="1">
        <v>64</v>
      </c>
      <c r="J73" s="1">
        <f t="shared" si="9"/>
        <v>180</v>
      </c>
      <c r="L73" s="7" t="s">
        <v>375</v>
      </c>
      <c r="M73" s="7" t="s">
        <v>447</v>
      </c>
    </row>
    <row r="74" spans="1:13" x14ac:dyDescent="0.25">
      <c r="A74" s="1" t="s">
        <v>121</v>
      </c>
      <c r="B74" s="1" t="s">
        <v>218</v>
      </c>
      <c r="C74" s="1">
        <v>77</v>
      </c>
      <c r="D74" s="1">
        <v>6</v>
      </c>
      <c r="E74" s="1">
        <v>18</v>
      </c>
      <c r="F74" s="7" t="s">
        <v>58</v>
      </c>
      <c r="G74" s="1">
        <v>52</v>
      </c>
      <c r="H74" s="1">
        <v>59</v>
      </c>
      <c r="I74" s="1">
        <v>64</v>
      </c>
      <c r="J74" s="1">
        <f t="shared" si="9"/>
        <v>175</v>
      </c>
      <c r="L74" s="7" t="s">
        <v>221</v>
      </c>
      <c r="M74" s="7" t="s">
        <v>447</v>
      </c>
    </row>
    <row r="75" spans="1:13" x14ac:dyDescent="0.25">
      <c r="A75" s="1" t="s">
        <v>592</v>
      </c>
      <c r="B75" s="1" t="s">
        <v>593</v>
      </c>
      <c r="C75" s="1">
        <v>73</v>
      </c>
      <c r="D75" s="1">
        <v>6</v>
      </c>
      <c r="E75" s="1">
        <v>18</v>
      </c>
      <c r="F75" s="7" t="s">
        <v>594</v>
      </c>
      <c r="G75" s="1">
        <v>51</v>
      </c>
      <c r="H75" s="1">
        <v>75</v>
      </c>
      <c r="I75" s="1">
        <v>57</v>
      </c>
      <c r="J75" s="1">
        <f t="shared" si="9"/>
        <v>183</v>
      </c>
      <c r="K75" s="7" t="s">
        <v>595</v>
      </c>
      <c r="L75" s="7" t="s">
        <v>596</v>
      </c>
      <c r="M75" s="7" t="s">
        <v>597</v>
      </c>
    </row>
    <row r="76" spans="1:13" x14ac:dyDescent="0.25">
      <c r="A76" s="1" t="s">
        <v>7</v>
      </c>
      <c r="B76" s="1" t="s">
        <v>1312</v>
      </c>
      <c r="C76" s="1">
        <v>75</v>
      </c>
      <c r="D76" s="1">
        <v>6</v>
      </c>
      <c r="E76" s="1">
        <v>18</v>
      </c>
      <c r="F76" s="7" t="s">
        <v>1313</v>
      </c>
      <c r="G76" s="1">
        <v>26</v>
      </c>
      <c r="H76" s="1">
        <v>74</v>
      </c>
      <c r="I76" s="1">
        <v>64</v>
      </c>
      <c r="J76" s="1">
        <v>164</v>
      </c>
      <c r="K76" s="7" t="s">
        <v>1314</v>
      </c>
      <c r="L76" s="7" t="s">
        <v>188</v>
      </c>
      <c r="M76" s="7" t="s">
        <v>1315</v>
      </c>
    </row>
    <row r="77" spans="1:13" x14ac:dyDescent="0.25">
      <c r="A77" s="1" t="s">
        <v>3</v>
      </c>
      <c r="B77" s="1" t="s">
        <v>294</v>
      </c>
      <c r="C77" s="1">
        <v>77</v>
      </c>
      <c r="D77" s="1">
        <v>6</v>
      </c>
      <c r="E77" s="1">
        <v>20</v>
      </c>
      <c r="G77" s="1">
        <v>76</v>
      </c>
      <c r="H77" s="1">
        <v>59</v>
      </c>
      <c r="I77" s="1">
        <v>55</v>
      </c>
      <c r="J77" s="1">
        <v>190</v>
      </c>
      <c r="M77" s="7" t="s">
        <v>1315</v>
      </c>
    </row>
    <row r="78" spans="1:13" x14ac:dyDescent="0.25">
      <c r="A78" s="1" t="s">
        <v>132</v>
      </c>
      <c r="B78" s="1" t="s">
        <v>138</v>
      </c>
      <c r="C78" s="1">
        <v>78</v>
      </c>
      <c r="D78" s="1">
        <v>6</v>
      </c>
      <c r="E78" s="1">
        <v>20</v>
      </c>
      <c r="F78" s="7" t="s">
        <v>215</v>
      </c>
      <c r="G78" s="1">
        <v>59</v>
      </c>
      <c r="H78" s="1">
        <v>69</v>
      </c>
      <c r="I78" s="1">
        <v>64</v>
      </c>
      <c r="J78" s="1">
        <v>192</v>
      </c>
      <c r="L78" s="7" t="s">
        <v>190</v>
      </c>
      <c r="M78" s="7" t="s">
        <v>1315</v>
      </c>
    </row>
    <row r="79" spans="1:13" x14ac:dyDescent="0.25">
      <c r="A79" s="1" t="s">
        <v>6</v>
      </c>
      <c r="B79" s="1" t="s">
        <v>207</v>
      </c>
      <c r="C79" s="1">
        <v>78</v>
      </c>
      <c r="D79" s="1">
        <v>6</v>
      </c>
      <c r="E79" s="1">
        <v>20</v>
      </c>
      <c r="F79" s="7" t="s">
        <v>165</v>
      </c>
      <c r="G79" s="1">
        <v>77</v>
      </c>
      <c r="H79" s="1">
        <v>52</v>
      </c>
      <c r="I79" s="1">
        <v>56</v>
      </c>
      <c r="J79" s="1">
        <v>185</v>
      </c>
      <c r="L79" s="7" t="s">
        <v>85</v>
      </c>
      <c r="M79" s="7" t="s">
        <v>1315</v>
      </c>
    </row>
    <row r="80" spans="1:13" x14ac:dyDescent="0.25">
      <c r="A80" s="1" t="s">
        <v>124</v>
      </c>
      <c r="B80" s="1" t="s">
        <v>1316</v>
      </c>
      <c r="C80" s="1">
        <v>79</v>
      </c>
      <c r="D80" s="1">
        <v>6</v>
      </c>
      <c r="E80" s="1">
        <v>21</v>
      </c>
      <c r="G80" s="1">
        <v>74</v>
      </c>
      <c r="H80" s="1">
        <v>85</v>
      </c>
      <c r="I80" s="1">
        <v>46</v>
      </c>
      <c r="J80" s="1">
        <v>205</v>
      </c>
      <c r="L80" s="7" t="s">
        <v>20</v>
      </c>
      <c r="M80" s="7" t="s">
        <v>1315</v>
      </c>
    </row>
    <row r="81" spans="1:13" x14ac:dyDescent="0.25">
      <c r="A81" s="1" t="s">
        <v>4</v>
      </c>
      <c r="B81" s="1" t="s">
        <v>292</v>
      </c>
      <c r="C81" s="1">
        <v>80</v>
      </c>
      <c r="D81" s="1">
        <v>6</v>
      </c>
      <c r="E81" s="1">
        <v>21</v>
      </c>
      <c r="F81" s="7" t="s">
        <v>215</v>
      </c>
      <c r="G81" s="1">
        <v>54</v>
      </c>
      <c r="H81" s="1">
        <v>78</v>
      </c>
      <c r="I81" s="1">
        <v>59</v>
      </c>
      <c r="J81" s="1">
        <v>191</v>
      </c>
      <c r="L81" s="7" t="s">
        <v>1317</v>
      </c>
      <c r="M81" s="7" t="s">
        <v>1315</v>
      </c>
    </row>
    <row r="82" spans="1:13" x14ac:dyDescent="0.25">
      <c r="A82" s="1" t="s">
        <v>1318</v>
      </c>
      <c r="B82" s="1" t="s">
        <v>144</v>
      </c>
      <c r="C82" s="1">
        <v>81</v>
      </c>
      <c r="D82" s="1">
        <v>6</v>
      </c>
      <c r="E82" s="1">
        <v>23</v>
      </c>
      <c r="F82" s="7" t="s">
        <v>1319</v>
      </c>
      <c r="G82" s="1">
        <v>54</v>
      </c>
      <c r="H82" s="1">
        <v>96</v>
      </c>
      <c r="I82" s="1">
        <v>69</v>
      </c>
      <c r="J82" s="1">
        <v>219</v>
      </c>
      <c r="L82" s="7" t="s">
        <v>1320</v>
      </c>
      <c r="M82" s="7" t="s">
        <v>1315</v>
      </c>
    </row>
    <row r="83" spans="1:13" x14ac:dyDescent="0.25">
      <c r="A83" s="1" t="s">
        <v>1318</v>
      </c>
      <c r="B83" s="1" t="s">
        <v>199</v>
      </c>
      <c r="C83" s="1">
        <v>82</v>
      </c>
      <c r="D83" s="1">
        <v>6</v>
      </c>
      <c r="E83" s="1">
        <v>23</v>
      </c>
      <c r="F83" s="7" t="s">
        <v>184</v>
      </c>
      <c r="G83" s="1">
        <v>69</v>
      </c>
      <c r="H83" s="1">
        <v>74</v>
      </c>
      <c r="I83" s="1">
        <v>70</v>
      </c>
      <c r="J83" s="1">
        <v>213</v>
      </c>
      <c r="M83" s="7" t="s">
        <v>1315</v>
      </c>
    </row>
    <row r="84" spans="1:13" x14ac:dyDescent="0.25">
      <c r="A84" s="1" t="s">
        <v>3</v>
      </c>
      <c r="B84" s="1" t="s">
        <v>232</v>
      </c>
      <c r="C84" s="1">
        <v>84</v>
      </c>
      <c r="D84" s="1">
        <v>6</v>
      </c>
      <c r="E84" s="1">
        <v>23</v>
      </c>
      <c r="G84" s="1">
        <v>79</v>
      </c>
      <c r="H84" s="1">
        <v>71</v>
      </c>
      <c r="I84" s="1">
        <v>59</v>
      </c>
      <c r="J84" s="1">
        <v>209</v>
      </c>
      <c r="L84" s="7" t="s">
        <v>102</v>
      </c>
      <c r="M84" s="7" t="s">
        <v>1417</v>
      </c>
    </row>
    <row r="85" spans="1:13" x14ac:dyDescent="0.25">
      <c r="A85" s="1" t="s">
        <v>141</v>
      </c>
      <c r="B85" s="1" t="s">
        <v>1418</v>
      </c>
      <c r="C85" s="1">
        <v>86</v>
      </c>
      <c r="D85" s="1">
        <v>6</v>
      </c>
      <c r="E85" s="1">
        <v>24</v>
      </c>
      <c r="F85" s="7" t="s">
        <v>1419</v>
      </c>
      <c r="G85" s="1">
        <v>62</v>
      </c>
      <c r="H85" s="1">
        <v>81</v>
      </c>
      <c r="I85" s="1">
        <v>80</v>
      </c>
      <c r="J85" s="1">
        <v>223</v>
      </c>
      <c r="K85" s="7" t="s">
        <v>1314</v>
      </c>
      <c r="L85" s="7" t="s">
        <v>1420</v>
      </c>
      <c r="M85" s="7" t="s">
        <v>1417</v>
      </c>
    </row>
    <row r="86" spans="1:13" x14ac:dyDescent="0.25">
      <c r="A86" s="1" t="s">
        <v>141</v>
      </c>
      <c r="B86" s="1" t="s">
        <v>292</v>
      </c>
      <c r="C86" s="1">
        <v>86</v>
      </c>
      <c r="D86" s="1">
        <v>6</v>
      </c>
      <c r="E86" s="1">
        <v>23</v>
      </c>
      <c r="F86" s="7" t="s">
        <v>1419</v>
      </c>
      <c r="G86" s="1">
        <v>68</v>
      </c>
      <c r="H86" s="1">
        <v>72</v>
      </c>
      <c r="I86" s="1">
        <v>80</v>
      </c>
      <c r="J86" s="1">
        <v>220</v>
      </c>
      <c r="K86" s="7" t="s">
        <v>1421</v>
      </c>
      <c r="L86" s="7" t="s">
        <v>1422</v>
      </c>
      <c r="M86" s="7" t="s">
        <v>1417</v>
      </c>
    </row>
  </sheetData>
  <phoneticPr fontId="1" type="noConversion"/>
  <conditionalFormatting sqref="A1:A62 A76:A81 A83 A85:A1048576">
    <cfRule type="containsText" dxfId="31" priority="29" operator="containsText" text="RMF">
      <formula>NOT(ISERROR(SEARCH("RMF",A1)))</formula>
    </cfRule>
    <cfRule type="containsText" dxfId="30" priority="30" operator="containsText" text="LMF">
      <formula>NOT(ISERROR(SEARCH("LMF",A1)))</formula>
    </cfRule>
  </conditionalFormatting>
  <conditionalFormatting sqref="C1:C3 C7:C62 C5 C76:C81 C83 C85:C1048576">
    <cfRule type="duplicateValues" dxfId="29" priority="31"/>
  </conditionalFormatting>
  <conditionalFormatting sqref="A64">
    <cfRule type="containsText" dxfId="28" priority="27" operator="containsText" text="RMF">
      <formula>NOT(ISERROR(SEARCH("RMF",A64)))</formula>
    </cfRule>
    <cfRule type="containsText" dxfId="27" priority="28" operator="containsText" text="LMF">
      <formula>NOT(ISERROR(SEARCH("LMF",A64)))</formula>
    </cfRule>
  </conditionalFormatting>
  <conditionalFormatting sqref="C65">
    <cfRule type="duplicateValues" dxfId="26" priority="26"/>
  </conditionalFormatting>
  <conditionalFormatting sqref="A65">
    <cfRule type="containsText" dxfId="25" priority="24" operator="containsText" text="RMF">
      <formula>NOT(ISERROR(SEARCH("RMF",A65)))</formula>
    </cfRule>
    <cfRule type="containsText" dxfId="24" priority="25" operator="containsText" text="LMF">
      <formula>NOT(ISERROR(SEARCH("LMF",A65)))</formula>
    </cfRule>
  </conditionalFormatting>
  <conditionalFormatting sqref="A67">
    <cfRule type="containsText" dxfId="23" priority="22" operator="containsText" text="RMF">
      <formula>NOT(ISERROR(SEARCH("RMF",A67)))</formula>
    </cfRule>
    <cfRule type="containsText" dxfId="22" priority="23" operator="containsText" text="LMF">
      <formula>NOT(ISERROR(SEARCH("LMF",A67)))</formula>
    </cfRule>
  </conditionalFormatting>
  <conditionalFormatting sqref="C68">
    <cfRule type="duplicateValues" dxfId="21" priority="21"/>
  </conditionalFormatting>
  <conditionalFormatting sqref="A68">
    <cfRule type="containsText" dxfId="20" priority="19" operator="containsText" text="RMF">
      <formula>NOT(ISERROR(SEARCH("RMF",A68)))</formula>
    </cfRule>
    <cfRule type="containsText" dxfId="19" priority="20" operator="containsText" text="LMF">
      <formula>NOT(ISERROR(SEARCH("LMF",A68)))</formula>
    </cfRule>
  </conditionalFormatting>
  <conditionalFormatting sqref="C69">
    <cfRule type="duplicateValues" dxfId="18" priority="18"/>
  </conditionalFormatting>
  <conditionalFormatting sqref="A69">
    <cfRule type="containsText" dxfId="17" priority="16" operator="containsText" text="RMF">
      <formula>NOT(ISERROR(SEARCH("RMF",A69)))</formula>
    </cfRule>
    <cfRule type="containsText" dxfId="16" priority="17" operator="containsText" text="LMF">
      <formula>NOT(ISERROR(SEARCH("LMF",A69)))</formula>
    </cfRule>
  </conditionalFormatting>
  <conditionalFormatting sqref="C70">
    <cfRule type="duplicateValues" dxfId="15" priority="15"/>
  </conditionalFormatting>
  <conditionalFormatting sqref="A70">
    <cfRule type="containsText" dxfId="14" priority="13" operator="containsText" text="RMF">
      <formula>NOT(ISERROR(SEARCH("RMF",A70)))</formula>
    </cfRule>
    <cfRule type="containsText" dxfId="13" priority="14" operator="containsText" text="LMF">
      <formula>NOT(ISERROR(SEARCH("LMF",A70)))</formula>
    </cfRule>
  </conditionalFormatting>
  <conditionalFormatting sqref="B72">
    <cfRule type="duplicateValues" dxfId="12" priority="12"/>
  </conditionalFormatting>
  <conditionalFormatting sqref="A72">
    <cfRule type="containsText" dxfId="11" priority="10" operator="containsText" text="RMF">
      <formula>NOT(ISERROR(SEARCH("RMF",A72)))</formula>
    </cfRule>
    <cfRule type="containsText" dxfId="10" priority="11" operator="containsText" text="LMF">
      <formula>NOT(ISERROR(SEARCH("LMF",A72)))</formula>
    </cfRule>
  </conditionalFormatting>
  <conditionalFormatting sqref="B73">
    <cfRule type="duplicateValues" dxfId="9" priority="9"/>
  </conditionalFormatting>
  <conditionalFormatting sqref="A73">
    <cfRule type="containsText" dxfId="8" priority="7" operator="containsText" text="RMF">
      <formula>NOT(ISERROR(SEARCH("RMF",A73)))</formula>
    </cfRule>
    <cfRule type="containsText" dxfId="7" priority="8" operator="containsText" text="LMF">
      <formula>NOT(ISERROR(SEARCH("LMF",A73)))</formula>
    </cfRule>
  </conditionalFormatting>
  <conditionalFormatting sqref="B74">
    <cfRule type="duplicateValues" dxfId="6" priority="6"/>
  </conditionalFormatting>
  <conditionalFormatting sqref="A74">
    <cfRule type="containsText" dxfId="5" priority="4" operator="containsText" text="RMF">
      <formula>NOT(ISERROR(SEARCH("RMF",A74)))</formula>
    </cfRule>
    <cfRule type="containsText" dxfId="4" priority="5" operator="containsText" text="LMF">
      <formula>NOT(ISERROR(SEARCH("LMF",A74)))</formula>
    </cfRule>
  </conditionalFormatting>
  <conditionalFormatting sqref="B75">
    <cfRule type="duplicateValues" dxfId="3" priority="3"/>
  </conditionalFormatting>
  <conditionalFormatting sqref="A75">
    <cfRule type="containsText" dxfId="2" priority="1" operator="containsText" text="RMF">
      <formula>NOT(ISERROR(SEARCH("RMF",A75)))</formula>
    </cfRule>
    <cfRule type="containsText" dxfId="1" priority="2" operator="containsText" text="LMF">
      <formula>NOT(ISERROR(SEARCH("LMF",A75)))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M1"/>
  <sheetViews>
    <sheetView workbookViewId="0">
      <selection activeCell="C7" sqref="C7"/>
    </sheetView>
  </sheetViews>
  <sheetFormatPr defaultColWidth="8.875" defaultRowHeight="16.5" x14ac:dyDescent="0.25"/>
  <sheetData>
    <row r="1" spans="13:13" s="1" customFormat="1" ht="15.75" x14ac:dyDescent="0.25">
      <c r="M1" s="7"/>
    </row>
  </sheetData>
  <sortState ref="A1:J10">
    <sortCondition ref="E1:E10"/>
  </sortState>
  <phoneticPr fontId="1" type="noConversion"/>
  <conditionalFormatting sqref="B11">
    <cfRule type="duplicateValues" dxfId="0" priority="60"/>
  </conditionalFormatting>
  <conditionalFormatting sqref="D25:D1048576 D13 D11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GK</vt:lpstr>
      <vt:lpstr>CB</vt:lpstr>
      <vt:lpstr>LB</vt:lpstr>
      <vt:lpstr>RB</vt:lpstr>
      <vt:lpstr>DMF</vt:lpstr>
      <vt:lpstr>CMF</vt:lpstr>
      <vt:lpstr>LMF</vt:lpstr>
      <vt:lpstr>RMF</vt:lpstr>
      <vt:lpstr>AMF</vt:lpstr>
      <vt:lpstr>LWF</vt:lpstr>
      <vt:lpstr>RWF</vt:lpstr>
      <vt:lpstr>SS</vt:lpstr>
      <vt:lpstr>CF</vt:lpstr>
      <vt:lpstr>SUM</vt:lpstr>
      <vt:lpstr>USED</vt:lpstr>
      <vt:lpstr>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ran</dc:creator>
  <cp:lastModifiedBy>skyran</cp:lastModifiedBy>
  <dcterms:created xsi:type="dcterms:W3CDTF">2016-02-14T06:33:48Z</dcterms:created>
  <dcterms:modified xsi:type="dcterms:W3CDTF">2017-04-03T01:21:46Z</dcterms:modified>
</cp:coreProperties>
</file>