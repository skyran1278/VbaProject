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odels\"/>
    </mc:Choice>
  </mc:AlternateContent>
  <xr:revisionPtr revIDLastSave="0" documentId="13_ncr:1_{70491FB0-BC11-48B6-8F31-48AE30209873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Masses'!$A$1:$K$12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<sst xmlns="http://schemas.openxmlformats.org/spreadsheetml/2006/main" count="4248" uniqueCount="163">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</sst>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sortState xmlns:xlrd2="http://schemas.microsoft.com/office/spreadsheetml/2017/richdata2"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opLeftCell="S1" workbookViewId="0">
      <selection activeCell="AE5" sqref="AE5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8.6120148293863968E-2</v>
      </c>
      <c r="AG10" s="39" t="s">
        <v>70</v>
      </c>
      <c r="AH10" s="39"/>
      <c r="AI10" s="16">
        <f>-AK15/SQRT(AK16^2+AL16^2)</f>
        <v>1.3363663046668623</v>
      </c>
    </row>
    <row r="11" spans="1:41" ht="18" customHeight="1" x14ac:dyDescent="0.25">
      <c r="W11" s="33" t="s">
        <v>129</v>
      </c>
      <c r="X11" s="16">
        <f>Z17/Z15</f>
        <v>0.10959370507679504</v>
      </c>
      <c r="AG11" s="39" t="s">
        <v>130</v>
      </c>
      <c r="AH11" s="39"/>
      <c r="AI11" s="34">
        <f>-AK15/SQRT(AK17^2+AL17^2)</f>
        <v>0.90697211155378488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131.57</v>
      </c>
      <c r="E14" s="11">
        <f>D14</f>
        <v>131.57</v>
      </c>
      <c r="F14" s="11">
        <f>IF(D14="","",($D$1*3)*$D$1)</f>
        <v>432</v>
      </c>
      <c r="G14" s="22">
        <f>IFERROR(E14/F14,"")</f>
        <v>0.30456018518518518</v>
      </c>
      <c r="J14" s="32" t="s">
        <v>64</v>
      </c>
      <c r="K14" s="11">
        <v>12.274606</v>
      </c>
      <c r="L14" s="11">
        <f>IF(K14&gt;0,K14*9.81,"")</f>
        <v>120.41388486000001</v>
      </c>
      <c r="M14" s="11">
        <f>IF(K14="","",($D$1*3)*$D$1)</f>
        <v>432</v>
      </c>
      <c r="N14" s="22">
        <f t="shared" ref="N14:N20" si="0">IF((L14= "")+(M14=""),"",L14/M14)</f>
        <v>0.27873584458333334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263.14</v>
      </c>
      <c r="E15" s="11">
        <f>IF(D15-D14&gt;0,D15-D14,"")</f>
        <v>131.57</v>
      </c>
      <c r="F15" s="11">
        <f t="shared" ref="F15:F78" si="1">IF(D15="","",($D$1*3)*$D$1)</f>
        <v>432</v>
      </c>
      <c r="G15" s="22">
        <f t="shared" ref="G15:G78" si="2">IFERROR(E15/F15,"")</f>
        <v>0.30456018518518518</v>
      </c>
      <c r="J15" s="32" t="s">
        <v>126</v>
      </c>
      <c r="K15" s="11">
        <v>13.254594000000001</v>
      </c>
      <c r="L15" s="11">
        <f t="shared" ref="L15:L28" si="3">IF(K15&gt;0,K15*9.81,"")</f>
        <v>130.02756714</v>
      </c>
      <c r="M15" s="11">
        <f t="shared" ref="M15:M78" si="4">IF(K15="","",($D$1*3)*$D$1)</f>
        <v>432</v>
      </c>
      <c r="N15" s="22">
        <f t="shared" si="0"/>
        <v>0.30098973875000001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528.67999999999995</v>
      </c>
      <c r="AA15" s="11">
        <v>0</v>
      </c>
      <c r="AB15" s="11">
        <v>0</v>
      </c>
      <c r="AC15" s="11">
        <v>0</v>
      </c>
      <c r="AD15" s="11">
        <v>0</v>
      </c>
      <c r="AE15" s="11">
        <v>-9516.2060000000001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-45.53</v>
      </c>
      <c r="AL15" s="11">
        <v>0</v>
      </c>
      <c r="AM15" s="11">
        <v>0</v>
      </c>
      <c r="AN15" s="11">
        <v>0</v>
      </c>
      <c r="AO15" s="11">
        <v>-569.12</v>
      </c>
    </row>
    <row r="16" spans="1:41" ht="18" customHeight="1" x14ac:dyDescent="0.25">
      <c r="C16" s="32" t="s">
        <v>17</v>
      </c>
      <c r="D16" s="11">
        <v>394.71</v>
      </c>
      <c r="E16" s="11">
        <f t="shared" ref="E16:E24" si="7">IF(D16-D15&gt;0,D16-D15,"")</f>
        <v>131.57</v>
      </c>
      <c r="F16" s="11">
        <f t="shared" si="1"/>
        <v>432</v>
      </c>
      <c r="G16" s="22">
        <f t="shared" si="2"/>
        <v>0.30456018518518518</v>
      </c>
      <c r="J16" s="32" t="s">
        <v>17</v>
      </c>
      <c r="K16" s="11">
        <v>13.254594000000001</v>
      </c>
      <c r="L16" s="11">
        <f t="shared" si="3"/>
        <v>130.02756714</v>
      </c>
      <c r="M16" s="11">
        <f t="shared" si="4"/>
        <v>432</v>
      </c>
      <c r="N16" s="22">
        <f t="shared" si="0"/>
        <v>0.30098973875000001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-45.53</v>
      </c>
      <c r="AB16" s="11">
        <v>0</v>
      </c>
      <c r="AC16" s="11">
        <v>0</v>
      </c>
      <c r="AD16" s="11">
        <v>0</v>
      </c>
      <c r="AE16" s="11">
        <v>-569.12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34.07</v>
      </c>
      <c r="AL16" s="14">
        <v>0</v>
      </c>
      <c r="AM16" s="11">
        <v>0</v>
      </c>
      <c r="AN16" s="11">
        <v>0</v>
      </c>
      <c r="AO16" s="11">
        <v>398.75799999999998</v>
      </c>
    </row>
    <row r="17" spans="3:41" ht="18" customHeight="1" x14ac:dyDescent="0.25">
      <c r="C17" s="32" t="s">
        <v>14</v>
      </c>
      <c r="D17" s="11">
        <v>528.67999999999995</v>
      </c>
      <c r="E17" s="11">
        <f t="shared" si="7"/>
        <v>133.96999999999997</v>
      </c>
      <c r="F17" s="11">
        <f t="shared" si="1"/>
        <v>432</v>
      </c>
      <c r="G17" s="22">
        <f t="shared" si="2"/>
        <v>0.31011574074074066</v>
      </c>
      <c r="J17" s="32" t="s">
        <v>14</v>
      </c>
      <c r="K17" s="11">
        <v>13.377091999999999</v>
      </c>
      <c r="L17" s="11">
        <f t="shared" si="3"/>
        <v>131.22927251999999</v>
      </c>
      <c r="M17" s="11">
        <f t="shared" si="4"/>
        <v>432</v>
      </c>
      <c r="N17" s="22">
        <f t="shared" si="0"/>
        <v>0.30377146416666667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57.94</v>
      </c>
      <c r="AA17" s="11">
        <v>0</v>
      </c>
      <c r="AB17" s="11">
        <v>0</v>
      </c>
      <c r="AC17" s="11">
        <v>0</v>
      </c>
      <c r="AD17" s="11">
        <v>0</v>
      </c>
      <c r="AE17" s="11">
        <v>-1042.9760000000001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50.2</v>
      </c>
      <c r="AL17" s="14">
        <v>0</v>
      </c>
      <c r="AM17" s="11">
        <v>0</v>
      </c>
      <c r="AN17" s="11">
        <v>0</v>
      </c>
      <c r="AO17" s="11">
        <v>587.49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1.102487</v>
      </c>
      <c r="L18" s="11">
        <f t="shared" si="3"/>
        <v>10.815397470000001</v>
      </c>
      <c r="M18" s="11">
        <f t="shared" si="4"/>
        <v>432</v>
      </c>
      <c r="N18" s="22">
        <f t="shared" si="0"/>
        <v>2.5035642291666667E-2</v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53.263371999999997</v>
      </c>
      <c r="L19" s="11">
        <f t="shared" si="3"/>
        <v>522.51367932000005</v>
      </c>
      <c r="M19" s="11">
        <f t="shared" si="4"/>
        <v>432</v>
      </c>
      <c r="N19" s="22">
        <f t="shared" si="0"/>
        <v>1.2095224058333334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L16"/>
  <sheetViews>
    <sheetView workbookViewId="0">
      <selection activeCell="G10" sqref="G10"/>
    </sheetView>
  </sheetViews>
  <sheetFormatPr defaultRowHeight="15.75" x14ac:dyDescent="0.25"/>
  <cols>
    <col min="1" max="16384" width="9" style="32"/>
  </cols>
  <sheetData>
    <row r="1" spans="1:12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K1" s="40" t="s">
        <v>134</v>
      </c>
      <c r="L1" s="40"/>
    </row>
    <row r="2" spans="1:12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131</v>
      </c>
      <c r="L2" s="32" t="s">
        <v>132</v>
      </c>
    </row>
    <row r="3" spans="1:12" x14ac:dyDescent="0.25">
      <c r="A3" s="32">
        <v>60</v>
      </c>
      <c r="B3" s="32">
        <v>60</v>
      </c>
      <c r="C3" s="36" t="s">
        <v>131</v>
      </c>
      <c r="D3" s="32">
        <f>ROUNDUP((ROUNDUP($A3*$B3*D$2/$K$3,0)-4)/4+2,0)</f>
        <v>4</v>
      </c>
      <c r="E3" s="32">
        <f t="shared" ref="E3:I3" si="0">ROUNDUP((ROUNDUP($A3*$B3*E$2/$K$3,0)-4)/4+2,0)</f>
        <v>5</v>
      </c>
      <c r="F3" s="32">
        <f t="shared" si="0"/>
        <v>6</v>
      </c>
      <c r="G3" s="32">
        <f t="shared" si="0"/>
        <v>7</v>
      </c>
      <c r="H3" s="32">
        <f t="shared" si="0"/>
        <v>8</v>
      </c>
      <c r="I3" s="32">
        <f t="shared" si="0"/>
        <v>9</v>
      </c>
      <c r="K3" s="32">
        <v>5.0670000000000002</v>
      </c>
      <c r="L3" s="32">
        <v>8.1430000000000007</v>
      </c>
    </row>
    <row r="4" spans="1:12" x14ac:dyDescent="0.25">
      <c r="C4" s="36" t="s">
        <v>132</v>
      </c>
      <c r="D4" s="32">
        <f>ROUNDUP((ROUNDUP($A3*$B3*D$2/$L$3,0)-4)/4+2,0)</f>
        <v>3</v>
      </c>
      <c r="E4" s="32">
        <f t="shared" ref="E4:I4" si="1">ROUNDUP((ROUNDUP($A3*$B3*E$2/$L$3,0)-4)/4+2,0)</f>
        <v>4</v>
      </c>
      <c r="F4" s="32">
        <f t="shared" si="1"/>
        <v>4</v>
      </c>
      <c r="G4" s="32">
        <f t="shared" si="1"/>
        <v>5</v>
      </c>
      <c r="H4" s="32">
        <f t="shared" si="1"/>
        <v>5</v>
      </c>
      <c r="I4" s="32">
        <f t="shared" si="1"/>
        <v>6</v>
      </c>
    </row>
    <row r="6" spans="1:12" x14ac:dyDescent="0.25">
      <c r="A6" s="32">
        <v>65</v>
      </c>
      <c r="B6" s="32">
        <v>65</v>
      </c>
      <c r="C6" s="36" t="s">
        <v>131</v>
      </c>
      <c r="D6" s="32">
        <f t="shared" ref="D6:I6" si="2">ROUNDUP((ROUNDUP($A6*$B6*D$2/$K$3,0)-4)/4+2,0)</f>
        <v>5</v>
      </c>
      <c r="E6" s="32">
        <f t="shared" si="2"/>
        <v>6</v>
      </c>
      <c r="F6" s="32">
        <f t="shared" si="2"/>
        <v>7</v>
      </c>
      <c r="G6" s="32">
        <f t="shared" si="2"/>
        <v>8</v>
      </c>
      <c r="H6" s="32">
        <f t="shared" si="2"/>
        <v>9</v>
      </c>
      <c r="I6" s="32">
        <f t="shared" si="2"/>
        <v>10</v>
      </c>
    </row>
    <row r="7" spans="1:12" x14ac:dyDescent="0.25">
      <c r="C7" s="36" t="s">
        <v>132</v>
      </c>
      <c r="D7" s="32">
        <f t="shared" ref="D7:I7" si="3">ROUNDUP((ROUNDUP($A6*$B6*D$2/$L$3,0)-4)/4+2,0)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</row>
    <row r="9" spans="1:12" x14ac:dyDescent="0.25">
      <c r="A9" s="32">
        <v>70</v>
      </c>
      <c r="B9" s="32">
        <v>70</v>
      </c>
      <c r="C9" s="36" t="s">
        <v>131</v>
      </c>
      <c r="D9" s="32">
        <f t="shared" ref="D9:I9" si="4">ROUNDUP((ROUNDUP($A9*$B9*D$2/$K$3,0)-4)/4+2,0)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10</v>
      </c>
      <c r="I9" s="32">
        <f t="shared" si="4"/>
        <v>11</v>
      </c>
    </row>
    <row r="10" spans="1:12" x14ac:dyDescent="0.25">
      <c r="C10" s="36" t="s">
        <v>132</v>
      </c>
      <c r="D10" s="32">
        <f t="shared" ref="D10:I10" si="5">ROUNDUP((ROUNDUP($A9*$B9*D$2/$L$3,0)-4)/4+2,0)</f>
        <v>4</v>
      </c>
      <c r="E10" s="32">
        <f t="shared" si="5"/>
        <v>5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</row>
    <row r="12" spans="1:12" x14ac:dyDescent="0.25">
      <c r="A12" s="32">
        <v>75</v>
      </c>
      <c r="B12" s="32">
        <v>75</v>
      </c>
      <c r="C12" s="36" t="s">
        <v>131</v>
      </c>
      <c r="D12" s="32">
        <f t="shared" ref="D12:I12" si="6">ROUNDUP((ROUNDUP($A12*$B12*D$2/$K$3,0)-4)/4+2,0)</f>
        <v>6</v>
      </c>
      <c r="E12" s="32">
        <f t="shared" si="6"/>
        <v>7</v>
      </c>
      <c r="F12" s="32">
        <f t="shared" si="6"/>
        <v>8</v>
      </c>
      <c r="G12" s="32">
        <f t="shared" si="6"/>
        <v>10</v>
      </c>
      <c r="H12" s="32">
        <f t="shared" si="6"/>
        <v>11</v>
      </c>
      <c r="I12" s="32">
        <f t="shared" si="6"/>
        <v>13</v>
      </c>
    </row>
    <row r="13" spans="1:12" x14ac:dyDescent="0.25">
      <c r="C13" s="36" t="s">
        <v>132</v>
      </c>
      <c r="D13" s="32">
        <f t="shared" ref="D13:I13" si="7">ROUNDUP((ROUNDUP($A12*$B12*D$2/$L$3,0)-4)/4+2,0)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7</v>
      </c>
      <c r="H13" s="32">
        <f t="shared" si="7"/>
        <v>8</v>
      </c>
      <c r="I13" s="32">
        <f t="shared" si="7"/>
        <v>8</v>
      </c>
    </row>
    <row r="15" spans="1:12" x14ac:dyDescent="0.25">
      <c r="A15" s="32">
        <v>80</v>
      </c>
      <c r="B15" s="32">
        <v>80</v>
      </c>
      <c r="C15" s="36" t="s">
        <v>131</v>
      </c>
      <c r="D15" s="32">
        <f t="shared" ref="D15:I15" si="8">ROUNDUP((ROUNDUP($A15*$B15*D$2/$K$3,0)-4)/4+2,0)</f>
        <v>6</v>
      </c>
      <c r="E15" s="32">
        <f t="shared" si="8"/>
        <v>8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14</v>
      </c>
    </row>
    <row r="16" spans="1:12" x14ac:dyDescent="0.25">
      <c r="C16" s="36" t="s">
        <v>132</v>
      </c>
      <c r="D16" s="32">
        <f t="shared" ref="D16:I16" si="9">ROUNDUP((ROUNDUP($A15*$B15*D$2/$L$3,0)-4)/4+2,0)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7</v>
      </c>
      <c r="H16" s="32">
        <f t="shared" si="9"/>
        <v>8</v>
      </c>
      <c r="I16" s="32">
        <f t="shared" si="9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tabSelected="1"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8000000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9000000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A000000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0000000-0009-0000-0000-00000B000000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2019-05-06T07:49:43Z</dcterms:modified>
</cp:coreProperties>
</file>