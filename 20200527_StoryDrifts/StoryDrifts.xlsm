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VbaProject\20200527_StoryDrifts\"/>
    </mc:Choice>
  </mc:AlternateContent>
  <xr:revisionPtr revIDLastSave="0" documentId="13_ncr:1_{34A83C4C-0207-48DA-8523-FFD383421596}" xr6:coauthVersionLast="45" xr6:coauthVersionMax="45" xr10:uidLastSave="{00000000-0000-0000-0000-000000000000}"/>
  <bookViews>
    <workbookView xWindow="28680" yWindow="-120" windowWidth="29040" windowHeight="15840" xr2:uid="{CB959EA1-5819-4B8F-B20B-A0D50489B15E}"/>
  </bookViews>
  <sheets>
    <sheet name="Drifts" sheetId="1" r:id="rId1"/>
    <sheet name="Story Drift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8" i="1" l="1"/>
  <c r="D8" i="1"/>
  <c r="E8" i="1"/>
  <c r="F8" i="1"/>
  <c r="C9" i="1"/>
  <c r="D9" i="1"/>
  <c r="E9" i="1"/>
  <c r="F9" i="1"/>
  <c r="F7" i="1"/>
  <c r="E7" i="1"/>
  <c r="D7" i="1"/>
  <c r="C7" i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" i="2"/>
</calcChain>
</file>

<file path=xl/sharedStrings.xml><?xml version="1.0" encoding="utf-8"?>
<sst xmlns="http://schemas.openxmlformats.org/spreadsheetml/2006/main" count="104" uniqueCount="34">
  <si>
    <t>Story</t>
  </si>
  <si>
    <t>Item</t>
  </si>
  <si>
    <t>Load</t>
  </si>
  <si>
    <t>Point</t>
  </si>
  <si>
    <t>X</t>
  </si>
  <si>
    <t>Y</t>
  </si>
  <si>
    <t>Z</t>
  </si>
  <si>
    <t>DriftX</t>
  </si>
  <si>
    <t>DriftY</t>
  </si>
  <si>
    <t>Max Drift X</t>
  </si>
  <si>
    <t>Max Drift Y</t>
  </si>
  <si>
    <t>EQXP</t>
  </si>
  <si>
    <t>EQXN</t>
  </si>
  <si>
    <t>EQYP</t>
  </si>
  <si>
    <t>EQYN</t>
  </si>
  <si>
    <t>R1F</t>
  </si>
  <si>
    <t>3F</t>
  </si>
  <si>
    <t>2F</t>
  </si>
  <si>
    <t>EQXP</t>
    <phoneticPr fontId="1" type="noConversion"/>
  </si>
  <si>
    <t>EQYP</t>
    <phoneticPr fontId="1" type="noConversion"/>
  </si>
  <si>
    <t>EQXN</t>
    <phoneticPr fontId="1" type="noConversion"/>
  </si>
  <si>
    <t>EQYN</t>
    <phoneticPr fontId="1" type="noConversion"/>
  </si>
  <si>
    <r>
      <t>X</t>
    </r>
    <r>
      <rPr>
        <sz val="12"/>
        <color theme="1"/>
        <rFont val="微軟正黑體"/>
        <family val="2"/>
        <charset val="136"/>
      </rPr>
      <t>向地震力</t>
    </r>
    <phoneticPr fontId="1" type="noConversion"/>
  </si>
  <si>
    <r>
      <t>Y</t>
    </r>
    <r>
      <rPr>
        <sz val="12"/>
        <color theme="1"/>
        <rFont val="微軟正黑體"/>
        <family val="2"/>
        <charset val="136"/>
      </rPr>
      <t>向地震力</t>
    </r>
    <phoneticPr fontId="1" type="noConversion"/>
  </si>
  <si>
    <r>
      <t>5.0%</t>
    </r>
    <r>
      <rPr>
        <sz val="12"/>
        <color theme="1"/>
        <rFont val="微軟正黑體"/>
        <family val="2"/>
        <charset val="136"/>
      </rPr>
      <t>偏心扭矩</t>
    </r>
    <phoneticPr fontId="1" type="noConversion"/>
  </si>
  <si>
    <r>
      <t>-5.0%</t>
    </r>
    <r>
      <rPr>
        <sz val="12"/>
        <color theme="1"/>
        <rFont val="微軟正黑體"/>
        <family val="2"/>
        <charset val="136"/>
      </rPr>
      <t>偏心扭矩</t>
    </r>
    <phoneticPr fontId="1" type="noConversion"/>
  </si>
  <si>
    <t>Max Drift Y</t>
    <phoneticPr fontId="1" type="noConversion"/>
  </si>
  <si>
    <t>2F</t>
    <phoneticPr fontId="1" type="noConversion"/>
  </si>
  <si>
    <r>
      <rPr>
        <sz val="12"/>
        <color theme="1"/>
        <rFont val="微軟正黑體"/>
        <family val="2"/>
        <charset val="136"/>
      </rPr>
      <t>最高樓層</t>
    </r>
    <phoneticPr fontId="1" type="noConversion"/>
  </si>
  <si>
    <r>
      <rPr>
        <sz val="12"/>
        <color theme="1"/>
        <rFont val="微軟正黑體"/>
        <family val="2"/>
        <charset val="136"/>
      </rPr>
      <t>最低樓層</t>
    </r>
    <phoneticPr fontId="1" type="noConversion"/>
  </si>
  <si>
    <t>R1F</t>
    <phoneticPr fontId="1" type="noConversion"/>
  </si>
  <si>
    <r>
      <rPr>
        <sz val="12"/>
        <color theme="1"/>
        <rFont val="微軟正黑體"/>
        <family val="2"/>
        <charset val="136"/>
      </rPr>
      <t>樓層</t>
    </r>
    <phoneticPr fontId="1" type="noConversion"/>
  </si>
  <si>
    <t>3F</t>
    <phoneticPr fontId="1" type="noConversion"/>
  </si>
  <si>
    <r>
      <rPr>
        <sz val="12"/>
        <color theme="1"/>
        <rFont val="微軟正黑體"/>
        <family val="2"/>
        <charset val="136"/>
      </rPr>
      <t>折減係數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</si>
</sst>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1" xfId="0" quotePrefix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X+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Drifts!$C$7:$C$9</c:f>
              <c:numCache>
                <c:formatCode>General</c:formatCode>
                <c:ptCount val="3"/>
                <c:pt idx="0">
                  <c:v>1.7248999999999999E-3</c:v>
                </c:pt>
                <c:pt idx="1">
                  <c:v>2.9045999999999998E-3</c:v>
                </c:pt>
                <c:pt idx="2">
                  <c:v>1.42034E-3</c:v>
                </c:pt>
              </c:numCache>
            </c:numRef>
          </c:xVal>
          <c:yVal>
            <c:numRef>
              <c:f>Drifts!$A$7:$A$9</c:f>
              <c:numCache>
                <c:formatCode>General</c:formatCode>
                <c:ptCount val="3"/>
                <c:pt idx="0">
                  <c:v>4</c:v>
                </c:pt>
                <c:pt idx="1">
                  <c:v>3</c:v>
                </c:pt>
                <c:pt idx="2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31E-4C15-AA50-AACF4D83F4A6}"/>
            </c:ext>
          </c:extLst>
        </c:ser>
        <c:ser>
          <c:idx val="1"/>
          <c:order val="1"/>
          <c:tx>
            <c:v>X-</c:v>
          </c:tx>
          <c:spPr>
            <a:ln w="19050" cap="rnd" cmpd="dbl">
              <a:solidFill>
                <a:schemeClr val="accent5"/>
              </a:solidFill>
              <a:prstDash val="lgDash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Drifts!$D$7:$D$9</c:f>
              <c:numCache>
                <c:formatCode>General</c:formatCode>
                <c:ptCount val="3"/>
                <c:pt idx="0">
                  <c:v>1.76297E-3</c:v>
                </c:pt>
                <c:pt idx="1">
                  <c:v>2.9337399999999998E-3</c:v>
                </c:pt>
                <c:pt idx="2">
                  <c:v>1.4269199999999999E-3</c:v>
                </c:pt>
              </c:numCache>
            </c:numRef>
          </c:xVal>
          <c:yVal>
            <c:numRef>
              <c:f>Drifts!$A$7:$A$9</c:f>
              <c:numCache>
                <c:formatCode>General</c:formatCode>
                <c:ptCount val="3"/>
                <c:pt idx="0">
                  <c:v>4</c:v>
                </c:pt>
                <c:pt idx="1">
                  <c:v>3</c:v>
                </c:pt>
                <c:pt idx="2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31E-4C15-AA50-AACF4D83F4A6}"/>
            </c:ext>
          </c:extLst>
        </c:ser>
        <c:ser>
          <c:idx val="2"/>
          <c:order val="2"/>
          <c:tx>
            <c:v>法規上限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5.0000000000000001E-3</c:v>
              </c:pt>
              <c:pt idx="1">
                <c:v>5.0000000000000001E-3</c:v>
              </c:pt>
            </c:numLit>
          </c:xVal>
          <c:yVal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B31E-4C15-AA50-AACF4D83F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568528"/>
        <c:axId val="1049623936"/>
      </c:scatterChart>
      <c:valAx>
        <c:axId val="131256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49623936"/>
        <c:crosses val="autoZero"/>
        <c:crossBetween val="midCat"/>
      </c:valAx>
      <c:valAx>
        <c:axId val="1049623936"/>
        <c:scaling>
          <c:orientation val="minMax"/>
          <c:max val="4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4]\ &quot;R1F&quot;;0&quot;F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1256852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Y+</c:v>
          </c:tx>
          <c:spPr>
            <a:ln w="19050" cap="rnd" cmpd="dbl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Drifts!$E$7:$E$9</c:f>
              <c:numCache>
                <c:formatCode>General</c:formatCode>
                <c:ptCount val="3"/>
                <c:pt idx="0">
                  <c:v>1.9993799999999998E-3</c:v>
                </c:pt>
                <c:pt idx="1">
                  <c:v>2.8848599999999999E-3</c:v>
                </c:pt>
                <c:pt idx="2">
                  <c:v>1.457E-3</c:v>
                </c:pt>
              </c:numCache>
            </c:numRef>
          </c:xVal>
          <c:yVal>
            <c:numRef>
              <c:f>Drifts!$A$7:$A$9</c:f>
              <c:numCache>
                <c:formatCode>General</c:formatCode>
                <c:ptCount val="3"/>
                <c:pt idx="0">
                  <c:v>4</c:v>
                </c:pt>
                <c:pt idx="1">
                  <c:v>3</c:v>
                </c:pt>
                <c:pt idx="2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E-44D7-8A22-DFA248961AF6}"/>
            </c:ext>
          </c:extLst>
        </c:ser>
        <c:ser>
          <c:idx val="1"/>
          <c:order val="1"/>
          <c:tx>
            <c:v>Y-</c:v>
          </c:tx>
          <c:spPr>
            <a:ln w="19050" cap="rnd" cmpd="dbl">
              <a:solidFill>
                <a:schemeClr val="accent5"/>
              </a:solidFill>
              <a:prstDash val="lgDash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Drifts!$F$7:$F$9</c:f>
              <c:numCache>
                <c:formatCode>General</c:formatCode>
                <c:ptCount val="3"/>
                <c:pt idx="0">
                  <c:v>1.96883E-3</c:v>
                </c:pt>
                <c:pt idx="1">
                  <c:v>2.8768699999999997E-3</c:v>
                </c:pt>
                <c:pt idx="2">
                  <c:v>1.39496E-3</c:v>
                </c:pt>
              </c:numCache>
            </c:numRef>
          </c:xVal>
          <c:yVal>
            <c:numRef>
              <c:f>Drifts!$A$7:$A$9</c:f>
              <c:numCache>
                <c:formatCode>General</c:formatCode>
                <c:ptCount val="3"/>
                <c:pt idx="0">
                  <c:v>4</c:v>
                </c:pt>
                <c:pt idx="1">
                  <c:v>3</c:v>
                </c:pt>
                <c:pt idx="2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4E-44D7-8A22-DFA248961AF6}"/>
            </c:ext>
          </c:extLst>
        </c:ser>
        <c:ser>
          <c:idx val="2"/>
          <c:order val="2"/>
          <c:tx>
            <c:v>法規上限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5.0000000000000001E-3</c:v>
              </c:pt>
              <c:pt idx="1">
                <c:v>5.0000000000000001E-3</c:v>
              </c:pt>
            </c:numLit>
          </c:xVal>
          <c:yVal>
            <c:numLit>
              <c:formatCode>General</c:formatCode>
              <c:ptCount val="2"/>
              <c:pt idx="0">
                <c:v>4</c:v>
              </c:pt>
              <c:pt idx="1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24E-44D7-8A22-DFA248961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568528"/>
        <c:axId val="1049623936"/>
      </c:scatterChart>
      <c:valAx>
        <c:axId val="131256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49623936"/>
        <c:crosses val="autoZero"/>
        <c:crossBetween val="midCat"/>
      </c:valAx>
      <c:valAx>
        <c:axId val="1049623936"/>
        <c:scaling>
          <c:orientation val="minMax"/>
          <c:max val="4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4]\ &quot;R1F&quot;;0&quot;F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31256852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16</xdr:col>
      <xdr:colOff>457200</xdr:colOff>
      <xdr:row>36</xdr:row>
      <xdr:rowOff>9525</xdr:rowOff>
    </xdr:to>
    <xdr:graphicFrame macro="">
      <xdr:nvGraphicFramePr>
        <xdr:cNvPr id="14" name="X 向層間位移">
          <a:extLst>
            <a:ext uri="{FF2B5EF4-FFF2-40B4-BE49-F238E27FC236}">
              <a16:creationId xmlns:a16="http://schemas.microsoft.com/office/drawing/2014/main" id="{A07D66A8-8B5F-418F-8EF6-DA42706D7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0</xdr:row>
      <xdr:rowOff>0</xdr:rowOff>
    </xdr:from>
    <xdr:to>
      <xdr:col>23</xdr:col>
      <xdr:colOff>457200</xdr:colOff>
      <xdr:row>36</xdr:row>
      <xdr:rowOff>9525</xdr:rowOff>
    </xdr:to>
    <xdr:graphicFrame macro="">
      <xdr:nvGraphicFramePr>
        <xdr:cNvPr id="4" name="Y 向層間位移">
          <a:extLst>
            <a:ext uri="{FF2B5EF4-FFF2-40B4-BE49-F238E27FC236}">
              <a16:creationId xmlns:a16="http://schemas.microsoft.com/office/drawing/2014/main" id="{F7855F80-D30D-4301-B9BE-79D8E6D618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381000</xdr:colOff>
      <xdr:row>4</xdr:row>
      <xdr:rowOff>47625</xdr:rowOff>
    </xdr:from>
    <xdr:to>
      <xdr:col>9</xdr:col>
      <xdr:colOff>381000</xdr:colOff>
      <xdr:row>8</xdr:row>
      <xdr:rowOff>161925</xdr:rowOff>
    </xdr:to>
    <xdr:sp macro="[0]!Main.Main" textlink="">
      <xdr:nvSpPr>
        <xdr:cNvPr id="5" name="矩形 4">
          <a:extLst>
            <a:ext uri="{FF2B5EF4-FFF2-40B4-BE49-F238E27FC236}">
              <a16:creationId xmlns:a16="http://schemas.microsoft.com/office/drawing/2014/main" id="{1DFE8622-DFD2-49C3-89DB-8CCA4CFC1C8C}"/>
            </a:ext>
          </a:extLst>
        </xdr:cNvPr>
        <xdr:cNvSpPr/>
      </xdr:nvSpPr>
      <xdr:spPr>
        <a:xfrm>
          <a:off x="6076950" y="847725"/>
          <a:ext cx="2057400" cy="9144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800">
              <a:ln>
                <a:noFill/>
              </a:ln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Calculate Drifts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AD875-B806-423A-BF59-68E5214A9997}">
  <sheetPr codeName="工作表1"/>
  <dimension ref="A1:I9"/>
  <sheetViews>
    <sheetView tabSelected="1" workbookViewId="0"/>
  </sheetViews>
  <sheetFormatPr defaultRowHeight="15.75" x14ac:dyDescent="0.25"/>
  <cols>
    <col min="1" max="1" width="9" style="4"/>
    <col min="2" max="2" width="9.5" style="3" bestFit="1" customWidth="1"/>
    <col min="3" max="6" width="15.375" style="3" customWidth="1"/>
    <col min="7" max="16384" width="9" style="1"/>
  </cols>
  <sheetData>
    <row r="1" spans="1:9" x14ac:dyDescent="0.25">
      <c r="B1" s="7"/>
      <c r="C1" s="7" t="s">
        <v>18</v>
      </c>
      <c r="D1" s="7" t="s">
        <v>20</v>
      </c>
      <c r="E1" s="7" t="s">
        <v>19</v>
      </c>
      <c r="F1" s="7" t="s">
        <v>21</v>
      </c>
      <c r="H1" s="1" t="s">
        <v>28</v>
      </c>
      <c r="I1" s="2" t="s">
        <v>30</v>
      </c>
    </row>
    <row r="2" spans="1:9" x14ac:dyDescent="0.25">
      <c r="B2" s="7"/>
      <c r="C2" s="7" t="s">
        <v>9</v>
      </c>
      <c r="D2" s="7" t="s">
        <v>9</v>
      </c>
      <c r="E2" s="7" t="s">
        <v>26</v>
      </c>
      <c r="F2" s="7" t="s">
        <v>26</v>
      </c>
      <c r="H2" s="1" t="s">
        <v>29</v>
      </c>
      <c r="I2" s="5" t="s">
        <v>27</v>
      </c>
    </row>
    <row r="3" spans="1:9" x14ac:dyDescent="0.25">
      <c r="B3" s="7" t="s">
        <v>33</v>
      </c>
      <c r="C3" s="8">
        <v>0.47</v>
      </c>
      <c r="D3" s="8">
        <v>0.47</v>
      </c>
      <c r="E3" s="8">
        <v>0.47</v>
      </c>
      <c r="F3" s="8">
        <v>0.47</v>
      </c>
    </row>
    <row r="4" spans="1:9" x14ac:dyDescent="0.25">
      <c r="B4" s="7"/>
      <c r="C4" s="7"/>
      <c r="D4" s="7"/>
      <c r="E4" s="7"/>
      <c r="F4" s="7"/>
    </row>
    <row r="5" spans="1:9" x14ac:dyDescent="0.25">
      <c r="B5" s="11" t="s">
        <v>31</v>
      </c>
      <c r="C5" s="11" t="s">
        <v>22</v>
      </c>
      <c r="D5" s="11"/>
      <c r="E5" s="11" t="s">
        <v>23</v>
      </c>
      <c r="F5" s="11"/>
    </row>
    <row r="6" spans="1:9" x14ac:dyDescent="0.25">
      <c r="B6" s="11"/>
      <c r="C6" s="10" t="s">
        <v>24</v>
      </c>
      <c r="D6" s="6" t="s">
        <v>25</v>
      </c>
      <c r="E6" s="10" t="s">
        <v>24</v>
      </c>
      <c r="F6" s="6" t="s">
        <v>25</v>
      </c>
    </row>
    <row r="7" spans="1:9" x14ac:dyDescent="0.25">
      <c r="A7" s="4">
        <v>4</v>
      </c>
      <c r="B7" s="3" t="s">
        <v>15</v>
      </c>
      <c r="C7" s="3">
        <f>VLOOKUP($B7&amp;C$2&amp;C$1, 'Story Drifts'!$A:$J, 9, 0) * C$3</f>
        <v>1.7248999999999999E-3</v>
      </c>
      <c r="D7" s="3">
        <f>VLOOKUP($B7&amp;D$2&amp;D$1, 'Story Drifts'!$A:$J, 9, 0) * D$3</f>
        <v>1.76297E-3</v>
      </c>
      <c r="E7" s="3">
        <f>VLOOKUP($B7&amp;E$2&amp;E$1, 'Story Drifts'!$A:$J, 10, 0) * E$3</f>
        <v>1.9993799999999998E-3</v>
      </c>
      <c r="F7" s="3">
        <f>VLOOKUP($B7&amp;F$2&amp;F$1, 'Story Drifts'!$A:$J, 10, 0) * F$3</f>
        <v>1.96883E-3</v>
      </c>
    </row>
    <row r="8" spans="1:9" x14ac:dyDescent="0.25">
      <c r="A8" s="4">
        <v>3</v>
      </c>
      <c r="B8" s="3" t="s">
        <v>16</v>
      </c>
      <c r="C8" s="3">
        <f>VLOOKUP($B8&amp;C$2&amp;C$1, 'Story Drifts'!$A:$J, 9, 0) * C$3</f>
        <v>2.9045999999999998E-3</v>
      </c>
      <c r="D8" s="3">
        <f>VLOOKUP($B8&amp;D$2&amp;D$1, 'Story Drifts'!$A:$J, 9, 0) * D$3</f>
        <v>2.9337399999999998E-3</v>
      </c>
      <c r="E8" s="3">
        <f>VLOOKUP($B8&amp;E$2&amp;E$1, 'Story Drifts'!$A:$J, 10, 0) * E$3</f>
        <v>2.8848599999999999E-3</v>
      </c>
      <c r="F8" s="3">
        <f>VLOOKUP($B8&amp;F$2&amp;F$1, 'Story Drifts'!$A:$J, 10, 0) * F$3</f>
        <v>2.8768699999999997E-3</v>
      </c>
    </row>
    <row r="9" spans="1:9" x14ac:dyDescent="0.25">
      <c r="A9" s="4">
        <v>2</v>
      </c>
      <c r="B9" s="3" t="s">
        <v>17</v>
      </c>
      <c r="C9" s="3">
        <f>VLOOKUP($B9&amp;C$2&amp;C$1, 'Story Drifts'!$A:$J, 9, 0) * C$3</f>
        <v>1.42034E-3</v>
      </c>
      <c r="D9" s="3">
        <f>VLOOKUP($B9&amp;D$2&amp;D$1, 'Story Drifts'!$A:$J, 9, 0) * D$3</f>
        <v>1.4269199999999999E-3</v>
      </c>
      <c r="E9" s="3">
        <f>VLOOKUP($B9&amp;E$2&amp;E$1, 'Story Drifts'!$A:$J, 10, 0) * E$3</f>
        <v>1.457E-3</v>
      </c>
      <c r="F9" s="3">
        <f>VLOOKUP($B9&amp;F$2&amp;F$1, 'Story Drifts'!$A:$J, 10, 0) * F$3</f>
        <v>1.39496E-3</v>
      </c>
    </row>
  </sheetData>
  <mergeCells count="3">
    <mergeCell ref="C5:D5"/>
    <mergeCell ref="E5:F5"/>
    <mergeCell ref="B5:B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171B6-99AE-4BC9-8FBC-5881129981ED}">
  <sheetPr codeName="工作表2"/>
  <dimension ref="A1:J25"/>
  <sheetViews>
    <sheetView workbookViewId="0">
      <selection activeCell="E20" sqref="E20"/>
    </sheetView>
  </sheetViews>
  <sheetFormatPr defaultRowHeight="15.75" x14ac:dyDescent="0.25"/>
  <cols>
    <col min="1" max="1" width="19.125" style="9" bestFit="1" customWidth="1"/>
    <col min="2" max="2" width="5.5" style="5" bestFit="1" customWidth="1"/>
    <col min="3" max="3" width="10.625" style="5" bestFit="1" customWidth="1"/>
    <col min="4" max="4" width="8.25" style="5" bestFit="1" customWidth="1"/>
    <col min="5" max="5" width="5.625" style="5" bestFit="1" customWidth="1"/>
    <col min="6" max="6" width="8.5" style="5" bestFit="1" customWidth="1"/>
    <col min="7" max="7" width="7.5" style="5" bestFit="1" customWidth="1"/>
    <col min="8" max="8" width="6.5" style="5" bestFit="1" customWidth="1"/>
    <col min="9" max="10" width="9.5" style="5" bestFit="1" customWidth="1"/>
    <col min="11" max="16384" width="9" style="4"/>
  </cols>
  <sheetData>
    <row r="1" spans="1:10" x14ac:dyDescent="0.25"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</row>
    <row r="2" spans="1:10" x14ac:dyDescent="0.25">
      <c r="A2" s="9" t="str">
        <f>B2&amp;C2&amp;D2</f>
        <v>R1FMax Drift XEQXP</v>
      </c>
      <c r="B2" s="5" t="s">
        <v>15</v>
      </c>
      <c r="C2" s="5" t="s">
        <v>9</v>
      </c>
      <c r="D2" s="5" t="s">
        <v>11</v>
      </c>
      <c r="E2" s="5">
        <v>781</v>
      </c>
      <c r="F2" s="5">
        <v>74.265000000000001</v>
      </c>
      <c r="G2" s="5">
        <v>16.25</v>
      </c>
      <c r="H2" s="5">
        <v>119.9</v>
      </c>
      <c r="I2" s="5">
        <v>3.6700000000000001E-3</v>
      </c>
    </row>
    <row r="3" spans="1:10" x14ac:dyDescent="0.25">
      <c r="A3" s="9" t="str">
        <f t="shared" ref="A3:A25" si="0">B3&amp;C3&amp;D3</f>
        <v>R1FMax Drift YEQXP</v>
      </c>
      <c r="B3" s="5" t="s">
        <v>15</v>
      </c>
      <c r="C3" s="5" t="s">
        <v>10</v>
      </c>
      <c r="D3" s="5" t="s">
        <v>11</v>
      </c>
      <c r="E3" s="5">
        <v>1024</v>
      </c>
      <c r="F3" s="5">
        <v>9.9450000000000003</v>
      </c>
      <c r="G3" s="5">
        <v>42.15</v>
      </c>
      <c r="H3" s="5">
        <v>119.9</v>
      </c>
      <c r="J3" s="5">
        <v>4.3000000000000002E-5</v>
      </c>
    </row>
    <row r="4" spans="1:10" x14ac:dyDescent="0.25">
      <c r="A4" s="9" t="str">
        <f t="shared" si="0"/>
        <v>R1FMax Drift XEQXN</v>
      </c>
      <c r="B4" s="5" t="s">
        <v>15</v>
      </c>
      <c r="C4" s="5" t="s">
        <v>9</v>
      </c>
      <c r="D4" s="5" t="s">
        <v>12</v>
      </c>
      <c r="E4" s="5">
        <v>781</v>
      </c>
      <c r="F4" s="5">
        <v>74.265000000000001</v>
      </c>
      <c r="G4" s="5">
        <v>16.25</v>
      </c>
      <c r="H4" s="5">
        <v>119.9</v>
      </c>
      <c r="I4" s="5">
        <v>3.751E-3</v>
      </c>
    </row>
    <row r="5" spans="1:10" x14ac:dyDescent="0.25">
      <c r="A5" s="9" t="str">
        <f t="shared" si="0"/>
        <v>R1FMax Drift YEQXN</v>
      </c>
      <c r="B5" s="5" t="s">
        <v>15</v>
      </c>
      <c r="C5" s="5" t="s">
        <v>10</v>
      </c>
      <c r="D5" s="5" t="s">
        <v>12</v>
      </c>
      <c r="E5" s="5">
        <v>1033</v>
      </c>
      <c r="F5" s="5">
        <v>101.245</v>
      </c>
      <c r="G5" s="5">
        <v>42.15</v>
      </c>
      <c r="H5" s="5">
        <v>119.9</v>
      </c>
      <c r="J5" s="5">
        <v>1.3300000000000001E-4</v>
      </c>
    </row>
    <row r="6" spans="1:10" x14ac:dyDescent="0.25">
      <c r="A6" s="9" t="str">
        <f t="shared" si="0"/>
        <v>R1FMax Drift XEQYP</v>
      </c>
      <c r="B6" s="5" t="s">
        <v>15</v>
      </c>
      <c r="C6" s="5" t="s">
        <v>9</v>
      </c>
      <c r="D6" s="5" t="s">
        <v>13</v>
      </c>
      <c r="E6" s="5">
        <v>1030</v>
      </c>
      <c r="F6" s="5">
        <v>71.045000000000002</v>
      </c>
      <c r="G6" s="5">
        <v>42.15</v>
      </c>
      <c r="H6" s="5">
        <v>119.9</v>
      </c>
      <c r="I6" s="5">
        <v>1.2E-4</v>
      </c>
    </row>
    <row r="7" spans="1:10" x14ac:dyDescent="0.25">
      <c r="A7" s="9" t="str">
        <f t="shared" si="0"/>
        <v>R1FMax Drift YEQYP</v>
      </c>
      <c r="B7" s="5" t="s">
        <v>15</v>
      </c>
      <c r="C7" s="5" t="s">
        <v>10</v>
      </c>
      <c r="D7" s="5" t="s">
        <v>13</v>
      </c>
      <c r="E7" s="5">
        <v>1045</v>
      </c>
      <c r="F7" s="5">
        <v>101.245</v>
      </c>
      <c r="G7" s="5">
        <v>33.049999999999997</v>
      </c>
      <c r="H7" s="5">
        <v>119.9</v>
      </c>
      <c r="J7" s="5">
        <v>4.254E-3</v>
      </c>
    </row>
    <row r="8" spans="1:10" x14ac:dyDescent="0.25">
      <c r="A8" s="9" t="str">
        <f t="shared" si="0"/>
        <v>R1FMax Drift XEQYN</v>
      </c>
      <c r="B8" s="5" t="s">
        <v>15</v>
      </c>
      <c r="C8" s="5" t="s">
        <v>9</v>
      </c>
      <c r="D8" s="5" t="s">
        <v>14</v>
      </c>
      <c r="E8" s="5">
        <v>1063</v>
      </c>
      <c r="F8" s="5">
        <v>40.145000000000003</v>
      </c>
      <c r="G8" s="5">
        <v>16.25</v>
      </c>
      <c r="H8" s="5">
        <v>119.9</v>
      </c>
      <c r="I8" s="5">
        <v>9.5000000000000005E-5</v>
      </c>
    </row>
    <row r="9" spans="1:10" x14ac:dyDescent="0.25">
      <c r="A9" s="9" t="str">
        <f t="shared" si="0"/>
        <v>R1FMax Drift YEQYN</v>
      </c>
      <c r="B9" s="5" t="s">
        <v>15</v>
      </c>
      <c r="C9" s="5" t="s">
        <v>10</v>
      </c>
      <c r="D9" s="5" t="s">
        <v>14</v>
      </c>
      <c r="E9" s="5">
        <v>1067</v>
      </c>
      <c r="F9" s="5">
        <v>79.844999999999999</v>
      </c>
      <c r="G9" s="5">
        <v>16.25</v>
      </c>
      <c r="H9" s="5">
        <v>119.9</v>
      </c>
      <c r="J9" s="5">
        <v>4.189E-3</v>
      </c>
    </row>
    <row r="10" spans="1:10" x14ac:dyDescent="0.25">
      <c r="A10" s="9" t="str">
        <f t="shared" si="0"/>
        <v>3FMax Drift XEQXP</v>
      </c>
      <c r="B10" s="5" t="s">
        <v>32</v>
      </c>
      <c r="C10" s="5" t="s">
        <v>9</v>
      </c>
      <c r="D10" s="5" t="s">
        <v>11</v>
      </c>
      <c r="E10" s="5">
        <v>1068</v>
      </c>
      <c r="F10" s="5">
        <v>90.944999999999993</v>
      </c>
      <c r="G10" s="5">
        <v>16.25</v>
      </c>
      <c r="H10" s="5">
        <v>128.9</v>
      </c>
      <c r="I10" s="5">
        <v>6.1799999999999997E-3</v>
      </c>
    </row>
    <row r="11" spans="1:10" x14ac:dyDescent="0.25">
      <c r="A11" s="9" t="str">
        <f t="shared" si="0"/>
        <v>3FMax Drift YEQXP</v>
      </c>
      <c r="B11" s="5" t="s">
        <v>32</v>
      </c>
      <c r="C11" s="5" t="s">
        <v>10</v>
      </c>
      <c r="D11" s="5" t="s">
        <v>11</v>
      </c>
      <c r="E11" s="5">
        <v>1031</v>
      </c>
      <c r="F11" s="5">
        <v>79.844999999999999</v>
      </c>
      <c r="G11" s="5">
        <v>42.15</v>
      </c>
      <c r="H11" s="5">
        <v>128.9</v>
      </c>
      <c r="J11" s="5">
        <v>3.28E-4</v>
      </c>
    </row>
    <row r="12" spans="1:10" x14ac:dyDescent="0.25">
      <c r="A12" s="9" t="str">
        <f t="shared" si="0"/>
        <v>3FMax Drift XEQXN</v>
      </c>
      <c r="B12" s="5" t="s">
        <v>32</v>
      </c>
      <c r="C12" s="5" t="s">
        <v>9</v>
      </c>
      <c r="D12" s="5" t="s">
        <v>12</v>
      </c>
      <c r="E12" s="5">
        <v>1068</v>
      </c>
      <c r="F12" s="5">
        <v>90.944999999999993</v>
      </c>
      <c r="G12" s="5">
        <v>16.25</v>
      </c>
      <c r="H12" s="5">
        <v>128.9</v>
      </c>
      <c r="I12" s="5">
        <v>6.2420000000000002E-3</v>
      </c>
    </row>
    <row r="13" spans="1:10" x14ac:dyDescent="0.25">
      <c r="A13" s="9" t="str">
        <f t="shared" si="0"/>
        <v>3FMax Drift YEQXN</v>
      </c>
      <c r="B13" s="5" t="s">
        <v>32</v>
      </c>
      <c r="C13" s="5" t="s">
        <v>10</v>
      </c>
      <c r="D13" s="5" t="s">
        <v>12</v>
      </c>
      <c r="E13" s="5">
        <v>1031</v>
      </c>
      <c r="F13" s="5">
        <v>79.844999999999999</v>
      </c>
      <c r="G13" s="5">
        <v>42.15</v>
      </c>
      <c r="H13" s="5">
        <v>128.9</v>
      </c>
      <c r="J13" s="5">
        <v>3.5E-4</v>
      </c>
    </row>
    <row r="14" spans="1:10" x14ac:dyDescent="0.25">
      <c r="A14" s="9" t="str">
        <f t="shared" si="0"/>
        <v>3FMax Drift XEQYP</v>
      </c>
      <c r="B14" s="5" t="s">
        <v>32</v>
      </c>
      <c r="C14" s="5" t="s">
        <v>9</v>
      </c>
      <c r="D14" s="5" t="s">
        <v>13</v>
      </c>
      <c r="E14" s="5">
        <v>1032</v>
      </c>
      <c r="F14" s="5">
        <v>90.944999999999993</v>
      </c>
      <c r="G14" s="5">
        <v>42.15</v>
      </c>
      <c r="H14" s="5">
        <v>128.9</v>
      </c>
      <c r="I14" s="5">
        <v>6.8999999999999997E-5</v>
      </c>
    </row>
    <row r="15" spans="1:10" x14ac:dyDescent="0.25">
      <c r="A15" s="9" t="str">
        <f t="shared" si="0"/>
        <v>3FMax Drift YEQYP</v>
      </c>
      <c r="B15" s="5" t="s">
        <v>32</v>
      </c>
      <c r="C15" s="5" t="s">
        <v>10</v>
      </c>
      <c r="D15" s="5" t="s">
        <v>13</v>
      </c>
      <c r="E15" s="5">
        <v>1032</v>
      </c>
      <c r="F15" s="5">
        <v>90.944999999999993</v>
      </c>
      <c r="G15" s="5">
        <v>42.15</v>
      </c>
      <c r="H15" s="5">
        <v>128.9</v>
      </c>
      <c r="J15" s="5">
        <v>6.1380000000000002E-3</v>
      </c>
    </row>
    <row r="16" spans="1:10" x14ac:dyDescent="0.25">
      <c r="A16" s="9" t="str">
        <f t="shared" si="0"/>
        <v>3FMax Drift XEQYN</v>
      </c>
      <c r="B16" s="5" t="s">
        <v>32</v>
      </c>
      <c r="C16" s="5" t="s">
        <v>9</v>
      </c>
      <c r="D16" s="5" t="s">
        <v>14</v>
      </c>
      <c r="E16" s="5">
        <v>1061</v>
      </c>
      <c r="F16" s="5">
        <v>20.245000000000001</v>
      </c>
      <c r="G16" s="5">
        <v>16.25</v>
      </c>
      <c r="H16" s="5">
        <v>128.9</v>
      </c>
      <c r="I16" s="5">
        <v>5.5000000000000002E-5</v>
      </c>
    </row>
    <row r="17" spans="1:10" x14ac:dyDescent="0.25">
      <c r="A17" s="9" t="str">
        <f t="shared" si="0"/>
        <v>3FMax Drift YEQYN</v>
      </c>
      <c r="B17" s="5" t="s">
        <v>32</v>
      </c>
      <c r="C17" s="5" t="s">
        <v>10</v>
      </c>
      <c r="D17" s="5" t="s">
        <v>14</v>
      </c>
      <c r="E17" s="5">
        <v>1031</v>
      </c>
      <c r="F17" s="5">
        <v>79.844999999999999</v>
      </c>
      <c r="G17" s="5">
        <v>42.15</v>
      </c>
      <c r="H17" s="5">
        <v>128.9</v>
      </c>
      <c r="J17" s="5">
        <v>6.1209999999999997E-3</v>
      </c>
    </row>
    <row r="18" spans="1:10" x14ac:dyDescent="0.25">
      <c r="A18" s="9" t="str">
        <f t="shared" si="0"/>
        <v>2FMax Drift XEQXP</v>
      </c>
      <c r="B18" s="5" t="s">
        <v>17</v>
      </c>
      <c r="C18" s="5" t="s">
        <v>9</v>
      </c>
      <c r="D18" s="5" t="s">
        <v>11</v>
      </c>
      <c r="E18" s="5">
        <v>1034</v>
      </c>
      <c r="F18" s="5">
        <v>111.045</v>
      </c>
      <c r="G18" s="5">
        <v>42.15</v>
      </c>
      <c r="H18" s="5">
        <v>4.7</v>
      </c>
      <c r="I18" s="5">
        <v>3.0219999999999999E-3</v>
      </c>
    </row>
    <row r="19" spans="1:10" x14ac:dyDescent="0.25">
      <c r="A19" s="9" t="str">
        <f t="shared" si="0"/>
        <v>2FMax Drift YEQXP</v>
      </c>
      <c r="B19" s="5" t="s">
        <v>17</v>
      </c>
      <c r="C19" s="5" t="s">
        <v>10</v>
      </c>
      <c r="D19" s="5" t="s">
        <v>11</v>
      </c>
      <c r="E19" s="5">
        <v>1070</v>
      </c>
      <c r="F19" s="5">
        <v>111.045</v>
      </c>
      <c r="G19" s="5">
        <v>16.25</v>
      </c>
      <c r="H19" s="5">
        <v>4.7</v>
      </c>
      <c r="J19" s="5">
        <v>6.6000000000000005E-5</v>
      </c>
    </row>
    <row r="20" spans="1:10" x14ac:dyDescent="0.25">
      <c r="A20" s="9" t="str">
        <f t="shared" si="0"/>
        <v>2FMax Drift XEQXN</v>
      </c>
      <c r="B20" s="5" t="s">
        <v>17</v>
      </c>
      <c r="C20" s="5" t="s">
        <v>9</v>
      </c>
      <c r="D20" s="5" t="s">
        <v>12</v>
      </c>
      <c r="E20" s="5">
        <v>1070</v>
      </c>
      <c r="F20" s="5">
        <v>111.045</v>
      </c>
      <c r="G20" s="5">
        <v>16.25</v>
      </c>
      <c r="H20" s="5">
        <v>4.7</v>
      </c>
      <c r="I20" s="5">
        <v>3.0360000000000001E-3</v>
      </c>
    </row>
    <row r="21" spans="1:10" x14ac:dyDescent="0.25">
      <c r="A21" s="9" t="str">
        <f t="shared" si="0"/>
        <v>2FMax Drift YEQXN</v>
      </c>
      <c r="B21" s="5" t="s">
        <v>17</v>
      </c>
      <c r="C21" s="5" t="s">
        <v>10</v>
      </c>
      <c r="D21" s="5" t="s">
        <v>12</v>
      </c>
      <c r="E21" s="5">
        <v>1059</v>
      </c>
      <c r="F21" s="5">
        <v>0.14499999999999999</v>
      </c>
      <c r="G21" s="5">
        <v>16.25</v>
      </c>
      <c r="H21" s="5">
        <v>4.7</v>
      </c>
      <c r="J21" s="5">
        <v>1.2E-4</v>
      </c>
    </row>
    <row r="22" spans="1:10" x14ac:dyDescent="0.25">
      <c r="A22" s="9" t="str">
        <f t="shared" si="0"/>
        <v>2FMax Drift XEQYP</v>
      </c>
      <c r="B22" s="5" t="s">
        <v>17</v>
      </c>
      <c r="C22" s="5" t="s">
        <v>9</v>
      </c>
      <c r="D22" s="5" t="s">
        <v>13</v>
      </c>
      <c r="E22" s="5">
        <v>1034</v>
      </c>
      <c r="F22" s="5">
        <v>111.045</v>
      </c>
      <c r="G22" s="5">
        <v>42.15</v>
      </c>
      <c r="H22" s="5">
        <v>4.7</v>
      </c>
      <c r="I22" s="5">
        <v>5.5000000000000002E-5</v>
      </c>
    </row>
    <row r="23" spans="1:10" x14ac:dyDescent="0.25">
      <c r="A23" s="9" t="str">
        <f t="shared" si="0"/>
        <v>2FMax Drift YEQYP</v>
      </c>
      <c r="B23" s="5" t="s">
        <v>17</v>
      </c>
      <c r="C23" s="5" t="s">
        <v>10</v>
      </c>
      <c r="D23" s="5" t="s">
        <v>13</v>
      </c>
      <c r="E23" s="5">
        <v>1070</v>
      </c>
      <c r="F23" s="5">
        <v>111.045</v>
      </c>
      <c r="G23" s="5">
        <v>16.25</v>
      </c>
      <c r="H23" s="5">
        <v>4.7</v>
      </c>
      <c r="J23" s="5">
        <v>3.0999999999999999E-3</v>
      </c>
    </row>
    <row r="24" spans="1:10" x14ac:dyDescent="0.25">
      <c r="A24" s="9" t="str">
        <f t="shared" si="0"/>
        <v>2FMax Drift XEQYN</v>
      </c>
      <c r="B24" s="5" t="s">
        <v>17</v>
      </c>
      <c r="C24" s="5" t="s">
        <v>9</v>
      </c>
      <c r="D24" s="5" t="s">
        <v>14</v>
      </c>
      <c r="E24" s="5">
        <v>1070</v>
      </c>
      <c r="F24" s="5">
        <v>111.045</v>
      </c>
      <c r="G24" s="5">
        <v>16.25</v>
      </c>
      <c r="H24" s="5">
        <v>4.7</v>
      </c>
      <c r="I24" s="5">
        <v>2.5000000000000001E-5</v>
      </c>
    </row>
    <row r="25" spans="1:10" x14ac:dyDescent="0.25">
      <c r="A25" s="9" t="str">
        <f t="shared" si="0"/>
        <v>2FMax Drift YEQYN</v>
      </c>
      <c r="B25" s="5" t="s">
        <v>17</v>
      </c>
      <c r="C25" s="5" t="s">
        <v>10</v>
      </c>
      <c r="D25" s="5" t="s">
        <v>14</v>
      </c>
      <c r="E25" s="5">
        <v>1059</v>
      </c>
      <c r="F25" s="5">
        <v>0.14499999999999999</v>
      </c>
      <c r="G25" s="5">
        <v>16.25</v>
      </c>
      <c r="H25" s="5">
        <v>4.7</v>
      </c>
      <c r="J25" s="5">
        <v>2.9680000000000002E-3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Drifts</vt:lpstr>
      <vt:lpstr>Story Drifts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2019-09-18T02:03:59Z</dcterms:created>
  <dcterms:modified xsi:type="dcterms:W3CDTF">2020-05-28T11:51:48Z</dcterms:modified>
</cp:coreProperties>
</file>