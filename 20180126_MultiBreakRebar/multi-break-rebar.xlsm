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80126_MultiBreakRebar\"/>
    </mc:Choice>
  </mc:AlternateContent>
  <bookViews>
    <workbookView xWindow="0" yWindow="462" windowWidth="28800" windowHeight="15942" tabRatio="500" activeTab="1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版本資訊" sheetId="2" r:id="rId4"/>
    <sheet name="基本伸展長度表 Ldb" sheetId="10" r:id="rId5"/>
    <sheet name="Rebar Size" sheetId="7" r:id="rId6"/>
  </sheets>
  <functionGroups builtInGroupCount="19"/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7" i="10" l="1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 l="1"/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2" i="2" l="1"/>
  <c r="B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<sst xmlns="http://schemas.openxmlformats.org/spreadsheetml/2006/main" count="3170" uniqueCount="188">
  <si>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</si>
  <si>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</si>
  <si>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</si>
  <si>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</si>
  <si>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</si>
  <si>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</si>
  <si>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</si>
  <si>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</si>
  <si>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</si>
  <si>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</si>
  <si>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</si>
  <si>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</si>
  <si>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</si>
  <si>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</si>
  <si>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</si>
  <si>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</si>
  <si>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</si>
  <si>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</si>
  <si>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</si>
  <si>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</si>
  <si>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</si>
  <si>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</si>
  <si>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</si>
  <si>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</si>
  <si>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</si>
  <si>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</si>
  <si>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</si>
  <si>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</si>
  <si>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</si>
  <si>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</si>
  <si>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</si>
  <si>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</si>
  <si>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</si>
  <si>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</si>
  <si>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</si>
  <si>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</si>
  <si>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</si>
  <si>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</si>
  <si>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</si>
  <si>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</si>
  <si>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</si>
  <si>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</si>
  <si>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</si>
  <si>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</si>
  <si>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</si>
  <si>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</si>
  <si>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</si>
  <si>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</si>
  <si>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</si>
  <si>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</si>
  <si>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</si>
  <si>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</si>
  <si>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</si>
  <si>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</si>
  <si>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</si>
  <si>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</si>
  <si>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</si>
  <si>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</si>
  <si>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</si>
  <si>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</si>
  <si>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</si>
  <si>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</si>
  <si>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</si>
  <si>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</si>
  <si>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</si>
  <si>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</si>
  <si>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</si>
  <si>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</si>
  <si>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</si>
  <si>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</si>
  <si>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</si>
  <si>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</si>
  <si>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</si>
  <si>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</si>
  <si>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</si>
  <si>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</si>
  <si>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</si>
  <si>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</si>
  <si>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</si>
  <si>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</si>
  <si>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</si>
  <si>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</si>
  <si>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</si>
  <si>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</si>
  <si>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</si>
  <si>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</si>
  <si>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</si>
  <si>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</si>
  <si>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</si>
  <si>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</si>
  <si>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</si>
  <si>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</si>
  <si>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</si>
  <si>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</si>
  <si>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</si>
  <si>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</si>
  <si>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</si>
  <si>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</si>
  <si>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</si>
  <si>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</si>
  <si>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</si>
  <si>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</si>
  <si>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</si>
  <si>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</si>
  <si>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</si>
  <si>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</si>
  <si>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</si>
  <si>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</si>
  <si>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</si>
  <si>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</si>
  <si>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</si>
  <si>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</si>
  <si>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</si>
  <si>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</si>
  <si>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</si>
  <si>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</si>
  <si>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</si>
  <si>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</si>
  <si>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</si>
  <si>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</si>
  <si>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</si>
  <si>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</si>
  <si>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</si>
  <si>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</si>
  <si>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</si>
  <si>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</si>
  <si>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</si>
  <si>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</si>
  <si>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</si>
  <si>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</si>
  <si>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</si>
  <si>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</si>
  <si>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</si>
  <si>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</si>
  <si>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</si>
  <si>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</si>
  <si>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</si>
  <si>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</si>
  <si>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</si>
  <si>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</si>
  <si>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</si>
  <si>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</si>
  <si>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</si>
  <si>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</si>
  <si>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</si>
  <si>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</si>
  <si>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</si>
  <si>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</si>
  <si>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</si>
  <si>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</si>
  <si>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</si>
  <si>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</si>
  <si>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</si>
  <si>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</si>
  <si>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</si>
  <si>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</si>
  <si>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</si>
  <si>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</si>
  <si>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</si>
  <si>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</si>
  <si>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</si>
  <si>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</si>
  <si>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</si>
  <si>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</si>
  <si>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</si>
  <si>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</si>
  <si>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</si>
  <si>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</si>
  <si>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</si>
  <si>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</si>
  <si>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</si>
  <si>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</si>
  <si>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</si>
  <si>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</si>
  <si>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</si>
  <si>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</si>
  <si>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</si>
  <si>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</si>
  <si>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</si>
  <si>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</si>
  <si>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</si>
  <si>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</si>
  <si>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</si>
  <si>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</si>
  <si>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</si>
  <si>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左</t>
    <phoneticPr fontId="2" type="noConversion"/>
  </si>
  <si>
    <t>中</t>
    <phoneticPr fontId="2" type="noConversion"/>
  </si>
  <si>
    <t>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</si>
</sst>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0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7" borderId="13" xfId="1" applyFont="1" applyFill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rgb="FFFFC000"/>
  </sheetPr>
  <dimension ref="A1:M19"/>
  <sheetViews>
    <sheetView zoomScale="85" zoomScaleNormal="85" workbookViewId="0">
      <selection activeCell="I22" sqref="I22"/>
    </sheetView>
  </sheetViews>
  <sheetFormatPr defaultColWidth="9" defaultRowHeight="15.6" x14ac:dyDescent="0.6"/>
  <cols>
    <col min="1" max="1" width="10.15625" style="9" bestFit="1" customWidth="1"/>
    <col min="2" max="2" width="12.83984375" style="9" bestFit="1" customWidth="1"/>
    <col min="3" max="3" width="11.47265625" style="9" customWidth="1"/>
    <col min="4" max="4" width="9" style="13"/>
    <col min="5" max="7" width="9.15625" style="14" bestFit="1" customWidth="1"/>
    <col min="8" max="8" width="9" style="15"/>
    <col min="9" max="9" width="9" style="9"/>
    <col min="10" max="10" width="9.15625" style="9" bestFit="1" customWidth="1"/>
    <col min="11" max="11" width="44.15625" style="9" bestFit="1" customWidth="1"/>
    <col min="12" max="16384" width="9" style="9"/>
  </cols>
  <sheetData>
    <row r="1" spans="1:13" ht="16.8" thickBot="1" x14ac:dyDescent="0.65">
      <c r="A1" s="9" t="s">
        <v>6</v>
      </c>
      <c r="B1" s="10">
        <f ca="1">NOW()</f>
        <v>43154.759667939812</v>
      </c>
      <c r="C1" s="10"/>
      <c r="D1" s="11" t="s">
        <v>41</v>
      </c>
      <c r="E1" s="12" t="s">
        <v>42</v>
      </c>
      <c r="F1" s="12" t="s">
        <v>43</v>
      </c>
      <c r="G1" s="12" t="s">
        <v>44</v>
      </c>
      <c r="H1" s="47" t="s">
        <v>183</v>
      </c>
      <c r="J1" s="34" t="s">
        <v>45</v>
      </c>
      <c r="K1" s="35"/>
    </row>
    <row r="2" spans="1:13" ht="15.9" thickTop="1" x14ac:dyDescent="0.6">
      <c r="A2" s="9" t="s">
        <v>7</v>
      </c>
      <c r="D2" s="13" t="s">
        <v>94</v>
      </c>
      <c r="E2" s="14">
        <v>4200</v>
      </c>
      <c r="F2" s="14">
        <v>4200</v>
      </c>
      <c r="G2" s="14">
        <v>245</v>
      </c>
      <c r="H2" s="15">
        <v>4</v>
      </c>
      <c r="J2" s="16">
        <v>1</v>
      </c>
      <c r="K2" s="17" t="s">
        <v>46</v>
      </c>
    </row>
    <row r="3" spans="1:13" x14ac:dyDescent="0.6">
      <c r="A3" s="9" t="s">
        <v>8</v>
      </c>
      <c r="D3" s="13" t="s">
        <v>95</v>
      </c>
      <c r="E3" s="14">
        <v>4200</v>
      </c>
      <c r="F3" s="14">
        <v>4200</v>
      </c>
      <c r="G3" s="14">
        <v>245</v>
      </c>
      <c r="H3" s="15">
        <v>4</v>
      </c>
      <c r="J3" s="16">
        <v>2</v>
      </c>
      <c r="K3" s="27" t="s">
        <v>105</v>
      </c>
    </row>
    <row r="4" spans="1:13" x14ac:dyDescent="0.6">
      <c r="D4" s="13" t="s">
        <v>96</v>
      </c>
      <c r="E4" s="14">
        <v>4200</v>
      </c>
      <c r="F4" s="14">
        <v>4200</v>
      </c>
      <c r="G4" s="14">
        <v>245</v>
      </c>
      <c r="H4" s="15">
        <v>4</v>
      </c>
      <c r="I4" s="18"/>
      <c r="J4" s="20">
        <v>3</v>
      </c>
      <c r="K4" s="48" t="s">
        <v>184</v>
      </c>
    </row>
    <row r="5" spans="1:13" x14ac:dyDescent="0.6">
      <c r="D5" s="13" t="s">
        <v>97</v>
      </c>
      <c r="E5" s="14">
        <v>4200</v>
      </c>
      <c r="F5" s="14">
        <v>4200</v>
      </c>
      <c r="G5" s="14">
        <v>280</v>
      </c>
      <c r="H5" s="15">
        <v>4</v>
      </c>
      <c r="J5" s="19"/>
      <c r="K5" s="22"/>
      <c r="L5" s="19"/>
      <c r="M5" s="19"/>
    </row>
    <row r="6" spans="1:13" ht="15.9" thickBot="1" x14ac:dyDescent="0.65">
      <c r="D6" s="13" t="s">
        <v>98</v>
      </c>
      <c r="E6" s="14">
        <v>4200</v>
      </c>
      <c r="F6" s="14">
        <v>4200</v>
      </c>
      <c r="G6" s="14">
        <v>245</v>
      </c>
      <c r="H6" s="15">
        <v>4</v>
      </c>
      <c r="J6" s="36" t="s">
        <v>47</v>
      </c>
      <c r="K6" s="37"/>
    </row>
    <row r="7" spans="1:13" ht="15.9" thickTop="1" x14ac:dyDescent="0.6">
      <c r="D7" s="13" t="s">
        <v>99</v>
      </c>
      <c r="E7" s="14">
        <v>4200</v>
      </c>
      <c r="F7" s="14">
        <v>4200</v>
      </c>
      <c r="G7" s="14">
        <v>280</v>
      </c>
      <c r="H7" s="15">
        <v>4</v>
      </c>
      <c r="J7" s="16">
        <v>1</v>
      </c>
      <c r="K7" s="17" t="s">
        <v>48</v>
      </c>
    </row>
    <row r="8" spans="1:13" ht="16.5" x14ac:dyDescent="0.6">
      <c r="D8" s="13" t="s">
        <v>100</v>
      </c>
      <c r="E8" s="14">
        <v>4200</v>
      </c>
      <c r="F8" s="14">
        <v>4200</v>
      </c>
      <c r="G8" s="14">
        <v>280</v>
      </c>
      <c r="H8" s="15">
        <v>4</v>
      </c>
      <c r="J8" s="28"/>
      <c r="K8" s="21"/>
    </row>
    <row r="9" spans="1:13" x14ac:dyDescent="0.6">
      <c r="D9" s="13" t="s">
        <v>101</v>
      </c>
      <c r="E9" s="14">
        <v>4200</v>
      </c>
      <c r="F9" s="14">
        <v>4200</v>
      </c>
      <c r="G9" s="14">
        <v>280</v>
      </c>
      <c r="H9" s="15">
        <v>4</v>
      </c>
    </row>
    <row r="10" spans="1:13" x14ac:dyDescent="0.6">
      <c r="D10" s="13" t="s">
        <v>102</v>
      </c>
      <c r="E10" s="14">
        <v>4200</v>
      </c>
      <c r="F10" s="14">
        <v>4200</v>
      </c>
      <c r="G10" s="14">
        <v>280</v>
      </c>
      <c r="H10" s="15">
        <v>4</v>
      </c>
    </row>
    <row r="11" spans="1:13" x14ac:dyDescent="0.6">
      <c r="D11" s="13" t="s">
        <v>103</v>
      </c>
      <c r="E11" s="14">
        <v>4200</v>
      </c>
      <c r="F11" s="14">
        <v>4200</v>
      </c>
      <c r="G11" s="14">
        <v>280</v>
      </c>
      <c r="H11" s="15">
        <v>4</v>
      </c>
    </row>
    <row r="12" spans="1:13" x14ac:dyDescent="0.6">
      <c r="D12" s="13" t="s">
        <v>104</v>
      </c>
      <c r="E12" s="14">
        <v>4200</v>
      </c>
      <c r="F12" s="14">
        <v>4200</v>
      </c>
      <c r="G12" s="14">
        <v>350</v>
      </c>
      <c r="H12" s="15">
        <v>4</v>
      </c>
    </row>
    <row r="13" spans="1:13" x14ac:dyDescent="0.6">
      <c r="D13" s="13" t="s">
        <v>37</v>
      </c>
      <c r="E13" s="14">
        <v>4200</v>
      </c>
      <c r="F13" s="14">
        <v>4200</v>
      </c>
      <c r="G13" s="14">
        <v>350</v>
      </c>
      <c r="H13" s="15">
        <v>4</v>
      </c>
    </row>
    <row r="14" spans="1:13" x14ac:dyDescent="0.6">
      <c r="D14" s="13" t="s">
        <v>39</v>
      </c>
      <c r="E14" s="14">
        <v>4200</v>
      </c>
      <c r="F14" s="14">
        <v>4200</v>
      </c>
      <c r="G14" s="14">
        <v>350</v>
      </c>
      <c r="H14" s="15">
        <v>4</v>
      </c>
    </row>
    <row r="15" spans="1:13" x14ac:dyDescent="0.6">
      <c r="D15" s="13" t="s">
        <v>40</v>
      </c>
      <c r="E15" s="14">
        <v>4200</v>
      </c>
      <c r="F15" s="14">
        <v>4200</v>
      </c>
      <c r="G15" s="14">
        <v>350</v>
      </c>
      <c r="H15" s="15">
        <v>4</v>
      </c>
    </row>
    <row r="16" spans="1:13" x14ac:dyDescent="0.6">
      <c r="D16" s="13" t="s">
        <v>49</v>
      </c>
      <c r="E16" s="14">
        <v>4200</v>
      </c>
      <c r="F16" s="14">
        <v>4200</v>
      </c>
      <c r="G16" s="14">
        <v>350</v>
      </c>
      <c r="H16" s="15">
        <v>4</v>
      </c>
    </row>
    <row r="17" spans="4:8" x14ac:dyDescent="0.6">
      <c r="D17" s="13" t="s">
        <v>50</v>
      </c>
      <c r="E17" s="14">
        <v>4200</v>
      </c>
      <c r="F17" s="14">
        <v>4200</v>
      </c>
      <c r="G17" s="14">
        <v>350</v>
      </c>
      <c r="H17" s="15">
        <v>4</v>
      </c>
    </row>
    <row r="18" spans="4:8" x14ac:dyDescent="0.6">
      <c r="D18" s="13" t="s">
        <v>51</v>
      </c>
      <c r="E18" s="14">
        <v>4200</v>
      </c>
      <c r="F18" s="14">
        <v>4200</v>
      </c>
      <c r="G18" s="14">
        <v>350</v>
      </c>
      <c r="H18" s="15">
        <v>4</v>
      </c>
    </row>
    <row r="19" spans="4:8" x14ac:dyDescent="0.6">
      <c r="D19" s="13" t="s">
        <v>52</v>
      </c>
      <c r="E19" s="14">
        <v>4200</v>
      </c>
      <c r="F19" s="14">
        <v>4200</v>
      </c>
      <c r="G19" s="14">
        <v>280</v>
      </c>
      <c r="H19" s="15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rgb="FF0070C0"/>
  </sheetPr>
  <dimension ref="A1:O634"/>
  <sheetViews>
    <sheetView tabSelected="1" workbookViewId="0">
      <selection activeCell="O7" sqref="O7"/>
    </sheetView>
  </sheetViews>
  <sheetFormatPr defaultColWidth="9" defaultRowHeight="15.6" x14ac:dyDescent="0.6"/>
  <cols>
    <col min="1" max="15" width="9" style="29" customWidth="1"/>
    <col min="16" max="33" width="9" style="30"/>
    <col min="34" max="34" width="13.47265625" style="30" bestFit="1" customWidth="1"/>
    <col min="35" max="16384" width="9" style="30"/>
  </cols>
  <sheetData>
    <row r="1" spans="1:15" x14ac:dyDescent="0.6">
      <c r="A1" s="29" t="s">
        <v>9</v>
      </c>
      <c r="B1" s="29" t="s">
        <v>10</v>
      </c>
      <c r="C1" s="29" t="s">
        <v>11</v>
      </c>
      <c r="D1" s="29" t="s">
        <v>12</v>
      </c>
      <c r="E1" s="29" t="s">
        <v>13</v>
      </c>
      <c r="F1" s="29" t="s">
        <v>13</v>
      </c>
      <c r="I1" s="29" t="s">
        <v>14</v>
      </c>
      <c r="J1" s="29" t="s">
        <v>15</v>
      </c>
      <c r="M1" s="29" t="s">
        <v>16</v>
      </c>
      <c r="N1" s="29" t="s">
        <v>17</v>
      </c>
      <c r="O1" s="29" t="s">
        <v>18</v>
      </c>
    </row>
    <row r="2" spans="1:15" x14ac:dyDescent="0.6">
      <c r="F2" s="29" t="s">
        <v>19</v>
      </c>
      <c r="G2" s="29" t="s">
        <v>20</v>
      </c>
      <c r="H2" s="29" t="s">
        <v>21</v>
      </c>
      <c r="J2" s="29" t="s">
        <v>22</v>
      </c>
      <c r="K2" s="29" t="s">
        <v>20</v>
      </c>
      <c r="L2" s="29" t="s">
        <v>21</v>
      </c>
    </row>
    <row r="3" spans="1:15" ht="15.9" customHeight="1" x14ac:dyDescent="0.6">
      <c r="A3" s="29" t="s">
        <v>98</v>
      </c>
      <c r="B3" s="29" t="s">
        <v>106</v>
      </c>
      <c r="C3" s="29">
        <v>40</v>
      </c>
      <c r="D3" s="29">
        <v>70</v>
      </c>
      <c r="E3" s="29" t="s">
        <v>23</v>
      </c>
      <c r="F3" s="29" t="s">
        <v>29</v>
      </c>
      <c r="G3" s="29" t="s">
        <v>29</v>
      </c>
      <c r="H3" s="29" t="s">
        <v>29</v>
      </c>
      <c r="I3" s="29" t="s">
        <v>25</v>
      </c>
      <c r="J3" s="29" t="s">
        <v>107</v>
      </c>
      <c r="K3" s="29" t="s">
        <v>107</v>
      </c>
      <c r="L3" s="29" t="s">
        <v>107</v>
      </c>
      <c r="M3" s="29">
        <v>1100</v>
      </c>
      <c r="N3" s="29">
        <v>50</v>
      </c>
    </row>
    <row r="4" spans="1:15" x14ac:dyDescent="0.6">
      <c r="E4" s="29" t="s">
        <v>27</v>
      </c>
      <c r="F4" s="29">
        <v>0</v>
      </c>
      <c r="G4" s="29">
        <v>0</v>
      </c>
      <c r="H4" s="29">
        <v>0</v>
      </c>
    </row>
    <row r="5" spans="1:15" x14ac:dyDescent="0.6">
      <c r="E5" s="29" t="s">
        <v>23</v>
      </c>
      <c r="F5" s="29" t="s">
        <v>28</v>
      </c>
      <c r="G5" s="29" t="s">
        <v>34</v>
      </c>
      <c r="H5" s="29" t="s">
        <v>28</v>
      </c>
    </row>
    <row r="6" spans="1:15" x14ac:dyDescent="0.6">
      <c r="E6" s="29" t="s">
        <v>27</v>
      </c>
      <c r="F6" s="29" t="s">
        <v>28</v>
      </c>
      <c r="G6" s="29" t="s">
        <v>28</v>
      </c>
      <c r="H6" s="29" t="s">
        <v>28</v>
      </c>
    </row>
    <row r="7" spans="1:15" ht="15.6" customHeight="1" x14ac:dyDescent="0.6">
      <c r="A7" s="29" t="s">
        <v>98</v>
      </c>
      <c r="B7" s="29" t="s">
        <v>108</v>
      </c>
      <c r="C7" s="29">
        <v>40</v>
      </c>
      <c r="D7" s="29">
        <v>70</v>
      </c>
      <c r="E7" s="29" t="s">
        <v>23</v>
      </c>
      <c r="F7" s="29" t="s">
        <v>31</v>
      </c>
      <c r="G7" s="29" t="s">
        <v>29</v>
      </c>
      <c r="H7" s="29" t="s">
        <v>29</v>
      </c>
      <c r="I7" s="29" t="s">
        <v>25</v>
      </c>
      <c r="J7" s="29" t="s">
        <v>107</v>
      </c>
      <c r="K7" s="29" t="s">
        <v>107</v>
      </c>
      <c r="L7" s="29" t="s">
        <v>107</v>
      </c>
      <c r="M7" s="29">
        <v>830</v>
      </c>
      <c r="N7" s="29">
        <v>60</v>
      </c>
    </row>
    <row r="8" spans="1:15" x14ac:dyDescent="0.6">
      <c r="E8" s="29" t="s">
        <v>27</v>
      </c>
      <c r="F8" s="29">
        <v>0</v>
      </c>
      <c r="G8" s="29">
        <v>0</v>
      </c>
      <c r="H8" s="29">
        <v>0</v>
      </c>
    </row>
    <row r="9" spans="1:15" x14ac:dyDescent="0.6">
      <c r="E9" s="29" t="s">
        <v>23</v>
      </c>
      <c r="F9" s="29">
        <v>0</v>
      </c>
      <c r="G9" s="29">
        <v>0</v>
      </c>
      <c r="H9" s="29">
        <v>0</v>
      </c>
    </row>
    <row r="10" spans="1:15" x14ac:dyDescent="0.6">
      <c r="E10" s="29" t="s">
        <v>27</v>
      </c>
      <c r="F10" s="29" t="s">
        <v>24</v>
      </c>
      <c r="G10" s="29" t="s">
        <v>31</v>
      </c>
      <c r="H10" s="29" t="s">
        <v>31</v>
      </c>
    </row>
    <row r="11" spans="1:15" ht="15.6" customHeight="1" x14ac:dyDescent="0.6">
      <c r="A11" s="29" t="s">
        <v>98</v>
      </c>
      <c r="B11" s="29" t="s">
        <v>108</v>
      </c>
      <c r="C11" s="29">
        <v>40</v>
      </c>
      <c r="D11" s="29">
        <v>70</v>
      </c>
      <c r="E11" s="29" t="s">
        <v>23</v>
      </c>
      <c r="F11" s="29" t="s">
        <v>31</v>
      </c>
      <c r="G11" s="29" t="s">
        <v>29</v>
      </c>
      <c r="H11" s="29" t="s">
        <v>29</v>
      </c>
      <c r="I11" s="29" t="s">
        <v>25</v>
      </c>
      <c r="J11" s="29" t="s">
        <v>107</v>
      </c>
      <c r="K11" s="29" t="s">
        <v>107</v>
      </c>
      <c r="L11" s="29" t="s">
        <v>107</v>
      </c>
      <c r="M11" s="29">
        <v>830</v>
      </c>
      <c r="N11" s="29">
        <v>60</v>
      </c>
    </row>
    <row r="12" spans="1:15" x14ac:dyDescent="0.6">
      <c r="E12" s="29" t="s">
        <v>27</v>
      </c>
      <c r="F12" s="29">
        <v>0</v>
      </c>
      <c r="G12" s="29">
        <v>0</v>
      </c>
      <c r="H12" s="29">
        <v>0</v>
      </c>
    </row>
    <row r="13" spans="1:15" x14ac:dyDescent="0.6">
      <c r="E13" s="29" t="s">
        <v>23</v>
      </c>
      <c r="F13" s="29">
        <v>0</v>
      </c>
      <c r="G13" s="29">
        <v>0</v>
      </c>
      <c r="H13" s="29">
        <v>0</v>
      </c>
    </row>
    <row r="14" spans="1:15" x14ac:dyDescent="0.6">
      <c r="E14" s="29" t="s">
        <v>27</v>
      </c>
      <c r="F14" s="29" t="s">
        <v>24</v>
      </c>
      <c r="G14" s="29" t="s">
        <v>31</v>
      </c>
      <c r="H14" s="29" t="s">
        <v>31</v>
      </c>
    </row>
    <row r="15" spans="1:15" ht="15.6" customHeight="1" x14ac:dyDescent="0.6">
      <c r="A15" s="29" t="s">
        <v>98</v>
      </c>
      <c r="B15" s="29" t="s">
        <v>109</v>
      </c>
      <c r="C15" s="29">
        <v>40</v>
      </c>
      <c r="D15" s="29">
        <v>70</v>
      </c>
      <c r="E15" s="29" t="s">
        <v>23</v>
      </c>
      <c r="F15" s="29" t="s">
        <v>31</v>
      </c>
      <c r="G15" s="29" t="s">
        <v>29</v>
      </c>
      <c r="H15" s="29" t="s">
        <v>31</v>
      </c>
      <c r="I15" s="29" t="s">
        <v>25</v>
      </c>
      <c r="J15" s="29" t="s">
        <v>107</v>
      </c>
      <c r="K15" s="29" t="s">
        <v>107</v>
      </c>
      <c r="L15" s="29" t="s">
        <v>107</v>
      </c>
      <c r="M15" s="29">
        <v>830</v>
      </c>
      <c r="N15" s="29">
        <v>60</v>
      </c>
    </row>
    <row r="16" spans="1:15" x14ac:dyDescent="0.6">
      <c r="E16" s="29" t="s">
        <v>27</v>
      </c>
      <c r="F16" s="29">
        <v>0</v>
      </c>
      <c r="G16" s="29">
        <v>0</v>
      </c>
      <c r="H16" s="29">
        <v>0</v>
      </c>
    </row>
    <row r="17" spans="1:14" x14ac:dyDescent="0.6">
      <c r="E17" s="29" t="s">
        <v>23</v>
      </c>
      <c r="F17" s="29">
        <v>0</v>
      </c>
      <c r="G17" s="29">
        <v>0</v>
      </c>
      <c r="H17" s="29">
        <v>0</v>
      </c>
    </row>
    <row r="18" spans="1:14" x14ac:dyDescent="0.6">
      <c r="E18" s="29" t="s">
        <v>27</v>
      </c>
      <c r="F18" s="29" t="s">
        <v>24</v>
      </c>
      <c r="G18" s="29" t="s">
        <v>24</v>
      </c>
      <c r="H18" s="29" t="s">
        <v>24</v>
      </c>
    </row>
    <row r="19" spans="1:14" ht="15.6" customHeight="1" x14ac:dyDescent="0.6">
      <c r="A19" s="29" t="s">
        <v>98</v>
      </c>
      <c r="B19" s="29" t="s">
        <v>109</v>
      </c>
      <c r="C19" s="29">
        <v>40</v>
      </c>
      <c r="D19" s="29">
        <v>70</v>
      </c>
      <c r="E19" s="29" t="s">
        <v>23</v>
      </c>
      <c r="F19" s="29" t="s">
        <v>31</v>
      </c>
      <c r="G19" s="29" t="s">
        <v>29</v>
      </c>
      <c r="H19" s="29" t="s">
        <v>31</v>
      </c>
      <c r="I19" s="29" t="s">
        <v>25</v>
      </c>
      <c r="J19" s="29" t="s">
        <v>107</v>
      </c>
      <c r="K19" s="29" t="s">
        <v>107</v>
      </c>
      <c r="L19" s="29" t="s">
        <v>107</v>
      </c>
      <c r="M19" s="29">
        <v>830</v>
      </c>
      <c r="N19" s="29">
        <v>60</v>
      </c>
    </row>
    <row r="20" spans="1:14" x14ac:dyDescent="0.6">
      <c r="E20" s="29" t="s">
        <v>27</v>
      </c>
      <c r="F20" s="29">
        <v>0</v>
      </c>
      <c r="G20" s="29">
        <v>0</v>
      </c>
      <c r="H20" s="29">
        <v>0</v>
      </c>
    </row>
    <row r="21" spans="1:14" x14ac:dyDescent="0.6">
      <c r="E21" s="29" t="s">
        <v>23</v>
      </c>
      <c r="F21" s="29">
        <v>0</v>
      </c>
      <c r="G21" s="29">
        <v>0</v>
      </c>
      <c r="H21" s="29">
        <v>0</v>
      </c>
    </row>
    <row r="22" spans="1:14" x14ac:dyDescent="0.6">
      <c r="E22" s="29" t="s">
        <v>27</v>
      </c>
      <c r="F22" s="29" t="s">
        <v>24</v>
      </c>
      <c r="G22" s="29" t="s">
        <v>24</v>
      </c>
      <c r="H22" s="29" t="s">
        <v>24</v>
      </c>
    </row>
    <row r="23" spans="1:14" ht="15.6" customHeight="1" x14ac:dyDescent="0.6">
      <c r="A23" s="29" t="s">
        <v>98</v>
      </c>
      <c r="B23" s="29" t="s">
        <v>110</v>
      </c>
      <c r="C23" s="29">
        <v>40</v>
      </c>
      <c r="D23" s="29">
        <v>70</v>
      </c>
      <c r="E23" s="29" t="s">
        <v>23</v>
      </c>
      <c r="F23" s="29" t="s">
        <v>31</v>
      </c>
      <c r="G23" s="29" t="s">
        <v>29</v>
      </c>
      <c r="H23" s="29" t="s">
        <v>31</v>
      </c>
      <c r="I23" s="29" t="s">
        <v>25</v>
      </c>
      <c r="J23" s="29" t="s">
        <v>107</v>
      </c>
      <c r="K23" s="29" t="s">
        <v>107</v>
      </c>
      <c r="L23" s="29" t="s">
        <v>107</v>
      </c>
      <c r="M23" s="29">
        <v>830</v>
      </c>
      <c r="N23" s="29">
        <v>60</v>
      </c>
    </row>
    <row r="24" spans="1:14" x14ac:dyDescent="0.6">
      <c r="E24" s="29" t="s">
        <v>27</v>
      </c>
      <c r="F24" s="29">
        <v>0</v>
      </c>
      <c r="G24" s="29">
        <v>0</v>
      </c>
      <c r="H24" s="29">
        <v>0</v>
      </c>
    </row>
    <row r="25" spans="1:14" x14ac:dyDescent="0.6">
      <c r="E25" s="29" t="s">
        <v>23</v>
      </c>
      <c r="F25" s="29">
        <v>0</v>
      </c>
      <c r="G25" s="29">
        <v>0</v>
      </c>
      <c r="H25" s="29">
        <v>0</v>
      </c>
    </row>
    <row r="26" spans="1:14" x14ac:dyDescent="0.6">
      <c r="E26" s="29" t="s">
        <v>27</v>
      </c>
      <c r="F26" s="29" t="s">
        <v>24</v>
      </c>
      <c r="G26" s="29" t="s">
        <v>24</v>
      </c>
      <c r="H26" s="29" t="s">
        <v>24</v>
      </c>
    </row>
    <row r="27" spans="1:14" ht="15.6" customHeight="1" x14ac:dyDescent="0.6">
      <c r="A27" s="29" t="s">
        <v>98</v>
      </c>
      <c r="B27" s="29" t="s">
        <v>110</v>
      </c>
      <c r="C27" s="29">
        <v>40</v>
      </c>
      <c r="D27" s="29">
        <v>70</v>
      </c>
      <c r="E27" s="29" t="s">
        <v>23</v>
      </c>
      <c r="F27" s="29" t="s">
        <v>31</v>
      </c>
      <c r="G27" s="29" t="s">
        <v>29</v>
      </c>
      <c r="H27" s="29" t="s">
        <v>31</v>
      </c>
      <c r="I27" s="29" t="s">
        <v>25</v>
      </c>
      <c r="J27" s="29" t="s">
        <v>107</v>
      </c>
      <c r="K27" s="29" t="s">
        <v>107</v>
      </c>
      <c r="L27" s="29" t="s">
        <v>107</v>
      </c>
      <c r="M27" s="29">
        <v>830</v>
      </c>
      <c r="N27" s="29">
        <v>60</v>
      </c>
    </row>
    <row r="28" spans="1:14" x14ac:dyDescent="0.6">
      <c r="E28" s="29" t="s">
        <v>27</v>
      </c>
      <c r="F28" s="29">
        <v>0</v>
      </c>
      <c r="G28" s="29">
        <v>0</v>
      </c>
      <c r="H28" s="29">
        <v>0</v>
      </c>
    </row>
    <row r="29" spans="1:14" x14ac:dyDescent="0.6">
      <c r="E29" s="29" t="s">
        <v>23</v>
      </c>
      <c r="F29" s="29">
        <v>0</v>
      </c>
      <c r="G29" s="29">
        <v>0</v>
      </c>
      <c r="H29" s="29">
        <v>0</v>
      </c>
    </row>
    <row r="30" spans="1:14" x14ac:dyDescent="0.6">
      <c r="E30" s="29" t="s">
        <v>27</v>
      </c>
      <c r="F30" s="29" t="s">
        <v>24</v>
      </c>
      <c r="G30" s="29" t="s">
        <v>24</v>
      </c>
      <c r="H30" s="29" t="s">
        <v>24</v>
      </c>
    </row>
    <row r="31" spans="1:14" ht="15.6" customHeight="1" x14ac:dyDescent="0.6">
      <c r="A31" s="29" t="s">
        <v>98</v>
      </c>
      <c r="B31" s="29" t="s">
        <v>111</v>
      </c>
      <c r="C31" s="29">
        <v>40</v>
      </c>
      <c r="D31" s="29">
        <v>70</v>
      </c>
      <c r="E31" s="29" t="s">
        <v>23</v>
      </c>
      <c r="F31" s="29" t="s">
        <v>31</v>
      </c>
      <c r="G31" s="29" t="s">
        <v>29</v>
      </c>
      <c r="H31" s="29" t="s">
        <v>31</v>
      </c>
      <c r="I31" s="29" t="s">
        <v>25</v>
      </c>
      <c r="J31" s="29" t="s">
        <v>107</v>
      </c>
      <c r="K31" s="29" t="s">
        <v>107</v>
      </c>
      <c r="L31" s="29" t="s">
        <v>107</v>
      </c>
      <c r="M31" s="29">
        <v>830</v>
      </c>
      <c r="N31" s="29">
        <v>60</v>
      </c>
    </row>
    <row r="32" spans="1:14" x14ac:dyDescent="0.6">
      <c r="E32" s="29" t="s">
        <v>27</v>
      </c>
      <c r="F32" s="29">
        <v>0</v>
      </c>
      <c r="G32" s="29">
        <v>0</v>
      </c>
      <c r="H32" s="29">
        <v>0</v>
      </c>
    </row>
    <row r="33" spans="1:14" x14ac:dyDescent="0.6">
      <c r="E33" s="29" t="s">
        <v>23</v>
      </c>
      <c r="F33" s="29">
        <v>0</v>
      </c>
      <c r="G33" s="29">
        <v>0</v>
      </c>
      <c r="H33" s="29">
        <v>0</v>
      </c>
    </row>
    <row r="34" spans="1:14" x14ac:dyDescent="0.6">
      <c r="E34" s="29" t="s">
        <v>27</v>
      </c>
      <c r="F34" s="29" t="s">
        <v>24</v>
      </c>
      <c r="G34" s="29" t="s">
        <v>24</v>
      </c>
      <c r="H34" s="29" t="s">
        <v>24</v>
      </c>
    </row>
    <row r="35" spans="1:14" ht="15.6" customHeight="1" x14ac:dyDescent="0.6">
      <c r="A35" s="29" t="s">
        <v>98</v>
      </c>
      <c r="B35" s="29" t="s">
        <v>111</v>
      </c>
      <c r="C35" s="29">
        <v>40</v>
      </c>
      <c r="D35" s="29">
        <v>70</v>
      </c>
      <c r="E35" s="29" t="s">
        <v>23</v>
      </c>
      <c r="F35" s="29" t="s">
        <v>31</v>
      </c>
      <c r="G35" s="29" t="s">
        <v>29</v>
      </c>
      <c r="H35" s="29" t="s">
        <v>31</v>
      </c>
      <c r="I35" s="29" t="s">
        <v>25</v>
      </c>
      <c r="J35" s="29" t="s">
        <v>107</v>
      </c>
      <c r="K35" s="29" t="s">
        <v>107</v>
      </c>
      <c r="L35" s="29" t="s">
        <v>107</v>
      </c>
      <c r="M35" s="29">
        <v>830</v>
      </c>
      <c r="N35" s="29">
        <v>60</v>
      </c>
    </row>
    <row r="36" spans="1:14" x14ac:dyDescent="0.6">
      <c r="E36" s="29" t="s">
        <v>27</v>
      </c>
      <c r="F36" s="29">
        <v>0</v>
      </c>
      <c r="G36" s="29">
        <v>0</v>
      </c>
      <c r="H36" s="29">
        <v>0</v>
      </c>
    </row>
    <row r="37" spans="1:14" x14ac:dyDescent="0.6">
      <c r="E37" s="29" t="s">
        <v>23</v>
      </c>
      <c r="F37" s="29">
        <v>0</v>
      </c>
      <c r="G37" s="29">
        <v>0</v>
      </c>
      <c r="H37" s="29">
        <v>0</v>
      </c>
    </row>
    <row r="38" spans="1:14" x14ac:dyDescent="0.6">
      <c r="E38" s="29" t="s">
        <v>27</v>
      </c>
      <c r="F38" s="29" t="s">
        <v>24</v>
      </c>
      <c r="G38" s="29" t="s">
        <v>24</v>
      </c>
      <c r="H38" s="29" t="s">
        <v>24</v>
      </c>
    </row>
    <row r="39" spans="1:14" ht="15.6" customHeight="1" x14ac:dyDescent="0.6">
      <c r="A39" s="29" t="s">
        <v>98</v>
      </c>
      <c r="B39" s="29" t="s">
        <v>112</v>
      </c>
      <c r="C39" s="29">
        <v>40</v>
      </c>
      <c r="D39" s="29">
        <v>70</v>
      </c>
      <c r="E39" s="29" t="s">
        <v>23</v>
      </c>
      <c r="F39" s="29" t="s">
        <v>31</v>
      </c>
      <c r="G39" s="29" t="s">
        <v>29</v>
      </c>
      <c r="H39" s="29" t="s">
        <v>31</v>
      </c>
      <c r="I39" s="29" t="s">
        <v>25</v>
      </c>
      <c r="J39" s="29" t="s">
        <v>107</v>
      </c>
      <c r="K39" s="29" t="s">
        <v>107</v>
      </c>
      <c r="L39" s="29" t="s">
        <v>107</v>
      </c>
      <c r="M39" s="29">
        <v>830</v>
      </c>
      <c r="N39" s="29">
        <v>60</v>
      </c>
    </row>
    <row r="40" spans="1:14" x14ac:dyDescent="0.6">
      <c r="E40" s="29" t="s">
        <v>27</v>
      </c>
      <c r="F40" s="29">
        <v>0</v>
      </c>
      <c r="G40" s="29">
        <v>0</v>
      </c>
      <c r="H40" s="29">
        <v>0</v>
      </c>
    </row>
    <row r="41" spans="1:14" x14ac:dyDescent="0.6">
      <c r="E41" s="29" t="s">
        <v>23</v>
      </c>
      <c r="F41" s="29">
        <v>0</v>
      </c>
      <c r="G41" s="29">
        <v>0</v>
      </c>
      <c r="H41" s="29">
        <v>0</v>
      </c>
    </row>
    <row r="42" spans="1:14" x14ac:dyDescent="0.6">
      <c r="E42" s="29" t="s">
        <v>27</v>
      </c>
      <c r="F42" s="29" t="s">
        <v>24</v>
      </c>
      <c r="G42" s="29" t="s">
        <v>24</v>
      </c>
      <c r="H42" s="29" t="s">
        <v>24</v>
      </c>
    </row>
    <row r="43" spans="1:14" ht="15.6" customHeight="1" x14ac:dyDescent="0.6">
      <c r="A43" s="29" t="s">
        <v>98</v>
      </c>
      <c r="B43" s="29" t="s">
        <v>112</v>
      </c>
      <c r="C43" s="29">
        <v>40</v>
      </c>
      <c r="D43" s="29">
        <v>70</v>
      </c>
      <c r="E43" s="29" t="s">
        <v>23</v>
      </c>
      <c r="F43" s="29" t="s">
        <v>31</v>
      </c>
      <c r="G43" s="29" t="s">
        <v>29</v>
      </c>
      <c r="H43" s="29" t="s">
        <v>31</v>
      </c>
      <c r="I43" s="29" t="s">
        <v>25</v>
      </c>
      <c r="J43" s="29" t="s">
        <v>107</v>
      </c>
      <c r="K43" s="29" t="s">
        <v>107</v>
      </c>
      <c r="L43" s="29" t="s">
        <v>107</v>
      </c>
      <c r="M43" s="29">
        <v>830</v>
      </c>
      <c r="N43" s="29">
        <v>60</v>
      </c>
    </row>
    <row r="44" spans="1:14" x14ac:dyDescent="0.6">
      <c r="E44" s="29" t="s">
        <v>27</v>
      </c>
      <c r="F44" s="29">
        <v>0</v>
      </c>
      <c r="G44" s="29">
        <v>0</v>
      </c>
      <c r="H44" s="29">
        <v>0</v>
      </c>
    </row>
    <row r="45" spans="1:14" x14ac:dyDescent="0.6">
      <c r="E45" s="29" t="s">
        <v>23</v>
      </c>
      <c r="F45" s="29">
        <v>0</v>
      </c>
      <c r="G45" s="29">
        <v>0</v>
      </c>
      <c r="H45" s="29">
        <v>0</v>
      </c>
    </row>
    <row r="46" spans="1:14" x14ac:dyDescent="0.6">
      <c r="E46" s="29" t="s">
        <v>27</v>
      </c>
      <c r="F46" s="29" t="s">
        <v>24</v>
      </c>
      <c r="G46" s="29" t="s">
        <v>24</v>
      </c>
      <c r="H46" s="29" t="s">
        <v>24</v>
      </c>
    </row>
    <row r="47" spans="1:14" ht="15.6" customHeight="1" x14ac:dyDescent="0.6">
      <c r="A47" s="29" t="s">
        <v>98</v>
      </c>
      <c r="B47" s="29" t="s">
        <v>113</v>
      </c>
      <c r="C47" s="29">
        <v>40</v>
      </c>
      <c r="D47" s="29">
        <v>70</v>
      </c>
      <c r="E47" s="29" t="s">
        <v>23</v>
      </c>
      <c r="F47" s="29" t="s">
        <v>29</v>
      </c>
      <c r="G47" s="29" t="s">
        <v>29</v>
      </c>
      <c r="H47" s="29" t="s">
        <v>31</v>
      </c>
      <c r="I47" s="29" t="s">
        <v>25</v>
      </c>
      <c r="J47" s="29" t="s">
        <v>107</v>
      </c>
      <c r="K47" s="29" t="s">
        <v>107</v>
      </c>
      <c r="L47" s="29" t="s">
        <v>107</v>
      </c>
      <c r="M47" s="29">
        <v>830</v>
      </c>
      <c r="N47" s="29">
        <v>60</v>
      </c>
    </row>
    <row r="48" spans="1:14" x14ac:dyDescent="0.6">
      <c r="E48" s="29" t="s">
        <v>27</v>
      </c>
      <c r="F48" s="29">
        <v>0</v>
      </c>
      <c r="G48" s="29">
        <v>0</v>
      </c>
      <c r="H48" s="29">
        <v>0</v>
      </c>
    </row>
    <row r="49" spans="1:14" x14ac:dyDescent="0.6">
      <c r="E49" s="29" t="s">
        <v>23</v>
      </c>
      <c r="F49" s="29">
        <v>0</v>
      </c>
      <c r="G49" s="29">
        <v>0</v>
      </c>
      <c r="H49" s="29">
        <v>0</v>
      </c>
    </row>
    <row r="50" spans="1:14" x14ac:dyDescent="0.6">
      <c r="E50" s="29" t="s">
        <v>27</v>
      </c>
      <c r="F50" s="29" t="s">
        <v>24</v>
      </c>
      <c r="G50" s="29" t="s">
        <v>31</v>
      </c>
      <c r="H50" s="29" t="s">
        <v>24</v>
      </c>
    </row>
    <row r="51" spans="1:14" ht="15.6" customHeight="1" x14ac:dyDescent="0.6">
      <c r="A51" s="29" t="s">
        <v>98</v>
      </c>
      <c r="B51" s="29" t="s">
        <v>113</v>
      </c>
      <c r="C51" s="29">
        <v>40</v>
      </c>
      <c r="D51" s="29">
        <v>70</v>
      </c>
      <c r="E51" s="29" t="s">
        <v>23</v>
      </c>
      <c r="F51" s="29" t="s">
        <v>29</v>
      </c>
      <c r="G51" s="29" t="s">
        <v>29</v>
      </c>
      <c r="H51" s="29" t="s">
        <v>31</v>
      </c>
      <c r="I51" s="29" t="s">
        <v>25</v>
      </c>
      <c r="J51" s="29" t="s">
        <v>107</v>
      </c>
      <c r="K51" s="29" t="s">
        <v>107</v>
      </c>
      <c r="L51" s="29" t="s">
        <v>107</v>
      </c>
      <c r="M51" s="29">
        <v>830</v>
      </c>
      <c r="N51" s="29">
        <v>60</v>
      </c>
    </row>
    <row r="52" spans="1:14" x14ac:dyDescent="0.6">
      <c r="E52" s="29" t="s">
        <v>27</v>
      </c>
      <c r="F52" s="29">
        <v>0</v>
      </c>
      <c r="G52" s="29">
        <v>0</v>
      </c>
      <c r="H52" s="29">
        <v>0</v>
      </c>
    </row>
    <row r="53" spans="1:14" x14ac:dyDescent="0.6">
      <c r="E53" s="29" t="s">
        <v>23</v>
      </c>
      <c r="F53" s="29">
        <v>0</v>
      </c>
      <c r="G53" s="29">
        <v>0</v>
      </c>
      <c r="H53" s="29">
        <v>0</v>
      </c>
    </row>
    <row r="54" spans="1:14" x14ac:dyDescent="0.6">
      <c r="E54" s="29" t="s">
        <v>27</v>
      </c>
      <c r="F54" s="29" t="s">
        <v>24</v>
      </c>
      <c r="G54" s="29" t="s">
        <v>31</v>
      </c>
      <c r="H54" s="29" t="s">
        <v>24</v>
      </c>
    </row>
    <row r="55" spans="1:14" ht="15.6" customHeight="1" x14ac:dyDescent="0.6">
      <c r="A55" s="29" t="s">
        <v>98</v>
      </c>
      <c r="B55" s="29" t="s">
        <v>114</v>
      </c>
      <c r="C55" s="29">
        <v>40</v>
      </c>
      <c r="D55" s="29">
        <v>70</v>
      </c>
      <c r="E55" s="29" t="s">
        <v>23</v>
      </c>
      <c r="F55" s="29" t="s">
        <v>30</v>
      </c>
      <c r="G55" s="29" t="s">
        <v>29</v>
      </c>
      <c r="H55" s="29" t="s">
        <v>29</v>
      </c>
      <c r="I55" s="29" t="s">
        <v>25</v>
      </c>
      <c r="J55" s="29" t="s">
        <v>107</v>
      </c>
      <c r="K55" s="29" t="s">
        <v>107</v>
      </c>
      <c r="L55" s="29" t="s">
        <v>107</v>
      </c>
      <c r="M55" s="29">
        <v>830</v>
      </c>
      <c r="N55" s="29">
        <v>60</v>
      </c>
    </row>
    <row r="56" spans="1:14" x14ac:dyDescent="0.6">
      <c r="E56" s="29" t="s">
        <v>27</v>
      </c>
      <c r="F56" s="29">
        <v>0</v>
      </c>
      <c r="G56" s="29">
        <v>0</v>
      </c>
      <c r="H56" s="29">
        <v>0</v>
      </c>
    </row>
    <row r="57" spans="1:14" x14ac:dyDescent="0.6">
      <c r="E57" s="29" t="s">
        <v>23</v>
      </c>
      <c r="F57" s="29">
        <v>0</v>
      </c>
      <c r="G57" s="29">
        <v>0</v>
      </c>
      <c r="H57" s="29">
        <v>0</v>
      </c>
    </row>
    <row r="58" spans="1:14" x14ac:dyDescent="0.6">
      <c r="E58" s="29" t="s">
        <v>27</v>
      </c>
      <c r="F58" s="29" t="s">
        <v>24</v>
      </c>
      <c r="G58" s="29" t="s">
        <v>30</v>
      </c>
      <c r="H58" s="29" t="s">
        <v>31</v>
      </c>
    </row>
    <row r="59" spans="1:14" ht="15.6" customHeight="1" x14ac:dyDescent="0.6">
      <c r="A59" s="29" t="s">
        <v>98</v>
      </c>
      <c r="B59" s="29" t="s">
        <v>114</v>
      </c>
      <c r="C59" s="29">
        <v>40</v>
      </c>
      <c r="D59" s="29">
        <v>70</v>
      </c>
      <c r="E59" s="29" t="s">
        <v>23</v>
      </c>
      <c r="F59" s="29" t="s">
        <v>30</v>
      </c>
      <c r="G59" s="29" t="s">
        <v>29</v>
      </c>
      <c r="H59" s="29" t="s">
        <v>29</v>
      </c>
      <c r="I59" s="29" t="s">
        <v>25</v>
      </c>
      <c r="J59" s="29" t="s">
        <v>107</v>
      </c>
      <c r="K59" s="29" t="s">
        <v>107</v>
      </c>
      <c r="L59" s="29" t="s">
        <v>107</v>
      </c>
      <c r="M59" s="29">
        <v>830</v>
      </c>
      <c r="N59" s="29">
        <v>60</v>
      </c>
    </row>
    <row r="60" spans="1:14" x14ac:dyDescent="0.6">
      <c r="E60" s="29" t="s">
        <v>27</v>
      </c>
      <c r="F60" s="29">
        <v>0</v>
      </c>
      <c r="G60" s="29">
        <v>0</v>
      </c>
      <c r="H60" s="29">
        <v>0</v>
      </c>
    </row>
    <row r="61" spans="1:14" x14ac:dyDescent="0.6">
      <c r="E61" s="29" t="s">
        <v>23</v>
      </c>
      <c r="F61" s="29">
        <v>0</v>
      </c>
      <c r="G61" s="29">
        <v>0</v>
      </c>
      <c r="H61" s="29">
        <v>0</v>
      </c>
    </row>
    <row r="62" spans="1:14" x14ac:dyDescent="0.6">
      <c r="E62" s="29" t="s">
        <v>27</v>
      </c>
      <c r="F62" s="29" t="s">
        <v>24</v>
      </c>
      <c r="G62" s="29" t="s">
        <v>30</v>
      </c>
      <c r="H62" s="29" t="s">
        <v>31</v>
      </c>
    </row>
    <row r="63" spans="1:14" ht="15.6" customHeight="1" x14ac:dyDescent="0.6">
      <c r="A63" s="29" t="s">
        <v>98</v>
      </c>
      <c r="B63" s="29" t="s">
        <v>115</v>
      </c>
      <c r="C63" s="29">
        <v>40</v>
      </c>
      <c r="D63" s="29">
        <v>70</v>
      </c>
      <c r="E63" s="29" t="s">
        <v>23</v>
      </c>
      <c r="F63" s="29" t="s">
        <v>31</v>
      </c>
      <c r="G63" s="29" t="s">
        <v>29</v>
      </c>
      <c r="H63" s="29" t="s">
        <v>30</v>
      </c>
      <c r="I63" s="29" t="s">
        <v>25</v>
      </c>
      <c r="J63" s="29" t="s">
        <v>107</v>
      </c>
      <c r="K63" s="29" t="s">
        <v>107</v>
      </c>
      <c r="L63" s="29" t="s">
        <v>107</v>
      </c>
      <c r="M63" s="29">
        <v>830</v>
      </c>
      <c r="N63" s="29">
        <v>60</v>
      </c>
    </row>
    <row r="64" spans="1:14" x14ac:dyDescent="0.6">
      <c r="E64" s="29" t="s">
        <v>27</v>
      </c>
      <c r="F64" s="29">
        <v>0</v>
      </c>
      <c r="G64" s="29">
        <v>0</v>
      </c>
      <c r="H64" s="29">
        <v>0</v>
      </c>
    </row>
    <row r="65" spans="1:14" x14ac:dyDescent="0.6">
      <c r="E65" s="29" t="s">
        <v>23</v>
      </c>
      <c r="F65" s="29">
        <v>0</v>
      </c>
      <c r="G65" s="29">
        <v>0</v>
      </c>
      <c r="H65" s="29">
        <v>0</v>
      </c>
    </row>
    <row r="66" spans="1:14" x14ac:dyDescent="0.6">
      <c r="E66" s="29" t="s">
        <v>27</v>
      </c>
      <c r="F66" s="29" t="s">
        <v>24</v>
      </c>
      <c r="G66" s="29" t="s">
        <v>24</v>
      </c>
      <c r="H66" s="29" t="s">
        <v>24</v>
      </c>
    </row>
    <row r="67" spans="1:14" ht="15.6" customHeight="1" x14ac:dyDescent="0.6">
      <c r="A67" s="29" t="s">
        <v>98</v>
      </c>
      <c r="B67" s="29" t="s">
        <v>115</v>
      </c>
      <c r="C67" s="29">
        <v>40</v>
      </c>
      <c r="D67" s="29">
        <v>70</v>
      </c>
      <c r="E67" s="29" t="s">
        <v>23</v>
      </c>
      <c r="F67" s="29" t="s">
        <v>31</v>
      </c>
      <c r="G67" s="29" t="s">
        <v>29</v>
      </c>
      <c r="H67" s="29" t="s">
        <v>30</v>
      </c>
      <c r="I67" s="29" t="s">
        <v>25</v>
      </c>
      <c r="J67" s="29" t="s">
        <v>107</v>
      </c>
      <c r="K67" s="29" t="s">
        <v>107</v>
      </c>
      <c r="L67" s="29" t="s">
        <v>107</v>
      </c>
      <c r="M67" s="29">
        <v>830</v>
      </c>
      <c r="N67" s="29">
        <v>60</v>
      </c>
    </row>
    <row r="68" spans="1:14" x14ac:dyDescent="0.6">
      <c r="E68" s="29" t="s">
        <v>27</v>
      </c>
      <c r="F68" s="29">
        <v>0</v>
      </c>
      <c r="G68" s="29">
        <v>0</v>
      </c>
      <c r="H68" s="29">
        <v>0</v>
      </c>
    </row>
    <row r="69" spans="1:14" x14ac:dyDescent="0.6">
      <c r="E69" s="29" t="s">
        <v>23</v>
      </c>
      <c r="F69" s="29">
        <v>0</v>
      </c>
      <c r="G69" s="29">
        <v>0</v>
      </c>
      <c r="H69" s="29">
        <v>0</v>
      </c>
    </row>
    <row r="70" spans="1:14" x14ac:dyDescent="0.6">
      <c r="E70" s="29" t="s">
        <v>27</v>
      </c>
      <c r="F70" s="29" t="s">
        <v>24</v>
      </c>
      <c r="G70" s="29" t="s">
        <v>24</v>
      </c>
      <c r="H70" s="29" t="s">
        <v>24</v>
      </c>
    </row>
    <row r="71" spans="1:14" ht="15.6" customHeight="1" x14ac:dyDescent="0.6">
      <c r="A71" s="29" t="s">
        <v>98</v>
      </c>
      <c r="B71" s="29" t="s">
        <v>116</v>
      </c>
      <c r="C71" s="29">
        <v>40</v>
      </c>
      <c r="D71" s="29">
        <v>70</v>
      </c>
      <c r="E71" s="29" t="s">
        <v>23</v>
      </c>
      <c r="F71" s="29" t="s">
        <v>31</v>
      </c>
      <c r="G71" s="29" t="s">
        <v>29</v>
      </c>
      <c r="H71" s="29" t="s">
        <v>31</v>
      </c>
      <c r="I71" s="29" t="s">
        <v>25</v>
      </c>
      <c r="J71" s="29" t="s">
        <v>107</v>
      </c>
      <c r="K71" s="29" t="s">
        <v>107</v>
      </c>
      <c r="L71" s="29" t="s">
        <v>107</v>
      </c>
      <c r="M71" s="29">
        <v>830</v>
      </c>
      <c r="N71" s="29">
        <v>60</v>
      </c>
    </row>
    <row r="72" spans="1:14" x14ac:dyDescent="0.6">
      <c r="E72" s="29" t="s">
        <v>27</v>
      </c>
      <c r="F72" s="29">
        <v>0</v>
      </c>
      <c r="G72" s="29">
        <v>0</v>
      </c>
      <c r="H72" s="29">
        <v>0</v>
      </c>
    </row>
    <row r="73" spans="1:14" x14ac:dyDescent="0.6">
      <c r="E73" s="29" t="s">
        <v>23</v>
      </c>
      <c r="F73" s="29">
        <v>0</v>
      </c>
      <c r="G73" s="29">
        <v>0</v>
      </c>
      <c r="H73" s="29">
        <v>0</v>
      </c>
    </row>
    <row r="74" spans="1:14" x14ac:dyDescent="0.6">
      <c r="E74" s="29" t="s">
        <v>27</v>
      </c>
      <c r="F74" s="29" t="s">
        <v>24</v>
      </c>
      <c r="G74" s="29" t="s">
        <v>24</v>
      </c>
      <c r="H74" s="29" t="s">
        <v>24</v>
      </c>
    </row>
    <row r="75" spans="1:14" ht="15.6" customHeight="1" x14ac:dyDescent="0.6">
      <c r="A75" s="29" t="s">
        <v>98</v>
      </c>
      <c r="B75" s="29" t="s">
        <v>116</v>
      </c>
      <c r="C75" s="29">
        <v>40</v>
      </c>
      <c r="D75" s="29">
        <v>70</v>
      </c>
      <c r="E75" s="29" t="s">
        <v>23</v>
      </c>
      <c r="F75" s="29" t="s">
        <v>31</v>
      </c>
      <c r="G75" s="29" t="s">
        <v>29</v>
      </c>
      <c r="H75" s="29" t="s">
        <v>31</v>
      </c>
      <c r="I75" s="29" t="s">
        <v>25</v>
      </c>
      <c r="J75" s="29" t="s">
        <v>107</v>
      </c>
      <c r="K75" s="29" t="s">
        <v>107</v>
      </c>
      <c r="L75" s="29" t="s">
        <v>107</v>
      </c>
      <c r="M75" s="29">
        <v>830</v>
      </c>
      <c r="N75" s="29">
        <v>60</v>
      </c>
    </row>
    <row r="76" spans="1:14" x14ac:dyDescent="0.6">
      <c r="E76" s="29" t="s">
        <v>27</v>
      </c>
      <c r="F76" s="29">
        <v>0</v>
      </c>
      <c r="G76" s="29">
        <v>0</v>
      </c>
      <c r="H76" s="29">
        <v>0</v>
      </c>
    </row>
    <row r="77" spans="1:14" x14ac:dyDescent="0.6">
      <c r="E77" s="29" t="s">
        <v>23</v>
      </c>
      <c r="F77" s="29">
        <v>0</v>
      </c>
      <c r="G77" s="29">
        <v>0</v>
      </c>
      <c r="H77" s="29">
        <v>0</v>
      </c>
    </row>
    <row r="78" spans="1:14" x14ac:dyDescent="0.6">
      <c r="E78" s="29" t="s">
        <v>27</v>
      </c>
      <c r="F78" s="29" t="s">
        <v>24</v>
      </c>
      <c r="G78" s="29" t="s">
        <v>24</v>
      </c>
      <c r="H78" s="29" t="s">
        <v>24</v>
      </c>
    </row>
    <row r="79" spans="1:14" ht="15.6" customHeight="1" x14ac:dyDescent="0.6">
      <c r="A79" s="29" t="s">
        <v>98</v>
      </c>
      <c r="B79" s="29" t="s">
        <v>117</v>
      </c>
      <c r="C79" s="29">
        <v>40</v>
      </c>
      <c r="D79" s="29">
        <v>70</v>
      </c>
      <c r="E79" s="29" t="s">
        <v>23</v>
      </c>
      <c r="F79" s="29" t="s">
        <v>31</v>
      </c>
      <c r="G79" s="29" t="s">
        <v>29</v>
      </c>
      <c r="H79" s="29" t="s">
        <v>31</v>
      </c>
      <c r="I79" s="29" t="s">
        <v>25</v>
      </c>
      <c r="J79" s="29" t="s">
        <v>107</v>
      </c>
      <c r="K79" s="29" t="s">
        <v>107</v>
      </c>
      <c r="L79" s="29" t="s">
        <v>107</v>
      </c>
      <c r="M79" s="29">
        <v>830</v>
      </c>
      <c r="N79" s="29">
        <v>60</v>
      </c>
    </row>
    <row r="80" spans="1:14" x14ac:dyDescent="0.6">
      <c r="E80" s="29" t="s">
        <v>27</v>
      </c>
      <c r="F80" s="29">
        <v>0</v>
      </c>
      <c r="G80" s="29">
        <v>0</v>
      </c>
      <c r="H80" s="29">
        <v>0</v>
      </c>
    </row>
    <row r="81" spans="1:14" x14ac:dyDescent="0.6">
      <c r="E81" s="29" t="s">
        <v>23</v>
      </c>
      <c r="F81" s="29">
        <v>0</v>
      </c>
      <c r="G81" s="29">
        <v>0</v>
      </c>
      <c r="H81" s="29">
        <v>0</v>
      </c>
    </row>
    <row r="82" spans="1:14" x14ac:dyDescent="0.6">
      <c r="E82" s="29" t="s">
        <v>27</v>
      </c>
      <c r="F82" s="29" t="s">
        <v>24</v>
      </c>
      <c r="G82" s="29" t="s">
        <v>24</v>
      </c>
      <c r="H82" s="29" t="s">
        <v>24</v>
      </c>
    </row>
    <row r="83" spans="1:14" ht="15.6" customHeight="1" x14ac:dyDescent="0.6">
      <c r="A83" s="29" t="s">
        <v>98</v>
      </c>
      <c r="B83" s="29" t="s">
        <v>117</v>
      </c>
      <c r="C83" s="29">
        <v>40</v>
      </c>
      <c r="D83" s="29">
        <v>70</v>
      </c>
      <c r="E83" s="29" t="s">
        <v>23</v>
      </c>
      <c r="F83" s="29" t="s">
        <v>31</v>
      </c>
      <c r="G83" s="29" t="s">
        <v>29</v>
      </c>
      <c r="H83" s="29" t="s">
        <v>31</v>
      </c>
      <c r="I83" s="29" t="s">
        <v>25</v>
      </c>
      <c r="J83" s="29" t="s">
        <v>107</v>
      </c>
      <c r="K83" s="29" t="s">
        <v>107</v>
      </c>
      <c r="L83" s="29" t="s">
        <v>107</v>
      </c>
      <c r="M83" s="29">
        <v>830</v>
      </c>
      <c r="N83" s="29">
        <v>60</v>
      </c>
    </row>
    <row r="84" spans="1:14" x14ac:dyDescent="0.6">
      <c r="E84" s="29" t="s">
        <v>27</v>
      </c>
      <c r="F84" s="29">
        <v>0</v>
      </c>
      <c r="G84" s="29">
        <v>0</v>
      </c>
      <c r="H84" s="29">
        <v>0</v>
      </c>
    </row>
    <row r="85" spans="1:14" x14ac:dyDescent="0.6">
      <c r="E85" s="29" t="s">
        <v>23</v>
      </c>
      <c r="F85" s="29">
        <v>0</v>
      </c>
      <c r="G85" s="29">
        <v>0</v>
      </c>
      <c r="H85" s="29">
        <v>0</v>
      </c>
    </row>
    <row r="86" spans="1:14" x14ac:dyDescent="0.6">
      <c r="E86" s="29" t="s">
        <v>27</v>
      </c>
      <c r="F86" s="29" t="s">
        <v>24</v>
      </c>
      <c r="G86" s="29" t="s">
        <v>24</v>
      </c>
      <c r="H86" s="29" t="s">
        <v>24</v>
      </c>
    </row>
    <row r="87" spans="1:14" ht="15.6" customHeight="1" x14ac:dyDescent="0.6">
      <c r="A87" s="29" t="s">
        <v>98</v>
      </c>
      <c r="B87" s="29" t="s">
        <v>118</v>
      </c>
      <c r="C87" s="29">
        <v>40</v>
      </c>
      <c r="D87" s="29">
        <v>70</v>
      </c>
      <c r="E87" s="29" t="s">
        <v>23</v>
      </c>
      <c r="F87" s="29" t="s">
        <v>31</v>
      </c>
      <c r="G87" s="29" t="s">
        <v>29</v>
      </c>
      <c r="H87" s="29" t="s">
        <v>31</v>
      </c>
      <c r="I87" s="29" t="s">
        <v>25</v>
      </c>
      <c r="J87" s="29" t="s">
        <v>107</v>
      </c>
      <c r="K87" s="29" t="s">
        <v>107</v>
      </c>
      <c r="L87" s="29" t="s">
        <v>107</v>
      </c>
      <c r="M87" s="29">
        <v>830</v>
      </c>
      <c r="N87" s="29">
        <v>60</v>
      </c>
    </row>
    <row r="88" spans="1:14" x14ac:dyDescent="0.6">
      <c r="E88" s="29" t="s">
        <v>27</v>
      </c>
      <c r="F88" s="29">
        <v>0</v>
      </c>
      <c r="G88" s="29">
        <v>0</v>
      </c>
      <c r="H88" s="29">
        <v>0</v>
      </c>
    </row>
    <row r="89" spans="1:14" x14ac:dyDescent="0.6">
      <c r="E89" s="29" t="s">
        <v>23</v>
      </c>
      <c r="F89" s="29">
        <v>0</v>
      </c>
      <c r="G89" s="29">
        <v>0</v>
      </c>
      <c r="H89" s="29">
        <v>0</v>
      </c>
    </row>
    <row r="90" spans="1:14" x14ac:dyDescent="0.6">
      <c r="E90" s="29" t="s">
        <v>27</v>
      </c>
      <c r="F90" s="29" t="s">
        <v>24</v>
      </c>
      <c r="G90" s="29" t="s">
        <v>24</v>
      </c>
      <c r="H90" s="29" t="s">
        <v>24</v>
      </c>
    </row>
    <row r="91" spans="1:14" ht="15.6" customHeight="1" x14ac:dyDescent="0.6">
      <c r="A91" s="29" t="s">
        <v>98</v>
      </c>
      <c r="B91" s="29" t="s">
        <v>118</v>
      </c>
      <c r="C91" s="29">
        <v>40</v>
      </c>
      <c r="D91" s="29">
        <v>70</v>
      </c>
      <c r="E91" s="29" t="s">
        <v>23</v>
      </c>
      <c r="F91" s="29" t="s">
        <v>31</v>
      </c>
      <c r="G91" s="29" t="s">
        <v>29</v>
      </c>
      <c r="H91" s="29" t="s">
        <v>31</v>
      </c>
      <c r="I91" s="29" t="s">
        <v>25</v>
      </c>
      <c r="J91" s="29" t="s">
        <v>107</v>
      </c>
      <c r="K91" s="29" t="s">
        <v>107</v>
      </c>
      <c r="L91" s="29" t="s">
        <v>107</v>
      </c>
      <c r="M91" s="29">
        <v>830</v>
      </c>
      <c r="N91" s="29">
        <v>60</v>
      </c>
    </row>
    <row r="92" spans="1:14" x14ac:dyDescent="0.6">
      <c r="E92" s="29" t="s">
        <v>27</v>
      </c>
      <c r="F92" s="29">
        <v>0</v>
      </c>
      <c r="G92" s="29">
        <v>0</v>
      </c>
      <c r="H92" s="29">
        <v>0</v>
      </c>
    </row>
    <row r="93" spans="1:14" x14ac:dyDescent="0.6">
      <c r="E93" s="29" t="s">
        <v>23</v>
      </c>
      <c r="F93" s="29">
        <v>0</v>
      </c>
      <c r="G93" s="29">
        <v>0</v>
      </c>
      <c r="H93" s="29">
        <v>0</v>
      </c>
    </row>
    <row r="94" spans="1:14" x14ac:dyDescent="0.6">
      <c r="E94" s="29" t="s">
        <v>27</v>
      </c>
      <c r="F94" s="29" t="s">
        <v>24</v>
      </c>
      <c r="G94" s="29" t="s">
        <v>24</v>
      </c>
      <c r="H94" s="29" t="s">
        <v>24</v>
      </c>
    </row>
    <row r="95" spans="1:14" ht="15.6" customHeight="1" x14ac:dyDescent="0.6">
      <c r="A95" s="29" t="s">
        <v>98</v>
      </c>
      <c r="B95" s="29" t="s">
        <v>119</v>
      </c>
      <c r="C95" s="29">
        <v>40</v>
      </c>
      <c r="D95" s="29">
        <v>70</v>
      </c>
      <c r="E95" s="29" t="s">
        <v>23</v>
      </c>
      <c r="F95" s="29" t="s">
        <v>29</v>
      </c>
      <c r="G95" s="29" t="s">
        <v>29</v>
      </c>
      <c r="H95" s="29" t="s">
        <v>31</v>
      </c>
      <c r="I95" s="29" t="s">
        <v>25</v>
      </c>
      <c r="J95" s="29" t="s">
        <v>107</v>
      </c>
      <c r="K95" s="29" t="s">
        <v>107</v>
      </c>
      <c r="L95" s="29" t="s">
        <v>107</v>
      </c>
      <c r="M95" s="29">
        <v>830</v>
      </c>
      <c r="N95" s="29">
        <v>60</v>
      </c>
    </row>
    <row r="96" spans="1:14" x14ac:dyDescent="0.6">
      <c r="E96" s="29" t="s">
        <v>27</v>
      </c>
      <c r="F96" s="29">
        <v>0</v>
      </c>
      <c r="G96" s="29">
        <v>0</v>
      </c>
      <c r="H96" s="29">
        <v>0</v>
      </c>
    </row>
    <row r="97" spans="1:14" x14ac:dyDescent="0.6">
      <c r="E97" s="29" t="s">
        <v>23</v>
      </c>
      <c r="F97" s="29">
        <v>0</v>
      </c>
      <c r="G97" s="29">
        <v>0</v>
      </c>
      <c r="H97" s="29">
        <v>0</v>
      </c>
    </row>
    <row r="98" spans="1:14" x14ac:dyDescent="0.6">
      <c r="E98" s="29" t="s">
        <v>27</v>
      </c>
      <c r="F98" s="29" t="s">
        <v>31</v>
      </c>
      <c r="G98" s="29" t="s">
        <v>30</v>
      </c>
      <c r="H98" s="29" t="s">
        <v>24</v>
      </c>
    </row>
    <row r="99" spans="1:14" ht="15.6" customHeight="1" x14ac:dyDescent="0.6">
      <c r="A99" s="29" t="s">
        <v>98</v>
      </c>
      <c r="B99" s="29" t="s">
        <v>119</v>
      </c>
      <c r="C99" s="29">
        <v>40</v>
      </c>
      <c r="D99" s="29">
        <v>70</v>
      </c>
      <c r="E99" s="29" t="s">
        <v>23</v>
      </c>
      <c r="F99" s="29" t="s">
        <v>29</v>
      </c>
      <c r="G99" s="29" t="s">
        <v>29</v>
      </c>
      <c r="H99" s="29" t="s">
        <v>31</v>
      </c>
      <c r="I99" s="29" t="s">
        <v>25</v>
      </c>
      <c r="J99" s="29" t="s">
        <v>107</v>
      </c>
      <c r="K99" s="29" t="s">
        <v>107</v>
      </c>
      <c r="L99" s="29" t="s">
        <v>107</v>
      </c>
      <c r="M99" s="29">
        <v>830</v>
      </c>
      <c r="N99" s="29">
        <v>60</v>
      </c>
    </row>
    <row r="100" spans="1:14" x14ac:dyDescent="0.6">
      <c r="E100" s="29" t="s">
        <v>27</v>
      </c>
      <c r="F100" s="29">
        <v>0</v>
      </c>
      <c r="G100" s="29">
        <v>0</v>
      </c>
      <c r="H100" s="29">
        <v>0</v>
      </c>
    </row>
    <row r="101" spans="1:14" x14ac:dyDescent="0.6">
      <c r="E101" s="29" t="s">
        <v>23</v>
      </c>
      <c r="F101" s="29">
        <v>0</v>
      </c>
      <c r="G101" s="29">
        <v>0</v>
      </c>
      <c r="H101" s="29">
        <v>0</v>
      </c>
    </row>
    <row r="102" spans="1:14" x14ac:dyDescent="0.6">
      <c r="E102" s="29" t="s">
        <v>27</v>
      </c>
      <c r="F102" s="29" t="s">
        <v>31</v>
      </c>
      <c r="G102" s="29" t="s">
        <v>30</v>
      </c>
      <c r="H102" s="29" t="s">
        <v>24</v>
      </c>
    </row>
    <row r="103" spans="1:14" ht="15.6" customHeight="1" x14ac:dyDescent="0.6">
      <c r="A103" s="29" t="s">
        <v>98</v>
      </c>
      <c r="B103" s="29" t="s">
        <v>120</v>
      </c>
      <c r="C103" s="29">
        <v>40</v>
      </c>
      <c r="D103" s="29">
        <v>70</v>
      </c>
      <c r="E103" s="29" t="s">
        <v>23</v>
      </c>
      <c r="F103" s="29" t="s">
        <v>29</v>
      </c>
      <c r="G103" s="29" t="s">
        <v>29</v>
      </c>
      <c r="H103" s="29" t="s">
        <v>29</v>
      </c>
      <c r="I103" s="29" t="s">
        <v>25</v>
      </c>
      <c r="J103" s="29" t="s">
        <v>107</v>
      </c>
      <c r="K103" s="29" t="s">
        <v>107</v>
      </c>
      <c r="L103" s="29" t="s">
        <v>107</v>
      </c>
      <c r="M103" s="29">
        <v>830</v>
      </c>
      <c r="N103" s="29">
        <v>60</v>
      </c>
    </row>
    <row r="104" spans="1:14" x14ac:dyDescent="0.6">
      <c r="E104" s="29" t="s">
        <v>27</v>
      </c>
      <c r="F104" s="29">
        <v>0</v>
      </c>
      <c r="G104" s="29">
        <v>0</v>
      </c>
      <c r="H104" s="29">
        <v>0</v>
      </c>
    </row>
    <row r="105" spans="1:14" x14ac:dyDescent="0.6">
      <c r="E105" s="29" t="s">
        <v>23</v>
      </c>
      <c r="F105" s="29">
        <v>0</v>
      </c>
      <c r="G105" s="29" t="s">
        <v>29</v>
      </c>
      <c r="H105" s="29">
        <v>0</v>
      </c>
    </row>
    <row r="106" spans="1:14" x14ac:dyDescent="0.6">
      <c r="E106" s="29" t="s">
        <v>27</v>
      </c>
      <c r="F106" s="29" t="s">
        <v>28</v>
      </c>
      <c r="G106" s="29" t="s">
        <v>30</v>
      </c>
      <c r="H106" s="29" t="s">
        <v>28</v>
      </c>
    </row>
    <row r="107" spans="1:14" ht="15.6" customHeight="1" x14ac:dyDescent="0.6">
      <c r="A107" s="29" t="s">
        <v>98</v>
      </c>
      <c r="B107" s="29" t="s">
        <v>120</v>
      </c>
      <c r="C107" s="29">
        <v>40</v>
      </c>
      <c r="D107" s="29">
        <v>70</v>
      </c>
      <c r="E107" s="29" t="s">
        <v>23</v>
      </c>
      <c r="F107" s="29" t="s">
        <v>29</v>
      </c>
      <c r="G107" s="29" t="s">
        <v>29</v>
      </c>
      <c r="H107" s="29" t="s">
        <v>29</v>
      </c>
      <c r="I107" s="29" t="s">
        <v>25</v>
      </c>
      <c r="J107" s="29" t="s">
        <v>107</v>
      </c>
      <c r="K107" s="29" t="s">
        <v>107</v>
      </c>
      <c r="L107" s="29" t="s">
        <v>107</v>
      </c>
      <c r="M107" s="29">
        <v>830</v>
      </c>
      <c r="N107" s="29">
        <v>60</v>
      </c>
    </row>
    <row r="108" spans="1:14" x14ac:dyDescent="0.6">
      <c r="E108" s="29" t="s">
        <v>27</v>
      </c>
      <c r="F108" s="29">
        <v>0</v>
      </c>
      <c r="G108" s="29">
        <v>0</v>
      </c>
      <c r="H108" s="29">
        <v>0</v>
      </c>
    </row>
    <row r="109" spans="1:14" x14ac:dyDescent="0.6">
      <c r="E109" s="29" t="s">
        <v>23</v>
      </c>
      <c r="F109" s="29">
        <v>0</v>
      </c>
      <c r="G109" s="29" t="s">
        <v>29</v>
      </c>
      <c r="H109" s="29">
        <v>0</v>
      </c>
    </row>
    <row r="110" spans="1:14" x14ac:dyDescent="0.6">
      <c r="E110" s="29" t="s">
        <v>27</v>
      </c>
      <c r="F110" s="29" t="s">
        <v>28</v>
      </c>
      <c r="G110" s="29" t="s">
        <v>30</v>
      </c>
      <c r="H110" s="29" t="s">
        <v>28</v>
      </c>
    </row>
    <row r="111" spans="1:14" ht="15.6" customHeight="1" x14ac:dyDescent="0.6">
      <c r="A111" s="29" t="s">
        <v>98</v>
      </c>
      <c r="B111" s="29" t="s">
        <v>121</v>
      </c>
      <c r="C111" s="29">
        <v>40</v>
      </c>
      <c r="D111" s="29">
        <v>70</v>
      </c>
      <c r="E111" s="29" t="s">
        <v>23</v>
      </c>
      <c r="F111" s="29" t="s">
        <v>29</v>
      </c>
      <c r="G111" s="29" t="s">
        <v>29</v>
      </c>
      <c r="H111" s="29" t="s">
        <v>30</v>
      </c>
      <c r="I111" s="29" t="s">
        <v>25</v>
      </c>
      <c r="J111" s="29" t="s">
        <v>107</v>
      </c>
      <c r="K111" s="29" t="s">
        <v>107</v>
      </c>
      <c r="L111" s="29" t="s">
        <v>107</v>
      </c>
      <c r="M111" s="29">
        <v>830</v>
      </c>
      <c r="N111" s="29">
        <v>60</v>
      </c>
    </row>
    <row r="112" spans="1:14" x14ac:dyDescent="0.6">
      <c r="E112" s="29" t="s">
        <v>27</v>
      </c>
      <c r="F112" s="29">
        <v>0</v>
      </c>
      <c r="G112" s="29">
        <v>0</v>
      </c>
      <c r="H112" s="29">
        <v>0</v>
      </c>
    </row>
    <row r="113" spans="1:14" x14ac:dyDescent="0.6">
      <c r="E113" s="29" t="s">
        <v>23</v>
      </c>
      <c r="F113" s="29">
        <v>0</v>
      </c>
      <c r="G113" s="29">
        <v>0</v>
      </c>
      <c r="H113" s="29">
        <v>0</v>
      </c>
    </row>
    <row r="114" spans="1:14" x14ac:dyDescent="0.6">
      <c r="E114" s="29" t="s">
        <v>27</v>
      </c>
      <c r="F114" s="29" t="s">
        <v>31</v>
      </c>
      <c r="G114" s="29" t="s">
        <v>30</v>
      </c>
      <c r="H114" s="29" t="s">
        <v>24</v>
      </c>
    </row>
    <row r="115" spans="1:14" ht="15.6" customHeight="1" x14ac:dyDescent="0.6">
      <c r="A115" s="29" t="s">
        <v>98</v>
      </c>
      <c r="B115" s="29" t="s">
        <v>121</v>
      </c>
      <c r="C115" s="29">
        <v>40</v>
      </c>
      <c r="D115" s="29">
        <v>70</v>
      </c>
      <c r="E115" s="29" t="s">
        <v>23</v>
      </c>
      <c r="F115" s="29" t="s">
        <v>29</v>
      </c>
      <c r="G115" s="29" t="s">
        <v>29</v>
      </c>
      <c r="H115" s="29" t="s">
        <v>30</v>
      </c>
      <c r="I115" s="29" t="s">
        <v>25</v>
      </c>
      <c r="J115" s="29" t="s">
        <v>107</v>
      </c>
      <c r="K115" s="29" t="s">
        <v>107</v>
      </c>
      <c r="L115" s="29" t="s">
        <v>107</v>
      </c>
      <c r="M115" s="29">
        <v>830</v>
      </c>
      <c r="N115" s="29">
        <v>60</v>
      </c>
    </row>
    <row r="116" spans="1:14" x14ac:dyDescent="0.6">
      <c r="E116" s="29" t="s">
        <v>27</v>
      </c>
      <c r="F116" s="29">
        <v>0</v>
      </c>
      <c r="G116" s="29">
        <v>0</v>
      </c>
      <c r="H116" s="29">
        <v>0</v>
      </c>
    </row>
    <row r="117" spans="1:14" x14ac:dyDescent="0.6">
      <c r="E117" s="29" t="s">
        <v>23</v>
      </c>
      <c r="F117" s="29">
        <v>0</v>
      </c>
      <c r="G117" s="29">
        <v>0</v>
      </c>
      <c r="H117" s="29">
        <v>0</v>
      </c>
    </row>
    <row r="118" spans="1:14" x14ac:dyDescent="0.6">
      <c r="E118" s="29" t="s">
        <v>27</v>
      </c>
      <c r="F118" s="29" t="s">
        <v>31</v>
      </c>
      <c r="G118" s="29" t="s">
        <v>30</v>
      </c>
      <c r="H118" s="29" t="s">
        <v>24</v>
      </c>
    </row>
    <row r="119" spans="1:14" ht="15.6" customHeight="1" x14ac:dyDescent="0.6">
      <c r="A119" s="29" t="s">
        <v>98</v>
      </c>
      <c r="B119" s="29" t="s">
        <v>122</v>
      </c>
      <c r="C119" s="29">
        <v>40</v>
      </c>
      <c r="D119" s="29">
        <v>70</v>
      </c>
      <c r="E119" s="29" t="s">
        <v>23</v>
      </c>
      <c r="F119" s="29" t="s">
        <v>30</v>
      </c>
      <c r="G119" s="29" t="s">
        <v>29</v>
      </c>
      <c r="H119" s="29" t="s">
        <v>29</v>
      </c>
      <c r="I119" s="29" t="s">
        <v>25</v>
      </c>
      <c r="J119" s="29" t="s">
        <v>107</v>
      </c>
      <c r="K119" s="29" t="s">
        <v>107</v>
      </c>
      <c r="L119" s="29" t="s">
        <v>107</v>
      </c>
      <c r="M119" s="29">
        <v>830</v>
      </c>
      <c r="N119" s="29">
        <v>60</v>
      </c>
    </row>
    <row r="120" spans="1:14" x14ac:dyDescent="0.6">
      <c r="E120" s="29" t="s">
        <v>27</v>
      </c>
      <c r="F120" s="29">
        <v>0</v>
      </c>
      <c r="G120" s="29">
        <v>0</v>
      </c>
      <c r="H120" s="29">
        <v>0</v>
      </c>
    </row>
    <row r="121" spans="1:14" x14ac:dyDescent="0.6">
      <c r="E121" s="29" t="s">
        <v>23</v>
      </c>
      <c r="F121" s="29">
        <v>0</v>
      </c>
      <c r="G121" s="29">
        <v>0</v>
      </c>
      <c r="H121" s="29">
        <v>0</v>
      </c>
    </row>
    <row r="122" spans="1:14" x14ac:dyDescent="0.6">
      <c r="E122" s="29" t="s">
        <v>27</v>
      </c>
      <c r="F122" s="29" t="s">
        <v>24</v>
      </c>
      <c r="G122" s="29" t="s">
        <v>30</v>
      </c>
      <c r="H122" s="29" t="s">
        <v>31</v>
      </c>
    </row>
    <row r="123" spans="1:14" ht="15.6" customHeight="1" x14ac:dyDescent="0.6">
      <c r="A123" s="29" t="s">
        <v>98</v>
      </c>
      <c r="B123" s="29" t="s">
        <v>122</v>
      </c>
      <c r="C123" s="29">
        <v>40</v>
      </c>
      <c r="D123" s="29">
        <v>70</v>
      </c>
      <c r="E123" s="29" t="s">
        <v>23</v>
      </c>
      <c r="F123" s="29" t="s">
        <v>30</v>
      </c>
      <c r="G123" s="29" t="s">
        <v>29</v>
      </c>
      <c r="H123" s="29" t="s">
        <v>29</v>
      </c>
      <c r="I123" s="29" t="s">
        <v>25</v>
      </c>
      <c r="J123" s="29" t="s">
        <v>107</v>
      </c>
      <c r="K123" s="29" t="s">
        <v>107</v>
      </c>
      <c r="L123" s="29" t="s">
        <v>107</v>
      </c>
      <c r="M123" s="29">
        <v>830</v>
      </c>
      <c r="N123" s="29">
        <v>60</v>
      </c>
    </row>
    <row r="124" spans="1:14" x14ac:dyDescent="0.6">
      <c r="E124" s="29" t="s">
        <v>27</v>
      </c>
      <c r="F124" s="29">
        <v>0</v>
      </c>
      <c r="G124" s="29">
        <v>0</v>
      </c>
      <c r="H124" s="29">
        <v>0</v>
      </c>
    </row>
    <row r="125" spans="1:14" x14ac:dyDescent="0.6">
      <c r="E125" s="29" t="s">
        <v>23</v>
      </c>
      <c r="F125" s="29">
        <v>0</v>
      </c>
      <c r="G125" s="29">
        <v>0</v>
      </c>
      <c r="H125" s="29">
        <v>0</v>
      </c>
    </row>
    <row r="126" spans="1:14" x14ac:dyDescent="0.6">
      <c r="E126" s="29" t="s">
        <v>27</v>
      </c>
      <c r="F126" s="29" t="s">
        <v>24</v>
      </c>
      <c r="G126" s="29" t="s">
        <v>30</v>
      </c>
      <c r="H126" s="29" t="s">
        <v>31</v>
      </c>
    </row>
    <row r="127" spans="1:14" ht="15.6" customHeight="1" x14ac:dyDescent="0.6">
      <c r="A127" s="29" t="s">
        <v>98</v>
      </c>
      <c r="B127" s="29" t="s">
        <v>123</v>
      </c>
      <c r="C127" s="29">
        <v>40</v>
      </c>
      <c r="D127" s="29">
        <v>70</v>
      </c>
      <c r="E127" s="29" t="s">
        <v>23</v>
      </c>
      <c r="F127" s="29" t="s">
        <v>29</v>
      </c>
      <c r="G127" s="29" t="s">
        <v>29</v>
      </c>
      <c r="H127" s="29" t="s">
        <v>29</v>
      </c>
      <c r="I127" s="29" t="s">
        <v>25</v>
      </c>
      <c r="J127" s="29" t="s">
        <v>107</v>
      </c>
      <c r="K127" s="29" t="s">
        <v>107</v>
      </c>
      <c r="L127" s="29" t="s">
        <v>107</v>
      </c>
      <c r="M127" s="29">
        <v>830</v>
      </c>
      <c r="N127" s="29">
        <v>0</v>
      </c>
    </row>
    <row r="128" spans="1:14" x14ac:dyDescent="0.6">
      <c r="E128" s="29" t="s">
        <v>27</v>
      </c>
      <c r="F128" s="29">
        <v>0</v>
      </c>
      <c r="G128" s="29">
        <v>0</v>
      </c>
      <c r="H128" s="29">
        <v>0</v>
      </c>
    </row>
    <row r="129" spans="1:14" x14ac:dyDescent="0.6">
      <c r="E129" s="29" t="s">
        <v>23</v>
      </c>
      <c r="F129" s="29">
        <v>0</v>
      </c>
      <c r="G129" s="29">
        <v>0</v>
      </c>
      <c r="H129" s="29">
        <v>0</v>
      </c>
    </row>
    <row r="130" spans="1:14" x14ac:dyDescent="0.6">
      <c r="E130" s="29" t="s">
        <v>27</v>
      </c>
      <c r="F130" s="29" t="s">
        <v>30</v>
      </c>
      <c r="G130" s="29" t="s">
        <v>28</v>
      </c>
      <c r="H130" s="29" t="s">
        <v>30</v>
      </c>
    </row>
    <row r="131" spans="1:14" ht="15.6" customHeight="1" x14ac:dyDescent="0.6">
      <c r="A131" s="29" t="s">
        <v>98</v>
      </c>
      <c r="B131" s="29" t="s">
        <v>123</v>
      </c>
      <c r="C131" s="29">
        <v>40</v>
      </c>
      <c r="D131" s="29">
        <v>70</v>
      </c>
      <c r="E131" s="29" t="s">
        <v>23</v>
      </c>
      <c r="F131" s="29" t="s">
        <v>29</v>
      </c>
      <c r="G131" s="29" t="s">
        <v>29</v>
      </c>
      <c r="H131" s="29" t="s">
        <v>29</v>
      </c>
      <c r="I131" s="29" t="s">
        <v>25</v>
      </c>
      <c r="J131" s="29" t="s">
        <v>107</v>
      </c>
      <c r="K131" s="29" t="s">
        <v>107</v>
      </c>
      <c r="L131" s="29" t="s">
        <v>107</v>
      </c>
      <c r="M131" s="29">
        <v>830</v>
      </c>
      <c r="N131" s="29">
        <v>0</v>
      </c>
    </row>
    <row r="132" spans="1:14" x14ac:dyDescent="0.6">
      <c r="E132" s="29" t="s">
        <v>27</v>
      </c>
      <c r="F132" s="29">
        <v>0</v>
      </c>
      <c r="G132" s="29">
        <v>0</v>
      </c>
      <c r="H132" s="29">
        <v>0</v>
      </c>
    </row>
    <row r="133" spans="1:14" x14ac:dyDescent="0.6">
      <c r="E133" s="29" t="s">
        <v>23</v>
      </c>
      <c r="F133" s="29">
        <v>0</v>
      </c>
      <c r="G133" s="29">
        <v>0</v>
      </c>
      <c r="H133" s="29">
        <v>0</v>
      </c>
    </row>
    <row r="134" spans="1:14" x14ac:dyDescent="0.6">
      <c r="E134" s="29" t="s">
        <v>27</v>
      </c>
      <c r="F134" s="29" t="s">
        <v>30</v>
      </c>
      <c r="G134" s="29" t="s">
        <v>28</v>
      </c>
      <c r="H134" s="29" t="s">
        <v>30</v>
      </c>
    </row>
    <row r="135" spans="1:14" ht="15.6" customHeight="1" x14ac:dyDescent="0.6">
      <c r="A135" s="29" t="s">
        <v>98</v>
      </c>
      <c r="B135" s="29" t="s">
        <v>123</v>
      </c>
      <c r="C135" s="29">
        <v>40</v>
      </c>
      <c r="D135" s="29">
        <v>70</v>
      </c>
      <c r="E135" s="29" t="s">
        <v>23</v>
      </c>
      <c r="F135" s="29" t="s">
        <v>29</v>
      </c>
      <c r="G135" s="29" t="s">
        <v>29</v>
      </c>
      <c r="H135" s="29" t="s">
        <v>29</v>
      </c>
      <c r="I135" s="29" t="s">
        <v>25</v>
      </c>
      <c r="J135" s="29" t="s">
        <v>107</v>
      </c>
      <c r="K135" s="29" t="s">
        <v>107</v>
      </c>
      <c r="L135" s="29" t="s">
        <v>107</v>
      </c>
      <c r="M135" s="29">
        <v>830</v>
      </c>
      <c r="N135" s="29">
        <v>60</v>
      </c>
    </row>
    <row r="136" spans="1:14" x14ac:dyDescent="0.6">
      <c r="E136" s="29" t="s">
        <v>27</v>
      </c>
      <c r="F136" s="29">
        <v>0</v>
      </c>
      <c r="G136" s="29">
        <v>0</v>
      </c>
      <c r="H136" s="29">
        <v>0</v>
      </c>
    </row>
    <row r="137" spans="1:14" x14ac:dyDescent="0.6">
      <c r="E137" s="29" t="s">
        <v>23</v>
      </c>
      <c r="F137" s="29">
        <v>0</v>
      </c>
      <c r="G137" s="29">
        <v>0</v>
      </c>
      <c r="H137" s="29">
        <v>0</v>
      </c>
    </row>
    <row r="138" spans="1:14" x14ac:dyDescent="0.6">
      <c r="E138" s="29" t="s">
        <v>27</v>
      </c>
      <c r="F138" s="29" t="s">
        <v>30</v>
      </c>
      <c r="G138" s="29" t="s">
        <v>28</v>
      </c>
      <c r="H138" s="29" t="s">
        <v>30</v>
      </c>
    </row>
    <row r="139" spans="1:14" ht="15.6" customHeight="1" x14ac:dyDescent="0.6">
      <c r="A139" s="29" t="s">
        <v>98</v>
      </c>
      <c r="B139" s="29" t="s">
        <v>124</v>
      </c>
      <c r="C139" s="29">
        <v>40</v>
      </c>
      <c r="D139" s="29">
        <v>70</v>
      </c>
      <c r="E139" s="29" t="s">
        <v>23</v>
      </c>
      <c r="F139" s="29" t="s">
        <v>29</v>
      </c>
      <c r="G139" s="29" t="s">
        <v>29</v>
      </c>
      <c r="H139" s="29" t="s">
        <v>29</v>
      </c>
      <c r="I139" s="29" t="s">
        <v>25</v>
      </c>
      <c r="J139" s="29" t="s">
        <v>107</v>
      </c>
      <c r="K139" s="29" t="s">
        <v>107</v>
      </c>
      <c r="L139" s="29" t="s">
        <v>107</v>
      </c>
      <c r="M139" s="29">
        <v>830</v>
      </c>
      <c r="N139" s="29">
        <v>60</v>
      </c>
    </row>
    <row r="140" spans="1:14" x14ac:dyDescent="0.6">
      <c r="E140" s="29" t="s">
        <v>27</v>
      </c>
      <c r="F140" s="29">
        <v>0</v>
      </c>
      <c r="G140" s="29">
        <v>0</v>
      </c>
      <c r="H140" s="29">
        <v>0</v>
      </c>
    </row>
    <row r="141" spans="1:14" x14ac:dyDescent="0.6">
      <c r="E141" s="29" t="s">
        <v>23</v>
      </c>
      <c r="F141" s="29" t="s">
        <v>24</v>
      </c>
      <c r="G141" s="29" t="s">
        <v>30</v>
      </c>
      <c r="H141" s="29" t="s">
        <v>29</v>
      </c>
    </row>
    <row r="142" spans="1:14" x14ac:dyDescent="0.6">
      <c r="E142" s="29" t="s">
        <v>27</v>
      </c>
      <c r="F142" s="29" t="s">
        <v>28</v>
      </c>
      <c r="G142" s="29" t="s">
        <v>28</v>
      </c>
      <c r="H142" s="29" t="s">
        <v>28</v>
      </c>
    </row>
    <row r="143" spans="1:14" ht="15.6" customHeight="1" x14ac:dyDescent="0.6">
      <c r="A143" s="29" t="s">
        <v>98</v>
      </c>
      <c r="B143" s="29" t="s">
        <v>125</v>
      </c>
      <c r="C143" s="29">
        <v>40</v>
      </c>
      <c r="D143" s="29">
        <v>70</v>
      </c>
      <c r="E143" s="29" t="s">
        <v>23</v>
      </c>
      <c r="F143" s="29" t="s">
        <v>29</v>
      </c>
      <c r="G143" s="29" t="s">
        <v>29</v>
      </c>
      <c r="H143" s="29" t="s">
        <v>29</v>
      </c>
      <c r="I143" s="29" t="s">
        <v>25</v>
      </c>
      <c r="J143" s="29" t="s">
        <v>107</v>
      </c>
      <c r="K143" s="29" t="s">
        <v>107</v>
      </c>
      <c r="L143" s="29" t="s">
        <v>107</v>
      </c>
      <c r="M143" s="29">
        <v>563</v>
      </c>
      <c r="N143" s="29">
        <v>50</v>
      </c>
    </row>
    <row r="144" spans="1:14" x14ac:dyDescent="0.6">
      <c r="E144" s="29" t="s">
        <v>27</v>
      </c>
      <c r="F144" s="29">
        <v>0</v>
      </c>
      <c r="G144" s="29">
        <v>0</v>
      </c>
      <c r="H144" s="29">
        <v>0</v>
      </c>
    </row>
    <row r="145" spans="1:14" x14ac:dyDescent="0.6">
      <c r="E145" s="29" t="s">
        <v>23</v>
      </c>
      <c r="F145" s="29">
        <v>0</v>
      </c>
      <c r="G145" s="29">
        <v>0</v>
      </c>
      <c r="H145" s="29">
        <v>0</v>
      </c>
    </row>
    <row r="146" spans="1:14" x14ac:dyDescent="0.6">
      <c r="E146" s="29" t="s">
        <v>27</v>
      </c>
      <c r="F146" s="29" t="s">
        <v>24</v>
      </c>
      <c r="G146" s="29" t="s">
        <v>24</v>
      </c>
      <c r="H146" s="29" t="s">
        <v>24</v>
      </c>
    </row>
    <row r="147" spans="1:14" ht="15.6" customHeight="1" x14ac:dyDescent="0.6">
      <c r="A147" s="29" t="s">
        <v>98</v>
      </c>
      <c r="B147" s="29" t="s">
        <v>126</v>
      </c>
      <c r="C147" s="29">
        <v>40</v>
      </c>
      <c r="D147" s="29">
        <v>70</v>
      </c>
      <c r="E147" s="29" t="s">
        <v>23</v>
      </c>
      <c r="F147" s="29" t="s">
        <v>29</v>
      </c>
      <c r="G147" s="29" t="s">
        <v>29</v>
      </c>
      <c r="H147" s="29" t="s">
        <v>29</v>
      </c>
      <c r="I147" s="29" t="s">
        <v>25</v>
      </c>
      <c r="J147" s="29" t="s">
        <v>107</v>
      </c>
      <c r="K147" s="29" t="s">
        <v>107</v>
      </c>
      <c r="L147" s="29" t="s">
        <v>107</v>
      </c>
      <c r="M147" s="29">
        <v>538</v>
      </c>
      <c r="N147" s="29">
        <v>50</v>
      </c>
    </row>
    <row r="148" spans="1:14" x14ac:dyDescent="0.6">
      <c r="E148" s="29" t="s">
        <v>27</v>
      </c>
      <c r="F148" s="29">
        <v>0</v>
      </c>
      <c r="G148" s="29">
        <v>0</v>
      </c>
      <c r="H148" s="29">
        <v>0</v>
      </c>
    </row>
    <row r="149" spans="1:14" x14ac:dyDescent="0.6">
      <c r="E149" s="29" t="s">
        <v>23</v>
      </c>
      <c r="F149" s="29">
        <v>0</v>
      </c>
      <c r="G149" s="29">
        <v>0</v>
      </c>
      <c r="H149" s="29">
        <v>0</v>
      </c>
    </row>
    <row r="150" spans="1:14" x14ac:dyDescent="0.6">
      <c r="E150" s="29" t="s">
        <v>27</v>
      </c>
      <c r="F150" s="29" t="s">
        <v>24</v>
      </c>
      <c r="G150" s="29" t="s">
        <v>24</v>
      </c>
      <c r="H150" s="29" t="s">
        <v>24</v>
      </c>
    </row>
    <row r="151" spans="1:14" ht="15.6" customHeight="1" x14ac:dyDescent="0.6">
      <c r="A151" s="29" t="s">
        <v>49</v>
      </c>
      <c r="B151" s="29" t="s">
        <v>113</v>
      </c>
      <c r="C151" s="29">
        <v>40</v>
      </c>
      <c r="D151" s="29">
        <v>65</v>
      </c>
      <c r="E151" s="29" t="s">
        <v>23</v>
      </c>
      <c r="F151" s="29" t="s">
        <v>29</v>
      </c>
      <c r="G151" s="29" t="s">
        <v>24</v>
      </c>
      <c r="H151" s="29" t="s">
        <v>28</v>
      </c>
      <c r="I151" s="29" t="s">
        <v>25</v>
      </c>
      <c r="J151" s="29" t="s">
        <v>107</v>
      </c>
      <c r="K151" s="29" t="s">
        <v>107</v>
      </c>
      <c r="L151" s="29" t="s">
        <v>107</v>
      </c>
      <c r="M151" s="29">
        <v>830</v>
      </c>
      <c r="N151" s="29">
        <v>60</v>
      </c>
    </row>
    <row r="152" spans="1:14" x14ac:dyDescent="0.6">
      <c r="E152" s="29" t="s">
        <v>27</v>
      </c>
      <c r="F152" s="29">
        <v>0</v>
      </c>
      <c r="G152" s="29">
        <v>0</v>
      </c>
      <c r="H152" s="29" t="s">
        <v>29</v>
      </c>
    </row>
    <row r="153" spans="1:14" x14ac:dyDescent="0.6">
      <c r="E153" s="29" t="s">
        <v>23</v>
      </c>
      <c r="F153" s="29">
        <v>0</v>
      </c>
      <c r="G153" s="29">
        <v>0</v>
      </c>
      <c r="H153" s="29">
        <v>0</v>
      </c>
    </row>
    <row r="154" spans="1:14" x14ac:dyDescent="0.6">
      <c r="E154" s="29" t="s">
        <v>27</v>
      </c>
      <c r="F154" s="29" t="s">
        <v>31</v>
      </c>
      <c r="G154" s="29" t="s">
        <v>31</v>
      </c>
      <c r="H154" s="29" t="s">
        <v>24</v>
      </c>
    </row>
    <row r="155" spans="1:14" ht="15.6" customHeight="1" x14ac:dyDescent="0.6">
      <c r="A155" s="29" t="s">
        <v>49</v>
      </c>
      <c r="B155" s="29" t="s">
        <v>119</v>
      </c>
      <c r="C155" s="29">
        <v>40</v>
      </c>
      <c r="D155" s="29">
        <v>65</v>
      </c>
      <c r="E155" s="29" t="s">
        <v>23</v>
      </c>
      <c r="F155" s="29" t="s">
        <v>29</v>
      </c>
      <c r="G155" s="29" t="s">
        <v>24</v>
      </c>
      <c r="H155" s="29" t="s">
        <v>33</v>
      </c>
      <c r="I155" s="29" t="s">
        <v>25</v>
      </c>
      <c r="J155" s="29" t="s">
        <v>107</v>
      </c>
      <c r="K155" s="29" t="s">
        <v>107</v>
      </c>
      <c r="L155" s="29" t="s">
        <v>107</v>
      </c>
      <c r="M155" s="29">
        <v>830</v>
      </c>
      <c r="N155" s="29">
        <v>60</v>
      </c>
    </row>
    <row r="156" spans="1:14" x14ac:dyDescent="0.6">
      <c r="E156" s="29" t="s">
        <v>27</v>
      </c>
      <c r="F156" s="29">
        <v>0</v>
      </c>
      <c r="G156" s="29">
        <v>0</v>
      </c>
      <c r="H156" s="29">
        <v>0</v>
      </c>
    </row>
    <row r="157" spans="1:14" x14ac:dyDescent="0.6">
      <c r="E157" s="29" t="s">
        <v>23</v>
      </c>
      <c r="F157" s="29">
        <v>0</v>
      </c>
      <c r="G157" s="29">
        <v>0</v>
      </c>
      <c r="H157" s="29">
        <v>0</v>
      </c>
    </row>
    <row r="158" spans="1:14" x14ac:dyDescent="0.6">
      <c r="E158" s="29" t="s">
        <v>27</v>
      </c>
      <c r="F158" s="29" t="s">
        <v>24</v>
      </c>
      <c r="G158" s="29" t="s">
        <v>24</v>
      </c>
      <c r="H158" s="29" t="s">
        <v>24</v>
      </c>
    </row>
    <row r="159" spans="1:14" ht="15.6" customHeight="1" x14ac:dyDescent="0.6">
      <c r="A159" s="29" t="s">
        <v>49</v>
      </c>
      <c r="B159" s="29" t="s">
        <v>113</v>
      </c>
      <c r="C159" s="29">
        <v>40</v>
      </c>
      <c r="D159" s="29">
        <v>65</v>
      </c>
      <c r="E159" s="29" t="s">
        <v>23</v>
      </c>
      <c r="F159" s="29" t="s">
        <v>29</v>
      </c>
      <c r="G159" s="29" t="s">
        <v>24</v>
      </c>
      <c r="H159" s="29" t="s">
        <v>28</v>
      </c>
      <c r="I159" s="29" t="s">
        <v>25</v>
      </c>
      <c r="J159" s="29" t="s">
        <v>107</v>
      </c>
      <c r="K159" s="29" t="s">
        <v>107</v>
      </c>
      <c r="L159" s="29" t="s">
        <v>107</v>
      </c>
      <c r="M159" s="29">
        <v>830</v>
      </c>
      <c r="N159" s="29">
        <v>60</v>
      </c>
    </row>
    <row r="160" spans="1:14" x14ac:dyDescent="0.6">
      <c r="E160" s="29" t="s">
        <v>27</v>
      </c>
      <c r="F160" s="29">
        <v>0</v>
      </c>
      <c r="G160" s="29">
        <v>0</v>
      </c>
      <c r="H160" s="29" t="s">
        <v>29</v>
      </c>
    </row>
    <row r="161" spans="1:14" x14ac:dyDescent="0.6">
      <c r="E161" s="29" t="s">
        <v>23</v>
      </c>
      <c r="F161" s="29">
        <v>0</v>
      </c>
      <c r="G161" s="29">
        <v>0</v>
      </c>
      <c r="H161" s="29">
        <v>0</v>
      </c>
    </row>
    <row r="162" spans="1:14" x14ac:dyDescent="0.6">
      <c r="E162" s="29" t="s">
        <v>27</v>
      </c>
      <c r="F162" s="29" t="s">
        <v>31</v>
      </c>
      <c r="G162" s="29" t="s">
        <v>31</v>
      </c>
      <c r="H162" s="29" t="s">
        <v>24</v>
      </c>
    </row>
    <row r="163" spans="1:14" ht="15.6" customHeight="1" x14ac:dyDescent="0.6">
      <c r="A163" s="29" t="s">
        <v>49</v>
      </c>
      <c r="B163" s="29" t="s">
        <v>119</v>
      </c>
      <c r="C163" s="29">
        <v>40</v>
      </c>
      <c r="D163" s="29">
        <v>65</v>
      </c>
      <c r="E163" s="29" t="s">
        <v>23</v>
      </c>
      <c r="F163" s="29" t="s">
        <v>29</v>
      </c>
      <c r="G163" s="29" t="s">
        <v>24</v>
      </c>
      <c r="H163" s="29" t="s">
        <v>33</v>
      </c>
      <c r="I163" s="29" t="s">
        <v>25</v>
      </c>
      <c r="J163" s="29" t="s">
        <v>107</v>
      </c>
      <c r="K163" s="29" t="s">
        <v>107</v>
      </c>
      <c r="L163" s="29" t="s">
        <v>107</v>
      </c>
      <c r="M163" s="29">
        <v>830</v>
      </c>
      <c r="N163" s="29">
        <v>60</v>
      </c>
    </row>
    <row r="164" spans="1:14" x14ac:dyDescent="0.6">
      <c r="E164" s="29" t="s">
        <v>27</v>
      </c>
      <c r="F164" s="29">
        <v>0</v>
      </c>
      <c r="G164" s="29">
        <v>0</v>
      </c>
      <c r="H164" s="29">
        <v>0</v>
      </c>
    </row>
    <row r="165" spans="1:14" x14ac:dyDescent="0.6">
      <c r="E165" s="29" t="s">
        <v>23</v>
      </c>
      <c r="F165" s="29">
        <v>0</v>
      </c>
      <c r="G165" s="29">
        <v>0</v>
      </c>
      <c r="H165" s="29">
        <v>0</v>
      </c>
    </row>
    <row r="166" spans="1:14" x14ac:dyDescent="0.6">
      <c r="E166" s="29" t="s">
        <v>27</v>
      </c>
      <c r="F166" s="29" t="s">
        <v>24</v>
      </c>
      <c r="G166" s="29" t="s">
        <v>24</v>
      </c>
      <c r="H166" s="29" t="s">
        <v>24</v>
      </c>
    </row>
    <row r="167" spans="1:14" ht="15.6" customHeight="1" x14ac:dyDescent="0.6">
      <c r="A167" s="29" t="s">
        <v>49</v>
      </c>
      <c r="B167" s="29" t="s">
        <v>113</v>
      </c>
      <c r="C167" s="29">
        <v>40</v>
      </c>
      <c r="D167" s="29">
        <v>65</v>
      </c>
      <c r="E167" s="29" t="s">
        <v>23</v>
      </c>
      <c r="F167" s="29" t="s">
        <v>29</v>
      </c>
      <c r="G167" s="29" t="s">
        <v>24</v>
      </c>
      <c r="H167" s="29" t="s">
        <v>28</v>
      </c>
      <c r="I167" s="29" t="s">
        <v>25</v>
      </c>
      <c r="J167" s="29" t="s">
        <v>107</v>
      </c>
      <c r="K167" s="29" t="s">
        <v>107</v>
      </c>
      <c r="L167" s="29" t="s">
        <v>107</v>
      </c>
      <c r="M167" s="29">
        <v>830</v>
      </c>
      <c r="N167" s="29">
        <v>60</v>
      </c>
    </row>
    <row r="168" spans="1:14" x14ac:dyDescent="0.6">
      <c r="E168" s="29" t="s">
        <v>27</v>
      </c>
      <c r="F168" s="29">
        <v>0</v>
      </c>
      <c r="G168" s="29">
        <v>0</v>
      </c>
      <c r="H168" s="29" t="s">
        <v>29</v>
      </c>
    </row>
    <row r="169" spans="1:14" x14ac:dyDescent="0.6">
      <c r="E169" s="29" t="s">
        <v>23</v>
      </c>
      <c r="F169" s="29">
        <v>0</v>
      </c>
      <c r="G169" s="29">
        <v>0</v>
      </c>
      <c r="H169" s="29">
        <v>0</v>
      </c>
    </row>
    <row r="170" spans="1:14" x14ac:dyDescent="0.6">
      <c r="E170" s="29" t="s">
        <v>27</v>
      </c>
      <c r="F170" s="29" t="s">
        <v>31</v>
      </c>
      <c r="G170" s="29" t="s">
        <v>31</v>
      </c>
      <c r="H170" s="29" t="s">
        <v>24</v>
      </c>
    </row>
    <row r="171" spans="1:14" ht="15.6" customHeight="1" x14ac:dyDescent="0.6">
      <c r="A171" s="29" t="s">
        <v>49</v>
      </c>
      <c r="B171" s="29" t="s">
        <v>113</v>
      </c>
      <c r="C171" s="29">
        <v>40</v>
      </c>
      <c r="D171" s="29">
        <v>65</v>
      </c>
      <c r="E171" s="29" t="s">
        <v>23</v>
      </c>
      <c r="F171" s="29" t="s">
        <v>29</v>
      </c>
      <c r="G171" s="29" t="s">
        <v>24</v>
      </c>
      <c r="H171" s="29" t="s">
        <v>28</v>
      </c>
      <c r="I171" s="29" t="s">
        <v>25</v>
      </c>
      <c r="J171" s="29" t="s">
        <v>107</v>
      </c>
      <c r="K171" s="29" t="s">
        <v>107</v>
      </c>
      <c r="L171" s="29" t="s">
        <v>107</v>
      </c>
      <c r="M171" s="29">
        <v>830</v>
      </c>
      <c r="N171" s="29">
        <v>60</v>
      </c>
    </row>
    <row r="172" spans="1:14" x14ac:dyDescent="0.6">
      <c r="E172" s="29" t="s">
        <v>27</v>
      </c>
      <c r="F172" s="29">
        <v>0</v>
      </c>
      <c r="G172" s="29">
        <v>0</v>
      </c>
      <c r="H172" s="29" t="s">
        <v>29</v>
      </c>
    </row>
    <row r="173" spans="1:14" x14ac:dyDescent="0.6">
      <c r="E173" s="29" t="s">
        <v>23</v>
      </c>
      <c r="F173" s="29">
        <v>0</v>
      </c>
      <c r="G173" s="29">
        <v>0</v>
      </c>
      <c r="H173" s="29">
        <v>0</v>
      </c>
    </row>
    <row r="174" spans="1:14" x14ac:dyDescent="0.6">
      <c r="E174" s="29" t="s">
        <v>27</v>
      </c>
      <c r="F174" s="29" t="s">
        <v>31</v>
      </c>
      <c r="G174" s="29" t="s">
        <v>31</v>
      </c>
      <c r="H174" s="29" t="s">
        <v>24</v>
      </c>
    </row>
    <row r="175" spans="1:14" ht="15.6" customHeight="1" x14ac:dyDescent="0.6">
      <c r="A175" s="29" t="s">
        <v>49</v>
      </c>
      <c r="B175" s="29" t="s">
        <v>127</v>
      </c>
      <c r="C175" s="29">
        <v>40</v>
      </c>
      <c r="D175" s="29">
        <v>65</v>
      </c>
      <c r="E175" s="29" t="s">
        <v>23</v>
      </c>
      <c r="F175" s="29" t="s">
        <v>29</v>
      </c>
      <c r="G175" s="29" t="s">
        <v>24</v>
      </c>
      <c r="H175" s="29" t="s">
        <v>30</v>
      </c>
      <c r="I175" s="29" t="s">
        <v>25</v>
      </c>
      <c r="J175" s="29" t="s">
        <v>107</v>
      </c>
      <c r="K175" s="29" t="s">
        <v>107</v>
      </c>
      <c r="L175" s="29" t="s">
        <v>107</v>
      </c>
      <c r="M175" s="29">
        <v>830</v>
      </c>
      <c r="N175" s="29">
        <v>50</v>
      </c>
    </row>
    <row r="176" spans="1:14" x14ac:dyDescent="0.6">
      <c r="E176" s="29" t="s">
        <v>27</v>
      </c>
      <c r="F176" s="29">
        <v>0</v>
      </c>
      <c r="G176" s="29">
        <v>0</v>
      </c>
      <c r="H176" s="29">
        <v>0</v>
      </c>
    </row>
    <row r="177" spans="1:14" x14ac:dyDescent="0.6">
      <c r="E177" s="29" t="s">
        <v>23</v>
      </c>
      <c r="F177" s="29">
        <v>0</v>
      </c>
      <c r="G177" s="29">
        <v>0</v>
      </c>
      <c r="H177" s="29">
        <v>0</v>
      </c>
    </row>
    <row r="178" spans="1:14" x14ac:dyDescent="0.6">
      <c r="E178" s="29" t="s">
        <v>27</v>
      </c>
      <c r="F178" s="29" t="s">
        <v>30</v>
      </c>
      <c r="G178" s="29" t="s">
        <v>30</v>
      </c>
      <c r="H178" s="29" t="s">
        <v>24</v>
      </c>
    </row>
    <row r="179" spans="1:14" x14ac:dyDescent="0.6">
      <c r="A179" s="29" t="s">
        <v>49</v>
      </c>
      <c r="B179" s="29" t="s">
        <v>128</v>
      </c>
      <c r="C179" s="29">
        <v>40</v>
      </c>
      <c r="D179" s="29">
        <v>65</v>
      </c>
      <c r="E179" s="29" t="s">
        <v>23</v>
      </c>
      <c r="F179" s="29" t="s">
        <v>30</v>
      </c>
      <c r="G179" s="29" t="s">
        <v>24</v>
      </c>
      <c r="H179" s="29" t="s">
        <v>30</v>
      </c>
      <c r="I179" s="29" t="s">
        <v>25</v>
      </c>
      <c r="J179" s="29" t="s">
        <v>107</v>
      </c>
      <c r="K179" s="29" t="s">
        <v>107</v>
      </c>
      <c r="L179" s="29" t="s">
        <v>107</v>
      </c>
      <c r="M179" s="29">
        <v>830</v>
      </c>
      <c r="N179" s="29">
        <v>50</v>
      </c>
    </row>
    <row r="180" spans="1:14" x14ac:dyDescent="0.6">
      <c r="E180" s="29" t="s">
        <v>27</v>
      </c>
      <c r="F180" s="29">
        <v>0</v>
      </c>
      <c r="G180" s="29">
        <v>0</v>
      </c>
      <c r="H180" s="29">
        <v>0</v>
      </c>
    </row>
    <row r="181" spans="1:14" x14ac:dyDescent="0.6">
      <c r="E181" s="29" t="s">
        <v>23</v>
      </c>
      <c r="F181" s="29">
        <v>0</v>
      </c>
      <c r="G181" s="29">
        <v>0</v>
      </c>
      <c r="H181" s="29">
        <v>0</v>
      </c>
    </row>
    <row r="182" spans="1:14" x14ac:dyDescent="0.6">
      <c r="E182" s="29" t="s">
        <v>27</v>
      </c>
      <c r="F182" s="29" t="s">
        <v>24</v>
      </c>
      <c r="G182" s="29" t="s">
        <v>31</v>
      </c>
      <c r="H182" s="29" t="s">
        <v>24</v>
      </c>
    </row>
    <row r="183" spans="1:14" x14ac:dyDescent="0.6">
      <c r="A183" s="29" t="s">
        <v>49</v>
      </c>
      <c r="B183" s="29" t="s">
        <v>129</v>
      </c>
      <c r="C183" s="29">
        <v>40</v>
      </c>
      <c r="D183" s="29">
        <v>65</v>
      </c>
      <c r="E183" s="29" t="s">
        <v>23</v>
      </c>
      <c r="F183" s="29" t="s">
        <v>30</v>
      </c>
      <c r="G183" s="29" t="s">
        <v>24</v>
      </c>
      <c r="H183" s="29" t="s">
        <v>30</v>
      </c>
      <c r="I183" s="29" t="s">
        <v>25</v>
      </c>
      <c r="J183" s="29" t="s">
        <v>107</v>
      </c>
      <c r="K183" s="29" t="s">
        <v>107</v>
      </c>
      <c r="L183" s="29" t="s">
        <v>107</v>
      </c>
      <c r="M183" s="29">
        <v>830</v>
      </c>
      <c r="N183" s="29">
        <v>50</v>
      </c>
    </row>
    <row r="184" spans="1:14" x14ac:dyDescent="0.6">
      <c r="E184" s="29" t="s">
        <v>27</v>
      </c>
      <c r="F184" s="29">
        <v>0</v>
      </c>
      <c r="G184" s="29">
        <v>0</v>
      </c>
      <c r="H184" s="29">
        <v>0</v>
      </c>
    </row>
    <row r="185" spans="1:14" x14ac:dyDescent="0.6">
      <c r="E185" s="29" t="s">
        <v>23</v>
      </c>
      <c r="F185" s="29">
        <v>0</v>
      </c>
      <c r="G185" s="29">
        <v>0</v>
      </c>
      <c r="H185" s="29">
        <v>0</v>
      </c>
    </row>
    <row r="186" spans="1:14" x14ac:dyDescent="0.6">
      <c r="E186" s="29" t="s">
        <v>27</v>
      </c>
      <c r="F186" s="29" t="s">
        <v>24</v>
      </c>
      <c r="G186" s="29" t="s">
        <v>31</v>
      </c>
      <c r="H186" s="29" t="s">
        <v>24</v>
      </c>
    </row>
    <row r="187" spans="1:14" x14ac:dyDescent="0.6">
      <c r="A187" s="29" t="s">
        <v>49</v>
      </c>
      <c r="B187" s="29" t="s">
        <v>130</v>
      </c>
      <c r="C187" s="29">
        <v>40</v>
      </c>
      <c r="D187" s="29">
        <v>65</v>
      </c>
      <c r="E187" s="29" t="s">
        <v>23</v>
      </c>
      <c r="F187" s="29" t="s">
        <v>30</v>
      </c>
      <c r="G187" s="29" t="s">
        <v>24</v>
      </c>
      <c r="H187" s="29" t="s">
        <v>30</v>
      </c>
      <c r="I187" s="29" t="s">
        <v>25</v>
      </c>
      <c r="J187" s="29" t="s">
        <v>107</v>
      </c>
      <c r="K187" s="29" t="s">
        <v>107</v>
      </c>
      <c r="L187" s="29" t="s">
        <v>107</v>
      </c>
      <c r="M187" s="29">
        <v>830</v>
      </c>
      <c r="N187" s="29">
        <v>50</v>
      </c>
    </row>
    <row r="188" spans="1:14" x14ac:dyDescent="0.6">
      <c r="E188" s="29" t="s">
        <v>27</v>
      </c>
      <c r="F188" s="29">
        <v>0</v>
      </c>
      <c r="G188" s="29">
        <v>0</v>
      </c>
      <c r="H188" s="29">
        <v>0</v>
      </c>
    </row>
    <row r="189" spans="1:14" x14ac:dyDescent="0.6">
      <c r="E189" s="29" t="s">
        <v>23</v>
      </c>
      <c r="F189" s="29">
        <v>0</v>
      </c>
      <c r="G189" s="29">
        <v>0</v>
      </c>
      <c r="H189" s="29">
        <v>0</v>
      </c>
    </row>
    <row r="190" spans="1:14" x14ac:dyDescent="0.6">
      <c r="E190" s="29" t="s">
        <v>27</v>
      </c>
      <c r="F190" s="29" t="s">
        <v>24</v>
      </c>
      <c r="G190" s="29" t="s">
        <v>31</v>
      </c>
      <c r="H190" s="29" t="s">
        <v>24</v>
      </c>
    </row>
    <row r="191" spans="1:14" x14ac:dyDescent="0.6">
      <c r="A191" s="29" t="s">
        <v>49</v>
      </c>
      <c r="B191" s="29" t="s">
        <v>131</v>
      </c>
      <c r="C191" s="29">
        <v>40</v>
      </c>
      <c r="D191" s="29">
        <v>65</v>
      </c>
      <c r="E191" s="29" t="s">
        <v>23</v>
      </c>
      <c r="F191" s="29" t="s">
        <v>30</v>
      </c>
      <c r="G191" s="29" t="s">
        <v>24</v>
      </c>
      <c r="H191" s="29" t="s">
        <v>30</v>
      </c>
      <c r="I191" s="29" t="s">
        <v>25</v>
      </c>
      <c r="J191" s="29" t="s">
        <v>107</v>
      </c>
      <c r="K191" s="29" t="s">
        <v>107</v>
      </c>
      <c r="L191" s="29" t="s">
        <v>107</v>
      </c>
      <c r="M191" s="29">
        <v>830</v>
      </c>
      <c r="N191" s="29">
        <v>50</v>
      </c>
    </row>
    <row r="192" spans="1:14" x14ac:dyDescent="0.6">
      <c r="E192" s="29" t="s">
        <v>27</v>
      </c>
      <c r="F192" s="29">
        <v>0</v>
      </c>
      <c r="G192" s="29">
        <v>0</v>
      </c>
      <c r="H192" s="29">
        <v>0</v>
      </c>
    </row>
    <row r="193" spans="1:14" x14ac:dyDescent="0.6">
      <c r="E193" s="29" t="s">
        <v>23</v>
      </c>
      <c r="F193" s="29">
        <v>0</v>
      </c>
      <c r="G193" s="29">
        <v>0</v>
      </c>
      <c r="H193" s="29">
        <v>0</v>
      </c>
    </row>
    <row r="194" spans="1:14" x14ac:dyDescent="0.6">
      <c r="E194" s="29" t="s">
        <v>27</v>
      </c>
      <c r="F194" s="29" t="s">
        <v>24</v>
      </c>
      <c r="G194" s="29" t="s">
        <v>31</v>
      </c>
      <c r="H194" s="29" t="s">
        <v>24</v>
      </c>
    </row>
    <row r="195" spans="1:14" ht="15.6" customHeight="1" x14ac:dyDescent="0.6">
      <c r="A195" s="29" t="s">
        <v>49</v>
      </c>
      <c r="B195" s="29" t="s">
        <v>132</v>
      </c>
      <c r="C195" s="29">
        <v>40</v>
      </c>
      <c r="D195" s="29">
        <v>65</v>
      </c>
      <c r="E195" s="29" t="s">
        <v>23</v>
      </c>
      <c r="F195" s="29" t="s">
        <v>30</v>
      </c>
      <c r="G195" s="29" t="s">
        <v>24</v>
      </c>
      <c r="H195" s="29" t="s">
        <v>29</v>
      </c>
      <c r="I195" s="29" t="s">
        <v>25</v>
      </c>
      <c r="J195" s="29" t="s">
        <v>107</v>
      </c>
      <c r="K195" s="29" t="s">
        <v>107</v>
      </c>
      <c r="L195" s="29" t="s">
        <v>107</v>
      </c>
      <c r="M195" s="29">
        <v>830</v>
      </c>
      <c r="N195" s="29">
        <v>50</v>
      </c>
    </row>
    <row r="196" spans="1:14" x14ac:dyDescent="0.6">
      <c r="E196" s="29" t="s">
        <v>27</v>
      </c>
      <c r="F196" s="29">
        <v>0</v>
      </c>
      <c r="G196" s="29">
        <v>0</v>
      </c>
      <c r="H196" s="29">
        <v>0</v>
      </c>
    </row>
    <row r="197" spans="1:14" x14ac:dyDescent="0.6">
      <c r="E197" s="29" t="s">
        <v>23</v>
      </c>
      <c r="F197" s="29">
        <v>0</v>
      </c>
      <c r="G197" s="29">
        <v>0</v>
      </c>
      <c r="H197" s="29">
        <v>0</v>
      </c>
    </row>
    <row r="198" spans="1:14" x14ac:dyDescent="0.6">
      <c r="E198" s="29" t="s">
        <v>27</v>
      </c>
      <c r="F198" s="29" t="s">
        <v>24</v>
      </c>
      <c r="G198" s="29" t="s">
        <v>31</v>
      </c>
      <c r="H198" s="29" t="s">
        <v>31</v>
      </c>
    </row>
    <row r="199" spans="1:14" x14ac:dyDescent="0.6">
      <c r="A199" s="29" t="s">
        <v>49</v>
      </c>
      <c r="B199" s="29" t="s">
        <v>112</v>
      </c>
      <c r="C199" s="29">
        <v>40</v>
      </c>
      <c r="D199" s="29">
        <v>65</v>
      </c>
      <c r="E199" s="29" t="s">
        <v>23</v>
      </c>
      <c r="F199" s="29" t="s">
        <v>28</v>
      </c>
      <c r="G199" s="29" t="s">
        <v>24</v>
      </c>
      <c r="H199" s="29" t="s">
        <v>33</v>
      </c>
      <c r="I199" s="29" t="s">
        <v>25</v>
      </c>
      <c r="J199" s="29" t="s">
        <v>107</v>
      </c>
      <c r="K199" s="29" t="s">
        <v>107</v>
      </c>
      <c r="L199" s="29" t="s">
        <v>107</v>
      </c>
      <c r="M199" s="29">
        <v>1070</v>
      </c>
      <c r="N199" s="29">
        <v>50</v>
      </c>
    </row>
    <row r="200" spans="1:14" x14ac:dyDescent="0.6">
      <c r="E200" s="29" t="s">
        <v>27</v>
      </c>
      <c r="F200" s="29" t="s">
        <v>29</v>
      </c>
      <c r="G200" s="29">
        <v>0</v>
      </c>
      <c r="H200" s="29" t="s">
        <v>24</v>
      </c>
    </row>
    <row r="201" spans="1:14" x14ac:dyDescent="0.6">
      <c r="E201" s="29" t="s">
        <v>23</v>
      </c>
      <c r="F201" s="29">
        <v>0</v>
      </c>
      <c r="G201" s="29">
        <v>0</v>
      </c>
      <c r="H201" s="29">
        <v>0</v>
      </c>
    </row>
    <row r="202" spans="1:14" x14ac:dyDescent="0.6">
      <c r="E202" s="29" t="s">
        <v>27</v>
      </c>
      <c r="F202" s="29" t="s">
        <v>28</v>
      </c>
      <c r="G202" s="29" t="s">
        <v>28</v>
      </c>
      <c r="H202" s="29" t="s">
        <v>28</v>
      </c>
    </row>
    <row r="203" spans="1:14" x14ac:dyDescent="0.6">
      <c r="A203" s="29" t="s">
        <v>49</v>
      </c>
      <c r="B203" s="29" t="s">
        <v>118</v>
      </c>
      <c r="C203" s="29">
        <v>40</v>
      </c>
      <c r="D203" s="29">
        <v>65</v>
      </c>
      <c r="E203" s="29" t="s">
        <v>23</v>
      </c>
      <c r="F203" s="29" t="s">
        <v>33</v>
      </c>
      <c r="G203" s="29" t="s">
        <v>24</v>
      </c>
      <c r="H203" s="29" t="s">
        <v>28</v>
      </c>
      <c r="I203" s="29" t="s">
        <v>25</v>
      </c>
      <c r="J203" s="29" t="s">
        <v>133</v>
      </c>
      <c r="K203" s="29" t="s">
        <v>133</v>
      </c>
      <c r="L203" s="29" t="s">
        <v>133</v>
      </c>
      <c r="M203" s="29">
        <v>1070</v>
      </c>
      <c r="N203" s="29">
        <v>50</v>
      </c>
    </row>
    <row r="204" spans="1:14" x14ac:dyDescent="0.6">
      <c r="E204" s="29" t="s">
        <v>27</v>
      </c>
      <c r="F204" s="29">
        <v>0</v>
      </c>
      <c r="G204" s="29">
        <v>0</v>
      </c>
      <c r="H204" s="29" t="s">
        <v>29</v>
      </c>
    </row>
    <row r="205" spans="1:14" x14ac:dyDescent="0.6">
      <c r="E205" s="29" t="s">
        <v>23</v>
      </c>
      <c r="F205" s="29">
        <v>0</v>
      </c>
      <c r="G205" s="29">
        <v>0</v>
      </c>
      <c r="H205" s="29">
        <v>0</v>
      </c>
    </row>
    <row r="206" spans="1:14" x14ac:dyDescent="0.6">
      <c r="E206" s="29" t="s">
        <v>27</v>
      </c>
      <c r="F206" s="29" t="s">
        <v>30</v>
      </c>
      <c r="G206" s="29" t="s">
        <v>30</v>
      </c>
      <c r="H206" s="29" t="s">
        <v>30</v>
      </c>
    </row>
    <row r="207" spans="1:14" x14ac:dyDescent="0.6">
      <c r="A207" s="29" t="s">
        <v>49</v>
      </c>
      <c r="B207" s="29" t="s">
        <v>112</v>
      </c>
      <c r="C207" s="29">
        <v>40</v>
      </c>
      <c r="D207" s="29">
        <v>65</v>
      </c>
      <c r="E207" s="29" t="s">
        <v>23</v>
      </c>
      <c r="F207" s="29" t="s">
        <v>28</v>
      </c>
      <c r="G207" s="29" t="s">
        <v>24</v>
      </c>
      <c r="H207" s="29" t="s">
        <v>33</v>
      </c>
      <c r="I207" s="29" t="s">
        <v>25</v>
      </c>
      <c r="J207" s="29" t="s">
        <v>107</v>
      </c>
      <c r="K207" s="29" t="s">
        <v>107</v>
      </c>
      <c r="L207" s="29" t="s">
        <v>107</v>
      </c>
      <c r="M207" s="29">
        <v>1070</v>
      </c>
      <c r="N207" s="29">
        <v>50</v>
      </c>
    </row>
    <row r="208" spans="1:14" x14ac:dyDescent="0.6">
      <c r="E208" s="29" t="s">
        <v>27</v>
      </c>
      <c r="F208" s="29" t="s">
        <v>29</v>
      </c>
      <c r="G208" s="29">
        <v>0</v>
      </c>
      <c r="H208" s="29" t="s">
        <v>24</v>
      </c>
    </row>
    <row r="209" spans="1:14" x14ac:dyDescent="0.6">
      <c r="E209" s="29" t="s">
        <v>23</v>
      </c>
      <c r="F209" s="29">
        <v>0</v>
      </c>
      <c r="G209" s="29">
        <v>0</v>
      </c>
      <c r="H209" s="29">
        <v>0</v>
      </c>
    </row>
    <row r="210" spans="1:14" x14ac:dyDescent="0.6">
      <c r="E210" s="29" t="s">
        <v>27</v>
      </c>
      <c r="F210" s="29" t="s">
        <v>28</v>
      </c>
      <c r="G210" s="29" t="s">
        <v>28</v>
      </c>
      <c r="H210" s="29" t="s">
        <v>28</v>
      </c>
    </row>
    <row r="211" spans="1:14" x14ac:dyDescent="0.6">
      <c r="A211" s="29" t="s">
        <v>49</v>
      </c>
      <c r="B211" s="29" t="s">
        <v>118</v>
      </c>
      <c r="C211" s="29">
        <v>40</v>
      </c>
      <c r="D211" s="29">
        <v>65</v>
      </c>
      <c r="E211" s="29" t="s">
        <v>23</v>
      </c>
      <c r="F211" s="29" t="s">
        <v>33</v>
      </c>
      <c r="G211" s="29" t="s">
        <v>24</v>
      </c>
      <c r="H211" s="29" t="s">
        <v>28</v>
      </c>
      <c r="I211" s="29" t="s">
        <v>25</v>
      </c>
      <c r="J211" s="29" t="s">
        <v>133</v>
      </c>
      <c r="K211" s="29" t="s">
        <v>133</v>
      </c>
      <c r="L211" s="29" t="s">
        <v>133</v>
      </c>
      <c r="M211" s="29">
        <v>1070</v>
      </c>
      <c r="N211" s="29">
        <v>50</v>
      </c>
    </row>
    <row r="212" spans="1:14" x14ac:dyDescent="0.6">
      <c r="E212" s="29" t="s">
        <v>27</v>
      </c>
      <c r="F212" s="29">
        <v>0</v>
      </c>
      <c r="G212" s="29">
        <v>0</v>
      </c>
      <c r="H212" s="29" t="s">
        <v>29</v>
      </c>
    </row>
    <row r="213" spans="1:14" x14ac:dyDescent="0.6">
      <c r="E213" s="29" t="s">
        <v>23</v>
      </c>
      <c r="F213" s="29">
        <v>0</v>
      </c>
      <c r="G213" s="29">
        <v>0</v>
      </c>
      <c r="H213" s="29">
        <v>0</v>
      </c>
    </row>
    <row r="214" spans="1:14" x14ac:dyDescent="0.6">
      <c r="E214" s="29" t="s">
        <v>27</v>
      </c>
      <c r="F214" s="29" t="s">
        <v>30</v>
      </c>
      <c r="G214" s="29" t="s">
        <v>30</v>
      </c>
      <c r="H214" s="29" t="s">
        <v>30</v>
      </c>
    </row>
    <row r="215" spans="1:14" x14ac:dyDescent="0.6">
      <c r="A215" s="29" t="s">
        <v>49</v>
      </c>
      <c r="B215" s="29" t="s">
        <v>112</v>
      </c>
      <c r="C215" s="29">
        <v>40</v>
      </c>
      <c r="D215" s="29">
        <v>65</v>
      </c>
      <c r="E215" s="29" t="s">
        <v>23</v>
      </c>
      <c r="F215" s="29" t="s">
        <v>28</v>
      </c>
      <c r="G215" s="29" t="s">
        <v>24</v>
      </c>
      <c r="H215" s="29" t="s">
        <v>33</v>
      </c>
      <c r="I215" s="29" t="s">
        <v>25</v>
      </c>
      <c r="J215" s="29" t="s">
        <v>107</v>
      </c>
      <c r="K215" s="29" t="s">
        <v>107</v>
      </c>
      <c r="L215" s="29" t="s">
        <v>107</v>
      </c>
      <c r="M215" s="29">
        <v>1070</v>
      </c>
      <c r="N215" s="29">
        <v>50</v>
      </c>
    </row>
    <row r="216" spans="1:14" x14ac:dyDescent="0.6">
      <c r="E216" s="29" t="s">
        <v>27</v>
      </c>
      <c r="F216" s="29" t="s">
        <v>29</v>
      </c>
      <c r="G216" s="29">
        <v>0</v>
      </c>
      <c r="H216" s="29" t="s">
        <v>24</v>
      </c>
    </row>
    <row r="217" spans="1:14" x14ac:dyDescent="0.6">
      <c r="E217" s="29" t="s">
        <v>23</v>
      </c>
      <c r="F217" s="29">
        <v>0</v>
      </c>
      <c r="G217" s="29">
        <v>0</v>
      </c>
      <c r="H217" s="29">
        <v>0</v>
      </c>
    </row>
    <row r="218" spans="1:14" x14ac:dyDescent="0.6">
      <c r="E218" s="29" t="s">
        <v>27</v>
      </c>
      <c r="F218" s="29" t="s">
        <v>28</v>
      </c>
      <c r="G218" s="29" t="s">
        <v>28</v>
      </c>
      <c r="H218" s="29" t="s">
        <v>28</v>
      </c>
    </row>
    <row r="219" spans="1:14" x14ac:dyDescent="0.6">
      <c r="A219" s="29" t="s">
        <v>49</v>
      </c>
      <c r="B219" s="29" t="s">
        <v>112</v>
      </c>
      <c r="C219" s="29">
        <v>40</v>
      </c>
      <c r="D219" s="29">
        <v>65</v>
      </c>
      <c r="E219" s="29" t="s">
        <v>23</v>
      </c>
      <c r="F219" s="29" t="s">
        <v>28</v>
      </c>
      <c r="G219" s="29" t="s">
        <v>24</v>
      </c>
      <c r="H219" s="29" t="s">
        <v>33</v>
      </c>
      <c r="I219" s="29" t="s">
        <v>25</v>
      </c>
      <c r="J219" s="29" t="s">
        <v>107</v>
      </c>
      <c r="K219" s="29" t="s">
        <v>107</v>
      </c>
      <c r="L219" s="29" t="s">
        <v>107</v>
      </c>
      <c r="M219" s="29">
        <v>1070</v>
      </c>
      <c r="N219" s="29">
        <v>50</v>
      </c>
    </row>
    <row r="220" spans="1:14" x14ac:dyDescent="0.6">
      <c r="E220" s="29" t="s">
        <v>27</v>
      </c>
      <c r="F220" s="29" t="s">
        <v>29</v>
      </c>
      <c r="G220" s="29">
        <v>0</v>
      </c>
      <c r="H220" s="29" t="s">
        <v>24</v>
      </c>
    </row>
    <row r="221" spans="1:14" x14ac:dyDescent="0.6">
      <c r="E221" s="29" t="s">
        <v>23</v>
      </c>
      <c r="F221" s="29">
        <v>0</v>
      </c>
      <c r="G221" s="29">
        <v>0</v>
      </c>
      <c r="H221" s="29">
        <v>0</v>
      </c>
    </row>
    <row r="222" spans="1:14" x14ac:dyDescent="0.6">
      <c r="E222" s="29" t="s">
        <v>27</v>
      </c>
      <c r="F222" s="29" t="s">
        <v>28</v>
      </c>
      <c r="G222" s="29" t="s">
        <v>28</v>
      </c>
      <c r="H222" s="29" t="s">
        <v>28</v>
      </c>
    </row>
    <row r="223" spans="1:14" ht="15.6" customHeight="1" x14ac:dyDescent="0.6">
      <c r="A223" s="29" t="s">
        <v>49</v>
      </c>
      <c r="B223" s="29" t="s">
        <v>127</v>
      </c>
      <c r="C223" s="29">
        <v>40</v>
      </c>
      <c r="D223" s="29">
        <v>65</v>
      </c>
      <c r="E223" s="29" t="s">
        <v>23</v>
      </c>
      <c r="F223" s="29" t="s">
        <v>29</v>
      </c>
      <c r="G223" s="29" t="s">
        <v>24</v>
      </c>
      <c r="H223" s="29" t="s">
        <v>30</v>
      </c>
      <c r="I223" s="29" t="s">
        <v>25</v>
      </c>
      <c r="J223" s="29" t="s">
        <v>107</v>
      </c>
      <c r="K223" s="29" t="s">
        <v>107</v>
      </c>
      <c r="L223" s="29" t="s">
        <v>107</v>
      </c>
      <c r="M223" s="29">
        <v>830</v>
      </c>
      <c r="N223" s="29">
        <v>50</v>
      </c>
    </row>
    <row r="224" spans="1:14" x14ac:dyDescent="0.6">
      <c r="E224" s="29" t="s">
        <v>27</v>
      </c>
      <c r="F224" s="29">
        <v>0</v>
      </c>
      <c r="G224" s="29">
        <v>0</v>
      </c>
      <c r="H224" s="29">
        <v>0</v>
      </c>
    </row>
    <row r="225" spans="1:14" x14ac:dyDescent="0.6">
      <c r="E225" s="29" t="s">
        <v>23</v>
      </c>
      <c r="F225" s="29">
        <v>0</v>
      </c>
      <c r="G225" s="29">
        <v>0</v>
      </c>
      <c r="H225" s="29">
        <v>0</v>
      </c>
    </row>
    <row r="226" spans="1:14" x14ac:dyDescent="0.6">
      <c r="E226" s="29" t="s">
        <v>27</v>
      </c>
      <c r="F226" s="29" t="s">
        <v>30</v>
      </c>
      <c r="G226" s="29" t="s">
        <v>30</v>
      </c>
      <c r="H226" s="29" t="s">
        <v>24</v>
      </c>
    </row>
    <row r="227" spans="1:14" x14ac:dyDescent="0.6">
      <c r="A227" s="29" t="s">
        <v>49</v>
      </c>
      <c r="B227" s="29" t="s">
        <v>128</v>
      </c>
      <c r="C227" s="29">
        <v>40</v>
      </c>
      <c r="D227" s="29">
        <v>65</v>
      </c>
      <c r="E227" s="29" t="s">
        <v>23</v>
      </c>
      <c r="F227" s="29" t="s">
        <v>30</v>
      </c>
      <c r="G227" s="29" t="s">
        <v>24</v>
      </c>
      <c r="H227" s="29" t="s">
        <v>30</v>
      </c>
      <c r="I227" s="29" t="s">
        <v>25</v>
      </c>
      <c r="J227" s="29" t="s">
        <v>107</v>
      </c>
      <c r="K227" s="29" t="s">
        <v>107</v>
      </c>
      <c r="L227" s="29" t="s">
        <v>107</v>
      </c>
      <c r="M227" s="29">
        <v>830</v>
      </c>
      <c r="N227" s="29">
        <v>50</v>
      </c>
    </row>
    <row r="228" spans="1:14" x14ac:dyDescent="0.6">
      <c r="E228" s="29" t="s">
        <v>27</v>
      </c>
      <c r="F228" s="29">
        <v>0</v>
      </c>
      <c r="G228" s="29">
        <v>0</v>
      </c>
      <c r="H228" s="29">
        <v>0</v>
      </c>
    </row>
    <row r="229" spans="1:14" x14ac:dyDescent="0.6">
      <c r="E229" s="29" t="s">
        <v>23</v>
      </c>
      <c r="F229" s="29">
        <v>0</v>
      </c>
      <c r="G229" s="29">
        <v>0</v>
      </c>
      <c r="H229" s="29">
        <v>0</v>
      </c>
    </row>
    <row r="230" spans="1:14" x14ac:dyDescent="0.6">
      <c r="E230" s="29" t="s">
        <v>27</v>
      </c>
      <c r="F230" s="29" t="s">
        <v>24</v>
      </c>
      <c r="G230" s="29" t="s">
        <v>31</v>
      </c>
      <c r="H230" s="29" t="s">
        <v>24</v>
      </c>
    </row>
    <row r="231" spans="1:14" x14ac:dyDescent="0.6">
      <c r="A231" s="29" t="s">
        <v>49</v>
      </c>
      <c r="B231" s="29" t="s">
        <v>129</v>
      </c>
      <c r="C231" s="29">
        <v>40</v>
      </c>
      <c r="D231" s="29">
        <v>65</v>
      </c>
      <c r="E231" s="29" t="s">
        <v>23</v>
      </c>
      <c r="F231" s="29" t="s">
        <v>30</v>
      </c>
      <c r="G231" s="29" t="s">
        <v>24</v>
      </c>
      <c r="H231" s="29" t="s">
        <v>30</v>
      </c>
      <c r="I231" s="29" t="s">
        <v>25</v>
      </c>
      <c r="J231" s="29" t="s">
        <v>107</v>
      </c>
      <c r="K231" s="29" t="s">
        <v>107</v>
      </c>
      <c r="L231" s="29" t="s">
        <v>107</v>
      </c>
      <c r="M231" s="29">
        <v>830</v>
      </c>
      <c r="N231" s="29">
        <v>50</v>
      </c>
    </row>
    <row r="232" spans="1:14" x14ac:dyDescent="0.6">
      <c r="E232" s="29" t="s">
        <v>27</v>
      </c>
      <c r="F232" s="29">
        <v>0</v>
      </c>
      <c r="G232" s="29">
        <v>0</v>
      </c>
      <c r="H232" s="29">
        <v>0</v>
      </c>
    </row>
    <row r="233" spans="1:14" x14ac:dyDescent="0.6">
      <c r="E233" s="29" t="s">
        <v>23</v>
      </c>
      <c r="F233" s="29">
        <v>0</v>
      </c>
      <c r="G233" s="29">
        <v>0</v>
      </c>
      <c r="H233" s="29">
        <v>0</v>
      </c>
    </row>
    <row r="234" spans="1:14" x14ac:dyDescent="0.6">
      <c r="E234" s="29" t="s">
        <v>27</v>
      </c>
      <c r="F234" s="29" t="s">
        <v>24</v>
      </c>
      <c r="G234" s="29" t="s">
        <v>31</v>
      </c>
      <c r="H234" s="29" t="s">
        <v>24</v>
      </c>
    </row>
    <row r="235" spans="1:14" x14ac:dyDescent="0.6">
      <c r="A235" s="29" t="s">
        <v>49</v>
      </c>
      <c r="B235" s="29" t="s">
        <v>130</v>
      </c>
      <c r="C235" s="29">
        <v>40</v>
      </c>
      <c r="D235" s="29">
        <v>65</v>
      </c>
      <c r="E235" s="29" t="s">
        <v>23</v>
      </c>
      <c r="F235" s="29" t="s">
        <v>30</v>
      </c>
      <c r="G235" s="29" t="s">
        <v>24</v>
      </c>
      <c r="H235" s="29" t="s">
        <v>30</v>
      </c>
      <c r="I235" s="29" t="s">
        <v>25</v>
      </c>
      <c r="J235" s="29" t="s">
        <v>107</v>
      </c>
      <c r="K235" s="29" t="s">
        <v>107</v>
      </c>
      <c r="L235" s="29" t="s">
        <v>107</v>
      </c>
      <c r="M235" s="29">
        <v>830</v>
      </c>
      <c r="N235" s="29">
        <v>50</v>
      </c>
    </row>
    <row r="236" spans="1:14" x14ac:dyDescent="0.6">
      <c r="E236" s="29" t="s">
        <v>27</v>
      </c>
      <c r="F236" s="29">
        <v>0</v>
      </c>
      <c r="G236" s="29">
        <v>0</v>
      </c>
      <c r="H236" s="29">
        <v>0</v>
      </c>
    </row>
    <row r="237" spans="1:14" x14ac:dyDescent="0.6">
      <c r="E237" s="29" t="s">
        <v>23</v>
      </c>
      <c r="F237" s="29">
        <v>0</v>
      </c>
      <c r="G237" s="29">
        <v>0</v>
      </c>
      <c r="H237" s="29">
        <v>0</v>
      </c>
    </row>
    <row r="238" spans="1:14" x14ac:dyDescent="0.6">
      <c r="E238" s="29" t="s">
        <v>27</v>
      </c>
      <c r="F238" s="29" t="s">
        <v>24</v>
      </c>
      <c r="G238" s="29" t="s">
        <v>31</v>
      </c>
      <c r="H238" s="29" t="s">
        <v>24</v>
      </c>
    </row>
    <row r="239" spans="1:14" x14ac:dyDescent="0.6">
      <c r="A239" s="29" t="s">
        <v>49</v>
      </c>
      <c r="B239" s="29" t="s">
        <v>131</v>
      </c>
      <c r="C239" s="29">
        <v>40</v>
      </c>
      <c r="D239" s="29">
        <v>65</v>
      </c>
      <c r="E239" s="29" t="s">
        <v>23</v>
      </c>
      <c r="F239" s="29" t="s">
        <v>30</v>
      </c>
      <c r="G239" s="29" t="s">
        <v>24</v>
      </c>
      <c r="H239" s="29" t="s">
        <v>30</v>
      </c>
      <c r="I239" s="29" t="s">
        <v>25</v>
      </c>
      <c r="J239" s="29" t="s">
        <v>107</v>
      </c>
      <c r="K239" s="29" t="s">
        <v>107</v>
      </c>
      <c r="L239" s="29" t="s">
        <v>107</v>
      </c>
      <c r="M239" s="29">
        <v>830</v>
      </c>
      <c r="N239" s="29">
        <v>50</v>
      </c>
    </row>
    <row r="240" spans="1:14" x14ac:dyDescent="0.6">
      <c r="E240" s="29" t="s">
        <v>27</v>
      </c>
      <c r="F240" s="29">
        <v>0</v>
      </c>
      <c r="G240" s="29">
        <v>0</v>
      </c>
      <c r="H240" s="29">
        <v>0</v>
      </c>
    </row>
    <row r="241" spans="1:14" x14ac:dyDescent="0.6">
      <c r="E241" s="29" t="s">
        <v>23</v>
      </c>
      <c r="F241" s="29">
        <v>0</v>
      </c>
      <c r="G241" s="29">
        <v>0</v>
      </c>
      <c r="H241" s="29">
        <v>0</v>
      </c>
    </row>
    <row r="242" spans="1:14" x14ac:dyDescent="0.6">
      <c r="E242" s="29" t="s">
        <v>27</v>
      </c>
      <c r="F242" s="29" t="s">
        <v>24</v>
      </c>
      <c r="G242" s="29" t="s">
        <v>31</v>
      </c>
      <c r="H242" s="29" t="s">
        <v>24</v>
      </c>
    </row>
    <row r="243" spans="1:14" ht="15.6" customHeight="1" x14ac:dyDescent="0.6">
      <c r="A243" s="29" t="s">
        <v>49</v>
      </c>
      <c r="B243" s="29" t="s">
        <v>132</v>
      </c>
      <c r="C243" s="29">
        <v>40</v>
      </c>
      <c r="D243" s="29">
        <v>65</v>
      </c>
      <c r="E243" s="29" t="s">
        <v>23</v>
      </c>
      <c r="F243" s="29" t="s">
        <v>30</v>
      </c>
      <c r="G243" s="29" t="s">
        <v>24</v>
      </c>
      <c r="H243" s="29" t="s">
        <v>29</v>
      </c>
      <c r="I243" s="29" t="s">
        <v>25</v>
      </c>
      <c r="J243" s="29" t="s">
        <v>107</v>
      </c>
      <c r="K243" s="29" t="s">
        <v>107</v>
      </c>
      <c r="L243" s="29" t="s">
        <v>107</v>
      </c>
      <c r="M243" s="29">
        <v>830</v>
      </c>
      <c r="N243" s="29">
        <v>50</v>
      </c>
    </row>
    <row r="244" spans="1:14" x14ac:dyDescent="0.6">
      <c r="E244" s="29" t="s">
        <v>27</v>
      </c>
      <c r="F244" s="29">
        <v>0</v>
      </c>
      <c r="G244" s="29">
        <v>0</v>
      </c>
      <c r="H244" s="29">
        <v>0</v>
      </c>
    </row>
    <row r="245" spans="1:14" x14ac:dyDescent="0.6">
      <c r="E245" s="29" t="s">
        <v>23</v>
      </c>
      <c r="F245" s="29">
        <v>0</v>
      </c>
      <c r="G245" s="29">
        <v>0</v>
      </c>
      <c r="H245" s="29">
        <v>0</v>
      </c>
    </row>
    <row r="246" spans="1:14" x14ac:dyDescent="0.6">
      <c r="E246" s="29" t="s">
        <v>27</v>
      </c>
      <c r="F246" s="29" t="s">
        <v>24</v>
      </c>
      <c r="G246" s="29" t="s">
        <v>31</v>
      </c>
      <c r="H246" s="29" t="s">
        <v>31</v>
      </c>
    </row>
    <row r="247" spans="1:14" x14ac:dyDescent="0.6">
      <c r="A247" s="29" t="s">
        <v>49</v>
      </c>
      <c r="B247" s="29" t="s">
        <v>111</v>
      </c>
      <c r="C247" s="29">
        <v>40</v>
      </c>
      <c r="D247" s="29">
        <v>65</v>
      </c>
      <c r="E247" s="29" t="s">
        <v>23</v>
      </c>
      <c r="F247" s="29" t="s">
        <v>33</v>
      </c>
      <c r="G247" s="29" t="s">
        <v>24</v>
      </c>
      <c r="H247" s="29" t="s">
        <v>33</v>
      </c>
      <c r="I247" s="29" t="s">
        <v>25</v>
      </c>
      <c r="J247" s="29" t="s">
        <v>133</v>
      </c>
      <c r="K247" s="29" t="s">
        <v>133</v>
      </c>
      <c r="L247" s="29" t="s">
        <v>133</v>
      </c>
      <c r="M247" s="29">
        <v>1100</v>
      </c>
      <c r="N247" s="29">
        <v>50</v>
      </c>
    </row>
    <row r="248" spans="1:14" x14ac:dyDescent="0.6">
      <c r="E248" s="29" t="s">
        <v>27</v>
      </c>
      <c r="F248" s="29" t="s">
        <v>24</v>
      </c>
      <c r="G248" s="29">
        <v>0</v>
      </c>
      <c r="H248" s="29" t="s">
        <v>30</v>
      </c>
    </row>
    <row r="249" spans="1:14" x14ac:dyDescent="0.6">
      <c r="E249" s="29" t="s">
        <v>23</v>
      </c>
      <c r="F249" s="29">
        <v>0</v>
      </c>
      <c r="G249" s="29" t="s">
        <v>29</v>
      </c>
      <c r="H249" s="29">
        <v>0</v>
      </c>
    </row>
    <row r="250" spans="1:14" x14ac:dyDescent="0.6">
      <c r="E250" s="29" t="s">
        <v>27</v>
      </c>
      <c r="F250" s="29" t="s">
        <v>28</v>
      </c>
      <c r="G250" s="29" t="s">
        <v>28</v>
      </c>
      <c r="H250" s="29" t="s">
        <v>33</v>
      </c>
    </row>
    <row r="251" spans="1:14" x14ac:dyDescent="0.6">
      <c r="A251" s="29" t="s">
        <v>49</v>
      </c>
      <c r="B251" s="29" t="s">
        <v>111</v>
      </c>
      <c r="C251" s="29">
        <v>40</v>
      </c>
      <c r="D251" s="29">
        <v>65</v>
      </c>
      <c r="E251" s="29" t="s">
        <v>23</v>
      </c>
      <c r="F251" s="29" t="s">
        <v>33</v>
      </c>
      <c r="G251" s="29" t="s">
        <v>24</v>
      </c>
      <c r="H251" s="29" t="s">
        <v>33</v>
      </c>
      <c r="I251" s="29" t="s">
        <v>25</v>
      </c>
      <c r="J251" s="29" t="s">
        <v>133</v>
      </c>
      <c r="K251" s="29" t="s">
        <v>133</v>
      </c>
      <c r="L251" s="29" t="s">
        <v>133</v>
      </c>
      <c r="M251" s="29">
        <v>1100</v>
      </c>
      <c r="N251" s="29">
        <v>50</v>
      </c>
    </row>
    <row r="252" spans="1:14" x14ac:dyDescent="0.6">
      <c r="E252" s="29" t="s">
        <v>27</v>
      </c>
      <c r="F252" s="29" t="s">
        <v>24</v>
      </c>
      <c r="G252" s="29">
        <v>0</v>
      </c>
      <c r="H252" s="29" t="s">
        <v>30</v>
      </c>
    </row>
    <row r="253" spans="1:14" x14ac:dyDescent="0.6">
      <c r="E253" s="29" t="s">
        <v>23</v>
      </c>
      <c r="F253" s="29">
        <v>0</v>
      </c>
      <c r="G253" s="29" t="s">
        <v>29</v>
      </c>
      <c r="H253" s="29">
        <v>0</v>
      </c>
    </row>
    <row r="254" spans="1:14" x14ac:dyDescent="0.6">
      <c r="E254" s="29" t="s">
        <v>27</v>
      </c>
      <c r="F254" s="29" t="s">
        <v>28</v>
      </c>
      <c r="G254" s="29" t="s">
        <v>28</v>
      </c>
      <c r="H254" s="29" t="s">
        <v>33</v>
      </c>
    </row>
    <row r="255" spans="1:14" x14ac:dyDescent="0.6">
      <c r="A255" s="29" t="s">
        <v>49</v>
      </c>
      <c r="B255" s="29" t="s">
        <v>111</v>
      </c>
      <c r="C255" s="29">
        <v>40</v>
      </c>
      <c r="D255" s="29">
        <v>65</v>
      </c>
      <c r="E255" s="29" t="s">
        <v>23</v>
      </c>
      <c r="F255" s="29" t="s">
        <v>33</v>
      </c>
      <c r="G255" s="29" t="s">
        <v>24</v>
      </c>
      <c r="H255" s="29" t="s">
        <v>33</v>
      </c>
      <c r="I255" s="29" t="s">
        <v>25</v>
      </c>
      <c r="J255" s="29" t="s">
        <v>133</v>
      </c>
      <c r="K255" s="29" t="s">
        <v>133</v>
      </c>
      <c r="L255" s="29" t="s">
        <v>133</v>
      </c>
      <c r="M255" s="29">
        <v>1100</v>
      </c>
      <c r="N255" s="29">
        <v>50</v>
      </c>
    </row>
    <row r="256" spans="1:14" x14ac:dyDescent="0.6">
      <c r="E256" s="29" t="s">
        <v>27</v>
      </c>
      <c r="F256" s="29" t="s">
        <v>24</v>
      </c>
      <c r="G256" s="29">
        <v>0</v>
      </c>
      <c r="H256" s="29" t="s">
        <v>30</v>
      </c>
    </row>
    <row r="257" spans="1:14" x14ac:dyDescent="0.6">
      <c r="E257" s="29" t="s">
        <v>23</v>
      </c>
      <c r="F257" s="29">
        <v>0</v>
      </c>
      <c r="G257" s="29" t="s">
        <v>29</v>
      </c>
      <c r="H257" s="29">
        <v>0</v>
      </c>
    </row>
    <row r="258" spans="1:14" x14ac:dyDescent="0.6">
      <c r="E258" s="29" t="s">
        <v>27</v>
      </c>
      <c r="F258" s="29" t="s">
        <v>28</v>
      </c>
      <c r="G258" s="29" t="s">
        <v>28</v>
      </c>
      <c r="H258" s="29" t="s">
        <v>33</v>
      </c>
    </row>
    <row r="259" spans="1:14" x14ac:dyDescent="0.6">
      <c r="A259" s="29" t="s">
        <v>49</v>
      </c>
      <c r="B259" s="29" t="s">
        <v>111</v>
      </c>
      <c r="C259" s="29">
        <v>40</v>
      </c>
      <c r="D259" s="29">
        <v>65</v>
      </c>
      <c r="E259" s="29" t="s">
        <v>23</v>
      </c>
      <c r="F259" s="29" t="s">
        <v>33</v>
      </c>
      <c r="G259" s="29" t="s">
        <v>24</v>
      </c>
      <c r="H259" s="29" t="s">
        <v>33</v>
      </c>
      <c r="I259" s="29" t="s">
        <v>25</v>
      </c>
      <c r="J259" s="29" t="s">
        <v>133</v>
      </c>
      <c r="K259" s="29" t="s">
        <v>133</v>
      </c>
      <c r="L259" s="29" t="s">
        <v>133</v>
      </c>
      <c r="M259" s="29">
        <v>1100</v>
      </c>
      <c r="N259" s="29">
        <v>50</v>
      </c>
    </row>
    <row r="260" spans="1:14" x14ac:dyDescent="0.6">
      <c r="E260" s="29" t="s">
        <v>27</v>
      </c>
      <c r="F260" s="29" t="s">
        <v>24</v>
      </c>
      <c r="G260" s="29">
        <v>0</v>
      </c>
      <c r="H260" s="29" t="s">
        <v>30</v>
      </c>
    </row>
    <row r="261" spans="1:14" x14ac:dyDescent="0.6">
      <c r="E261" s="29" t="s">
        <v>23</v>
      </c>
      <c r="F261" s="29">
        <v>0</v>
      </c>
      <c r="G261" s="29" t="s">
        <v>29</v>
      </c>
      <c r="H261" s="29">
        <v>0</v>
      </c>
    </row>
    <row r="262" spans="1:14" x14ac:dyDescent="0.6">
      <c r="E262" s="29" t="s">
        <v>27</v>
      </c>
      <c r="F262" s="29" t="s">
        <v>28</v>
      </c>
      <c r="G262" s="29" t="s">
        <v>28</v>
      </c>
      <c r="H262" s="29" t="s">
        <v>33</v>
      </c>
    </row>
    <row r="263" spans="1:14" x14ac:dyDescent="0.6">
      <c r="A263" s="29" t="s">
        <v>49</v>
      </c>
      <c r="B263" s="29" t="s">
        <v>134</v>
      </c>
      <c r="C263" s="29">
        <v>40</v>
      </c>
      <c r="D263" s="29">
        <v>65</v>
      </c>
      <c r="E263" s="29" t="s">
        <v>23</v>
      </c>
      <c r="F263" s="29" t="s">
        <v>24</v>
      </c>
      <c r="G263" s="29" t="s">
        <v>24</v>
      </c>
      <c r="H263" s="29" t="s">
        <v>24</v>
      </c>
      <c r="I263" s="29" t="s">
        <v>25</v>
      </c>
      <c r="J263" s="29" t="s">
        <v>107</v>
      </c>
      <c r="K263" s="29" t="s">
        <v>107</v>
      </c>
      <c r="L263" s="29" t="s">
        <v>107</v>
      </c>
      <c r="M263" s="29">
        <v>830</v>
      </c>
      <c r="N263" s="29">
        <v>50</v>
      </c>
    </row>
    <row r="264" spans="1:14" x14ac:dyDescent="0.6">
      <c r="E264" s="29" t="s">
        <v>27</v>
      </c>
      <c r="F264" s="29">
        <v>0</v>
      </c>
      <c r="G264" s="29">
        <v>0</v>
      </c>
      <c r="H264" s="29">
        <v>0</v>
      </c>
    </row>
    <row r="265" spans="1:14" x14ac:dyDescent="0.6">
      <c r="E265" s="29" t="s">
        <v>23</v>
      </c>
      <c r="F265" s="29">
        <v>0</v>
      </c>
      <c r="G265" s="29">
        <v>0</v>
      </c>
      <c r="H265" s="29">
        <v>0</v>
      </c>
    </row>
    <row r="266" spans="1:14" x14ac:dyDescent="0.6">
      <c r="E266" s="29" t="s">
        <v>27</v>
      </c>
      <c r="F266" s="29" t="s">
        <v>24</v>
      </c>
      <c r="G266" s="29" t="s">
        <v>24</v>
      </c>
      <c r="H266" s="29" t="s">
        <v>24</v>
      </c>
    </row>
    <row r="267" spans="1:14" x14ac:dyDescent="0.6">
      <c r="A267" s="29" t="s">
        <v>49</v>
      </c>
      <c r="B267" s="29" t="s">
        <v>135</v>
      </c>
      <c r="C267" s="29">
        <v>40</v>
      </c>
      <c r="D267" s="29">
        <v>65</v>
      </c>
      <c r="E267" s="29" t="s">
        <v>23</v>
      </c>
      <c r="F267" s="29" t="s">
        <v>30</v>
      </c>
      <c r="G267" s="29" t="s">
        <v>24</v>
      </c>
      <c r="H267" s="29" t="s">
        <v>30</v>
      </c>
      <c r="I267" s="29" t="s">
        <v>25</v>
      </c>
      <c r="J267" s="29" t="s">
        <v>107</v>
      </c>
      <c r="K267" s="29" t="s">
        <v>107</v>
      </c>
      <c r="L267" s="29" t="s">
        <v>107</v>
      </c>
      <c r="M267" s="29">
        <v>830</v>
      </c>
      <c r="N267" s="29">
        <v>50</v>
      </c>
    </row>
    <row r="268" spans="1:14" x14ac:dyDescent="0.6">
      <c r="E268" s="29" t="s">
        <v>27</v>
      </c>
      <c r="F268" s="29">
        <v>0</v>
      </c>
      <c r="G268" s="29">
        <v>0</v>
      </c>
      <c r="H268" s="29">
        <v>0</v>
      </c>
    </row>
    <row r="269" spans="1:14" x14ac:dyDescent="0.6">
      <c r="E269" s="29" t="s">
        <v>23</v>
      </c>
      <c r="F269" s="29">
        <v>0</v>
      </c>
      <c r="G269" s="29">
        <v>0</v>
      </c>
      <c r="H269" s="29">
        <v>0</v>
      </c>
    </row>
    <row r="270" spans="1:14" x14ac:dyDescent="0.6">
      <c r="E270" s="29" t="s">
        <v>27</v>
      </c>
      <c r="F270" s="29" t="s">
        <v>24</v>
      </c>
      <c r="G270" s="29" t="s">
        <v>31</v>
      </c>
      <c r="H270" s="29" t="s">
        <v>24</v>
      </c>
    </row>
    <row r="271" spans="1:14" x14ac:dyDescent="0.6">
      <c r="A271" s="29" t="s">
        <v>49</v>
      </c>
      <c r="B271" s="29" t="s">
        <v>136</v>
      </c>
      <c r="C271" s="29">
        <v>40</v>
      </c>
      <c r="D271" s="29">
        <v>65</v>
      </c>
      <c r="E271" s="29" t="s">
        <v>23</v>
      </c>
      <c r="F271" s="29" t="s">
        <v>30</v>
      </c>
      <c r="G271" s="29" t="s">
        <v>24</v>
      </c>
      <c r="H271" s="29" t="s">
        <v>30</v>
      </c>
      <c r="I271" s="29" t="s">
        <v>25</v>
      </c>
      <c r="J271" s="29" t="s">
        <v>107</v>
      </c>
      <c r="K271" s="29" t="s">
        <v>107</v>
      </c>
      <c r="L271" s="29" t="s">
        <v>107</v>
      </c>
      <c r="M271" s="29">
        <v>830</v>
      </c>
      <c r="N271" s="29">
        <v>50</v>
      </c>
    </row>
    <row r="272" spans="1:14" x14ac:dyDescent="0.6">
      <c r="E272" s="29" t="s">
        <v>27</v>
      </c>
      <c r="F272" s="29">
        <v>0</v>
      </c>
      <c r="G272" s="29">
        <v>0</v>
      </c>
      <c r="H272" s="29">
        <v>0</v>
      </c>
    </row>
    <row r="273" spans="1:14" x14ac:dyDescent="0.6">
      <c r="E273" s="29" t="s">
        <v>23</v>
      </c>
      <c r="F273" s="29">
        <v>0</v>
      </c>
      <c r="G273" s="29">
        <v>0</v>
      </c>
      <c r="H273" s="29">
        <v>0</v>
      </c>
    </row>
    <row r="274" spans="1:14" x14ac:dyDescent="0.6">
      <c r="E274" s="29" t="s">
        <v>27</v>
      </c>
      <c r="F274" s="29" t="s">
        <v>24</v>
      </c>
      <c r="G274" s="29" t="s">
        <v>31</v>
      </c>
      <c r="H274" s="29" t="s">
        <v>24</v>
      </c>
    </row>
    <row r="275" spans="1:14" x14ac:dyDescent="0.6">
      <c r="A275" s="29" t="s">
        <v>49</v>
      </c>
      <c r="B275" s="29" t="s">
        <v>137</v>
      </c>
      <c r="C275" s="29">
        <v>40</v>
      </c>
      <c r="D275" s="29">
        <v>65</v>
      </c>
      <c r="E275" s="29" t="s">
        <v>23</v>
      </c>
      <c r="F275" s="29" t="s">
        <v>30</v>
      </c>
      <c r="G275" s="29" t="s">
        <v>24</v>
      </c>
      <c r="H275" s="29" t="s">
        <v>30</v>
      </c>
      <c r="I275" s="29" t="s">
        <v>25</v>
      </c>
      <c r="J275" s="29" t="s">
        <v>107</v>
      </c>
      <c r="K275" s="29" t="s">
        <v>107</v>
      </c>
      <c r="L275" s="29" t="s">
        <v>107</v>
      </c>
      <c r="M275" s="29">
        <v>830</v>
      </c>
      <c r="N275" s="29">
        <v>50</v>
      </c>
    </row>
    <row r="276" spans="1:14" x14ac:dyDescent="0.6">
      <c r="E276" s="29" t="s">
        <v>27</v>
      </c>
      <c r="F276" s="29">
        <v>0</v>
      </c>
      <c r="G276" s="29">
        <v>0</v>
      </c>
      <c r="H276" s="29">
        <v>0</v>
      </c>
    </row>
    <row r="277" spans="1:14" x14ac:dyDescent="0.6">
      <c r="E277" s="29" t="s">
        <v>23</v>
      </c>
      <c r="F277" s="29">
        <v>0</v>
      </c>
      <c r="G277" s="29">
        <v>0</v>
      </c>
      <c r="H277" s="29">
        <v>0</v>
      </c>
    </row>
    <row r="278" spans="1:14" x14ac:dyDescent="0.6">
      <c r="E278" s="29" t="s">
        <v>27</v>
      </c>
      <c r="F278" s="29" t="s">
        <v>24</v>
      </c>
      <c r="G278" s="29" t="s">
        <v>31</v>
      </c>
      <c r="H278" s="29" t="s">
        <v>24</v>
      </c>
    </row>
    <row r="279" spans="1:14" ht="15.6" customHeight="1" x14ac:dyDescent="0.6">
      <c r="A279" s="29" t="s">
        <v>49</v>
      </c>
      <c r="B279" s="29" t="s">
        <v>138</v>
      </c>
      <c r="C279" s="29">
        <v>40</v>
      </c>
      <c r="D279" s="29">
        <v>65</v>
      </c>
      <c r="E279" s="29" t="s">
        <v>23</v>
      </c>
      <c r="F279" s="29" t="s">
        <v>30</v>
      </c>
      <c r="G279" s="29" t="s">
        <v>24</v>
      </c>
      <c r="H279" s="29" t="s">
        <v>29</v>
      </c>
      <c r="I279" s="29" t="s">
        <v>25</v>
      </c>
      <c r="J279" s="29" t="s">
        <v>107</v>
      </c>
      <c r="K279" s="29" t="s">
        <v>107</v>
      </c>
      <c r="L279" s="29" t="s">
        <v>107</v>
      </c>
      <c r="M279" s="29">
        <v>830</v>
      </c>
      <c r="N279" s="29">
        <v>50</v>
      </c>
    </row>
    <row r="280" spans="1:14" x14ac:dyDescent="0.6">
      <c r="E280" s="29" t="s">
        <v>27</v>
      </c>
      <c r="F280" s="29">
        <v>0</v>
      </c>
      <c r="G280" s="29">
        <v>0</v>
      </c>
      <c r="H280" s="29">
        <v>0</v>
      </c>
    </row>
    <row r="281" spans="1:14" x14ac:dyDescent="0.6">
      <c r="E281" s="29" t="s">
        <v>23</v>
      </c>
      <c r="F281" s="29">
        <v>0</v>
      </c>
      <c r="G281" s="29">
        <v>0</v>
      </c>
      <c r="H281" s="29">
        <v>0</v>
      </c>
    </row>
    <row r="282" spans="1:14" x14ac:dyDescent="0.6">
      <c r="E282" s="29" t="s">
        <v>27</v>
      </c>
      <c r="F282" s="29" t="s">
        <v>24</v>
      </c>
      <c r="G282" s="29" t="s">
        <v>31</v>
      </c>
      <c r="H282" s="29" t="s">
        <v>31</v>
      </c>
    </row>
    <row r="283" spans="1:14" ht="15.6" customHeight="1" x14ac:dyDescent="0.6">
      <c r="A283" s="29" t="s">
        <v>49</v>
      </c>
      <c r="B283" s="29" t="s">
        <v>120</v>
      </c>
      <c r="C283" s="29">
        <v>40</v>
      </c>
      <c r="D283" s="29">
        <v>65</v>
      </c>
      <c r="E283" s="29" t="s">
        <v>23</v>
      </c>
      <c r="F283" s="29" t="s">
        <v>33</v>
      </c>
      <c r="G283" s="29" t="s">
        <v>24</v>
      </c>
      <c r="H283" s="29" t="s">
        <v>29</v>
      </c>
      <c r="I283" s="29" t="s">
        <v>25</v>
      </c>
      <c r="J283" s="29" t="s">
        <v>38</v>
      </c>
      <c r="K283" s="29" t="s">
        <v>38</v>
      </c>
      <c r="L283" s="29" t="s">
        <v>38</v>
      </c>
      <c r="M283" s="29">
        <v>990</v>
      </c>
      <c r="N283" s="29">
        <v>50</v>
      </c>
    </row>
    <row r="284" spans="1:14" x14ac:dyDescent="0.6">
      <c r="E284" s="29" t="s">
        <v>27</v>
      </c>
      <c r="F284" s="29" t="s">
        <v>31</v>
      </c>
      <c r="G284" s="29">
        <v>0</v>
      </c>
      <c r="H284" s="29">
        <v>0</v>
      </c>
    </row>
    <row r="285" spans="1:14" x14ac:dyDescent="0.6">
      <c r="E285" s="29" t="s">
        <v>23</v>
      </c>
      <c r="F285" s="29">
        <v>0</v>
      </c>
      <c r="G285" s="29" t="s">
        <v>29</v>
      </c>
      <c r="H285" s="29" t="s">
        <v>29</v>
      </c>
    </row>
    <row r="286" spans="1:14" x14ac:dyDescent="0.6">
      <c r="E286" s="29" t="s">
        <v>27</v>
      </c>
      <c r="F286" s="29" t="s">
        <v>28</v>
      </c>
      <c r="G286" s="29" t="s">
        <v>28</v>
      </c>
      <c r="H286" s="29" t="s">
        <v>28</v>
      </c>
    </row>
    <row r="287" spans="1:14" ht="15.6" customHeight="1" x14ac:dyDescent="0.6">
      <c r="A287" s="29" t="s">
        <v>49</v>
      </c>
      <c r="B287" s="29" t="s">
        <v>124</v>
      </c>
      <c r="C287" s="29">
        <v>40</v>
      </c>
      <c r="D287" s="29">
        <v>65</v>
      </c>
      <c r="E287" s="29" t="s">
        <v>23</v>
      </c>
      <c r="F287" s="29" t="s">
        <v>33</v>
      </c>
      <c r="G287" s="29" t="s">
        <v>24</v>
      </c>
      <c r="H287" s="29" t="s">
        <v>29</v>
      </c>
      <c r="I287" s="29" t="s">
        <v>25</v>
      </c>
      <c r="J287" s="29" t="s">
        <v>38</v>
      </c>
      <c r="K287" s="29" t="s">
        <v>38</v>
      </c>
      <c r="L287" s="29" t="s">
        <v>38</v>
      </c>
      <c r="M287" s="29">
        <v>990</v>
      </c>
      <c r="N287" s="29">
        <v>50</v>
      </c>
    </row>
    <row r="288" spans="1:14" x14ac:dyDescent="0.6">
      <c r="E288" s="29" t="s">
        <v>27</v>
      </c>
      <c r="F288" s="29" t="s">
        <v>24</v>
      </c>
      <c r="G288" s="29">
        <v>0</v>
      </c>
      <c r="H288" s="29">
        <v>0</v>
      </c>
    </row>
    <row r="289" spans="1:14" x14ac:dyDescent="0.6">
      <c r="E289" s="29" t="s">
        <v>23</v>
      </c>
      <c r="F289" s="29">
        <v>0</v>
      </c>
      <c r="G289" s="29" t="s">
        <v>29</v>
      </c>
      <c r="H289" s="29" t="s">
        <v>29</v>
      </c>
    </row>
    <row r="290" spans="1:14" x14ac:dyDescent="0.6">
      <c r="E290" s="29" t="s">
        <v>27</v>
      </c>
      <c r="F290" s="29" t="s">
        <v>28</v>
      </c>
      <c r="G290" s="29" t="s">
        <v>28</v>
      </c>
      <c r="H290" s="29" t="s">
        <v>28</v>
      </c>
    </row>
    <row r="291" spans="1:14" ht="15.6" customHeight="1" x14ac:dyDescent="0.6">
      <c r="A291" s="29" t="s">
        <v>49</v>
      </c>
      <c r="B291" s="29" t="s">
        <v>125</v>
      </c>
      <c r="C291" s="29">
        <v>40</v>
      </c>
      <c r="D291" s="29">
        <v>65</v>
      </c>
      <c r="E291" s="29" t="s">
        <v>23</v>
      </c>
      <c r="F291" s="29" t="s">
        <v>33</v>
      </c>
      <c r="G291" s="29" t="s">
        <v>24</v>
      </c>
      <c r="H291" s="29" t="s">
        <v>29</v>
      </c>
      <c r="I291" s="29" t="s">
        <v>25</v>
      </c>
      <c r="J291" s="29" t="s">
        <v>38</v>
      </c>
      <c r="K291" s="29" t="s">
        <v>38</v>
      </c>
      <c r="L291" s="29" t="s">
        <v>38</v>
      </c>
      <c r="M291" s="29">
        <v>990</v>
      </c>
      <c r="N291" s="29">
        <v>50</v>
      </c>
    </row>
    <row r="292" spans="1:14" x14ac:dyDescent="0.6">
      <c r="E292" s="29" t="s">
        <v>27</v>
      </c>
      <c r="F292" s="29" t="s">
        <v>30</v>
      </c>
      <c r="G292" s="29">
        <v>0</v>
      </c>
      <c r="H292" s="29">
        <v>0</v>
      </c>
    </row>
    <row r="293" spans="1:14" x14ac:dyDescent="0.6">
      <c r="E293" s="29" t="s">
        <v>23</v>
      </c>
      <c r="F293" s="29">
        <v>0</v>
      </c>
      <c r="G293" s="29" t="s">
        <v>29</v>
      </c>
      <c r="H293" s="29" t="s">
        <v>29</v>
      </c>
    </row>
    <row r="294" spans="1:14" x14ac:dyDescent="0.6">
      <c r="E294" s="29" t="s">
        <v>27</v>
      </c>
      <c r="F294" s="29" t="s">
        <v>33</v>
      </c>
      <c r="G294" s="29" t="s">
        <v>33</v>
      </c>
      <c r="H294" s="29" t="s">
        <v>33</v>
      </c>
    </row>
    <row r="295" spans="1:14" ht="15.6" customHeight="1" x14ac:dyDescent="0.6">
      <c r="A295" s="29" t="s">
        <v>49</v>
      </c>
      <c r="B295" s="29" t="s">
        <v>125</v>
      </c>
      <c r="C295" s="29">
        <v>40</v>
      </c>
      <c r="D295" s="29">
        <v>65</v>
      </c>
      <c r="E295" s="29" t="s">
        <v>23</v>
      </c>
      <c r="F295" s="29" t="s">
        <v>33</v>
      </c>
      <c r="G295" s="29" t="s">
        <v>24</v>
      </c>
      <c r="H295" s="29" t="s">
        <v>29</v>
      </c>
      <c r="I295" s="29" t="s">
        <v>25</v>
      </c>
      <c r="J295" s="29" t="s">
        <v>38</v>
      </c>
      <c r="K295" s="29" t="s">
        <v>38</v>
      </c>
      <c r="L295" s="29" t="s">
        <v>38</v>
      </c>
      <c r="M295" s="29">
        <v>990</v>
      </c>
      <c r="N295" s="29">
        <v>50</v>
      </c>
    </row>
    <row r="296" spans="1:14" x14ac:dyDescent="0.6">
      <c r="E296" s="29" t="s">
        <v>27</v>
      </c>
      <c r="F296" s="29" t="s">
        <v>30</v>
      </c>
      <c r="G296" s="29">
        <v>0</v>
      </c>
      <c r="H296" s="29">
        <v>0</v>
      </c>
    </row>
    <row r="297" spans="1:14" x14ac:dyDescent="0.6">
      <c r="E297" s="29" t="s">
        <v>23</v>
      </c>
      <c r="F297" s="29">
        <v>0</v>
      </c>
      <c r="G297" s="29" t="s">
        <v>29</v>
      </c>
      <c r="H297" s="29" t="s">
        <v>29</v>
      </c>
    </row>
    <row r="298" spans="1:14" x14ac:dyDescent="0.6">
      <c r="E298" s="29" t="s">
        <v>27</v>
      </c>
      <c r="F298" s="29" t="s">
        <v>33</v>
      </c>
      <c r="G298" s="29" t="s">
        <v>33</v>
      </c>
      <c r="H298" s="29" t="s">
        <v>33</v>
      </c>
    </row>
    <row r="299" spans="1:14" ht="15.6" customHeight="1" x14ac:dyDescent="0.6">
      <c r="A299" s="29" t="s">
        <v>49</v>
      </c>
      <c r="B299" s="29" t="s">
        <v>125</v>
      </c>
      <c r="C299" s="29">
        <v>40</v>
      </c>
      <c r="D299" s="29">
        <v>65</v>
      </c>
      <c r="E299" s="29" t="s">
        <v>23</v>
      </c>
      <c r="F299" s="29" t="s">
        <v>33</v>
      </c>
      <c r="G299" s="29" t="s">
        <v>24</v>
      </c>
      <c r="H299" s="29" t="s">
        <v>29</v>
      </c>
      <c r="I299" s="29" t="s">
        <v>25</v>
      </c>
      <c r="J299" s="29" t="s">
        <v>38</v>
      </c>
      <c r="K299" s="29" t="s">
        <v>38</v>
      </c>
      <c r="L299" s="29" t="s">
        <v>38</v>
      </c>
      <c r="M299" s="29">
        <v>990</v>
      </c>
      <c r="N299" s="29">
        <v>50</v>
      </c>
    </row>
    <row r="300" spans="1:14" x14ac:dyDescent="0.6">
      <c r="E300" s="29" t="s">
        <v>27</v>
      </c>
      <c r="F300" s="29" t="s">
        <v>30</v>
      </c>
      <c r="G300" s="29">
        <v>0</v>
      </c>
      <c r="H300" s="29">
        <v>0</v>
      </c>
    </row>
    <row r="301" spans="1:14" x14ac:dyDescent="0.6">
      <c r="E301" s="29" t="s">
        <v>23</v>
      </c>
      <c r="F301" s="29">
        <v>0</v>
      </c>
      <c r="G301" s="29" t="s">
        <v>29</v>
      </c>
      <c r="H301" s="29" t="s">
        <v>29</v>
      </c>
    </row>
    <row r="302" spans="1:14" x14ac:dyDescent="0.6">
      <c r="E302" s="29" t="s">
        <v>27</v>
      </c>
      <c r="F302" s="29" t="s">
        <v>33</v>
      </c>
      <c r="G302" s="29" t="s">
        <v>33</v>
      </c>
      <c r="H302" s="29" t="s">
        <v>33</v>
      </c>
    </row>
    <row r="303" spans="1:14" ht="15.6" customHeight="1" x14ac:dyDescent="0.6">
      <c r="A303" s="29" t="s">
        <v>49</v>
      </c>
      <c r="B303" s="29" t="s">
        <v>125</v>
      </c>
      <c r="C303" s="29">
        <v>40</v>
      </c>
      <c r="D303" s="29">
        <v>65</v>
      </c>
      <c r="E303" s="29" t="s">
        <v>23</v>
      </c>
      <c r="F303" s="29" t="s">
        <v>33</v>
      </c>
      <c r="G303" s="29" t="s">
        <v>24</v>
      </c>
      <c r="H303" s="29" t="s">
        <v>29</v>
      </c>
      <c r="I303" s="29" t="s">
        <v>25</v>
      </c>
      <c r="J303" s="29" t="s">
        <v>38</v>
      </c>
      <c r="K303" s="29" t="s">
        <v>38</v>
      </c>
      <c r="L303" s="29" t="s">
        <v>38</v>
      </c>
      <c r="M303" s="29">
        <v>990</v>
      </c>
      <c r="N303" s="29">
        <v>50</v>
      </c>
    </row>
    <row r="304" spans="1:14" x14ac:dyDescent="0.6">
      <c r="E304" s="29" t="s">
        <v>27</v>
      </c>
      <c r="F304" s="29" t="s">
        <v>30</v>
      </c>
      <c r="G304" s="29">
        <v>0</v>
      </c>
      <c r="H304" s="29">
        <v>0</v>
      </c>
    </row>
    <row r="305" spans="1:14" x14ac:dyDescent="0.6">
      <c r="E305" s="29" t="s">
        <v>23</v>
      </c>
      <c r="F305" s="29">
        <v>0</v>
      </c>
      <c r="G305" s="29" t="s">
        <v>29</v>
      </c>
      <c r="H305" s="29" t="s">
        <v>29</v>
      </c>
    </row>
    <row r="306" spans="1:14" x14ac:dyDescent="0.6">
      <c r="E306" s="29" t="s">
        <v>27</v>
      </c>
      <c r="F306" s="29" t="s">
        <v>33</v>
      </c>
      <c r="G306" s="29" t="s">
        <v>33</v>
      </c>
      <c r="H306" s="29" t="s">
        <v>33</v>
      </c>
    </row>
    <row r="307" spans="1:14" ht="15.6" customHeight="1" x14ac:dyDescent="0.6">
      <c r="A307" s="29" t="s">
        <v>49</v>
      </c>
      <c r="B307" s="29" t="s">
        <v>139</v>
      </c>
      <c r="C307" s="29">
        <v>40</v>
      </c>
      <c r="D307" s="29">
        <v>65</v>
      </c>
      <c r="E307" s="29" t="s">
        <v>23</v>
      </c>
      <c r="F307" s="29" t="s">
        <v>29</v>
      </c>
      <c r="G307" s="29" t="s">
        <v>24</v>
      </c>
      <c r="H307" s="29" t="s">
        <v>33</v>
      </c>
      <c r="I307" s="29" t="s">
        <v>25</v>
      </c>
      <c r="J307" s="29" t="s">
        <v>107</v>
      </c>
      <c r="K307" s="29" t="s">
        <v>107</v>
      </c>
      <c r="L307" s="29" t="s">
        <v>107</v>
      </c>
      <c r="M307" s="29">
        <v>830</v>
      </c>
      <c r="N307" s="29">
        <v>50</v>
      </c>
    </row>
    <row r="308" spans="1:14" x14ac:dyDescent="0.6">
      <c r="E308" s="29" t="s">
        <v>27</v>
      </c>
      <c r="F308" s="29">
        <v>0</v>
      </c>
      <c r="G308" s="29">
        <v>0</v>
      </c>
      <c r="H308" s="29" t="s">
        <v>29</v>
      </c>
    </row>
    <row r="309" spans="1:14" x14ac:dyDescent="0.6">
      <c r="E309" s="29" t="s">
        <v>23</v>
      </c>
      <c r="F309" s="29">
        <v>0</v>
      </c>
      <c r="G309" s="29" t="s">
        <v>29</v>
      </c>
      <c r="H309" s="29">
        <v>0</v>
      </c>
    </row>
    <row r="310" spans="1:14" x14ac:dyDescent="0.6">
      <c r="E310" s="29" t="s">
        <v>27</v>
      </c>
      <c r="F310" s="29" t="s">
        <v>33</v>
      </c>
      <c r="G310" s="29" t="s">
        <v>33</v>
      </c>
      <c r="H310" s="29" t="s">
        <v>28</v>
      </c>
    </row>
    <row r="311" spans="1:14" x14ac:dyDescent="0.6">
      <c r="A311" s="29" t="s">
        <v>49</v>
      </c>
      <c r="B311" s="29" t="s">
        <v>140</v>
      </c>
      <c r="C311" s="29">
        <v>40</v>
      </c>
      <c r="D311" s="29">
        <v>65</v>
      </c>
      <c r="E311" s="29" t="s">
        <v>23</v>
      </c>
      <c r="F311" s="29" t="s">
        <v>33</v>
      </c>
      <c r="G311" s="29" t="s">
        <v>24</v>
      </c>
      <c r="H311" s="29" t="s">
        <v>33</v>
      </c>
      <c r="I311" s="29" t="s">
        <v>25</v>
      </c>
      <c r="J311" s="29" t="s">
        <v>26</v>
      </c>
      <c r="K311" s="29" t="s">
        <v>26</v>
      </c>
      <c r="L311" s="29" t="s">
        <v>26</v>
      </c>
      <c r="M311" s="29">
        <v>830</v>
      </c>
      <c r="N311" s="29">
        <v>50</v>
      </c>
    </row>
    <row r="312" spans="1:14" x14ac:dyDescent="0.6">
      <c r="E312" s="29" t="s">
        <v>27</v>
      </c>
      <c r="F312" s="29" t="s">
        <v>29</v>
      </c>
      <c r="G312" s="29">
        <v>0</v>
      </c>
      <c r="H312" s="29" t="s">
        <v>29</v>
      </c>
    </row>
    <row r="313" spans="1:14" x14ac:dyDescent="0.6">
      <c r="E313" s="29" t="s">
        <v>23</v>
      </c>
      <c r="F313" s="29">
        <v>0</v>
      </c>
      <c r="G313" s="29" t="s">
        <v>29</v>
      </c>
      <c r="H313" s="29">
        <v>0</v>
      </c>
    </row>
    <row r="314" spans="1:14" x14ac:dyDescent="0.6">
      <c r="E314" s="29" t="s">
        <v>27</v>
      </c>
      <c r="F314" s="29" t="s">
        <v>30</v>
      </c>
      <c r="G314" s="29" t="s">
        <v>28</v>
      </c>
      <c r="H314" s="29" t="s">
        <v>30</v>
      </c>
    </row>
    <row r="315" spans="1:14" x14ac:dyDescent="0.6">
      <c r="A315" s="29" t="s">
        <v>49</v>
      </c>
      <c r="B315" s="29" t="s">
        <v>141</v>
      </c>
      <c r="C315" s="29">
        <v>40</v>
      </c>
      <c r="D315" s="29">
        <v>65</v>
      </c>
      <c r="E315" s="29" t="s">
        <v>23</v>
      </c>
      <c r="F315" s="29" t="s">
        <v>33</v>
      </c>
      <c r="G315" s="29" t="s">
        <v>24</v>
      </c>
      <c r="H315" s="29" t="s">
        <v>33</v>
      </c>
      <c r="I315" s="29" t="s">
        <v>25</v>
      </c>
      <c r="J315" s="29" t="s">
        <v>26</v>
      </c>
      <c r="K315" s="29" t="s">
        <v>26</v>
      </c>
      <c r="L315" s="29" t="s">
        <v>26</v>
      </c>
      <c r="M315" s="29">
        <v>830</v>
      </c>
      <c r="N315" s="29">
        <v>50</v>
      </c>
    </row>
    <row r="316" spans="1:14" x14ac:dyDescent="0.6">
      <c r="E316" s="29" t="s">
        <v>27</v>
      </c>
      <c r="F316" s="29" t="s">
        <v>29</v>
      </c>
      <c r="G316" s="29">
        <v>0</v>
      </c>
      <c r="H316" s="29" t="s">
        <v>29</v>
      </c>
    </row>
    <row r="317" spans="1:14" x14ac:dyDescent="0.6">
      <c r="E317" s="29" t="s">
        <v>23</v>
      </c>
      <c r="F317" s="29">
        <v>0</v>
      </c>
      <c r="G317" s="29" t="s">
        <v>29</v>
      </c>
      <c r="H317" s="29">
        <v>0</v>
      </c>
    </row>
    <row r="318" spans="1:14" x14ac:dyDescent="0.6">
      <c r="E318" s="29" t="s">
        <v>27</v>
      </c>
      <c r="F318" s="29" t="s">
        <v>30</v>
      </c>
      <c r="G318" s="29" t="s">
        <v>28</v>
      </c>
      <c r="H318" s="29" t="s">
        <v>30</v>
      </c>
    </row>
    <row r="319" spans="1:14" x14ac:dyDescent="0.6">
      <c r="A319" s="29" t="s">
        <v>49</v>
      </c>
      <c r="B319" s="29" t="s">
        <v>142</v>
      </c>
      <c r="C319" s="29">
        <v>40</v>
      </c>
      <c r="D319" s="29">
        <v>65</v>
      </c>
      <c r="E319" s="29" t="s">
        <v>23</v>
      </c>
      <c r="F319" s="29" t="s">
        <v>33</v>
      </c>
      <c r="G319" s="29" t="s">
        <v>24</v>
      </c>
      <c r="H319" s="29" t="s">
        <v>33</v>
      </c>
      <c r="I319" s="29" t="s">
        <v>25</v>
      </c>
      <c r="J319" s="29" t="s">
        <v>26</v>
      </c>
      <c r="K319" s="29" t="s">
        <v>26</v>
      </c>
      <c r="L319" s="29" t="s">
        <v>26</v>
      </c>
      <c r="M319" s="29">
        <v>830</v>
      </c>
      <c r="N319" s="29">
        <v>50</v>
      </c>
    </row>
    <row r="320" spans="1:14" x14ac:dyDescent="0.6">
      <c r="E320" s="29" t="s">
        <v>27</v>
      </c>
      <c r="F320" s="29" t="s">
        <v>29</v>
      </c>
      <c r="G320" s="29">
        <v>0</v>
      </c>
      <c r="H320" s="29" t="s">
        <v>24</v>
      </c>
    </row>
    <row r="321" spans="1:14" x14ac:dyDescent="0.6">
      <c r="E321" s="29" t="s">
        <v>23</v>
      </c>
      <c r="F321" s="29">
        <v>0</v>
      </c>
      <c r="G321" s="29" t="s">
        <v>29</v>
      </c>
      <c r="H321" s="29">
        <v>0</v>
      </c>
    </row>
    <row r="322" spans="1:14" x14ac:dyDescent="0.6">
      <c r="E322" s="29" t="s">
        <v>27</v>
      </c>
      <c r="F322" s="29" t="s">
        <v>30</v>
      </c>
      <c r="G322" s="29" t="s">
        <v>28</v>
      </c>
      <c r="H322" s="29" t="s">
        <v>30</v>
      </c>
    </row>
    <row r="323" spans="1:14" ht="15.6" customHeight="1" x14ac:dyDescent="0.6">
      <c r="A323" s="29" t="s">
        <v>49</v>
      </c>
      <c r="B323" s="29" t="s">
        <v>143</v>
      </c>
      <c r="C323" s="29">
        <v>40</v>
      </c>
      <c r="D323" s="29">
        <v>65</v>
      </c>
      <c r="E323" s="29" t="s">
        <v>23</v>
      </c>
      <c r="F323" s="29" t="s">
        <v>33</v>
      </c>
      <c r="G323" s="29" t="s">
        <v>24</v>
      </c>
      <c r="H323" s="29" t="s">
        <v>29</v>
      </c>
      <c r="I323" s="29" t="s">
        <v>25</v>
      </c>
      <c r="J323" s="29" t="s">
        <v>38</v>
      </c>
      <c r="K323" s="29" t="s">
        <v>38</v>
      </c>
      <c r="L323" s="29" t="s">
        <v>38</v>
      </c>
      <c r="M323" s="29">
        <v>830</v>
      </c>
      <c r="N323" s="29">
        <v>50</v>
      </c>
    </row>
    <row r="324" spans="1:14" x14ac:dyDescent="0.6">
      <c r="E324" s="29" t="s">
        <v>27</v>
      </c>
      <c r="F324" s="29" t="s">
        <v>24</v>
      </c>
      <c r="G324" s="29">
        <v>0</v>
      </c>
      <c r="H324" s="29">
        <v>0</v>
      </c>
    </row>
    <row r="325" spans="1:14" x14ac:dyDescent="0.6">
      <c r="E325" s="29" t="s">
        <v>23</v>
      </c>
      <c r="F325" s="29">
        <v>0</v>
      </c>
      <c r="G325" s="29" t="s">
        <v>29</v>
      </c>
      <c r="H325" s="29">
        <v>0</v>
      </c>
    </row>
    <row r="326" spans="1:14" x14ac:dyDescent="0.6">
      <c r="E326" s="29" t="s">
        <v>27</v>
      </c>
      <c r="F326" s="29" t="s">
        <v>30</v>
      </c>
      <c r="G326" s="29" t="s">
        <v>28</v>
      </c>
      <c r="H326" s="29" t="s">
        <v>33</v>
      </c>
    </row>
    <row r="327" spans="1:14" x14ac:dyDescent="0.6">
      <c r="A327" s="29" t="s">
        <v>49</v>
      </c>
      <c r="B327" s="29" t="s">
        <v>144</v>
      </c>
      <c r="C327" s="29">
        <v>40</v>
      </c>
      <c r="D327" s="29">
        <v>65</v>
      </c>
      <c r="E327" s="29" t="s">
        <v>23</v>
      </c>
      <c r="F327" s="29" t="s">
        <v>33</v>
      </c>
      <c r="G327" s="29" t="s">
        <v>24</v>
      </c>
      <c r="H327" s="29" t="s">
        <v>33</v>
      </c>
      <c r="I327" s="29" t="s">
        <v>25</v>
      </c>
      <c r="J327" s="29" t="s">
        <v>145</v>
      </c>
      <c r="K327" s="29" t="s">
        <v>145</v>
      </c>
      <c r="L327" s="29" t="s">
        <v>145</v>
      </c>
      <c r="M327" s="29">
        <v>830</v>
      </c>
      <c r="N327" s="29">
        <v>140</v>
      </c>
    </row>
    <row r="328" spans="1:14" x14ac:dyDescent="0.6">
      <c r="E328" s="29" t="s">
        <v>27</v>
      </c>
      <c r="F328" s="29" t="s">
        <v>30</v>
      </c>
      <c r="G328" s="29">
        <v>0</v>
      </c>
      <c r="H328" s="29" t="s">
        <v>30</v>
      </c>
    </row>
    <row r="329" spans="1:14" x14ac:dyDescent="0.6">
      <c r="E329" s="29" t="s">
        <v>23</v>
      </c>
      <c r="F329" s="29" t="s">
        <v>30</v>
      </c>
      <c r="G329" s="29" t="s">
        <v>33</v>
      </c>
      <c r="H329" s="29" t="s">
        <v>30</v>
      </c>
    </row>
    <row r="330" spans="1:14" x14ac:dyDescent="0.6">
      <c r="E330" s="29" t="s">
        <v>27</v>
      </c>
      <c r="F330" s="29" t="s">
        <v>33</v>
      </c>
      <c r="G330" s="29" t="s">
        <v>33</v>
      </c>
      <c r="H330" s="29" t="s">
        <v>33</v>
      </c>
    </row>
    <row r="331" spans="1:14" x14ac:dyDescent="0.6">
      <c r="A331" s="29" t="s">
        <v>49</v>
      </c>
      <c r="B331" s="29" t="s">
        <v>144</v>
      </c>
      <c r="C331" s="29">
        <v>40</v>
      </c>
      <c r="D331" s="29">
        <v>65</v>
      </c>
      <c r="E331" s="29" t="s">
        <v>23</v>
      </c>
      <c r="F331" s="29" t="s">
        <v>33</v>
      </c>
      <c r="G331" s="29" t="s">
        <v>24</v>
      </c>
      <c r="H331" s="29" t="s">
        <v>33</v>
      </c>
      <c r="I331" s="29" t="s">
        <v>25</v>
      </c>
      <c r="J331" s="29" t="s">
        <v>145</v>
      </c>
      <c r="K331" s="29" t="s">
        <v>145</v>
      </c>
      <c r="L331" s="29" t="s">
        <v>145</v>
      </c>
      <c r="M331" s="29">
        <v>830</v>
      </c>
      <c r="N331" s="29">
        <v>140</v>
      </c>
    </row>
    <row r="332" spans="1:14" x14ac:dyDescent="0.6">
      <c r="E332" s="29" t="s">
        <v>27</v>
      </c>
      <c r="F332" s="29" t="s">
        <v>30</v>
      </c>
      <c r="G332" s="29">
        <v>0</v>
      </c>
      <c r="H332" s="29" t="s">
        <v>30</v>
      </c>
    </row>
    <row r="333" spans="1:14" x14ac:dyDescent="0.6">
      <c r="E333" s="29" t="s">
        <v>23</v>
      </c>
      <c r="F333" s="29" t="s">
        <v>30</v>
      </c>
      <c r="G333" s="29" t="s">
        <v>33</v>
      </c>
      <c r="H333" s="29" t="s">
        <v>30</v>
      </c>
    </row>
    <row r="334" spans="1:14" x14ac:dyDescent="0.6">
      <c r="E334" s="29" t="s">
        <v>27</v>
      </c>
      <c r="F334" s="29" t="s">
        <v>33</v>
      </c>
      <c r="G334" s="29" t="s">
        <v>33</v>
      </c>
      <c r="H334" s="29" t="s">
        <v>33</v>
      </c>
    </row>
    <row r="335" spans="1:14" x14ac:dyDescent="0.6">
      <c r="A335" s="29" t="s">
        <v>49</v>
      </c>
      <c r="B335" s="29" t="s">
        <v>144</v>
      </c>
      <c r="C335" s="29">
        <v>40</v>
      </c>
      <c r="D335" s="29">
        <v>65</v>
      </c>
      <c r="E335" s="29" t="s">
        <v>23</v>
      </c>
      <c r="F335" s="29" t="s">
        <v>33</v>
      </c>
      <c r="G335" s="29" t="s">
        <v>24</v>
      </c>
      <c r="H335" s="29" t="s">
        <v>33</v>
      </c>
      <c r="I335" s="29" t="s">
        <v>25</v>
      </c>
      <c r="J335" s="29" t="s">
        <v>145</v>
      </c>
      <c r="K335" s="29" t="s">
        <v>145</v>
      </c>
      <c r="L335" s="29" t="s">
        <v>145</v>
      </c>
      <c r="M335" s="29">
        <v>830</v>
      </c>
      <c r="N335" s="29">
        <v>140</v>
      </c>
    </row>
    <row r="336" spans="1:14" x14ac:dyDescent="0.6">
      <c r="E336" s="29" t="s">
        <v>27</v>
      </c>
      <c r="F336" s="29" t="s">
        <v>30</v>
      </c>
      <c r="G336" s="29">
        <v>0</v>
      </c>
      <c r="H336" s="29" t="s">
        <v>30</v>
      </c>
    </row>
    <row r="337" spans="1:14" x14ac:dyDescent="0.6">
      <c r="E337" s="29" t="s">
        <v>23</v>
      </c>
      <c r="F337" s="29" t="s">
        <v>30</v>
      </c>
      <c r="G337" s="29" t="s">
        <v>33</v>
      </c>
      <c r="H337" s="29" t="s">
        <v>30</v>
      </c>
    </row>
    <row r="338" spans="1:14" x14ac:dyDescent="0.6">
      <c r="E338" s="29" t="s">
        <v>27</v>
      </c>
      <c r="F338" s="29" t="s">
        <v>33</v>
      </c>
      <c r="G338" s="29" t="s">
        <v>33</v>
      </c>
      <c r="H338" s="29" t="s">
        <v>33</v>
      </c>
    </row>
    <row r="339" spans="1:14" x14ac:dyDescent="0.6">
      <c r="A339" s="29" t="s">
        <v>49</v>
      </c>
      <c r="B339" s="29" t="s">
        <v>144</v>
      </c>
      <c r="C339" s="29">
        <v>40</v>
      </c>
      <c r="D339" s="29">
        <v>65</v>
      </c>
      <c r="E339" s="29" t="s">
        <v>23</v>
      </c>
      <c r="F339" s="29" t="s">
        <v>33</v>
      </c>
      <c r="G339" s="29" t="s">
        <v>24</v>
      </c>
      <c r="H339" s="29" t="s">
        <v>33</v>
      </c>
      <c r="I339" s="29" t="s">
        <v>25</v>
      </c>
      <c r="J339" s="29" t="s">
        <v>145</v>
      </c>
      <c r="K339" s="29" t="s">
        <v>145</v>
      </c>
      <c r="L339" s="29" t="s">
        <v>145</v>
      </c>
      <c r="M339" s="29">
        <v>830</v>
      </c>
      <c r="N339" s="29">
        <v>140</v>
      </c>
    </row>
    <row r="340" spans="1:14" x14ac:dyDescent="0.6">
      <c r="E340" s="29" t="s">
        <v>27</v>
      </c>
      <c r="F340" s="29" t="s">
        <v>30</v>
      </c>
      <c r="G340" s="29">
        <v>0</v>
      </c>
      <c r="H340" s="29" t="s">
        <v>30</v>
      </c>
    </row>
    <row r="341" spans="1:14" x14ac:dyDescent="0.6">
      <c r="E341" s="29" t="s">
        <v>23</v>
      </c>
      <c r="F341" s="29" t="s">
        <v>30</v>
      </c>
      <c r="G341" s="29" t="s">
        <v>33</v>
      </c>
      <c r="H341" s="29" t="s">
        <v>30</v>
      </c>
    </row>
    <row r="342" spans="1:14" x14ac:dyDescent="0.6">
      <c r="E342" s="29" t="s">
        <v>27</v>
      </c>
      <c r="F342" s="29" t="s">
        <v>33</v>
      </c>
      <c r="G342" s="29" t="s">
        <v>33</v>
      </c>
      <c r="H342" s="29" t="s">
        <v>33</v>
      </c>
    </row>
    <row r="343" spans="1:14" x14ac:dyDescent="0.6">
      <c r="A343" s="29" t="s">
        <v>49</v>
      </c>
      <c r="B343" s="29" t="s">
        <v>144</v>
      </c>
      <c r="C343" s="29">
        <v>40</v>
      </c>
      <c r="D343" s="29">
        <v>65</v>
      </c>
      <c r="E343" s="29" t="s">
        <v>23</v>
      </c>
      <c r="F343" s="29" t="s">
        <v>33</v>
      </c>
      <c r="G343" s="29" t="s">
        <v>24</v>
      </c>
      <c r="H343" s="29" t="s">
        <v>33</v>
      </c>
      <c r="I343" s="29" t="s">
        <v>25</v>
      </c>
      <c r="J343" s="29" t="s">
        <v>145</v>
      </c>
      <c r="K343" s="29" t="s">
        <v>145</v>
      </c>
      <c r="L343" s="29" t="s">
        <v>145</v>
      </c>
      <c r="M343" s="29">
        <v>830</v>
      </c>
      <c r="N343" s="29">
        <v>140</v>
      </c>
    </row>
    <row r="344" spans="1:14" x14ac:dyDescent="0.6">
      <c r="E344" s="29" t="s">
        <v>27</v>
      </c>
      <c r="F344" s="29" t="s">
        <v>30</v>
      </c>
      <c r="G344" s="29">
        <v>0</v>
      </c>
      <c r="H344" s="29" t="s">
        <v>30</v>
      </c>
    </row>
    <row r="345" spans="1:14" x14ac:dyDescent="0.6">
      <c r="E345" s="29" t="s">
        <v>23</v>
      </c>
      <c r="F345" s="29" t="s">
        <v>30</v>
      </c>
      <c r="G345" s="29" t="s">
        <v>33</v>
      </c>
      <c r="H345" s="29" t="s">
        <v>30</v>
      </c>
    </row>
    <row r="346" spans="1:14" x14ac:dyDescent="0.6">
      <c r="E346" s="29" t="s">
        <v>27</v>
      </c>
      <c r="F346" s="29" t="s">
        <v>33</v>
      </c>
      <c r="G346" s="29" t="s">
        <v>33</v>
      </c>
      <c r="H346" s="29" t="s">
        <v>33</v>
      </c>
    </row>
    <row r="347" spans="1:14" x14ac:dyDescent="0.6">
      <c r="A347" s="29" t="s">
        <v>49</v>
      </c>
      <c r="B347" s="29" t="s">
        <v>144</v>
      </c>
      <c r="C347" s="29">
        <v>40</v>
      </c>
      <c r="D347" s="29">
        <v>65</v>
      </c>
      <c r="E347" s="29" t="s">
        <v>23</v>
      </c>
      <c r="F347" s="29" t="s">
        <v>33</v>
      </c>
      <c r="G347" s="29" t="s">
        <v>24</v>
      </c>
      <c r="H347" s="29" t="s">
        <v>33</v>
      </c>
      <c r="I347" s="29" t="s">
        <v>25</v>
      </c>
      <c r="J347" s="29" t="s">
        <v>145</v>
      </c>
      <c r="K347" s="29" t="s">
        <v>145</v>
      </c>
      <c r="L347" s="29" t="s">
        <v>145</v>
      </c>
      <c r="M347" s="29">
        <v>830</v>
      </c>
      <c r="N347" s="29">
        <v>140</v>
      </c>
    </row>
    <row r="348" spans="1:14" x14ac:dyDescent="0.6">
      <c r="E348" s="29" t="s">
        <v>27</v>
      </c>
      <c r="F348" s="29" t="s">
        <v>30</v>
      </c>
      <c r="G348" s="29">
        <v>0</v>
      </c>
      <c r="H348" s="29" t="s">
        <v>30</v>
      </c>
    </row>
    <row r="349" spans="1:14" x14ac:dyDescent="0.6">
      <c r="E349" s="29" t="s">
        <v>23</v>
      </c>
      <c r="F349" s="29" t="s">
        <v>30</v>
      </c>
      <c r="G349" s="29" t="s">
        <v>33</v>
      </c>
      <c r="H349" s="29" t="s">
        <v>30</v>
      </c>
    </row>
    <row r="350" spans="1:14" x14ac:dyDescent="0.6">
      <c r="E350" s="29" t="s">
        <v>27</v>
      </c>
      <c r="F350" s="29" t="s">
        <v>33</v>
      </c>
      <c r="G350" s="29" t="s">
        <v>33</v>
      </c>
      <c r="H350" s="29" t="s">
        <v>33</v>
      </c>
    </row>
    <row r="351" spans="1:14" x14ac:dyDescent="0.6">
      <c r="A351" s="29" t="s">
        <v>49</v>
      </c>
      <c r="B351" s="29" t="s">
        <v>144</v>
      </c>
      <c r="C351" s="29">
        <v>40</v>
      </c>
      <c r="D351" s="29">
        <v>65</v>
      </c>
      <c r="E351" s="29" t="s">
        <v>23</v>
      </c>
      <c r="F351" s="29" t="s">
        <v>33</v>
      </c>
      <c r="G351" s="29" t="s">
        <v>24</v>
      </c>
      <c r="H351" s="29" t="s">
        <v>33</v>
      </c>
      <c r="I351" s="29" t="s">
        <v>25</v>
      </c>
      <c r="J351" s="29" t="s">
        <v>145</v>
      </c>
      <c r="K351" s="29" t="s">
        <v>145</v>
      </c>
      <c r="L351" s="29" t="s">
        <v>145</v>
      </c>
      <c r="M351" s="29">
        <v>830</v>
      </c>
      <c r="N351" s="29">
        <v>140</v>
      </c>
    </row>
    <row r="352" spans="1:14" x14ac:dyDescent="0.6">
      <c r="E352" s="29" t="s">
        <v>27</v>
      </c>
      <c r="F352" s="29" t="s">
        <v>30</v>
      </c>
      <c r="G352" s="29">
        <v>0</v>
      </c>
      <c r="H352" s="29" t="s">
        <v>30</v>
      </c>
    </row>
    <row r="353" spans="1:14" x14ac:dyDescent="0.6">
      <c r="E353" s="29" t="s">
        <v>23</v>
      </c>
      <c r="F353" s="29" t="s">
        <v>30</v>
      </c>
      <c r="G353" s="29" t="s">
        <v>33</v>
      </c>
      <c r="H353" s="29" t="s">
        <v>30</v>
      </c>
    </row>
    <row r="354" spans="1:14" x14ac:dyDescent="0.6">
      <c r="E354" s="29" t="s">
        <v>27</v>
      </c>
      <c r="F354" s="29" t="s">
        <v>33</v>
      </c>
      <c r="G354" s="29" t="s">
        <v>33</v>
      </c>
      <c r="H354" s="29" t="s">
        <v>33</v>
      </c>
    </row>
    <row r="355" spans="1:14" x14ac:dyDescent="0.6">
      <c r="A355" s="29" t="s">
        <v>49</v>
      </c>
      <c r="B355" s="29" t="s">
        <v>144</v>
      </c>
      <c r="C355" s="29">
        <v>40</v>
      </c>
      <c r="D355" s="29">
        <v>65</v>
      </c>
      <c r="E355" s="29" t="s">
        <v>23</v>
      </c>
      <c r="F355" s="29" t="s">
        <v>33</v>
      </c>
      <c r="G355" s="29" t="s">
        <v>24</v>
      </c>
      <c r="H355" s="29" t="s">
        <v>33</v>
      </c>
      <c r="I355" s="29" t="s">
        <v>25</v>
      </c>
      <c r="J355" s="29" t="s">
        <v>145</v>
      </c>
      <c r="K355" s="29" t="s">
        <v>145</v>
      </c>
      <c r="L355" s="29" t="s">
        <v>145</v>
      </c>
      <c r="M355" s="29">
        <v>830</v>
      </c>
      <c r="N355" s="29">
        <v>140</v>
      </c>
    </row>
    <row r="356" spans="1:14" x14ac:dyDescent="0.6">
      <c r="E356" s="29" t="s">
        <v>27</v>
      </c>
      <c r="F356" s="29" t="s">
        <v>30</v>
      </c>
      <c r="G356" s="29">
        <v>0</v>
      </c>
      <c r="H356" s="29" t="s">
        <v>30</v>
      </c>
    </row>
    <row r="357" spans="1:14" x14ac:dyDescent="0.6">
      <c r="E357" s="29" t="s">
        <v>23</v>
      </c>
      <c r="F357" s="29" t="s">
        <v>30</v>
      </c>
      <c r="G357" s="29" t="s">
        <v>33</v>
      </c>
      <c r="H357" s="29" t="s">
        <v>30</v>
      </c>
    </row>
    <row r="358" spans="1:14" x14ac:dyDescent="0.6">
      <c r="E358" s="29" t="s">
        <v>27</v>
      </c>
      <c r="F358" s="29" t="s">
        <v>33</v>
      </c>
      <c r="G358" s="29" t="s">
        <v>33</v>
      </c>
      <c r="H358" s="29" t="s">
        <v>33</v>
      </c>
    </row>
    <row r="359" spans="1:14" x14ac:dyDescent="0.6">
      <c r="A359" s="29" t="s">
        <v>49</v>
      </c>
      <c r="B359" s="29" t="s">
        <v>144</v>
      </c>
      <c r="C359" s="29">
        <v>40</v>
      </c>
      <c r="D359" s="29">
        <v>65</v>
      </c>
      <c r="E359" s="29" t="s">
        <v>23</v>
      </c>
      <c r="F359" s="29" t="s">
        <v>33</v>
      </c>
      <c r="G359" s="29" t="s">
        <v>24</v>
      </c>
      <c r="H359" s="29" t="s">
        <v>33</v>
      </c>
      <c r="I359" s="29" t="s">
        <v>25</v>
      </c>
      <c r="J359" s="29" t="s">
        <v>145</v>
      </c>
      <c r="K359" s="29" t="s">
        <v>145</v>
      </c>
      <c r="L359" s="29" t="s">
        <v>145</v>
      </c>
      <c r="M359" s="29">
        <v>830</v>
      </c>
      <c r="N359" s="29">
        <v>140</v>
      </c>
    </row>
    <row r="360" spans="1:14" x14ac:dyDescent="0.6">
      <c r="E360" s="29" t="s">
        <v>27</v>
      </c>
      <c r="F360" s="29" t="s">
        <v>30</v>
      </c>
      <c r="G360" s="29">
        <v>0</v>
      </c>
      <c r="H360" s="29" t="s">
        <v>30</v>
      </c>
    </row>
    <row r="361" spans="1:14" x14ac:dyDescent="0.6">
      <c r="E361" s="29" t="s">
        <v>23</v>
      </c>
      <c r="F361" s="29" t="s">
        <v>30</v>
      </c>
      <c r="G361" s="29" t="s">
        <v>33</v>
      </c>
      <c r="H361" s="29" t="s">
        <v>30</v>
      </c>
    </row>
    <row r="362" spans="1:14" x14ac:dyDescent="0.6">
      <c r="E362" s="29" t="s">
        <v>27</v>
      </c>
      <c r="F362" s="29" t="s">
        <v>33</v>
      </c>
      <c r="G362" s="29" t="s">
        <v>33</v>
      </c>
      <c r="H362" s="29" t="s">
        <v>33</v>
      </c>
    </row>
    <row r="363" spans="1:14" x14ac:dyDescent="0.6">
      <c r="A363" s="29" t="s">
        <v>49</v>
      </c>
      <c r="B363" s="29" t="s">
        <v>144</v>
      </c>
      <c r="C363" s="29">
        <v>40</v>
      </c>
      <c r="D363" s="29">
        <v>65</v>
      </c>
      <c r="E363" s="29" t="s">
        <v>23</v>
      </c>
      <c r="F363" s="29" t="s">
        <v>33</v>
      </c>
      <c r="G363" s="29" t="s">
        <v>24</v>
      </c>
      <c r="H363" s="29" t="s">
        <v>33</v>
      </c>
      <c r="I363" s="29" t="s">
        <v>25</v>
      </c>
      <c r="J363" s="29" t="s">
        <v>145</v>
      </c>
      <c r="K363" s="29" t="s">
        <v>145</v>
      </c>
      <c r="L363" s="29" t="s">
        <v>145</v>
      </c>
      <c r="M363" s="29">
        <v>830</v>
      </c>
      <c r="N363" s="29">
        <v>140</v>
      </c>
    </row>
    <row r="364" spans="1:14" x14ac:dyDescent="0.6">
      <c r="E364" s="29" t="s">
        <v>27</v>
      </c>
      <c r="F364" s="29" t="s">
        <v>30</v>
      </c>
      <c r="G364" s="29">
        <v>0</v>
      </c>
      <c r="H364" s="29" t="s">
        <v>30</v>
      </c>
    </row>
    <row r="365" spans="1:14" x14ac:dyDescent="0.6">
      <c r="E365" s="29" t="s">
        <v>23</v>
      </c>
      <c r="F365" s="29" t="s">
        <v>30</v>
      </c>
      <c r="G365" s="29" t="s">
        <v>33</v>
      </c>
      <c r="H365" s="29" t="s">
        <v>30</v>
      </c>
    </row>
    <row r="366" spans="1:14" x14ac:dyDescent="0.6">
      <c r="E366" s="29" t="s">
        <v>27</v>
      </c>
      <c r="F366" s="29" t="s">
        <v>33</v>
      </c>
      <c r="G366" s="29" t="s">
        <v>33</v>
      </c>
      <c r="H366" s="29" t="s">
        <v>33</v>
      </c>
    </row>
    <row r="367" spans="1:14" x14ac:dyDescent="0.6">
      <c r="A367" s="29" t="s">
        <v>49</v>
      </c>
      <c r="B367" s="29" t="s">
        <v>144</v>
      </c>
      <c r="C367" s="29">
        <v>40</v>
      </c>
      <c r="D367" s="29">
        <v>65</v>
      </c>
      <c r="E367" s="29" t="s">
        <v>23</v>
      </c>
      <c r="F367" s="29" t="s">
        <v>33</v>
      </c>
      <c r="G367" s="29" t="s">
        <v>24</v>
      </c>
      <c r="H367" s="29" t="s">
        <v>33</v>
      </c>
      <c r="I367" s="29" t="s">
        <v>25</v>
      </c>
      <c r="J367" s="29" t="s">
        <v>145</v>
      </c>
      <c r="K367" s="29" t="s">
        <v>145</v>
      </c>
      <c r="L367" s="29" t="s">
        <v>145</v>
      </c>
      <c r="M367" s="29">
        <v>830</v>
      </c>
      <c r="N367" s="29">
        <v>140</v>
      </c>
    </row>
    <row r="368" spans="1:14" x14ac:dyDescent="0.6">
      <c r="E368" s="29" t="s">
        <v>27</v>
      </c>
      <c r="F368" s="29" t="s">
        <v>30</v>
      </c>
      <c r="G368" s="29">
        <v>0</v>
      </c>
      <c r="H368" s="29" t="s">
        <v>30</v>
      </c>
    </row>
    <row r="369" spans="1:14" x14ac:dyDescent="0.6">
      <c r="E369" s="29" t="s">
        <v>23</v>
      </c>
      <c r="F369" s="29" t="s">
        <v>30</v>
      </c>
      <c r="G369" s="29" t="s">
        <v>33</v>
      </c>
      <c r="H369" s="29" t="s">
        <v>30</v>
      </c>
    </row>
    <row r="370" spans="1:14" x14ac:dyDescent="0.6">
      <c r="E370" s="29" t="s">
        <v>27</v>
      </c>
      <c r="F370" s="29" t="s">
        <v>33</v>
      </c>
      <c r="G370" s="29" t="s">
        <v>33</v>
      </c>
      <c r="H370" s="29" t="s">
        <v>33</v>
      </c>
    </row>
    <row r="371" spans="1:14" x14ac:dyDescent="0.6">
      <c r="A371" s="29" t="s">
        <v>49</v>
      </c>
      <c r="B371" s="29" t="s">
        <v>144</v>
      </c>
      <c r="C371" s="29">
        <v>40</v>
      </c>
      <c r="D371" s="29">
        <v>65</v>
      </c>
      <c r="E371" s="29" t="s">
        <v>23</v>
      </c>
      <c r="F371" s="29" t="s">
        <v>33</v>
      </c>
      <c r="G371" s="29" t="s">
        <v>24</v>
      </c>
      <c r="H371" s="29" t="s">
        <v>33</v>
      </c>
      <c r="I371" s="29" t="s">
        <v>25</v>
      </c>
      <c r="J371" s="29" t="s">
        <v>145</v>
      </c>
      <c r="K371" s="29" t="s">
        <v>145</v>
      </c>
      <c r="L371" s="29" t="s">
        <v>145</v>
      </c>
      <c r="M371" s="29">
        <v>830</v>
      </c>
      <c r="N371" s="29">
        <v>140</v>
      </c>
    </row>
    <row r="372" spans="1:14" x14ac:dyDescent="0.6">
      <c r="E372" s="29" t="s">
        <v>27</v>
      </c>
      <c r="F372" s="29" t="s">
        <v>30</v>
      </c>
      <c r="G372" s="29">
        <v>0</v>
      </c>
      <c r="H372" s="29" t="s">
        <v>30</v>
      </c>
    </row>
    <row r="373" spans="1:14" x14ac:dyDescent="0.6">
      <c r="E373" s="29" t="s">
        <v>23</v>
      </c>
      <c r="F373" s="29" t="s">
        <v>30</v>
      </c>
      <c r="G373" s="29" t="s">
        <v>33</v>
      </c>
      <c r="H373" s="29" t="s">
        <v>30</v>
      </c>
    </row>
    <row r="374" spans="1:14" x14ac:dyDescent="0.6">
      <c r="E374" s="29" t="s">
        <v>27</v>
      </c>
      <c r="F374" s="29" t="s">
        <v>33</v>
      </c>
      <c r="G374" s="29" t="s">
        <v>33</v>
      </c>
      <c r="H374" s="29" t="s">
        <v>33</v>
      </c>
    </row>
    <row r="375" spans="1:14" ht="15.6" customHeight="1" x14ac:dyDescent="0.6">
      <c r="A375" s="29" t="s">
        <v>49</v>
      </c>
      <c r="B375" s="29" t="s">
        <v>146</v>
      </c>
      <c r="C375" s="29">
        <v>40</v>
      </c>
      <c r="D375" s="29">
        <v>65</v>
      </c>
      <c r="E375" s="29" t="s">
        <v>23</v>
      </c>
      <c r="F375" s="29" t="s">
        <v>29</v>
      </c>
      <c r="G375" s="29" t="s">
        <v>24</v>
      </c>
      <c r="H375" s="29" t="s">
        <v>33</v>
      </c>
      <c r="I375" s="29" t="s">
        <v>25</v>
      </c>
      <c r="J375" s="29" t="s">
        <v>107</v>
      </c>
      <c r="K375" s="29" t="s">
        <v>107</v>
      </c>
      <c r="L375" s="29" t="s">
        <v>107</v>
      </c>
      <c r="M375" s="29">
        <v>710</v>
      </c>
      <c r="N375" s="29">
        <v>50</v>
      </c>
    </row>
    <row r="376" spans="1:14" x14ac:dyDescent="0.6">
      <c r="E376" s="29" t="s">
        <v>27</v>
      </c>
      <c r="F376" s="29">
        <v>0</v>
      </c>
      <c r="G376" s="29">
        <v>0</v>
      </c>
      <c r="H376" s="29">
        <v>0</v>
      </c>
    </row>
    <row r="377" spans="1:14" x14ac:dyDescent="0.6">
      <c r="E377" s="29" t="s">
        <v>23</v>
      </c>
      <c r="F377" s="29">
        <v>0</v>
      </c>
      <c r="G377" s="29">
        <v>0</v>
      </c>
      <c r="H377" s="29">
        <v>0</v>
      </c>
    </row>
    <row r="378" spans="1:14" x14ac:dyDescent="0.6">
      <c r="E378" s="29" t="s">
        <v>27</v>
      </c>
      <c r="F378" s="29" t="s">
        <v>30</v>
      </c>
      <c r="G378" s="29" t="s">
        <v>28</v>
      </c>
      <c r="H378" s="29" t="s">
        <v>30</v>
      </c>
    </row>
    <row r="379" spans="1:14" x14ac:dyDescent="0.6">
      <c r="A379" s="29" t="s">
        <v>49</v>
      </c>
      <c r="B379" s="29" t="s">
        <v>147</v>
      </c>
      <c r="C379" s="29">
        <v>40</v>
      </c>
      <c r="D379" s="29">
        <v>65</v>
      </c>
      <c r="E379" s="29" t="s">
        <v>23</v>
      </c>
      <c r="F379" s="29" t="s">
        <v>33</v>
      </c>
      <c r="G379" s="29" t="s">
        <v>24</v>
      </c>
      <c r="H379" s="29" t="s">
        <v>33</v>
      </c>
      <c r="I379" s="29" t="s">
        <v>25</v>
      </c>
      <c r="J379" s="29" t="s">
        <v>107</v>
      </c>
      <c r="K379" s="29" t="s">
        <v>107</v>
      </c>
      <c r="L379" s="29" t="s">
        <v>107</v>
      </c>
      <c r="M379" s="29">
        <v>830</v>
      </c>
      <c r="N379" s="29">
        <v>50</v>
      </c>
    </row>
    <row r="380" spans="1:14" x14ac:dyDescent="0.6">
      <c r="E380" s="29" t="s">
        <v>27</v>
      </c>
      <c r="F380" s="29">
        <v>0</v>
      </c>
      <c r="G380" s="29">
        <v>0</v>
      </c>
      <c r="H380" s="29" t="s">
        <v>31</v>
      </c>
    </row>
    <row r="381" spans="1:14" x14ac:dyDescent="0.6">
      <c r="E381" s="29" t="s">
        <v>23</v>
      </c>
      <c r="F381" s="29">
        <v>0</v>
      </c>
      <c r="G381" s="29">
        <v>0</v>
      </c>
      <c r="H381" s="29">
        <v>0</v>
      </c>
    </row>
    <row r="382" spans="1:14" x14ac:dyDescent="0.6">
      <c r="E382" s="29" t="s">
        <v>27</v>
      </c>
      <c r="F382" s="29" t="s">
        <v>30</v>
      </c>
      <c r="G382" s="29" t="s">
        <v>28</v>
      </c>
      <c r="H382" s="29" t="s">
        <v>31</v>
      </c>
    </row>
    <row r="383" spans="1:14" ht="15.6" customHeight="1" x14ac:dyDescent="0.6">
      <c r="A383" s="29" t="s">
        <v>49</v>
      </c>
      <c r="B383" s="29" t="s">
        <v>148</v>
      </c>
      <c r="C383" s="29">
        <v>40</v>
      </c>
      <c r="D383" s="29">
        <v>65</v>
      </c>
      <c r="E383" s="29" t="s">
        <v>23</v>
      </c>
      <c r="F383" s="29" t="s">
        <v>35</v>
      </c>
      <c r="G383" s="29" t="s">
        <v>32</v>
      </c>
      <c r="H383" s="29" t="s">
        <v>35</v>
      </c>
      <c r="I383" s="29" t="s">
        <v>25</v>
      </c>
      <c r="J383" s="29" t="s">
        <v>38</v>
      </c>
      <c r="K383" s="29" t="s">
        <v>38</v>
      </c>
      <c r="L383" s="29" t="s">
        <v>38</v>
      </c>
      <c r="M383" s="29">
        <v>1070</v>
      </c>
      <c r="N383" s="29">
        <v>50</v>
      </c>
    </row>
    <row r="384" spans="1:14" x14ac:dyDescent="0.6">
      <c r="E384" s="29" t="s">
        <v>27</v>
      </c>
      <c r="F384" s="29" t="s">
        <v>32</v>
      </c>
      <c r="G384" s="29">
        <v>0</v>
      </c>
      <c r="H384" s="29" t="s">
        <v>36</v>
      </c>
    </row>
    <row r="385" spans="1:14" x14ac:dyDescent="0.6">
      <c r="E385" s="29" t="s">
        <v>23</v>
      </c>
      <c r="F385" s="29" t="s">
        <v>24</v>
      </c>
      <c r="G385" s="29" t="s">
        <v>28</v>
      </c>
      <c r="H385" s="29" t="s">
        <v>24</v>
      </c>
    </row>
    <row r="386" spans="1:14" x14ac:dyDescent="0.6">
      <c r="E386" s="29" t="s">
        <v>27</v>
      </c>
      <c r="F386" s="29" t="s">
        <v>33</v>
      </c>
      <c r="G386" s="29" t="s">
        <v>33</v>
      </c>
      <c r="H386" s="29" t="s">
        <v>33</v>
      </c>
    </row>
    <row r="387" spans="1:14" ht="15.6" customHeight="1" x14ac:dyDescent="0.6">
      <c r="A387" s="29" t="s">
        <v>49</v>
      </c>
      <c r="B387" s="29" t="s">
        <v>149</v>
      </c>
      <c r="C387" s="29">
        <v>40</v>
      </c>
      <c r="D387" s="29">
        <v>65</v>
      </c>
      <c r="E387" s="29" t="s">
        <v>23</v>
      </c>
      <c r="F387" s="29" t="s">
        <v>35</v>
      </c>
      <c r="G387" s="29" t="s">
        <v>32</v>
      </c>
      <c r="H387" s="29" t="s">
        <v>35</v>
      </c>
      <c r="I387" s="29" t="s">
        <v>25</v>
      </c>
      <c r="J387" s="29" t="s">
        <v>38</v>
      </c>
      <c r="K387" s="29" t="s">
        <v>38</v>
      </c>
      <c r="L387" s="29" t="s">
        <v>38</v>
      </c>
      <c r="M387" s="29">
        <v>1100</v>
      </c>
      <c r="N387" s="29">
        <v>50</v>
      </c>
    </row>
    <row r="388" spans="1:14" x14ac:dyDescent="0.6">
      <c r="E388" s="29" t="s">
        <v>27</v>
      </c>
      <c r="F388" s="29" t="s">
        <v>36</v>
      </c>
      <c r="G388" s="29">
        <v>0</v>
      </c>
      <c r="H388" s="29" t="s">
        <v>150</v>
      </c>
    </row>
    <row r="389" spans="1:14" x14ac:dyDescent="0.6">
      <c r="E389" s="29" t="s">
        <v>23</v>
      </c>
      <c r="F389" s="29" t="s">
        <v>24</v>
      </c>
      <c r="G389" s="29" t="s">
        <v>28</v>
      </c>
      <c r="H389" s="29" t="s">
        <v>24</v>
      </c>
    </row>
    <row r="390" spans="1:14" x14ac:dyDescent="0.6">
      <c r="E390" s="29" t="s">
        <v>27</v>
      </c>
      <c r="F390" s="29" t="s">
        <v>33</v>
      </c>
      <c r="G390" s="29" t="s">
        <v>33</v>
      </c>
      <c r="H390" s="29" t="s">
        <v>33</v>
      </c>
    </row>
    <row r="391" spans="1:14" ht="15.6" customHeight="1" x14ac:dyDescent="0.6">
      <c r="A391" s="29" t="s">
        <v>49</v>
      </c>
      <c r="B391" s="29" t="s">
        <v>151</v>
      </c>
      <c r="C391" s="29">
        <v>40</v>
      </c>
      <c r="D391" s="29">
        <v>65</v>
      </c>
      <c r="E391" s="29" t="s">
        <v>23</v>
      </c>
      <c r="F391" s="29" t="s">
        <v>35</v>
      </c>
      <c r="G391" s="29" t="s">
        <v>32</v>
      </c>
      <c r="H391" s="29" t="s">
        <v>32</v>
      </c>
      <c r="I391" s="29" t="s">
        <v>25</v>
      </c>
      <c r="J391" s="29" t="s">
        <v>145</v>
      </c>
      <c r="K391" s="29" t="s">
        <v>145</v>
      </c>
      <c r="L391" s="29" t="s">
        <v>145</v>
      </c>
      <c r="M391" s="29">
        <v>990</v>
      </c>
      <c r="N391" s="29">
        <v>50</v>
      </c>
    </row>
    <row r="392" spans="1:14" x14ac:dyDescent="0.6">
      <c r="E392" s="29" t="s">
        <v>27</v>
      </c>
      <c r="F392" s="29" t="s">
        <v>150</v>
      </c>
      <c r="G392" s="29">
        <v>0</v>
      </c>
      <c r="H392" s="29">
        <v>0</v>
      </c>
    </row>
    <row r="393" spans="1:14" x14ac:dyDescent="0.6">
      <c r="E393" s="29" t="s">
        <v>23</v>
      </c>
      <c r="F393" s="29" t="s">
        <v>29</v>
      </c>
      <c r="G393" s="29" t="s">
        <v>30</v>
      </c>
      <c r="H393" s="29" t="s">
        <v>31</v>
      </c>
    </row>
    <row r="394" spans="1:14" x14ac:dyDescent="0.6">
      <c r="E394" s="29" t="s">
        <v>27</v>
      </c>
      <c r="F394" s="29" t="s">
        <v>28</v>
      </c>
      <c r="G394" s="29" t="s">
        <v>33</v>
      </c>
      <c r="H394" s="29" t="s">
        <v>33</v>
      </c>
    </row>
    <row r="395" spans="1:14" ht="15.6" customHeight="1" x14ac:dyDescent="0.6">
      <c r="A395" s="29" t="s">
        <v>50</v>
      </c>
      <c r="B395" s="29" t="s">
        <v>127</v>
      </c>
      <c r="C395" s="29">
        <v>40</v>
      </c>
      <c r="D395" s="29">
        <v>65</v>
      </c>
      <c r="E395" s="29" t="s">
        <v>23</v>
      </c>
      <c r="F395" s="29" t="s">
        <v>29</v>
      </c>
      <c r="G395" s="29" t="s">
        <v>24</v>
      </c>
      <c r="H395" s="29" t="s">
        <v>33</v>
      </c>
      <c r="I395" s="29" t="s">
        <v>152</v>
      </c>
      <c r="J395" s="29" t="s">
        <v>107</v>
      </c>
      <c r="K395" s="29" t="s">
        <v>107</v>
      </c>
      <c r="L395" s="29" t="s">
        <v>107</v>
      </c>
      <c r="M395" s="29">
        <v>830</v>
      </c>
      <c r="N395" s="29">
        <v>50</v>
      </c>
    </row>
    <row r="396" spans="1:14" x14ac:dyDescent="0.6">
      <c r="E396" s="29" t="s">
        <v>27</v>
      </c>
      <c r="F396" s="29">
        <v>0</v>
      </c>
      <c r="G396" s="29">
        <v>0</v>
      </c>
      <c r="H396" s="29">
        <v>0</v>
      </c>
    </row>
    <row r="397" spans="1:14" x14ac:dyDescent="0.6">
      <c r="E397" s="29" t="s">
        <v>23</v>
      </c>
      <c r="F397" s="29">
        <v>0</v>
      </c>
      <c r="G397" s="29" t="s">
        <v>29</v>
      </c>
      <c r="H397" s="29">
        <v>0</v>
      </c>
    </row>
    <row r="398" spans="1:14" x14ac:dyDescent="0.6">
      <c r="E398" s="29" t="s">
        <v>27</v>
      </c>
      <c r="F398" s="29" t="s">
        <v>33</v>
      </c>
      <c r="G398" s="29" t="s">
        <v>33</v>
      </c>
      <c r="H398" s="29" t="s">
        <v>30</v>
      </c>
    </row>
    <row r="399" spans="1:14" x14ac:dyDescent="0.6">
      <c r="A399" s="29" t="s">
        <v>50</v>
      </c>
      <c r="B399" s="29" t="s">
        <v>128</v>
      </c>
      <c r="C399" s="29">
        <v>40</v>
      </c>
      <c r="D399" s="29">
        <v>65</v>
      </c>
      <c r="E399" s="29" t="s">
        <v>23</v>
      </c>
      <c r="F399" s="29" t="s">
        <v>33</v>
      </c>
      <c r="G399" s="29" t="s">
        <v>24</v>
      </c>
      <c r="H399" s="29" t="s">
        <v>28</v>
      </c>
      <c r="I399" s="29" t="s">
        <v>152</v>
      </c>
      <c r="J399" s="29" t="s">
        <v>133</v>
      </c>
      <c r="K399" s="29" t="s">
        <v>133</v>
      </c>
      <c r="L399" s="29" t="s">
        <v>133</v>
      </c>
      <c r="M399" s="29">
        <v>830</v>
      </c>
      <c r="N399" s="29">
        <v>50</v>
      </c>
    </row>
    <row r="400" spans="1:14" x14ac:dyDescent="0.6">
      <c r="E400" s="29" t="s">
        <v>27</v>
      </c>
      <c r="F400" s="29">
        <v>0</v>
      </c>
      <c r="G400" s="29">
        <v>0</v>
      </c>
      <c r="H400" s="29" t="s">
        <v>29</v>
      </c>
    </row>
    <row r="401" spans="1:14" x14ac:dyDescent="0.6">
      <c r="E401" s="29" t="s">
        <v>23</v>
      </c>
      <c r="F401" s="29">
        <v>0</v>
      </c>
      <c r="G401" s="29">
        <v>0</v>
      </c>
      <c r="H401" s="29">
        <v>0</v>
      </c>
    </row>
    <row r="402" spans="1:14" x14ac:dyDescent="0.6">
      <c r="E402" s="29" t="s">
        <v>27</v>
      </c>
      <c r="F402" s="29" t="s">
        <v>30</v>
      </c>
      <c r="G402" s="29" t="s">
        <v>33</v>
      </c>
      <c r="H402" s="29" t="s">
        <v>31</v>
      </c>
    </row>
    <row r="403" spans="1:14" x14ac:dyDescent="0.6">
      <c r="A403" s="29" t="s">
        <v>50</v>
      </c>
      <c r="B403" s="29" t="s">
        <v>129</v>
      </c>
      <c r="C403" s="29">
        <v>40</v>
      </c>
      <c r="D403" s="29">
        <v>65</v>
      </c>
      <c r="E403" s="29" t="s">
        <v>23</v>
      </c>
      <c r="F403" s="29" t="s">
        <v>28</v>
      </c>
      <c r="G403" s="29" t="s">
        <v>24</v>
      </c>
      <c r="H403" s="29" t="s">
        <v>33</v>
      </c>
      <c r="I403" s="29" t="s">
        <v>152</v>
      </c>
      <c r="J403" s="29" t="s">
        <v>133</v>
      </c>
      <c r="K403" s="29" t="s">
        <v>133</v>
      </c>
      <c r="L403" s="29" t="s">
        <v>133</v>
      </c>
      <c r="M403" s="29">
        <v>830</v>
      </c>
      <c r="N403" s="29">
        <v>50</v>
      </c>
    </row>
    <row r="404" spans="1:14" x14ac:dyDescent="0.6">
      <c r="E404" s="29" t="s">
        <v>27</v>
      </c>
      <c r="F404" s="29" t="s">
        <v>29</v>
      </c>
      <c r="G404" s="29">
        <v>0</v>
      </c>
      <c r="H404" s="29">
        <v>0</v>
      </c>
    </row>
    <row r="405" spans="1:14" x14ac:dyDescent="0.6">
      <c r="E405" s="29" t="s">
        <v>23</v>
      </c>
      <c r="F405" s="29">
        <v>0</v>
      </c>
      <c r="G405" s="29">
        <v>0</v>
      </c>
      <c r="H405" s="29">
        <v>0</v>
      </c>
    </row>
    <row r="406" spans="1:14" x14ac:dyDescent="0.6">
      <c r="E406" s="29" t="s">
        <v>27</v>
      </c>
      <c r="F406" s="29" t="s">
        <v>31</v>
      </c>
      <c r="G406" s="29" t="s">
        <v>33</v>
      </c>
      <c r="H406" s="29" t="s">
        <v>31</v>
      </c>
    </row>
    <row r="407" spans="1:14" x14ac:dyDescent="0.6">
      <c r="A407" s="29" t="s">
        <v>50</v>
      </c>
      <c r="B407" s="29" t="s">
        <v>130</v>
      </c>
      <c r="C407" s="29">
        <v>40</v>
      </c>
      <c r="D407" s="29">
        <v>65</v>
      </c>
      <c r="E407" s="29" t="s">
        <v>23</v>
      </c>
      <c r="F407" s="29" t="s">
        <v>33</v>
      </c>
      <c r="G407" s="29" t="s">
        <v>24</v>
      </c>
      <c r="H407" s="29" t="s">
        <v>28</v>
      </c>
      <c r="I407" s="29" t="s">
        <v>152</v>
      </c>
      <c r="J407" s="29" t="s">
        <v>133</v>
      </c>
      <c r="K407" s="29" t="s">
        <v>133</v>
      </c>
      <c r="L407" s="29" t="s">
        <v>133</v>
      </c>
      <c r="M407" s="29">
        <v>830</v>
      </c>
      <c r="N407" s="29">
        <v>50</v>
      </c>
    </row>
    <row r="408" spans="1:14" x14ac:dyDescent="0.6">
      <c r="E408" s="29" t="s">
        <v>27</v>
      </c>
      <c r="F408" s="29">
        <v>0</v>
      </c>
      <c r="G408" s="29">
        <v>0</v>
      </c>
      <c r="H408" s="29" t="s">
        <v>29</v>
      </c>
    </row>
    <row r="409" spans="1:14" x14ac:dyDescent="0.6">
      <c r="E409" s="29" t="s">
        <v>23</v>
      </c>
      <c r="F409" s="29">
        <v>0</v>
      </c>
      <c r="G409" s="29">
        <v>0</v>
      </c>
      <c r="H409" s="29">
        <v>0</v>
      </c>
    </row>
    <row r="410" spans="1:14" x14ac:dyDescent="0.6">
      <c r="E410" s="29" t="s">
        <v>27</v>
      </c>
      <c r="F410" s="29" t="s">
        <v>31</v>
      </c>
      <c r="G410" s="29" t="s">
        <v>33</v>
      </c>
      <c r="H410" s="29" t="s">
        <v>31</v>
      </c>
    </row>
    <row r="411" spans="1:14" x14ac:dyDescent="0.6">
      <c r="A411" s="29" t="s">
        <v>50</v>
      </c>
      <c r="B411" s="29" t="s">
        <v>131</v>
      </c>
      <c r="C411" s="29">
        <v>40</v>
      </c>
      <c r="D411" s="29">
        <v>65</v>
      </c>
      <c r="E411" s="29" t="s">
        <v>23</v>
      </c>
      <c r="F411" s="29" t="s">
        <v>28</v>
      </c>
      <c r="G411" s="29" t="s">
        <v>24</v>
      </c>
      <c r="H411" s="29" t="s">
        <v>30</v>
      </c>
      <c r="I411" s="29" t="s">
        <v>152</v>
      </c>
      <c r="J411" s="29" t="s">
        <v>133</v>
      </c>
      <c r="K411" s="29" t="s">
        <v>133</v>
      </c>
      <c r="L411" s="29" t="s">
        <v>133</v>
      </c>
      <c r="M411" s="29">
        <v>830</v>
      </c>
      <c r="N411" s="29">
        <v>50</v>
      </c>
    </row>
    <row r="412" spans="1:14" x14ac:dyDescent="0.6">
      <c r="E412" s="29" t="s">
        <v>27</v>
      </c>
      <c r="F412" s="29" t="s">
        <v>29</v>
      </c>
      <c r="G412" s="29">
        <v>0</v>
      </c>
      <c r="H412" s="29">
        <v>0</v>
      </c>
    </row>
    <row r="413" spans="1:14" x14ac:dyDescent="0.6">
      <c r="E413" s="29" t="s">
        <v>23</v>
      </c>
      <c r="F413" s="29">
        <v>0</v>
      </c>
      <c r="G413" s="29">
        <v>0</v>
      </c>
      <c r="H413" s="29">
        <v>0</v>
      </c>
    </row>
    <row r="414" spans="1:14" x14ac:dyDescent="0.6">
      <c r="E414" s="29" t="s">
        <v>27</v>
      </c>
      <c r="F414" s="29" t="s">
        <v>31</v>
      </c>
      <c r="G414" s="29" t="s">
        <v>33</v>
      </c>
      <c r="H414" s="29" t="s">
        <v>30</v>
      </c>
    </row>
    <row r="415" spans="1:14" ht="15.6" customHeight="1" x14ac:dyDescent="0.6">
      <c r="A415" s="29" t="s">
        <v>50</v>
      </c>
      <c r="B415" s="29" t="s">
        <v>132</v>
      </c>
      <c r="C415" s="29">
        <v>40</v>
      </c>
      <c r="D415" s="29">
        <v>65</v>
      </c>
      <c r="E415" s="29" t="s">
        <v>23</v>
      </c>
      <c r="F415" s="29" t="s">
        <v>36</v>
      </c>
      <c r="G415" s="29" t="s">
        <v>32</v>
      </c>
      <c r="H415" s="29" t="s">
        <v>35</v>
      </c>
      <c r="I415" s="29" t="s">
        <v>152</v>
      </c>
      <c r="J415" s="29" t="s">
        <v>107</v>
      </c>
      <c r="K415" s="29" t="s">
        <v>107</v>
      </c>
      <c r="L415" s="29" t="s">
        <v>107</v>
      </c>
      <c r="M415" s="29">
        <v>830</v>
      </c>
      <c r="N415" s="29">
        <v>50</v>
      </c>
    </row>
    <row r="416" spans="1:14" x14ac:dyDescent="0.6">
      <c r="E416" s="29" t="s">
        <v>27</v>
      </c>
      <c r="F416" s="29">
        <v>0</v>
      </c>
      <c r="G416" s="29">
        <v>0</v>
      </c>
      <c r="H416" s="29" t="s">
        <v>150</v>
      </c>
    </row>
    <row r="417" spans="1:14" x14ac:dyDescent="0.6">
      <c r="E417" s="29" t="s">
        <v>23</v>
      </c>
      <c r="F417" s="29">
        <v>0</v>
      </c>
      <c r="G417" s="29" t="s">
        <v>29</v>
      </c>
      <c r="H417" s="29">
        <v>0</v>
      </c>
    </row>
    <row r="418" spans="1:14" x14ac:dyDescent="0.6">
      <c r="E418" s="29" t="s">
        <v>27</v>
      </c>
      <c r="F418" s="29" t="s">
        <v>30</v>
      </c>
      <c r="G418" s="29" t="s">
        <v>33</v>
      </c>
      <c r="H418" s="29" t="s">
        <v>24</v>
      </c>
    </row>
    <row r="419" spans="1:14" ht="15.6" customHeight="1" x14ac:dyDescent="0.6">
      <c r="A419" s="29" t="s">
        <v>50</v>
      </c>
      <c r="B419" s="29" t="s">
        <v>113</v>
      </c>
      <c r="C419" s="29">
        <v>40</v>
      </c>
      <c r="D419" s="29">
        <v>65</v>
      </c>
      <c r="E419" s="29" t="s">
        <v>23</v>
      </c>
      <c r="F419" s="29" t="s">
        <v>29</v>
      </c>
      <c r="G419" s="29" t="s">
        <v>24</v>
      </c>
      <c r="H419" s="29" t="s">
        <v>33</v>
      </c>
      <c r="I419" s="29" t="s">
        <v>25</v>
      </c>
      <c r="J419" s="29" t="s">
        <v>107</v>
      </c>
      <c r="K419" s="29" t="s">
        <v>107</v>
      </c>
      <c r="L419" s="29" t="s">
        <v>107</v>
      </c>
      <c r="M419" s="29">
        <v>1260</v>
      </c>
      <c r="N419" s="29">
        <v>50</v>
      </c>
    </row>
    <row r="420" spans="1:14" x14ac:dyDescent="0.6">
      <c r="E420" s="29" t="s">
        <v>27</v>
      </c>
      <c r="F420" s="29">
        <v>0</v>
      </c>
      <c r="G420" s="29">
        <v>0</v>
      </c>
      <c r="H420" s="29" t="s">
        <v>24</v>
      </c>
    </row>
    <row r="421" spans="1:14" x14ac:dyDescent="0.6">
      <c r="E421" s="29" t="s">
        <v>23</v>
      </c>
      <c r="F421" s="29">
        <v>0</v>
      </c>
      <c r="G421" s="29">
        <v>0</v>
      </c>
      <c r="H421" s="29">
        <v>0</v>
      </c>
    </row>
    <row r="422" spans="1:14" x14ac:dyDescent="0.6">
      <c r="E422" s="29" t="s">
        <v>27</v>
      </c>
      <c r="F422" s="29" t="s">
        <v>28</v>
      </c>
      <c r="G422" s="29" t="s">
        <v>33</v>
      </c>
      <c r="H422" s="29" t="s">
        <v>33</v>
      </c>
    </row>
    <row r="423" spans="1:14" x14ac:dyDescent="0.6">
      <c r="A423" s="29" t="s">
        <v>50</v>
      </c>
      <c r="B423" s="29" t="s">
        <v>112</v>
      </c>
      <c r="C423" s="29">
        <v>40</v>
      </c>
      <c r="D423" s="29">
        <v>65</v>
      </c>
      <c r="E423" s="29" t="s">
        <v>23</v>
      </c>
      <c r="F423" s="29" t="s">
        <v>33</v>
      </c>
      <c r="G423" s="29" t="s">
        <v>24</v>
      </c>
      <c r="H423" s="29" t="s">
        <v>33</v>
      </c>
      <c r="I423" s="29" t="s">
        <v>25</v>
      </c>
      <c r="J423" s="29" t="s">
        <v>107</v>
      </c>
      <c r="K423" s="29" t="s">
        <v>107</v>
      </c>
      <c r="L423" s="29" t="s">
        <v>107</v>
      </c>
      <c r="M423" s="29">
        <v>830</v>
      </c>
      <c r="N423" s="29">
        <v>50</v>
      </c>
    </row>
    <row r="424" spans="1:14" x14ac:dyDescent="0.6">
      <c r="E424" s="29" t="s">
        <v>27</v>
      </c>
      <c r="F424" s="29" t="s">
        <v>24</v>
      </c>
      <c r="G424" s="29">
        <v>0</v>
      </c>
      <c r="H424" s="29" t="s">
        <v>24</v>
      </c>
    </row>
    <row r="425" spans="1:14" x14ac:dyDescent="0.6">
      <c r="E425" s="29" t="s">
        <v>23</v>
      </c>
      <c r="F425" s="29">
        <v>0</v>
      </c>
      <c r="G425" s="29">
        <v>0</v>
      </c>
      <c r="H425" s="29">
        <v>0</v>
      </c>
    </row>
    <row r="426" spans="1:14" x14ac:dyDescent="0.6">
      <c r="E426" s="29" t="s">
        <v>27</v>
      </c>
      <c r="F426" s="29" t="s">
        <v>33</v>
      </c>
      <c r="G426" s="29" t="s">
        <v>33</v>
      </c>
      <c r="H426" s="29" t="s">
        <v>33</v>
      </c>
    </row>
    <row r="427" spans="1:14" ht="15.6" customHeight="1" x14ac:dyDescent="0.6">
      <c r="A427" s="29" t="s">
        <v>50</v>
      </c>
      <c r="B427" s="29" t="s">
        <v>113</v>
      </c>
      <c r="C427" s="29">
        <v>40</v>
      </c>
      <c r="D427" s="29">
        <v>65</v>
      </c>
      <c r="E427" s="29" t="s">
        <v>23</v>
      </c>
      <c r="F427" s="29" t="s">
        <v>29</v>
      </c>
      <c r="G427" s="29" t="s">
        <v>24</v>
      </c>
      <c r="H427" s="29" t="s">
        <v>33</v>
      </c>
      <c r="I427" s="29" t="s">
        <v>25</v>
      </c>
      <c r="J427" s="29" t="s">
        <v>107</v>
      </c>
      <c r="K427" s="29" t="s">
        <v>107</v>
      </c>
      <c r="L427" s="29" t="s">
        <v>107</v>
      </c>
      <c r="M427" s="29">
        <v>1260</v>
      </c>
      <c r="N427" s="29">
        <v>50</v>
      </c>
    </row>
    <row r="428" spans="1:14" x14ac:dyDescent="0.6">
      <c r="E428" s="29" t="s">
        <v>27</v>
      </c>
      <c r="F428" s="29">
        <v>0</v>
      </c>
      <c r="G428" s="29">
        <v>0</v>
      </c>
      <c r="H428" s="29" t="s">
        <v>24</v>
      </c>
    </row>
    <row r="429" spans="1:14" x14ac:dyDescent="0.6">
      <c r="E429" s="29" t="s">
        <v>23</v>
      </c>
      <c r="F429" s="29">
        <v>0</v>
      </c>
      <c r="G429" s="29">
        <v>0</v>
      </c>
      <c r="H429" s="29">
        <v>0</v>
      </c>
    </row>
    <row r="430" spans="1:14" x14ac:dyDescent="0.6">
      <c r="E430" s="29" t="s">
        <v>27</v>
      </c>
      <c r="F430" s="29" t="s">
        <v>28</v>
      </c>
      <c r="G430" s="29" t="s">
        <v>33</v>
      </c>
      <c r="H430" s="29" t="s">
        <v>33</v>
      </c>
    </row>
    <row r="431" spans="1:14" x14ac:dyDescent="0.6">
      <c r="A431" s="29" t="s">
        <v>50</v>
      </c>
      <c r="B431" s="29" t="s">
        <v>112</v>
      </c>
      <c r="C431" s="29">
        <v>40</v>
      </c>
      <c r="D431" s="29">
        <v>65</v>
      </c>
      <c r="E431" s="29" t="s">
        <v>23</v>
      </c>
      <c r="F431" s="29" t="s">
        <v>33</v>
      </c>
      <c r="G431" s="29" t="s">
        <v>24</v>
      </c>
      <c r="H431" s="29" t="s">
        <v>33</v>
      </c>
      <c r="I431" s="29" t="s">
        <v>25</v>
      </c>
      <c r="J431" s="29" t="s">
        <v>107</v>
      </c>
      <c r="K431" s="29" t="s">
        <v>107</v>
      </c>
      <c r="L431" s="29" t="s">
        <v>107</v>
      </c>
      <c r="M431" s="29">
        <v>830</v>
      </c>
      <c r="N431" s="29">
        <v>50</v>
      </c>
    </row>
    <row r="432" spans="1:14" x14ac:dyDescent="0.6">
      <c r="E432" s="29" t="s">
        <v>27</v>
      </c>
      <c r="F432" s="29" t="s">
        <v>24</v>
      </c>
      <c r="G432" s="29">
        <v>0</v>
      </c>
      <c r="H432" s="29" t="s">
        <v>24</v>
      </c>
    </row>
    <row r="433" spans="1:14" x14ac:dyDescent="0.6">
      <c r="E433" s="29" t="s">
        <v>23</v>
      </c>
      <c r="F433" s="29">
        <v>0</v>
      </c>
      <c r="G433" s="29">
        <v>0</v>
      </c>
      <c r="H433" s="29">
        <v>0</v>
      </c>
    </row>
    <row r="434" spans="1:14" x14ac:dyDescent="0.6">
      <c r="E434" s="29" t="s">
        <v>27</v>
      </c>
      <c r="F434" s="29" t="s">
        <v>33</v>
      </c>
      <c r="G434" s="29" t="s">
        <v>33</v>
      </c>
      <c r="H434" s="29" t="s">
        <v>33</v>
      </c>
    </row>
    <row r="435" spans="1:14" x14ac:dyDescent="0.6">
      <c r="A435" s="29" t="s">
        <v>50</v>
      </c>
      <c r="B435" s="29" t="s">
        <v>112</v>
      </c>
      <c r="C435" s="29">
        <v>40</v>
      </c>
      <c r="D435" s="29">
        <v>65</v>
      </c>
      <c r="E435" s="29" t="s">
        <v>23</v>
      </c>
      <c r="F435" s="29" t="s">
        <v>33</v>
      </c>
      <c r="G435" s="29" t="s">
        <v>24</v>
      </c>
      <c r="H435" s="29" t="s">
        <v>33</v>
      </c>
      <c r="I435" s="29" t="s">
        <v>25</v>
      </c>
      <c r="J435" s="29" t="s">
        <v>107</v>
      </c>
      <c r="K435" s="29" t="s">
        <v>107</v>
      </c>
      <c r="L435" s="29" t="s">
        <v>107</v>
      </c>
      <c r="M435" s="29">
        <v>1260</v>
      </c>
      <c r="N435" s="29">
        <v>50</v>
      </c>
    </row>
    <row r="436" spans="1:14" x14ac:dyDescent="0.6">
      <c r="E436" s="29" t="s">
        <v>27</v>
      </c>
      <c r="F436" s="29" t="s">
        <v>24</v>
      </c>
      <c r="G436" s="29">
        <v>0</v>
      </c>
      <c r="H436" s="29" t="s">
        <v>24</v>
      </c>
    </row>
    <row r="437" spans="1:14" x14ac:dyDescent="0.6">
      <c r="E437" s="29" t="s">
        <v>23</v>
      </c>
      <c r="F437" s="29">
        <v>0</v>
      </c>
      <c r="G437" s="29">
        <v>0</v>
      </c>
      <c r="H437" s="29">
        <v>0</v>
      </c>
    </row>
    <row r="438" spans="1:14" x14ac:dyDescent="0.6">
      <c r="E438" s="29" t="s">
        <v>27</v>
      </c>
      <c r="F438" s="29" t="s">
        <v>33</v>
      </c>
      <c r="G438" s="29" t="s">
        <v>33</v>
      </c>
      <c r="H438" s="29" t="s">
        <v>33</v>
      </c>
    </row>
    <row r="439" spans="1:14" x14ac:dyDescent="0.6">
      <c r="A439" s="29" t="s">
        <v>50</v>
      </c>
      <c r="B439" s="29" t="s">
        <v>118</v>
      </c>
      <c r="C439" s="29">
        <v>40</v>
      </c>
      <c r="D439" s="29">
        <v>65</v>
      </c>
      <c r="E439" s="29" t="s">
        <v>23</v>
      </c>
      <c r="F439" s="29" t="s">
        <v>33</v>
      </c>
      <c r="G439" s="29" t="s">
        <v>24</v>
      </c>
      <c r="H439" s="29" t="s">
        <v>28</v>
      </c>
      <c r="I439" s="29" t="s">
        <v>25</v>
      </c>
      <c r="J439" s="29" t="s">
        <v>107</v>
      </c>
      <c r="K439" s="29" t="s">
        <v>107</v>
      </c>
      <c r="L439" s="29" t="s">
        <v>107</v>
      </c>
      <c r="M439" s="29">
        <v>830</v>
      </c>
      <c r="N439" s="29">
        <v>50</v>
      </c>
    </row>
    <row r="440" spans="1:14" x14ac:dyDescent="0.6">
      <c r="E440" s="29" t="s">
        <v>27</v>
      </c>
      <c r="F440" s="29" t="s">
        <v>24</v>
      </c>
      <c r="G440" s="29">
        <v>0</v>
      </c>
      <c r="H440" s="29">
        <v>0</v>
      </c>
    </row>
    <row r="441" spans="1:14" x14ac:dyDescent="0.6">
      <c r="E441" s="29" t="s">
        <v>23</v>
      </c>
      <c r="F441" s="29">
        <v>0</v>
      </c>
      <c r="G441" s="29">
        <v>0</v>
      </c>
      <c r="H441" s="29">
        <v>0</v>
      </c>
    </row>
    <row r="442" spans="1:14" x14ac:dyDescent="0.6">
      <c r="E442" s="29" t="s">
        <v>27</v>
      </c>
      <c r="F442" s="29" t="s">
        <v>24</v>
      </c>
      <c r="G442" s="29" t="s">
        <v>31</v>
      </c>
      <c r="H442" s="29" t="s">
        <v>24</v>
      </c>
    </row>
    <row r="443" spans="1:14" ht="15.6" customHeight="1" x14ac:dyDescent="0.6">
      <c r="A443" s="29" t="s">
        <v>50</v>
      </c>
      <c r="B443" s="29" t="s">
        <v>113</v>
      </c>
      <c r="C443" s="29">
        <v>40</v>
      </c>
      <c r="D443" s="29">
        <v>65</v>
      </c>
      <c r="E443" s="29" t="s">
        <v>23</v>
      </c>
      <c r="F443" s="29" t="s">
        <v>29</v>
      </c>
      <c r="G443" s="29" t="s">
        <v>24</v>
      </c>
      <c r="H443" s="29" t="s">
        <v>33</v>
      </c>
      <c r="I443" s="29" t="s">
        <v>25</v>
      </c>
      <c r="J443" s="29" t="s">
        <v>107</v>
      </c>
      <c r="K443" s="29" t="s">
        <v>107</v>
      </c>
      <c r="L443" s="29" t="s">
        <v>107</v>
      </c>
      <c r="M443" s="29">
        <v>1260</v>
      </c>
      <c r="N443" s="29">
        <v>50</v>
      </c>
    </row>
    <row r="444" spans="1:14" x14ac:dyDescent="0.6">
      <c r="E444" s="29" t="s">
        <v>27</v>
      </c>
      <c r="F444" s="29">
        <v>0</v>
      </c>
      <c r="G444" s="29">
        <v>0</v>
      </c>
      <c r="H444" s="29" t="s">
        <v>24</v>
      </c>
    </row>
    <row r="445" spans="1:14" x14ac:dyDescent="0.6">
      <c r="E445" s="29" t="s">
        <v>23</v>
      </c>
      <c r="F445" s="29">
        <v>0</v>
      </c>
      <c r="G445" s="29">
        <v>0</v>
      </c>
      <c r="H445" s="29">
        <v>0</v>
      </c>
    </row>
    <row r="446" spans="1:14" x14ac:dyDescent="0.6">
      <c r="E446" s="29" t="s">
        <v>27</v>
      </c>
      <c r="F446" s="29" t="s">
        <v>28</v>
      </c>
      <c r="G446" s="29" t="s">
        <v>33</v>
      </c>
      <c r="H446" s="29" t="s">
        <v>33</v>
      </c>
    </row>
    <row r="447" spans="1:14" x14ac:dyDescent="0.6">
      <c r="A447" s="29" t="s">
        <v>50</v>
      </c>
      <c r="B447" s="29" t="s">
        <v>112</v>
      </c>
      <c r="C447" s="29">
        <v>40</v>
      </c>
      <c r="D447" s="29">
        <v>65</v>
      </c>
      <c r="E447" s="29" t="s">
        <v>23</v>
      </c>
      <c r="F447" s="29" t="s">
        <v>33</v>
      </c>
      <c r="G447" s="29" t="s">
        <v>24</v>
      </c>
      <c r="H447" s="29" t="s">
        <v>33</v>
      </c>
      <c r="I447" s="29" t="s">
        <v>25</v>
      </c>
      <c r="J447" s="29" t="s">
        <v>107</v>
      </c>
      <c r="K447" s="29" t="s">
        <v>107</v>
      </c>
      <c r="L447" s="29" t="s">
        <v>107</v>
      </c>
      <c r="M447" s="29">
        <v>830</v>
      </c>
      <c r="N447" s="29">
        <v>50</v>
      </c>
    </row>
    <row r="448" spans="1:14" x14ac:dyDescent="0.6">
      <c r="E448" s="29" t="s">
        <v>27</v>
      </c>
      <c r="F448" s="29" t="s">
        <v>24</v>
      </c>
      <c r="G448" s="29">
        <v>0</v>
      </c>
      <c r="H448" s="29" t="s">
        <v>24</v>
      </c>
    </row>
    <row r="449" spans="1:14" x14ac:dyDescent="0.6">
      <c r="E449" s="29" t="s">
        <v>23</v>
      </c>
      <c r="F449" s="29">
        <v>0</v>
      </c>
      <c r="G449" s="29">
        <v>0</v>
      </c>
      <c r="H449" s="29">
        <v>0</v>
      </c>
    </row>
    <row r="450" spans="1:14" x14ac:dyDescent="0.6">
      <c r="E450" s="29" t="s">
        <v>27</v>
      </c>
      <c r="F450" s="29" t="s">
        <v>33</v>
      </c>
      <c r="G450" s="29" t="s">
        <v>33</v>
      </c>
      <c r="H450" s="29" t="s">
        <v>33</v>
      </c>
    </row>
    <row r="451" spans="1:14" x14ac:dyDescent="0.6">
      <c r="A451" s="29" t="s">
        <v>50</v>
      </c>
      <c r="B451" s="29" t="s">
        <v>112</v>
      </c>
      <c r="C451" s="29">
        <v>40</v>
      </c>
      <c r="D451" s="29">
        <v>65</v>
      </c>
      <c r="E451" s="29" t="s">
        <v>23</v>
      </c>
      <c r="F451" s="29" t="s">
        <v>33</v>
      </c>
      <c r="G451" s="29" t="s">
        <v>24</v>
      </c>
      <c r="H451" s="29" t="s">
        <v>33</v>
      </c>
      <c r="I451" s="29" t="s">
        <v>25</v>
      </c>
      <c r="J451" s="29" t="s">
        <v>107</v>
      </c>
      <c r="K451" s="29" t="s">
        <v>107</v>
      </c>
      <c r="L451" s="29" t="s">
        <v>107</v>
      </c>
      <c r="M451" s="29">
        <v>1260</v>
      </c>
      <c r="N451" s="29">
        <v>50</v>
      </c>
    </row>
    <row r="452" spans="1:14" x14ac:dyDescent="0.6">
      <c r="E452" s="29" t="s">
        <v>27</v>
      </c>
      <c r="F452" s="29" t="s">
        <v>24</v>
      </c>
      <c r="G452" s="29">
        <v>0</v>
      </c>
      <c r="H452" s="29" t="s">
        <v>24</v>
      </c>
    </row>
    <row r="453" spans="1:14" x14ac:dyDescent="0.6">
      <c r="E453" s="29" t="s">
        <v>23</v>
      </c>
      <c r="F453" s="29">
        <v>0</v>
      </c>
      <c r="G453" s="29">
        <v>0</v>
      </c>
      <c r="H453" s="29">
        <v>0</v>
      </c>
    </row>
    <row r="454" spans="1:14" x14ac:dyDescent="0.6">
      <c r="E454" s="29" t="s">
        <v>27</v>
      </c>
      <c r="F454" s="29" t="s">
        <v>33</v>
      </c>
      <c r="G454" s="29" t="s">
        <v>33</v>
      </c>
      <c r="H454" s="29" t="s">
        <v>33</v>
      </c>
    </row>
    <row r="455" spans="1:14" x14ac:dyDescent="0.6">
      <c r="A455" s="29" t="s">
        <v>50</v>
      </c>
      <c r="B455" s="29" t="s">
        <v>118</v>
      </c>
      <c r="C455" s="29">
        <v>40</v>
      </c>
      <c r="D455" s="29">
        <v>65</v>
      </c>
      <c r="E455" s="29" t="s">
        <v>23</v>
      </c>
      <c r="F455" s="29" t="s">
        <v>33</v>
      </c>
      <c r="G455" s="29" t="s">
        <v>24</v>
      </c>
      <c r="H455" s="29" t="s">
        <v>28</v>
      </c>
      <c r="I455" s="29" t="s">
        <v>25</v>
      </c>
      <c r="J455" s="29" t="s">
        <v>107</v>
      </c>
      <c r="K455" s="29" t="s">
        <v>107</v>
      </c>
      <c r="L455" s="29" t="s">
        <v>107</v>
      </c>
      <c r="M455" s="29">
        <v>830</v>
      </c>
      <c r="N455" s="29">
        <v>50</v>
      </c>
    </row>
    <row r="456" spans="1:14" x14ac:dyDescent="0.6">
      <c r="E456" s="29" t="s">
        <v>27</v>
      </c>
      <c r="F456" s="29" t="s">
        <v>24</v>
      </c>
      <c r="G456" s="29">
        <v>0</v>
      </c>
      <c r="H456" s="29">
        <v>0</v>
      </c>
    </row>
    <row r="457" spans="1:14" x14ac:dyDescent="0.6">
      <c r="E457" s="29" t="s">
        <v>23</v>
      </c>
      <c r="F457" s="29">
        <v>0</v>
      </c>
      <c r="G457" s="29">
        <v>0</v>
      </c>
      <c r="H457" s="29">
        <v>0</v>
      </c>
    </row>
    <row r="458" spans="1:14" x14ac:dyDescent="0.6">
      <c r="E458" s="29" t="s">
        <v>27</v>
      </c>
      <c r="F458" s="29" t="s">
        <v>24</v>
      </c>
      <c r="G458" s="29" t="s">
        <v>31</v>
      </c>
      <c r="H458" s="29" t="s">
        <v>24</v>
      </c>
    </row>
    <row r="459" spans="1:14" x14ac:dyDescent="0.6">
      <c r="A459" s="29" t="s">
        <v>50</v>
      </c>
      <c r="B459" s="29" t="s">
        <v>112</v>
      </c>
      <c r="C459" s="29">
        <v>40</v>
      </c>
      <c r="D459" s="29">
        <v>65</v>
      </c>
      <c r="E459" s="29" t="s">
        <v>23</v>
      </c>
      <c r="F459" s="29" t="s">
        <v>33</v>
      </c>
      <c r="G459" s="29" t="s">
        <v>24</v>
      </c>
      <c r="H459" s="29" t="s">
        <v>33</v>
      </c>
      <c r="I459" s="29" t="s">
        <v>25</v>
      </c>
      <c r="J459" s="29" t="s">
        <v>107</v>
      </c>
      <c r="K459" s="29" t="s">
        <v>107</v>
      </c>
      <c r="L459" s="29" t="s">
        <v>107</v>
      </c>
      <c r="M459" s="29">
        <v>1260</v>
      </c>
      <c r="N459" s="29">
        <v>50</v>
      </c>
    </row>
    <row r="460" spans="1:14" x14ac:dyDescent="0.6">
      <c r="E460" s="29" t="s">
        <v>27</v>
      </c>
      <c r="F460" s="29" t="s">
        <v>24</v>
      </c>
      <c r="G460" s="29">
        <v>0</v>
      </c>
      <c r="H460" s="29" t="s">
        <v>24</v>
      </c>
    </row>
    <row r="461" spans="1:14" x14ac:dyDescent="0.6">
      <c r="E461" s="29" t="s">
        <v>23</v>
      </c>
      <c r="F461" s="29">
        <v>0</v>
      </c>
      <c r="G461" s="29">
        <v>0</v>
      </c>
      <c r="H461" s="29">
        <v>0</v>
      </c>
    </row>
    <row r="462" spans="1:14" x14ac:dyDescent="0.6">
      <c r="E462" s="29" t="s">
        <v>27</v>
      </c>
      <c r="F462" s="29" t="s">
        <v>33</v>
      </c>
      <c r="G462" s="29" t="s">
        <v>33</v>
      </c>
      <c r="H462" s="29" t="s">
        <v>33</v>
      </c>
    </row>
    <row r="463" spans="1:14" x14ac:dyDescent="0.6">
      <c r="A463" s="29" t="s">
        <v>50</v>
      </c>
      <c r="B463" s="29" t="s">
        <v>118</v>
      </c>
      <c r="C463" s="29">
        <v>40</v>
      </c>
      <c r="D463" s="29">
        <v>65</v>
      </c>
      <c r="E463" s="29" t="s">
        <v>23</v>
      </c>
      <c r="F463" s="29" t="s">
        <v>33</v>
      </c>
      <c r="G463" s="29" t="s">
        <v>24</v>
      </c>
      <c r="H463" s="29" t="s">
        <v>28</v>
      </c>
      <c r="I463" s="29" t="s">
        <v>25</v>
      </c>
      <c r="J463" s="29" t="s">
        <v>107</v>
      </c>
      <c r="K463" s="29" t="s">
        <v>107</v>
      </c>
      <c r="L463" s="29" t="s">
        <v>107</v>
      </c>
      <c r="M463" s="29">
        <v>830</v>
      </c>
      <c r="N463" s="29">
        <v>50</v>
      </c>
    </row>
    <row r="464" spans="1:14" x14ac:dyDescent="0.6">
      <c r="E464" s="29" t="s">
        <v>27</v>
      </c>
      <c r="F464" s="29" t="s">
        <v>24</v>
      </c>
      <c r="G464" s="29">
        <v>0</v>
      </c>
      <c r="H464" s="29">
        <v>0</v>
      </c>
    </row>
    <row r="465" spans="1:14" x14ac:dyDescent="0.6">
      <c r="E465" s="29" t="s">
        <v>23</v>
      </c>
      <c r="F465" s="29">
        <v>0</v>
      </c>
      <c r="G465" s="29">
        <v>0</v>
      </c>
      <c r="H465" s="29">
        <v>0</v>
      </c>
    </row>
    <row r="466" spans="1:14" x14ac:dyDescent="0.6">
      <c r="E466" s="29" t="s">
        <v>27</v>
      </c>
      <c r="F466" s="29" t="s">
        <v>24</v>
      </c>
      <c r="G466" s="29" t="s">
        <v>31</v>
      </c>
      <c r="H466" s="29" t="s">
        <v>24</v>
      </c>
    </row>
    <row r="467" spans="1:14" ht="15.6" customHeight="1" x14ac:dyDescent="0.6">
      <c r="A467" s="29" t="s">
        <v>50</v>
      </c>
      <c r="B467" s="29" t="s">
        <v>134</v>
      </c>
      <c r="C467" s="29">
        <v>40</v>
      </c>
      <c r="D467" s="29">
        <v>65</v>
      </c>
      <c r="E467" s="29" t="s">
        <v>23</v>
      </c>
      <c r="F467" s="29" t="s">
        <v>29</v>
      </c>
      <c r="G467" s="29" t="s">
        <v>24</v>
      </c>
      <c r="H467" s="29" t="s">
        <v>30</v>
      </c>
      <c r="I467" s="29" t="s">
        <v>152</v>
      </c>
      <c r="J467" s="29" t="s">
        <v>107</v>
      </c>
      <c r="K467" s="29" t="s">
        <v>107</v>
      </c>
      <c r="L467" s="29" t="s">
        <v>107</v>
      </c>
      <c r="M467" s="29">
        <v>830</v>
      </c>
      <c r="N467" s="29">
        <v>50</v>
      </c>
    </row>
    <row r="468" spans="1:14" x14ac:dyDescent="0.6">
      <c r="E468" s="29" t="s">
        <v>27</v>
      </c>
      <c r="F468" s="29">
        <v>0</v>
      </c>
      <c r="G468" s="29">
        <v>0</v>
      </c>
      <c r="H468" s="29">
        <v>0</v>
      </c>
    </row>
    <row r="469" spans="1:14" x14ac:dyDescent="0.6">
      <c r="E469" s="29" t="s">
        <v>23</v>
      </c>
      <c r="F469" s="29">
        <v>0</v>
      </c>
      <c r="G469" s="29">
        <v>0</v>
      </c>
      <c r="H469" s="29">
        <v>0</v>
      </c>
    </row>
    <row r="470" spans="1:14" x14ac:dyDescent="0.6">
      <c r="E470" s="29" t="s">
        <v>27</v>
      </c>
      <c r="F470" s="29" t="s">
        <v>31</v>
      </c>
      <c r="G470" s="29" t="s">
        <v>30</v>
      </c>
      <c r="H470" s="29" t="s">
        <v>24</v>
      </c>
    </row>
    <row r="471" spans="1:14" x14ac:dyDescent="0.6">
      <c r="A471" s="29" t="s">
        <v>50</v>
      </c>
      <c r="B471" s="29" t="s">
        <v>153</v>
      </c>
      <c r="C471" s="29">
        <v>40</v>
      </c>
      <c r="D471" s="29">
        <v>65</v>
      </c>
      <c r="E471" s="29" t="s">
        <v>23</v>
      </c>
      <c r="F471" s="29" t="s">
        <v>30</v>
      </c>
      <c r="G471" s="29" t="s">
        <v>24</v>
      </c>
      <c r="H471" s="29" t="s">
        <v>30</v>
      </c>
      <c r="I471" s="29" t="s">
        <v>152</v>
      </c>
      <c r="J471" s="29" t="s">
        <v>107</v>
      </c>
      <c r="K471" s="29" t="s">
        <v>107</v>
      </c>
      <c r="L471" s="29" t="s">
        <v>107</v>
      </c>
      <c r="M471" s="29">
        <v>830</v>
      </c>
      <c r="N471" s="29">
        <v>50</v>
      </c>
    </row>
    <row r="472" spans="1:14" x14ac:dyDescent="0.6">
      <c r="E472" s="29" t="s">
        <v>27</v>
      </c>
      <c r="F472" s="29">
        <v>0</v>
      </c>
      <c r="G472" s="29">
        <v>0</v>
      </c>
      <c r="H472" s="29">
        <v>0</v>
      </c>
    </row>
    <row r="473" spans="1:14" x14ac:dyDescent="0.6">
      <c r="E473" s="29" t="s">
        <v>23</v>
      </c>
      <c r="F473" s="29">
        <v>0</v>
      </c>
      <c r="G473" s="29">
        <v>0</v>
      </c>
      <c r="H473" s="29">
        <v>0</v>
      </c>
    </row>
    <row r="474" spans="1:14" x14ac:dyDescent="0.6">
      <c r="E474" s="29" t="s">
        <v>27</v>
      </c>
      <c r="F474" s="29" t="s">
        <v>24</v>
      </c>
      <c r="G474" s="29" t="s">
        <v>31</v>
      </c>
      <c r="H474" s="29" t="s">
        <v>24</v>
      </c>
    </row>
    <row r="475" spans="1:14" x14ac:dyDescent="0.6">
      <c r="A475" s="29" t="s">
        <v>50</v>
      </c>
      <c r="B475" s="29" t="s">
        <v>154</v>
      </c>
      <c r="C475" s="29">
        <v>40</v>
      </c>
      <c r="D475" s="29">
        <v>65</v>
      </c>
      <c r="E475" s="29" t="s">
        <v>23</v>
      </c>
      <c r="F475" s="29" t="s">
        <v>30</v>
      </c>
      <c r="G475" s="29" t="s">
        <v>24</v>
      </c>
      <c r="H475" s="29" t="s">
        <v>30</v>
      </c>
      <c r="I475" s="29" t="s">
        <v>152</v>
      </c>
      <c r="J475" s="29" t="s">
        <v>107</v>
      </c>
      <c r="K475" s="29" t="s">
        <v>107</v>
      </c>
      <c r="L475" s="29" t="s">
        <v>107</v>
      </c>
      <c r="M475" s="29">
        <v>830</v>
      </c>
      <c r="N475" s="29">
        <v>50</v>
      </c>
    </row>
    <row r="476" spans="1:14" x14ac:dyDescent="0.6">
      <c r="E476" s="29" t="s">
        <v>27</v>
      </c>
      <c r="F476" s="29">
        <v>0</v>
      </c>
      <c r="G476" s="29">
        <v>0</v>
      </c>
      <c r="H476" s="29">
        <v>0</v>
      </c>
    </row>
    <row r="477" spans="1:14" x14ac:dyDescent="0.6">
      <c r="E477" s="29" t="s">
        <v>23</v>
      </c>
      <c r="F477" s="29">
        <v>0</v>
      </c>
      <c r="G477" s="29">
        <v>0</v>
      </c>
      <c r="H477" s="29">
        <v>0</v>
      </c>
    </row>
    <row r="478" spans="1:14" x14ac:dyDescent="0.6">
      <c r="E478" s="29" t="s">
        <v>27</v>
      </c>
      <c r="F478" s="29" t="s">
        <v>24</v>
      </c>
      <c r="G478" s="29" t="s">
        <v>31</v>
      </c>
      <c r="H478" s="29" t="s">
        <v>24</v>
      </c>
    </row>
    <row r="479" spans="1:14" x14ac:dyDescent="0.6">
      <c r="A479" s="29" t="s">
        <v>50</v>
      </c>
      <c r="B479" s="29" t="s">
        <v>155</v>
      </c>
      <c r="C479" s="29">
        <v>40</v>
      </c>
      <c r="D479" s="29">
        <v>65</v>
      </c>
      <c r="E479" s="29" t="s">
        <v>23</v>
      </c>
      <c r="F479" s="29" t="s">
        <v>30</v>
      </c>
      <c r="G479" s="29" t="s">
        <v>24</v>
      </c>
      <c r="H479" s="29" t="s">
        <v>30</v>
      </c>
      <c r="I479" s="29" t="s">
        <v>152</v>
      </c>
      <c r="J479" s="29" t="s">
        <v>107</v>
      </c>
      <c r="K479" s="29" t="s">
        <v>107</v>
      </c>
      <c r="L479" s="29" t="s">
        <v>107</v>
      </c>
      <c r="M479" s="29">
        <v>830</v>
      </c>
      <c r="N479" s="29">
        <v>50</v>
      </c>
    </row>
    <row r="480" spans="1:14" x14ac:dyDescent="0.6">
      <c r="E480" s="29" t="s">
        <v>27</v>
      </c>
      <c r="F480" s="29">
        <v>0</v>
      </c>
      <c r="G480" s="29">
        <v>0</v>
      </c>
      <c r="H480" s="29">
        <v>0</v>
      </c>
    </row>
    <row r="481" spans="1:14" x14ac:dyDescent="0.6">
      <c r="E481" s="29" t="s">
        <v>23</v>
      </c>
      <c r="F481" s="29">
        <v>0</v>
      </c>
      <c r="G481" s="29">
        <v>0</v>
      </c>
      <c r="H481" s="29">
        <v>0</v>
      </c>
    </row>
    <row r="482" spans="1:14" x14ac:dyDescent="0.6">
      <c r="E482" s="29" t="s">
        <v>27</v>
      </c>
      <c r="F482" s="29" t="s">
        <v>24</v>
      </c>
      <c r="G482" s="29" t="s">
        <v>31</v>
      </c>
      <c r="H482" s="29" t="s">
        <v>24</v>
      </c>
    </row>
    <row r="483" spans="1:14" x14ac:dyDescent="0.6">
      <c r="A483" s="29" t="s">
        <v>50</v>
      </c>
      <c r="B483" s="29" t="s">
        <v>156</v>
      </c>
      <c r="C483" s="29">
        <v>40</v>
      </c>
      <c r="D483" s="29">
        <v>65</v>
      </c>
      <c r="E483" s="29" t="s">
        <v>23</v>
      </c>
      <c r="F483" s="29" t="s">
        <v>30</v>
      </c>
      <c r="G483" s="29" t="s">
        <v>24</v>
      </c>
      <c r="H483" s="29" t="s">
        <v>30</v>
      </c>
      <c r="I483" s="29" t="s">
        <v>152</v>
      </c>
      <c r="J483" s="29" t="s">
        <v>107</v>
      </c>
      <c r="K483" s="29" t="s">
        <v>107</v>
      </c>
      <c r="L483" s="29" t="s">
        <v>107</v>
      </c>
      <c r="M483" s="29">
        <v>830</v>
      </c>
      <c r="N483" s="29">
        <v>50</v>
      </c>
    </row>
    <row r="484" spans="1:14" x14ac:dyDescent="0.6">
      <c r="E484" s="29" t="s">
        <v>27</v>
      </c>
      <c r="F484" s="29">
        <v>0</v>
      </c>
      <c r="G484" s="29">
        <v>0</v>
      </c>
      <c r="H484" s="29">
        <v>0</v>
      </c>
    </row>
    <row r="485" spans="1:14" x14ac:dyDescent="0.6">
      <c r="E485" s="29" t="s">
        <v>23</v>
      </c>
      <c r="F485" s="29">
        <v>0</v>
      </c>
      <c r="G485" s="29">
        <v>0</v>
      </c>
      <c r="H485" s="29">
        <v>0</v>
      </c>
    </row>
    <row r="486" spans="1:14" x14ac:dyDescent="0.6">
      <c r="E486" s="29" t="s">
        <v>27</v>
      </c>
      <c r="F486" s="29" t="s">
        <v>24</v>
      </c>
      <c r="G486" s="29" t="s">
        <v>31</v>
      </c>
      <c r="H486" s="29" t="s">
        <v>24</v>
      </c>
    </row>
    <row r="487" spans="1:14" x14ac:dyDescent="0.6">
      <c r="A487" s="29" t="s">
        <v>50</v>
      </c>
      <c r="B487" s="29" t="s">
        <v>157</v>
      </c>
      <c r="C487" s="29">
        <v>40</v>
      </c>
      <c r="D487" s="29">
        <v>65</v>
      </c>
      <c r="E487" s="29" t="s">
        <v>23</v>
      </c>
      <c r="F487" s="29" t="s">
        <v>30</v>
      </c>
      <c r="G487" s="29" t="s">
        <v>24</v>
      </c>
      <c r="H487" s="29" t="s">
        <v>24</v>
      </c>
      <c r="I487" s="29" t="s">
        <v>152</v>
      </c>
      <c r="J487" s="29" t="s">
        <v>107</v>
      </c>
      <c r="K487" s="29" t="s">
        <v>107</v>
      </c>
      <c r="L487" s="29" t="s">
        <v>107</v>
      </c>
      <c r="M487" s="29">
        <v>830</v>
      </c>
      <c r="N487" s="29">
        <v>50</v>
      </c>
    </row>
    <row r="488" spans="1:14" x14ac:dyDescent="0.6">
      <c r="E488" s="29" t="s">
        <v>27</v>
      </c>
      <c r="F488" s="29">
        <v>0</v>
      </c>
      <c r="G488" s="29">
        <v>0</v>
      </c>
      <c r="H488" s="29">
        <v>0</v>
      </c>
    </row>
    <row r="489" spans="1:14" x14ac:dyDescent="0.6">
      <c r="E489" s="29" t="s">
        <v>23</v>
      </c>
      <c r="F489" s="29">
        <v>0</v>
      </c>
      <c r="G489" s="29">
        <v>0</v>
      </c>
      <c r="H489" s="29">
        <v>0</v>
      </c>
    </row>
    <row r="490" spans="1:14" x14ac:dyDescent="0.6">
      <c r="E490" s="29" t="s">
        <v>27</v>
      </c>
      <c r="F490" s="29" t="s">
        <v>24</v>
      </c>
      <c r="G490" s="29" t="s">
        <v>31</v>
      </c>
      <c r="H490" s="29" t="s">
        <v>24</v>
      </c>
    </row>
    <row r="491" spans="1:14" ht="15.6" customHeight="1" x14ac:dyDescent="0.6">
      <c r="A491" s="29" t="s">
        <v>50</v>
      </c>
      <c r="B491" s="29" t="s">
        <v>158</v>
      </c>
      <c r="C491" s="29">
        <v>40</v>
      </c>
      <c r="D491" s="29">
        <v>65</v>
      </c>
      <c r="E491" s="29" t="s">
        <v>23</v>
      </c>
      <c r="F491" s="29" t="s">
        <v>24</v>
      </c>
      <c r="G491" s="29" t="s">
        <v>24</v>
      </c>
      <c r="H491" s="29" t="s">
        <v>29</v>
      </c>
      <c r="I491" s="29" t="s">
        <v>25</v>
      </c>
      <c r="J491" s="29" t="s">
        <v>107</v>
      </c>
      <c r="K491" s="29" t="s">
        <v>107</v>
      </c>
      <c r="L491" s="29" t="s">
        <v>107</v>
      </c>
      <c r="M491" s="29">
        <v>575</v>
      </c>
      <c r="N491" s="29">
        <v>50</v>
      </c>
    </row>
    <row r="492" spans="1:14" x14ac:dyDescent="0.6">
      <c r="E492" s="29" t="s">
        <v>27</v>
      </c>
      <c r="F492" s="29">
        <v>0</v>
      </c>
      <c r="G492" s="29">
        <v>0</v>
      </c>
      <c r="H492" s="29">
        <v>0</v>
      </c>
    </row>
    <row r="493" spans="1:14" x14ac:dyDescent="0.6">
      <c r="E493" s="29" t="s">
        <v>23</v>
      </c>
      <c r="F493" s="29">
        <v>0</v>
      </c>
      <c r="G493" s="29">
        <v>0</v>
      </c>
      <c r="H493" s="29">
        <v>0</v>
      </c>
    </row>
    <row r="494" spans="1:14" x14ac:dyDescent="0.6">
      <c r="E494" s="29" t="s">
        <v>27</v>
      </c>
      <c r="F494" s="29" t="s">
        <v>24</v>
      </c>
      <c r="G494" s="29" t="s">
        <v>31</v>
      </c>
      <c r="H494" s="29" t="s">
        <v>24</v>
      </c>
    </row>
    <row r="495" spans="1:14" x14ac:dyDescent="0.6">
      <c r="A495" s="29" t="s">
        <v>50</v>
      </c>
      <c r="B495" s="29" t="s">
        <v>111</v>
      </c>
      <c r="C495" s="29">
        <v>40</v>
      </c>
      <c r="D495" s="29">
        <v>65</v>
      </c>
      <c r="E495" s="29" t="s">
        <v>23</v>
      </c>
      <c r="F495" s="29" t="s">
        <v>28</v>
      </c>
      <c r="G495" s="29" t="s">
        <v>24</v>
      </c>
      <c r="H495" s="29" t="s">
        <v>33</v>
      </c>
      <c r="I495" s="29" t="s">
        <v>25</v>
      </c>
      <c r="J495" s="29" t="s">
        <v>107</v>
      </c>
      <c r="K495" s="29" t="s">
        <v>107</v>
      </c>
      <c r="L495" s="29" t="s">
        <v>107</v>
      </c>
      <c r="M495" s="29">
        <v>1070</v>
      </c>
      <c r="N495" s="29">
        <v>50</v>
      </c>
    </row>
    <row r="496" spans="1:14" x14ac:dyDescent="0.6">
      <c r="E496" s="29" t="s">
        <v>27</v>
      </c>
      <c r="F496" s="29">
        <v>0</v>
      </c>
      <c r="G496" s="29">
        <v>0</v>
      </c>
      <c r="H496" s="29" t="s">
        <v>29</v>
      </c>
    </row>
    <row r="497" spans="1:14" x14ac:dyDescent="0.6">
      <c r="E497" s="29" t="s">
        <v>23</v>
      </c>
      <c r="F497" s="29">
        <v>0</v>
      </c>
      <c r="G497" s="29">
        <v>0</v>
      </c>
      <c r="H497" s="29">
        <v>0</v>
      </c>
    </row>
    <row r="498" spans="1:14" x14ac:dyDescent="0.6">
      <c r="E498" s="29" t="s">
        <v>27</v>
      </c>
      <c r="F498" s="29" t="s">
        <v>30</v>
      </c>
      <c r="G498" s="29" t="s">
        <v>28</v>
      </c>
      <c r="H498" s="29" t="s">
        <v>30</v>
      </c>
    </row>
    <row r="499" spans="1:14" x14ac:dyDescent="0.6">
      <c r="A499" s="29" t="s">
        <v>50</v>
      </c>
      <c r="B499" s="29" t="s">
        <v>111</v>
      </c>
      <c r="C499" s="29">
        <v>40</v>
      </c>
      <c r="D499" s="29">
        <v>65</v>
      </c>
      <c r="E499" s="29" t="s">
        <v>23</v>
      </c>
      <c r="F499" s="29" t="s">
        <v>28</v>
      </c>
      <c r="G499" s="29" t="s">
        <v>24</v>
      </c>
      <c r="H499" s="29" t="s">
        <v>33</v>
      </c>
      <c r="I499" s="29" t="s">
        <v>25</v>
      </c>
      <c r="J499" s="29" t="s">
        <v>107</v>
      </c>
      <c r="K499" s="29" t="s">
        <v>107</v>
      </c>
      <c r="L499" s="29" t="s">
        <v>107</v>
      </c>
      <c r="M499" s="29">
        <v>1070</v>
      </c>
      <c r="N499" s="29">
        <v>50</v>
      </c>
    </row>
    <row r="500" spans="1:14" x14ac:dyDescent="0.6">
      <c r="E500" s="29" t="s">
        <v>27</v>
      </c>
      <c r="F500" s="29">
        <v>0</v>
      </c>
      <c r="G500" s="29">
        <v>0</v>
      </c>
      <c r="H500" s="29" t="s">
        <v>29</v>
      </c>
    </row>
    <row r="501" spans="1:14" x14ac:dyDescent="0.6">
      <c r="E501" s="29" t="s">
        <v>23</v>
      </c>
      <c r="F501" s="29">
        <v>0</v>
      </c>
      <c r="G501" s="29">
        <v>0</v>
      </c>
      <c r="H501" s="29">
        <v>0</v>
      </c>
    </row>
    <row r="502" spans="1:14" x14ac:dyDescent="0.6">
      <c r="E502" s="29" t="s">
        <v>27</v>
      </c>
      <c r="F502" s="29" t="s">
        <v>30</v>
      </c>
      <c r="G502" s="29" t="s">
        <v>28</v>
      </c>
      <c r="H502" s="29" t="s">
        <v>30</v>
      </c>
    </row>
    <row r="503" spans="1:14" x14ac:dyDescent="0.6">
      <c r="A503" s="29" t="s">
        <v>50</v>
      </c>
      <c r="B503" s="29" t="s">
        <v>117</v>
      </c>
      <c r="C503" s="29">
        <v>40</v>
      </c>
      <c r="D503" s="29">
        <v>65</v>
      </c>
      <c r="E503" s="29" t="s">
        <v>23</v>
      </c>
      <c r="F503" s="29" t="s">
        <v>28</v>
      </c>
      <c r="G503" s="29" t="s">
        <v>24</v>
      </c>
      <c r="H503" s="29" t="s">
        <v>33</v>
      </c>
      <c r="I503" s="29" t="s">
        <v>25</v>
      </c>
      <c r="J503" s="29" t="s">
        <v>107</v>
      </c>
      <c r="K503" s="29" t="s">
        <v>107</v>
      </c>
      <c r="L503" s="29" t="s">
        <v>107</v>
      </c>
      <c r="M503" s="29">
        <v>1070</v>
      </c>
      <c r="N503" s="29">
        <v>50</v>
      </c>
    </row>
    <row r="504" spans="1:14" x14ac:dyDescent="0.6">
      <c r="E504" s="29" t="s">
        <v>27</v>
      </c>
      <c r="F504" s="29">
        <v>0</v>
      </c>
      <c r="G504" s="29">
        <v>0</v>
      </c>
      <c r="H504" s="29" t="s">
        <v>29</v>
      </c>
    </row>
    <row r="505" spans="1:14" x14ac:dyDescent="0.6">
      <c r="E505" s="29" t="s">
        <v>23</v>
      </c>
      <c r="F505" s="29">
        <v>0</v>
      </c>
      <c r="G505" s="29">
        <v>0</v>
      </c>
      <c r="H505" s="29">
        <v>0</v>
      </c>
    </row>
    <row r="506" spans="1:14" x14ac:dyDescent="0.6">
      <c r="E506" s="29" t="s">
        <v>27</v>
      </c>
      <c r="F506" s="29" t="s">
        <v>30</v>
      </c>
      <c r="G506" s="29" t="s">
        <v>28</v>
      </c>
      <c r="H506" s="29" t="s">
        <v>30</v>
      </c>
    </row>
    <row r="507" spans="1:14" x14ac:dyDescent="0.6">
      <c r="A507" s="29" t="s">
        <v>50</v>
      </c>
      <c r="B507" s="29" t="s">
        <v>111</v>
      </c>
      <c r="C507" s="29">
        <v>40</v>
      </c>
      <c r="D507" s="29">
        <v>65</v>
      </c>
      <c r="E507" s="29" t="s">
        <v>23</v>
      </c>
      <c r="F507" s="29" t="s">
        <v>28</v>
      </c>
      <c r="G507" s="29" t="s">
        <v>24</v>
      </c>
      <c r="H507" s="29" t="s">
        <v>33</v>
      </c>
      <c r="I507" s="29" t="s">
        <v>25</v>
      </c>
      <c r="J507" s="29" t="s">
        <v>107</v>
      </c>
      <c r="K507" s="29" t="s">
        <v>107</v>
      </c>
      <c r="L507" s="29" t="s">
        <v>107</v>
      </c>
      <c r="M507" s="29">
        <v>1070</v>
      </c>
      <c r="N507" s="29">
        <v>50</v>
      </c>
    </row>
    <row r="508" spans="1:14" x14ac:dyDescent="0.6">
      <c r="E508" s="29" t="s">
        <v>27</v>
      </c>
      <c r="F508" s="29">
        <v>0</v>
      </c>
      <c r="G508" s="29">
        <v>0</v>
      </c>
      <c r="H508" s="29" t="s">
        <v>29</v>
      </c>
    </row>
    <row r="509" spans="1:14" x14ac:dyDescent="0.6">
      <c r="E509" s="29" t="s">
        <v>23</v>
      </c>
      <c r="F509" s="29">
        <v>0</v>
      </c>
      <c r="G509" s="29">
        <v>0</v>
      </c>
      <c r="H509" s="29">
        <v>0</v>
      </c>
    </row>
    <row r="510" spans="1:14" x14ac:dyDescent="0.6">
      <c r="E510" s="29" t="s">
        <v>27</v>
      </c>
      <c r="F510" s="29" t="s">
        <v>30</v>
      </c>
      <c r="G510" s="29" t="s">
        <v>28</v>
      </c>
      <c r="H510" s="29" t="s">
        <v>30</v>
      </c>
    </row>
    <row r="511" spans="1:14" x14ac:dyDescent="0.6">
      <c r="A511" s="29" t="s">
        <v>50</v>
      </c>
      <c r="B511" s="29" t="s">
        <v>117</v>
      </c>
      <c r="C511" s="29">
        <v>40</v>
      </c>
      <c r="D511" s="29">
        <v>65</v>
      </c>
      <c r="E511" s="29" t="s">
        <v>23</v>
      </c>
      <c r="F511" s="29" t="s">
        <v>28</v>
      </c>
      <c r="G511" s="29" t="s">
        <v>24</v>
      </c>
      <c r="H511" s="29" t="s">
        <v>33</v>
      </c>
      <c r="I511" s="29" t="s">
        <v>25</v>
      </c>
      <c r="J511" s="29" t="s">
        <v>107</v>
      </c>
      <c r="K511" s="29" t="s">
        <v>107</v>
      </c>
      <c r="L511" s="29" t="s">
        <v>107</v>
      </c>
      <c r="M511" s="29">
        <v>1070</v>
      </c>
      <c r="N511" s="29">
        <v>50</v>
      </c>
    </row>
    <row r="512" spans="1:14" x14ac:dyDescent="0.6">
      <c r="E512" s="29" t="s">
        <v>27</v>
      </c>
      <c r="F512" s="29">
        <v>0</v>
      </c>
      <c r="G512" s="29">
        <v>0</v>
      </c>
      <c r="H512" s="29" t="s">
        <v>29</v>
      </c>
    </row>
    <row r="513" spans="1:14" x14ac:dyDescent="0.6">
      <c r="E513" s="29" t="s">
        <v>23</v>
      </c>
      <c r="F513" s="29">
        <v>0</v>
      </c>
      <c r="G513" s="29">
        <v>0</v>
      </c>
      <c r="H513" s="29">
        <v>0</v>
      </c>
    </row>
    <row r="514" spans="1:14" x14ac:dyDescent="0.6">
      <c r="E514" s="29" t="s">
        <v>27</v>
      </c>
      <c r="F514" s="29" t="s">
        <v>30</v>
      </c>
      <c r="G514" s="29" t="s">
        <v>28</v>
      </c>
      <c r="H514" s="29" t="s">
        <v>30</v>
      </c>
    </row>
    <row r="515" spans="1:14" x14ac:dyDescent="0.6">
      <c r="A515" s="29" t="s">
        <v>50</v>
      </c>
      <c r="B515" s="29" t="s">
        <v>117</v>
      </c>
      <c r="C515" s="29">
        <v>40</v>
      </c>
      <c r="D515" s="29">
        <v>65</v>
      </c>
      <c r="E515" s="29" t="s">
        <v>23</v>
      </c>
      <c r="F515" s="29" t="s">
        <v>28</v>
      </c>
      <c r="G515" s="29" t="s">
        <v>24</v>
      </c>
      <c r="H515" s="29" t="s">
        <v>33</v>
      </c>
      <c r="I515" s="29" t="s">
        <v>25</v>
      </c>
      <c r="J515" s="29" t="s">
        <v>107</v>
      </c>
      <c r="K515" s="29" t="s">
        <v>107</v>
      </c>
      <c r="L515" s="29" t="s">
        <v>107</v>
      </c>
      <c r="M515" s="29">
        <v>1070</v>
      </c>
      <c r="N515" s="29">
        <v>50</v>
      </c>
    </row>
    <row r="516" spans="1:14" x14ac:dyDescent="0.6">
      <c r="E516" s="29" t="s">
        <v>27</v>
      </c>
      <c r="F516" s="29">
        <v>0</v>
      </c>
      <c r="G516" s="29">
        <v>0</v>
      </c>
      <c r="H516" s="29" t="s">
        <v>29</v>
      </c>
    </row>
    <row r="517" spans="1:14" x14ac:dyDescent="0.6">
      <c r="E517" s="29" t="s">
        <v>23</v>
      </c>
      <c r="F517" s="29">
        <v>0</v>
      </c>
      <c r="G517" s="29">
        <v>0</v>
      </c>
      <c r="H517" s="29">
        <v>0</v>
      </c>
    </row>
    <row r="518" spans="1:14" x14ac:dyDescent="0.6">
      <c r="E518" s="29" t="s">
        <v>27</v>
      </c>
      <c r="F518" s="29" t="s">
        <v>30</v>
      </c>
      <c r="G518" s="29" t="s">
        <v>28</v>
      </c>
      <c r="H518" s="29" t="s">
        <v>30</v>
      </c>
    </row>
    <row r="519" spans="1:14" ht="15.6" customHeight="1" x14ac:dyDescent="0.6">
      <c r="A519" s="29" t="s">
        <v>50</v>
      </c>
      <c r="B519" s="29" t="s">
        <v>134</v>
      </c>
      <c r="C519" s="29">
        <v>40</v>
      </c>
      <c r="D519" s="29">
        <v>65</v>
      </c>
      <c r="E519" s="29" t="s">
        <v>23</v>
      </c>
      <c r="F519" s="29" t="s">
        <v>29</v>
      </c>
      <c r="G519" s="29" t="s">
        <v>24</v>
      </c>
      <c r="H519" s="29" t="s">
        <v>30</v>
      </c>
      <c r="I519" s="29" t="s">
        <v>152</v>
      </c>
      <c r="J519" s="29" t="s">
        <v>107</v>
      </c>
      <c r="K519" s="29" t="s">
        <v>107</v>
      </c>
      <c r="L519" s="29" t="s">
        <v>107</v>
      </c>
      <c r="M519" s="29">
        <v>830</v>
      </c>
      <c r="N519" s="29">
        <v>50</v>
      </c>
    </row>
    <row r="520" spans="1:14" x14ac:dyDescent="0.6">
      <c r="E520" s="29" t="s">
        <v>27</v>
      </c>
      <c r="F520" s="29">
        <v>0</v>
      </c>
      <c r="G520" s="29">
        <v>0</v>
      </c>
      <c r="H520" s="29">
        <v>0</v>
      </c>
    </row>
    <row r="521" spans="1:14" x14ac:dyDescent="0.6">
      <c r="E521" s="29" t="s">
        <v>23</v>
      </c>
      <c r="F521" s="29">
        <v>0</v>
      </c>
      <c r="G521" s="29">
        <v>0</v>
      </c>
      <c r="H521" s="29">
        <v>0</v>
      </c>
    </row>
    <row r="522" spans="1:14" x14ac:dyDescent="0.6">
      <c r="E522" s="29" t="s">
        <v>27</v>
      </c>
      <c r="F522" s="29" t="s">
        <v>31</v>
      </c>
      <c r="G522" s="29" t="s">
        <v>30</v>
      </c>
      <c r="H522" s="29" t="s">
        <v>24</v>
      </c>
    </row>
    <row r="523" spans="1:14" x14ac:dyDescent="0.6">
      <c r="A523" s="29" t="s">
        <v>50</v>
      </c>
      <c r="B523" s="29" t="s">
        <v>153</v>
      </c>
      <c r="C523" s="29">
        <v>40</v>
      </c>
      <c r="D523" s="29">
        <v>65</v>
      </c>
      <c r="E523" s="29" t="s">
        <v>23</v>
      </c>
      <c r="F523" s="29" t="s">
        <v>30</v>
      </c>
      <c r="G523" s="29" t="s">
        <v>24</v>
      </c>
      <c r="H523" s="29" t="s">
        <v>30</v>
      </c>
      <c r="I523" s="29" t="s">
        <v>152</v>
      </c>
      <c r="J523" s="29" t="s">
        <v>107</v>
      </c>
      <c r="K523" s="29" t="s">
        <v>107</v>
      </c>
      <c r="L523" s="29" t="s">
        <v>107</v>
      </c>
      <c r="M523" s="29">
        <v>830</v>
      </c>
      <c r="N523" s="29">
        <v>50</v>
      </c>
    </row>
    <row r="524" spans="1:14" x14ac:dyDescent="0.6">
      <c r="E524" s="29" t="s">
        <v>27</v>
      </c>
      <c r="F524" s="29">
        <v>0</v>
      </c>
      <c r="G524" s="29">
        <v>0</v>
      </c>
      <c r="H524" s="29">
        <v>0</v>
      </c>
    </row>
    <row r="525" spans="1:14" x14ac:dyDescent="0.6">
      <c r="E525" s="29" t="s">
        <v>23</v>
      </c>
      <c r="F525" s="29">
        <v>0</v>
      </c>
      <c r="G525" s="29">
        <v>0</v>
      </c>
      <c r="H525" s="29">
        <v>0</v>
      </c>
    </row>
    <row r="526" spans="1:14" x14ac:dyDescent="0.6">
      <c r="E526" s="29" t="s">
        <v>27</v>
      </c>
      <c r="F526" s="29" t="s">
        <v>24</v>
      </c>
      <c r="G526" s="29" t="s">
        <v>31</v>
      </c>
      <c r="H526" s="29" t="s">
        <v>24</v>
      </c>
    </row>
    <row r="527" spans="1:14" x14ac:dyDescent="0.6">
      <c r="A527" s="29" t="s">
        <v>50</v>
      </c>
      <c r="B527" s="29" t="s">
        <v>154</v>
      </c>
      <c r="C527" s="29">
        <v>40</v>
      </c>
      <c r="D527" s="29">
        <v>65</v>
      </c>
      <c r="E527" s="29" t="s">
        <v>23</v>
      </c>
      <c r="F527" s="29" t="s">
        <v>30</v>
      </c>
      <c r="G527" s="29" t="s">
        <v>24</v>
      </c>
      <c r="H527" s="29" t="s">
        <v>30</v>
      </c>
      <c r="I527" s="29" t="s">
        <v>152</v>
      </c>
      <c r="J527" s="29" t="s">
        <v>107</v>
      </c>
      <c r="K527" s="29" t="s">
        <v>107</v>
      </c>
      <c r="L527" s="29" t="s">
        <v>107</v>
      </c>
      <c r="M527" s="29">
        <v>830</v>
      </c>
      <c r="N527" s="29">
        <v>50</v>
      </c>
    </row>
    <row r="528" spans="1:14" x14ac:dyDescent="0.6">
      <c r="E528" s="29" t="s">
        <v>27</v>
      </c>
      <c r="F528" s="29">
        <v>0</v>
      </c>
      <c r="G528" s="29">
        <v>0</v>
      </c>
      <c r="H528" s="29">
        <v>0</v>
      </c>
    </row>
    <row r="529" spans="1:14" x14ac:dyDescent="0.6">
      <c r="E529" s="29" t="s">
        <v>23</v>
      </c>
      <c r="F529" s="29">
        <v>0</v>
      </c>
      <c r="G529" s="29">
        <v>0</v>
      </c>
      <c r="H529" s="29">
        <v>0</v>
      </c>
    </row>
    <row r="530" spans="1:14" x14ac:dyDescent="0.6">
      <c r="E530" s="29" t="s">
        <v>27</v>
      </c>
      <c r="F530" s="29" t="s">
        <v>24</v>
      </c>
      <c r="G530" s="29" t="s">
        <v>31</v>
      </c>
      <c r="H530" s="29" t="s">
        <v>24</v>
      </c>
    </row>
    <row r="531" spans="1:14" x14ac:dyDescent="0.6">
      <c r="A531" s="29" t="s">
        <v>50</v>
      </c>
      <c r="B531" s="29" t="s">
        <v>155</v>
      </c>
      <c r="C531" s="29">
        <v>40</v>
      </c>
      <c r="D531" s="29">
        <v>65</v>
      </c>
      <c r="E531" s="29" t="s">
        <v>23</v>
      </c>
      <c r="F531" s="29" t="s">
        <v>30</v>
      </c>
      <c r="G531" s="29" t="s">
        <v>24</v>
      </c>
      <c r="H531" s="29" t="s">
        <v>30</v>
      </c>
      <c r="I531" s="29" t="s">
        <v>152</v>
      </c>
      <c r="J531" s="29" t="s">
        <v>107</v>
      </c>
      <c r="K531" s="29" t="s">
        <v>107</v>
      </c>
      <c r="L531" s="29" t="s">
        <v>107</v>
      </c>
      <c r="M531" s="29">
        <v>830</v>
      </c>
      <c r="N531" s="29">
        <v>50</v>
      </c>
    </row>
    <row r="532" spans="1:14" x14ac:dyDescent="0.6">
      <c r="E532" s="29" t="s">
        <v>27</v>
      </c>
      <c r="F532" s="29">
        <v>0</v>
      </c>
      <c r="G532" s="29">
        <v>0</v>
      </c>
      <c r="H532" s="29">
        <v>0</v>
      </c>
    </row>
    <row r="533" spans="1:14" x14ac:dyDescent="0.6">
      <c r="E533" s="29" t="s">
        <v>23</v>
      </c>
      <c r="F533" s="29">
        <v>0</v>
      </c>
      <c r="G533" s="29">
        <v>0</v>
      </c>
      <c r="H533" s="29">
        <v>0</v>
      </c>
    </row>
    <row r="534" spans="1:14" x14ac:dyDescent="0.6">
      <c r="E534" s="29" t="s">
        <v>27</v>
      </c>
      <c r="F534" s="29" t="s">
        <v>24</v>
      </c>
      <c r="G534" s="29" t="s">
        <v>31</v>
      </c>
      <c r="H534" s="29" t="s">
        <v>24</v>
      </c>
    </row>
    <row r="535" spans="1:14" x14ac:dyDescent="0.6">
      <c r="A535" s="29" t="s">
        <v>50</v>
      </c>
      <c r="B535" s="29" t="s">
        <v>156</v>
      </c>
      <c r="C535" s="29">
        <v>40</v>
      </c>
      <c r="D535" s="29">
        <v>65</v>
      </c>
      <c r="E535" s="29" t="s">
        <v>23</v>
      </c>
      <c r="F535" s="29" t="s">
        <v>30</v>
      </c>
      <c r="G535" s="29" t="s">
        <v>24</v>
      </c>
      <c r="H535" s="29" t="s">
        <v>30</v>
      </c>
      <c r="I535" s="29" t="s">
        <v>152</v>
      </c>
      <c r="J535" s="29" t="s">
        <v>107</v>
      </c>
      <c r="K535" s="29" t="s">
        <v>107</v>
      </c>
      <c r="L535" s="29" t="s">
        <v>107</v>
      </c>
      <c r="M535" s="29">
        <v>830</v>
      </c>
      <c r="N535" s="29">
        <v>50</v>
      </c>
    </row>
    <row r="536" spans="1:14" x14ac:dyDescent="0.6">
      <c r="E536" s="29" t="s">
        <v>27</v>
      </c>
      <c r="F536" s="29">
        <v>0</v>
      </c>
      <c r="G536" s="29">
        <v>0</v>
      </c>
      <c r="H536" s="29">
        <v>0</v>
      </c>
    </row>
    <row r="537" spans="1:14" x14ac:dyDescent="0.6">
      <c r="E537" s="29" t="s">
        <v>23</v>
      </c>
      <c r="F537" s="29">
        <v>0</v>
      </c>
      <c r="G537" s="29">
        <v>0</v>
      </c>
      <c r="H537" s="29">
        <v>0</v>
      </c>
    </row>
    <row r="538" spans="1:14" x14ac:dyDescent="0.6">
      <c r="E538" s="29" t="s">
        <v>27</v>
      </c>
      <c r="F538" s="29" t="s">
        <v>24</v>
      </c>
      <c r="G538" s="29" t="s">
        <v>31</v>
      </c>
      <c r="H538" s="29" t="s">
        <v>24</v>
      </c>
    </row>
    <row r="539" spans="1:14" x14ac:dyDescent="0.6">
      <c r="A539" s="29" t="s">
        <v>50</v>
      </c>
      <c r="B539" s="29" t="s">
        <v>157</v>
      </c>
      <c r="C539" s="29">
        <v>40</v>
      </c>
      <c r="D539" s="29">
        <v>65</v>
      </c>
      <c r="E539" s="29" t="s">
        <v>23</v>
      </c>
      <c r="F539" s="29" t="s">
        <v>30</v>
      </c>
      <c r="G539" s="29" t="s">
        <v>24</v>
      </c>
      <c r="H539" s="29" t="s">
        <v>24</v>
      </c>
      <c r="I539" s="29" t="s">
        <v>152</v>
      </c>
      <c r="J539" s="29" t="s">
        <v>107</v>
      </c>
      <c r="K539" s="29" t="s">
        <v>107</v>
      </c>
      <c r="L539" s="29" t="s">
        <v>107</v>
      </c>
      <c r="M539" s="29">
        <v>830</v>
      </c>
      <c r="N539" s="29">
        <v>50</v>
      </c>
    </row>
    <row r="540" spans="1:14" x14ac:dyDescent="0.6">
      <c r="E540" s="29" t="s">
        <v>27</v>
      </c>
      <c r="F540" s="29">
        <v>0</v>
      </c>
      <c r="G540" s="29">
        <v>0</v>
      </c>
      <c r="H540" s="29">
        <v>0</v>
      </c>
    </row>
    <row r="541" spans="1:14" x14ac:dyDescent="0.6">
      <c r="E541" s="29" t="s">
        <v>23</v>
      </c>
      <c r="F541" s="29">
        <v>0</v>
      </c>
      <c r="G541" s="29">
        <v>0</v>
      </c>
      <c r="H541" s="29">
        <v>0</v>
      </c>
    </row>
    <row r="542" spans="1:14" x14ac:dyDescent="0.6">
      <c r="E542" s="29" t="s">
        <v>27</v>
      </c>
      <c r="F542" s="29" t="s">
        <v>24</v>
      </c>
      <c r="G542" s="29" t="s">
        <v>31</v>
      </c>
      <c r="H542" s="29" t="s">
        <v>24</v>
      </c>
    </row>
    <row r="543" spans="1:14" ht="15.6" customHeight="1" x14ac:dyDescent="0.6">
      <c r="A543" s="29" t="s">
        <v>50</v>
      </c>
      <c r="B543" s="29" t="s">
        <v>158</v>
      </c>
      <c r="C543" s="29">
        <v>40</v>
      </c>
      <c r="D543" s="29">
        <v>65</v>
      </c>
      <c r="E543" s="29" t="s">
        <v>23</v>
      </c>
      <c r="F543" s="29" t="s">
        <v>24</v>
      </c>
      <c r="G543" s="29" t="s">
        <v>24</v>
      </c>
      <c r="H543" s="29" t="s">
        <v>29</v>
      </c>
      <c r="I543" s="29" t="s">
        <v>25</v>
      </c>
      <c r="J543" s="29" t="s">
        <v>107</v>
      </c>
      <c r="K543" s="29" t="s">
        <v>107</v>
      </c>
      <c r="L543" s="29" t="s">
        <v>107</v>
      </c>
      <c r="M543" s="29">
        <v>575</v>
      </c>
      <c r="N543" s="29">
        <v>50</v>
      </c>
    </row>
    <row r="544" spans="1:14" x14ac:dyDescent="0.6">
      <c r="E544" s="29" t="s">
        <v>27</v>
      </c>
      <c r="F544" s="29">
        <v>0</v>
      </c>
      <c r="G544" s="29">
        <v>0</v>
      </c>
      <c r="H544" s="29">
        <v>0</v>
      </c>
    </row>
    <row r="545" spans="1:14" x14ac:dyDescent="0.6">
      <c r="E545" s="29" t="s">
        <v>23</v>
      </c>
      <c r="F545" s="29">
        <v>0</v>
      </c>
      <c r="G545" s="29">
        <v>0</v>
      </c>
      <c r="H545" s="29">
        <v>0</v>
      </c>
    </row>
    <row r="546" spans="1:14" x14ac:dyDescent="0.6">
      <c r="E546" s="29" t="s">
        <v>27</v>
      </c>
      <c r="F546" s="29" t="s">
        <v>24</v>
      </c>
      <c r="G546" s="29" t="s">
        <v>31</v>
      </c>
      <c r="H546" s="29" t="s">
        <v>24</v>
      </c>
    </row>
    <row r="547" spans="1:14" x14ac:dyDescent="0.6">
      <c r="A547" s="29" t="s">
        <v>50</v>
      </c>
      <c r="B547" s="29" t="s">
        <v>159</v>
      </c>
      <c r="C547" s="29">
        <v>40</v>
      </c>
      <c r="D547" s="29">
        <v>65</v>
      </c>
      <c r="E547" s="29" t="s">
        <v>23</v>
      </c>
      <c r="F547" s="29" t="s">
        <v>28</v>
      </c>
      <c r="G547" s="29" t="s">
        <v>24</v>
      </c>
      <c r="H547" s="29" t="s">
        <v>28</v>
      </c>
      <c r="I547" s="29" t="s">
        <v>25</v>
      </c>
      <c r="J547" s="29" t="s">
        <v>133</v>
      </c>
      <c r="K547" s="29" t="s">
        <v>133</v>
      </c>
      <c r="L547" s="29" t="s">
        <v>133</v>
      </c>
      <c r="M547" s="29">
        <v>1100</v>
      </c>
      <c r="N547" s="29">
        <v>50</v>
      </c>
    </row>
    <row r="548" spans="1:14" x14ac:dyDescent="0.6">
      <c r="E548" s="29" t="s">
        <v>27</v>
      </c>
      <c r="F548" s="29" t="s">
        <v>29</v>
      </c>
      <c r="G548" s="29">
        <v>0</v>
      </c>
      <c r="H548" s="29" t="s">
        <v>29</v>
      </c>
    </row>
    <row r="549" spans="1:14" x14ac:dyDescent="0.6">
      <c r="E549" s="29" t="s">
        <v>23</v>
      </c>
      <c r="F549" s="29">
        <v>0</v>
      </c>
      <c r="G549" s="29">
        <v>0</v>
      </c>
      <c r="H549" s="29">
        <v>0</v>
      </c>
    </row>
    <row r="550" spans="1:14" x14ac:dyDescent="0.6">
      <c r="E550" s="29" t="s">
        <v>27</v>
      </c>
      <c r="F550" s="29" t="s">
        <v>30</v>
      </c>
      <c r="G550" s="29" t="s">
        <v>28</v>
      </c>
      <c r="H550" s="29" t="s">
        <v>30</v>
      </c>
    </row>
    <row r="551" spans="1:14" x14ac:dyDescent="0.6">
      <c r="A551" s="29" t="s">
        <v>50</v>
      </c>
      <c r="B551" s="29" t="s">
        <v>116</v>
      </c>
      <c r="C551" s="29">
        <v>40</v>
      </c>
      <c r="D551" s="29">
        <v>65</v>
      </c>
      <c r="E551" s="29" t="s">
        <v>23</v>
      </c>
      <c r="F551" s="29" t="s">
        <v>33</v>
      </c>
      <c r="G551" s="29" t="s">
        <v>24</v>
      </c>
      <c r="H551" s="29" t="s">
        <v>28</v>
      </c>
      <c r="I551" s="29" t="s">
        <v>25</v>
      </c>
      <c r="J551" s="29" t="s">
        <v>107</v>
      </c>
      <c r="K551" s="29" t="s">
        <v>107</v>
      </c>
      <c r="L551" s="29" t="s">
        <v>107</v>
      </c>
      <c r="M551" s="29">
        <v>1100</v>
      </c>
      <c r="N551" s="29">
        <v>50</v>
      </c>
    </row>
    <row r="552" spans="1:14" x14ac:dyDescent="0.6">
      <c r="E552" s="29" t="s">
        <v>27</v>
      </c>
      <c r="F552" s="29" t="s">
        <v>29</v>
      </c>
      <c r="G552" s="29">
        <v>0</v>
      </c>
      <c r="H552" s="29" t="s">
        <v>29</v>
      </c>
    </row>
    <row r="553" spans="1:14" x14ac:dyDescent="0.6">
      <c r="E553" s="29" t="s">
        <v>23</v>
      </c>
      <c r="F553" s="29">
        <v>0</v>
      </c>
      <c r="G553" s="29">
        <v>0</v>
      </c>
      <c r="H553" s="29">
        <v>0</v>
      </c>
    </row>
    <row r="554" spans="1:14" x14ac:dyDescent="0.6">
      <c r="E554" s="29" t="s">
        <v>27</v>
      </c>
      <c r="F554" s="29" t="s">
        <v>30</v>
      </c>
      <c r="G554" s="29" t="s">
        <v>28</v>
      </c>
      <c r="H554" s="29" t="s">
        <v>30</v>
      </c>
    </row>
    <row r="555" spans="1:14" x14ac:dyDescent="0.6">
      <c r="A555" s="29" t="s">
        <v>50</v>
      </c>
      <c r="B555" s="29" t="s">
        <v>116</v>
      </c>
      <c r="C555" s="29">
        <v>40</v>
      </c>
      <c r="D555" s="29">
        <v>65</v>
      </c>
      <c r="E555" s="29" t="s">
        <v>23</v>
      </c>
      <c r="F555" s="29" t="s">
        <v>33</v>
      </c>
      <c r="G555" s="29" t="s">
        <v>24</v>
      </c>
      <c r="H555" s="29" t="s">
        <v>28</v>
      </c>
      <c r="I555" s="29" t="s">
        <v>25</v>
      </c>
      <c r="J555" s="29" t="s">
        <v>107</v>
      </c>
      <c r="K555" s="29" t="s">
        <v>107</v>
      </c>
      <c r="L555" s="29" t="s">
        <v>107</v>
      </c>
      <c r="M555" s="29">
        <v>1100</v>
      </c>
      <c r="N555" s="29">
        <v>50</v>
      </c>
    </row>
    <row r="556" spans="1:14" x14ac:dyDescent="0.6">
      <c r="E556" s="29" t="s">
        <v>27</v>
      </c>
      <c r="F556" s="29" t="s">
        <v>29</v>
      </c>
      <c r="G556" s="29">
        <v>0</v>
      </c>
      <c r="H556" s="29" t="s">
        <v>29</v>
      </c>
    </row>
    <row r="557" spans="1:14" x14ac:dyDescent="0.6">
      <c r="E557" s="29" t="s">
        <v>23</v>
      </c>
      <c r="F557" s="29">
        <v>0</v>
      </c>
      <c r="G557" s="29">
        <v>0</v>
      </c>
      <c r="H557" s="29">
        <v>0</v>
      </c>
    </row>
    <row r="558" spans="1:14" x14ac:dyDescent="0.6">
      <c r="E558" s="29" t="s">
        <v>27</v>
      </c>
      <c r="F558" s="29" t="s">
        <v>30</v>
      </c>
      <c r="G558" s="29" t="s">
        <v>28</v>
      </c>
      <c r="H558" s="29" t="s">
        <v>30</v>
      </c>
    </row>
    <row r="559" spans="1:14" x14ac:dyDescent="0.6">
      <c r="A559" s="29" t="s">
        <v>50</v>
      </c>
      <c r="B559" s="29" t="s">
        <v>116</v>
      </c>
      <c r="C559" s="29">
        <v>40</v>
      </c>
      <c r="D559" s="29">
        <v>65</v>
      </c>
      <c r="E559" s="29" t="s">
        <v>23</v>
      </c>
      <c r="F559" s="29" t="s">
        <v>33</v>
      </c>
      <c r="G559" s="29" t="s">
        <v>24</v>
      </c>
      <c r="H559" s="29" t="s">
        <v>28</v>
      </c>
      <c r="I559" s="29" t="s">
        <v>25</v>
      </c>
      <c r="J559" s="29" t="s">
        <v>107</v>
      </c>
      <c r="K559" s="29" t="s">
        <v>107</v>
      </c>
      <c r="L559" s="29" t="s">
        <v>107</v>
      </c>
      <c r="M559" s="29">
        <v>1100</v>
      </c>
      <c r="N559" s="29">
        <v>50</v>
      </c>
    </row>
    <row r="560" spans="1:14" x14ac:dyDescent="0.6">
      <c r="E560" s="29" t="s">
        <v>27</v>
      </c>
      <c r="F560" s="29" t="s">
        <v>29</v>
      </c>
      <c r="G560" s="29">
        <v>0</v>
      </c>
      <c r="H560" s="29" t="s">
        <v>29</v>
      </c>
    </row>
    <row r="561" spans="1:14" x14ac:dyDescent="0.6">
      <c r="E561" s="29" t="s">
        <v>23</v>
      </c>
      <c r="F561" s="29">
        <v>0</v>
      </c>
      <c r="G561" s="29">
        <v>0</v>
      </c>
      <c r="H561" s="29">
        <v>0</v>
      </c>
    </row>
    <row r="562" spans="1:14" x14ac:dyDescent="0.6">
      <c r="E562" s="29" t="s">
        <v>27</v>
      </c>
      <c r="F562" s="29" t="s">
        <v>30</v>
      </c>
      <c r="G562" s="29" t="s">
        <v>28</v>
      </c>
      <c r="H562" s="29" t="s">
        <v>30</v>
      </c>
    </row>
    <row r="563" spans="1:14" ht="15.6" customHeight="1" x14ac:dyDescent="0.6">
      <c r="A563" s="29" t="s">
        <v>50</v>
      </c>
      <c r="B563" s="29" t="s">
        <v>160</v>
      </c>
      <c r="C563" s="29">
        <v>40</v>
      </c>
      <c r="D563" s="29">
        <v>65</v>
      </c>
      <c r="E563" s="29" t="s">
        <v>23</v>
      </c>
      <c r="F563" s="29" t="s">
        <v>29</v>
      </c>
      <c r="G563" s="29" t="s">
        <v>24</v>
      </c>
      <c r="H563" s="29" t="s">
        <v>30</v>
      </c>
      <c r="I563" s="29" t="s">
        <v>25</v>
      </c>
      <c r="J563" s="29" t="s">
        <v>107</v>
      </c>
      <c r="K563" s="29" t="s">
        <v>107</v>
      </c>
      <c r="L563" s="29" t="s">
        <v>107</v>
      </c>
      <c r="M563" s="29">
        <v>830</v>
      </c>
      <c r="N563" s="29">
        <v>50</v>
      </c>
    </row>
    <row r="564" spans="1:14" x14ac:dyDescent="0.6">
      <c r="E564" s="29" t="s">
        <v>27</v>
      </c>
      <c r="F564" s="29">
        <v>0</v>
      </c>
      <c r="G564" s="29">
        <v>0</v>
      </c>
      <c r="H564" s="29">
        <v>0</v>
      </c>
    </row>
    <row r="565" spans="1:14" x14ac:dyDescent="0.6">
      <c r="E565" s="29" t="s">
        <v>23</v>
      </c>
      <c r="F565" s="29">
        <v>0</v>
      </c>
      <c r="G565" s="29">
        <v>0</v>
      </c>
      <c r="H565" s="29">
        <v>0</v>
      </c>
    </row>
    <row r="566" spans="1:14" x14ac:dyDescent="0.6">
      <c r="E566" s="29" t="s">
        <v>27</v>
      </c>
      <c r="F566" s="29" t="s">
        <v>30</v>
      </c>
      <c r="G566" s="29" t="s">
        <v>28</v>
      </c>
      <c r="H566" s="29" t="s">
        <v>31</v>
      </c>
    </row>
    <row r="567" spans="1:14" x14ac:dyDescent="0.6">
      <c r="A567" s="29" t="s">
        <v>50</v>
      </c>
      <c r="B567" s="29" t="s">
        <v>161</v>
      </c>
      <c r="C567" s="29">
        <v>40</v>
      </c>
      <c r="D567" s="29">
        <v>65</v>
      </c>
      <c r="E567" s="29" t="s">
        <v>23</v>
      </c>
      <c r="F567" s="29" t="s">
        <v>30</v>
      </c>
      <c r="G567" s="29" t="s">
        <v>24</v>
      </c>
      <c r="H567" s="29" t="s">
        <v>30</v>
      </c>
      <c r="I567" s="29" t="s">
        <v>25</v>
      </c>
      <c r="J567" s="29" t="s">
        <v>107</v>
      </c>
      <c r="K567" s="29" t="s">
        <v>107</v>
      </c>
      <c r="L567" s="29" t="s">
        <v>107</v>
      </c>
      <c r="M567" s="29">
        <v>830</v>
      </c>
      <c r="N567" s="29">
        <v>50</v>
      </c>
    </row>
    <row r="568" spans="1:14" x14ac:dyDescent="0.6">
      <c r="E568" s="29" t="s">
        <v>27</v>
      </c>
      <c r="F568" s="29">
        <v>0</v>
      </c>
      <c r="G568" s="29">
        <v>0</v>
      </c>
      <c r="H568" s="29">
        <v>0</v>
      </c>
    </row>
    <row r="569" spans="1:14" x14ac:dyDescent="0.6">
      <c r="E569" s="29" t="s">
        <v>23</v>
      </c>
      <c r="F569" s="29">
        <v>0</v>
      </c>
      <c r="G569" s="29">
        <v>0</v>
      </c>
      <c r="H569" s="29">
        <v>0</v>
      </c>
    </row>
    <row r="570" spans="1:14" x14ac:dyDescent="0.6">
      <c r="E570" s="29" t="s">
        <v>27</v>
      </c>
      <c r="F570" s="29" t="s">
        <v>31</v>
      </c>
      <c r="G570" s="29" t="s">
        <v>31</v>
      </c>
      <c r="H570" s="29" t="s">
        <v>24</v>
      </c>
    </row>
    <row r="571" spans="1:14" x14ac:dyDescent="0.6">
      <c r="A571" s="29" t="s">
        <v>50</v>
      </c>
      <c r="B571" s="29" t="s">
        <v>162</v>
      </c>
      <c r="C571" s="29">
        <v>40</v>
      </c>
      <c r="D571" s="29">
        <v>65</v>
      </c>
      <c r="E571" s="29" t="s">
        <v>23</v>
      </c>
      <c r="F571" s="29" t="s">
        <v>30</v>
      </c>
      <c r="G571" s="29" t="s">
        <v>24</v>
      </c>
      <c r="H571" s="29" t="s">
        <v>30</v>
      </c>
      <c r="I571" s="29" t="s">
        <v>25</v>
      </c>
      <c r="J571" s="29" t="s">
        <v>107</v>
      </c>
      <c r="K571" s="29" t="s">
        <v>107</v>
      </c>
      <c r="L571" s="29" t="s">
        <v>107</v>
      </c>
      <c r="M571" s="29">
        <v>830</v>
      </c>
      <c r="N571" s="29">
        <v>50</v>
      </c>
    </row>
    <row r="572" spans="1:14" x14ac:dyDescent="0.6">
      <c r="E572" s="29" t="s">
        <v>27</v>
      </c>
      <c r="F572" s="29">
        <v>0</v>
      </c>
      <c r="G572" s="29">
        <v>0</v>
      </c>
      <c r="H572" s="29">
        <v>0</v>
      </c>
    </row>
    <row r="573" spans="1:14" x14ac:dyDescent="0.6">
      <c r="E573" s="29" t="s">
        <v>23</v>
      </c>
      <c r="F573" s="29">
        <v>0</v>
      </c>
      <c r="G573" s="29">
        <v>0</v>
      </c>
      <c r="H573" s="29">
        <v>0</v>
      </c>
    </row>
    <row r="574" spans="1:14" x14ac:dyDescent="0.6">
      <c r="E574" s="29" t="s">
        <v>27</v>
      </c>
      <c r="F574" s="29" t="s">
        <v>24</v>
      </c>
      <c r="G574" s="29" t="s">
        <v>31</v>
      </c>
      <c r="H574" s="29" t="s">
        <v>24</v>
      </c>
    </row>
    <row r="575" spans="1:14" x14ac:dyDescent="0.6">
      <c r="A575" s="29" t="s">
        <v>50</v>
      </c>
      <c r="B575" s="29" t="s">
        <v>136</v>
      </c>
      <c r="C575" s="29">
        <v>40</v>
      </c>
      <c r="D575" s="29">
        <v>65</v>
      </c>
      <c r="E575" s="29" t="s">
        <v>23</v>
      </c>
      <c r="F575" s="29" t="s">
        <v>30</v>
      </c>
      <c r="G575" s="29" t="s">
        <v>24</v>
      </c>
      <c r="H575" s="29" t="s">
        <v>30</v>
      </c>
      <c r="I575" s="29" t="s">
        <v>25</v>
      </c>
      <c r="J575" s="29" t="s">
        <v>107</v>
      </c>
      <c r="K575" s="29" t="s">
        <v>107</v>
      </c>
      <c r="L575" s="29" t="s">
        <v>107</v>
      </c>
      <c r="M575" s="29">
        <v>830</v>
      </c>
      <c r="N575" s="29">
        <v>50</v>
      </c>
    </row>
    <row r="576" spans="1:14" x14ac:dyDescent="0.6">
      <c r="E576" s="29" t="s">
        <v>27</v>
      </c>
      <c r="F576" s="29">
        <v>0</v>
      </c>
      <c r="G576" s="29">
        <v>0</v>
      </c>
      <c r="H576" s="29">
        <v>0</v>
      </c>
    </row>
    <row r="577" spans="1:14" x14ac:dyDescent="0.6">
      <c r="E577" s="29" t="s">
        <v>23</v>
      </c>
      <c r="F577" s="29">
        <v>0</v>
      </c>
      <c r="G577" s="29">
        <v>0</v>
      </c>
      <c r="H577" s="29">
        <v>0</v>
      </c>
    </row>
    <row r="578" spans="1:14" x14ac:dyDescent="0.6">
      <c r="E578" s="29" t="s">
        <v>27</v>
      </c>
      <c r="F578" s="29" t="s">
        <v>24</v>
      </c>
      <c r="G578" s="29" t="s">
        <v>31</v>
      </c>
      <c r="H578" s="29" t="s">
        <v>24</v>
      </c>
    </row>
    <row r="579" spans="1:14" x14ac:dyDescent="0.6">
      <c r="A579" s="29" t="s">
        <v>50</v>
      </c>
      <c r="B579" s="29" t="s">
        <v>137</v>
      </c>
      <c r="C579" s="29">
        <v>40</v>
      </c>
      <c r="D579" s="29">
        <v>65</v>
      </c>
      <c r="E579" s="29" t="s">
        <v>23</v>
      </c>
      <c r="F579" s="29" t="s">
        <v>30</v>
      </c>
      <c r="G579" s="29" t="s">
        <v>24</v>
      </c>
      <c r="H579" s="29" t="s">
        <v>30</v>
      </c>
      <c r="I579" s="29" t="s">
        <v>25</v>
      </c>
      <c r="J579" s="29" t="s">
        <v>107</v>
      </c>
      <c r="K579" s="29" t="s">
        <v>107</v>
      </c>
      <c r="L579" s="29" t="s">
        <v>107</v>
      </c>
      <c r="M579" s="29">
        <v>830</v>
      </c>
      <c r="N579" s="29">
        <v>50</v>
      </c>
    </row>
    <row r="580" spans="1:14" x14ac:dyDescent="0.6">
      <c r="E580" s="29" t="s">
        <v>27</v>
      </c>
      <c r="F580" s="29">
        <v>0</v>
      </c>
      <c r="G580" s="29">
        <v>0</v>
      </c>
      <c r="H580" s="29">
        <v>0</v>
      </c>
    </row>
    <row r="581" spans="1:14" x14ac:dyDescent="0.6">
      <c r="E581" s="29" t="s">
        <v>23</v>
      </c>
      <c r="F581" s="29">
        <v>0</v>
      </c>
      <c r="G581" s="29">
        <v>0</v>
      </c>
      <c r="H581" s="29">
        <v>0</v>
      </c>
    </row>
    <row r="582" spans="1:14" x14ac:dyDescent="0.6">
      <c r="E582" s="29" t="s">
        <v>27</v>
      </c>
      <c r="F582" s="29" t="s">
        <v>24</v>
      </c>
      <c r="G582" s="29" t="s">
        <v>31</v>
      </c>
      <c r="H582" s="29" t="s">
        <v>24</v>
      </c>
    </row>
    <row r="583" spans="1:14" x14ac:dyDescent="0.6">
      <c r="A583" s="29" t="s">
        <v>50</v>
      </c>
      <c r="B583" s="29" t="s">
        <v>138</v>
      </c>
      <c r="C583" s="29">
        <v>40</v>
      </c>
      <c r="D583" s="29">
        <v>65</v>
      </c>
      <c r="E583" s="29" t="s">
        <v>23</v>
      </c>
      <c r="F583" s="29" t="s">
        <v>30</v>
      </c>
      <c r="G583" s="29" t="s">
        <v>24</v>
      </c>
      <c r="H583" s="29" t="s">
        <v>24</v>
      </c>
      <c r="I583" s="29" t="s">
        <v>25</v>
      </c>
      <c r="J583" s="29" t="s">
        <v>107</v>
      </c>
      <c r="K583" s="29" t="s">
        <v>107</v>
      </c>
      <c r="L583" s="29" t="s">
        <v>107</v>
      </c>
      <c r="M583" s="29">
        <v>830</v>
      </c>
      <c r="N583" s="29">
        <v>50</v>
      </c>
    </row>
    <row r="584" spans="1:14" x14ac:dyDescent="0.6">
      <c r="E584" s="29" t="s">
        <v>27</v>
      </c>
      <c r="F584" s="29">
        <v>0</v>
      </c>
      <c r="G584" s="29">
        <v>0</v>
      </c>
      <c r="H584" s="29">
        <v>0</v>
      </c>
    </row>
    <row r="585" spans="1:14" x14ac:dyDescent="0.6">
      <c r="E585" s="29" t="s">
        <v>23</v>
      </c>
      <c r="F585" s="29">
        <v>0</v>
      </c>
      <c r="G585" s="29">
        <v>0</v>
      </c>
      <c r="H585" s="29">
        <v>0</v>
      </c>
    </row>
    <row r="586" spans="1:14" x14ac:dyDescent="0.6">
      <c r="E586" s="29" t="s">
        <v>27</v>
      </c>
      <c r="F586" s="29" t="s">
        <v>24</v>
      </c>
      <c r="G586" s="29" t="s">
        <v>31</v>
      </c>
      <c r="H586" s="29" t="s">
        <v>24</v>
      </c>
    </row>
    <row r="587" spans="1:14" ht="15.6" customHeight="1" x14ac:dyDescent="0.6">
      <c r="A587" s="29" t="s">
        <v>50</v>
      </c>
      <c r="B587" s="29" t="s">
        <v>163</v>
      </c>
      <c r="C587" s="29">
        <v>40</v>
      </c>
      <c r="D587" s="29">
        <v>65</v>
      </c>
      <c r="E587" s="29" t="s">
        <v>23</v>
      </c>
      <c r="F587" s="29" t="s">
        <v>24</v>
      </c>
      <c r="G587" s="29" t="s">
        <v>24</v>
      </c>
      <c r="H587" s="29" t="s">
        <v>29</v>
      </c>
      <c r="I587" s="29" t="s">
        <v>25</v>
      </c>
      <c r="J587" s="29" t="s">
        <v>107</v>
      </c>
      <c r="K587" s="29" t="s">
        <v>107</v>
      </c>
      <c r="L587" s="29" t="s">
        <v>107</v>
      </c>
      <c r="M587" s="29">
        <v>575</v>
      </c>
      <c r="N587" s="29">
        <v>50</v>
      </c>
    </row>
    <row r="588" spans="1:14" x14ac:dyDescent="0.6">
      <c r="E588" s="29" t="s">
        <v>27</v>
      </c>
      <c r="F588" s="29">
        <v>0</v>
      </c>
      <c r="G588" s="29">
        <v>0</v>
      </c>
      <c r="H588" s="29">
        <v>0</v>
      </c>
    </row>
    <row r="589" spans="1:14" x14ac:dyDescent="0.6">
      <c r="E589" s="29" t="s">
        <v>23</v>
      </c>
      <c r="F589" s="29">
        <v>0</v>
      </c>
      <c r="G589" s="29">
        <v>0</v>
      </c>
      <c r="H589" s="29">
        <v>0</v>
      </c>
    </row>
    <row r="590" spans="1:14" x14ac:dyDescent="0.6">
      <c r="E590" s="29" t="s">
        <v>27</v>
      </c>
      <c r="F590" s="29" t="s">
        <v>24</v>
      </c>
      <c r="G590" s="29" t="s">
        <v>31</v>
      </c>
      <c r="H590" s="29" t="s">
        <v>24</v>
      </c>
    </row>
    <row r="591" spans="1:14" ht="15.6" customHeight="1" x14ac:dyDescent="0.6">
      <c r="A591" s="29" t="s">
        <v>50</v>
      </c>
      <c r="B591" s="29" t="s">
        <v>164</v>
      </c>
      <c r="C591" s="29">
        <v>40</v>
      </c>
      <c r="D591" s="29">
        <v>65</v>
      </c>
      <c r="E591" s="29" t="s">
        <v>23</v>
      </c>
      <c r="F591" s="29" t="s">
        <v>28</v>
      </c>
      <c r="G591" s="29" t="s">
        <v>24</v>
      </c>
      <c r="H591" s="29" t="s">
        <v>29</v>
      </c>
      <c r="I591" s="29" t="s">
        <v>25</v>
      </c>
      <c r="J591" s="29" t="s">
        <v>133</v>
      </c>
      <c r="K591" s="29" t="s">
        <v>133</v>
      </c>
      <c r="L591" s="29" t="s">
        <v>133</v>
      </c>
      <c r="M591" s="29">
        <v>990</v>
      </c>
      <c r="N591" s="29">
        <v>50</v>
      </c>
    </row>
    <row r="592" spans="1:14" x14ac:dyDescent="0.6">
      <c r="E592" s="29" t="s">
        <v>27</v>
      </c>
      <c r="F592" s="29" t="s">
        <v>29</v>
      </c>
      <c r="G592" s="29">
        <v>0</v>
      </c>
      <c r="H592" s="29">
        <v>0</v>
      </c>
    </row>
    <row r="593" spans="1:14" x14ac:dyDescent="0.6">
      <c r="E593" s="29" t="s">
        <v>23</v>
      </c>
      <c r="F593" s="29">
        <v>0</v>
      </c>
      <c r="G593" s="29">
        <v>0</v>
      </c>
      <c r="H593" s="29">
        <v>0</v>
      </c>
    </row>
    <row r="594" spans="1:14" x14ac:dyDescent="0.6">
      <c r="E594" s="29" t="s">
        <v>27</v>
      </c>
      <c r="F594" s="29" t="s">
        <v>30</v>
      </c>
      <c r="G594" s="29" t="s">
        <v>30</v>
      </c>
      <c r="H594" s="29" t="s">
        <v>30</v>
      </c>
    </row>
    <row r="595" spans="1:14" ht="15.6" customHeight="1" x14ac:dyDescent="0.6">
      <c r="A595" s="29" t="s">
        <v>50</v>
      </c>
      <c r="B595" s="29" t="s">
        <v>115</v>
      </c>
      <c r="C595" s="29">
        <v>40</v>
      </c>
      <c r="D595" s="29">
        <v>65</v>
      </c>
      <c r="E595" s="29" t="s">
        <v>23</v>
      </c>
      <c r="F595" s="29" t="s">
        <v>28</v>
      </c>
      <c r="G595" s="29" t="s">
        <v>24</v>
      </c>
      <c r="H595" s="29" t="s">
        <v>29</v>
      </c>
      <c r="I595" s="29" t="s">
        <v>25</v>
      </c>
      <c r="J595" s="29" t="s">
        <v>107</v>
      </c>
      <c r="K595" s="29" t="s">
        <v>107</v>
      </c>
      <c r="L595" s="29" t="s">
        <v>107</v>
      </c>
      <c r="M595" s="29">
        <v>990</v>
      </c>
      <c r="N595" s="29">
        <v>50</v>
      </c>
    </row>
    <row r="596" spans="1:14" x14ac:dyDescent="0.6">
      <c r="E596" s="29" t="s">
        <v>27</v>
      </c>
      <c r="F596" s="29" t="s">
        <v>29</v>
      </c>
      <c r="G596" s="29">
        <v>0</v>
      </c>
      <c r="H596" s="29">
        <v>0</v>
      </c>
    </row>
    <row r="597" spans="1:14" x14ac:dyDescent="0.6">
      <c r="E597" s="29" t="s">
        <v>23</v>
      </c>
      <c r="F597" s="29">
        <v>0</v>
      </c>
      <c r="G597" s="29">
        <v>0</v>
      </c>
      <c r="H597" s="29">
        <v>0</v>
      </c>
    </row>
    <row r="598" spans="1:14" x14ac:dyDescent="0.6">
      <c r="E598" s="29" t="s">
        <v>27</v>
      </c>
      <c r="F598" s="29" t="s">
        <v>30</v>
      </c>
      <c r="G598" s="29" t="s">
        <v>30</v>
      </c>
      <c r="H598" s="29" t="s">
        <v>30</v>
      </c>
    </row>
    <row r="599" spans="1:14" ht="15.6" customHeight="1" x14ac:dyDescent="0.6">
      <c r="A599" s="29" t="s">
        <v>50</v>
      </c>
      <c r="B599" s="29" t="s">
        <v>124</v>
      </c>
      <c r="C599" s="29">
        <v>40</v>
      </c>
      <c r="D599" s="29">
        <v>65</v>
      </c>
      <c r="E599" s="29" t="s">
        <v>23</v>
      </c>
      <c r="F599" s="29" t="s">
        <v>28</v>
      </c>
      <c r="G599" s="29" t="s">
        <v>24</v>
      </c>
      <c r="H599" s="29" t="s">
        <v>29</v>
      </c>
      <c r="I599" s="29" t="s">
        <v>25</v>
      </c>
      <c r="J599" s="29" t="s">
        <v>107</v>
      </c>
      <c r="K599" s="29" t="s">
        <v>107</v>
      </c>
      <c r="L599" s="29" t="s">
        <v>107</v>
      </c>
      <c r="M599" s="29">
        <v>990</v>
      </c>
      <c r="N599" s="29">
        <v>50</v>
      </c>
    </row>
    <row r="600" spans="1:14" x14ac:dyDescent="0.6">
      <c r="E600" s="29" t="s">
        <v>27</v>
      </c>
      <c r="F600" s="29" t="s">
        <v>29</v>
      </c>
      <c r="G600" s="29">
        <v>0</v>
      </c>
      <c r="H600" s="29">
        <v>0</v>
      </c>
    </row>
    <row r="601" spans="1:14" x14ac:dyDescent="0.6">
      <c r="E601" s="29" t="s">
        <v>23</v>
      </c>
      <c r="F601" s="29">
        <v>0</v>
      </c>
      <c r="G601" s="29">
        <v>0</v>
      </c>
      <c r="H601" s="29">
        <v>0</v>
      </c>
    </row>
    <row r="602" spans="1:14" x14ac:dyDescent="0.6">
      <c r="E602" s="29" t="s">
        <v>27</v>
      </c>
      <c r="F602" s="29" t="s">
        <v>24</v>
      </c>
      <c r="G602" s="29" t="s">
        <v>30</v>
      </c>
      <c r="H602" s="29" t="s">
        <v>30</v>
      </c>
    </row>
    <row r="603" spans="1:14" ht="15.6" customHeight="1" x14ac:dyDescent="0.6">
      <c r="A603" s="29" t="s">
        <v>50</v>
      </c>
      <c r="B603" s="29" t="s">
        <v>115</v>
      </c>
      <c r="C603" s="29">
        <v>40</v>
      </c>
      <c r="D603" s="29">
        <v>65</v>
      </c>
      <c r="E603" s="29" t="s">
        <v>23</v>
      </c>
      <c r="F603" s="29" t="s">
        <v>28</v>
      </c>
      <c r="G603" s="29" t="s">
        <v>24</v>
      </c>
      <c r="H603" s="29" t="s">
        <v>29</v>
      </c>
      <c r="I603" s="29" t="s">
        <v>25</v>
      </c>
      <c r="J603" s="29" t="s">
        <v>107</v>
      </c>
      <c r="K603" s="29" t="s">
        <v>107</v>
      </c>
      <c r="L603" s="29" t="s">
        <v>107</v>
      </c>
      <c r="M603" s="29">
        <v>990</v>
      </c>
      <c r="N603" s="29">
        <v>50</v>
      </c>
    </row>
    <row r="604" spans="1:14" x14ac:dyDescent="0.6">
      <c r="E604" s="29" t="s">
        <v>27</v>
      </c>
      <c r="F604" s="29" t="s">
        <v>29</v>
      </c>
      <c r="G604" s="29">
        <v>0</v>
      </c>
      <c r="H604" s="29">
        <v>0</v>
      </c>
    </row>
    <row r="605" spans="1:14" x14ac:dyDescent="0.6">
      <c r="E605" s="29" t="s">
        <v>23</v>
      </c>
      <c r="F605" s="29">
        <v>0</v>
      </c>
      <c r="G605" s="29">
        <v>0</v>
      </c>
      <c r="H605" s="29">
        <v>0</v>
      </c>
    </row>
    <row r="606" spans="1:14" x14ac:dyDescent="0.6">
      <c r="E606" s="29" t="s">
        <v>27</v>
      </c>
      <c r="F606" s="29" t="s">
        <v>30</v>
      </c>
      <c r="G606" s="29" t="s">
        <v>30</v>
      </c>
      <c r="H606" s="29" t="s">
        <v>30</v>
      </c>
    </row>
    <row r="607" spans="1:14" ht="15.6" customHeight="1" x14ac:dyDescent="0.6">
      <c r="A607" s="29" t="s">
        <v>50</v>
      </c>
      <c r="B607" s="29" t="s">
        <v>115</v>
      </c>
      <c r="C607" s="29">
        <v>40</v>
      </c>
      <c r="D607" s="29">
        <v>65</v>
      </c>
      <c r="E607" s="29" t="s">
        <v>23</v>
      </c>
      <c r="F607" s="29" t="s">
        <v>28</v>
      </c>
      <c r="G607" s="29" t="s">
        <v>24</v>
      </c>
      <c r="H607" s="29" t="s">
        <v>29</v>
      </c>
      <c r="I607" s="29" t="s">
        <v>25</v>
      </c>
      <c r="J607" s="29" t="s">
        <v>107</v>
      </c>
      <c r="K607" s="29" t="s">
        <v>107</v>
      </c>
      <c r="L607" s="29" t="s">
        <v>107</v>
      </c>
      <c r="M607" s="29">
        <v>990</v>
      </c>
      <c r="N607" s="29">
        <v>50</v>
      </c>
    </row>
    <row r="608" spans="1:14" x14ac:dyDescent="0.6">
      <c r="E608" s="29" t="s">
        <v>27</v>
      </c>
      <c r="F608" s="29" t="s">
        <v>29</v>
      </c>
      <c r="G608" s="29">
        <v>0</v>
      </c>
      <c r="H608" s="29">
        <v>0</v>
      </c>
    </row>
    <row r="609" spans="1:14" x14ac:dyDescent="0.6">
      <c r="E609" s="29" t="s">
        <v>23</v>
      </c>
      <c r="F609" s="29">
        <v>0</v>
      </c>
      <c r="G609" s="29">
        <v>0</v>
      </c>
      <c r="H609" s="29">
        <v>0</v>
      </c>
    </row>
    <row r="610" spans="1:14" x14ac:dyDescent="0.6">
      <c r="E610" s="29" t="s">
        <v>27</v>
      </c>
      <c r="F610" s="29" t="s">
        <v>30</v>
      </c>
      <c r="G610" s="29" t="s">
        <v>30</v>
      </c>
      <c r="H610" s="29" t="s">
        <v>30</v>
      </c>
    </row>
    <row r="611" spans="1:14" x14ac:dyDescent="0.6">
      <c r="A611" s="29" t="s">
        <v>50</v>
      </c>
      <c r="B611" s="29" t="s">
        <v>165</v>
      </c>
      <c r="C611" s="29">
        <v>40</v>
      </c>
      <c r="D611" s="29">
        <v>65</v>
      </c>
      <c r="E611" s="29" t="s">
        <v>23</v>
      </c>
      <c r="F611" s="29" t="s">
        <v>24</v>
      </c>
      <c r="G611" s="29" t="s">
        <v>24</v>
      </c>
      <c r="H611" s="29" t="s">
        <v>28</v>
      </c>
      <c r="I611" s="29" t="s">
        <v>25</v>
      </c>
      <c r="J611" s="29" t="s">
        <v>107</v>
      </c>
      <c r="K611" s="29" t="s">
        <v>107</v>
      </c>
      <c r="L611" s="29" t="s">
        <v>107</v>
      </c>
      <c r="M611" s="29">
        <v>830</v>
      </c>
      <c r="N611" s="29">
        <v>50</v>
      </c>
    </row>
    <row r="612" spans="1:14" x14ac:dyDescent="0.6">
      <c r="E612" s="29" t="s">
        <v>27</v>
      </c>
      <c r="F612" s="29">
        <v>0</v>
      </c>
      <c r="G612" s="29">
        <v>0</v>
      </c>
      <c r="H612" s="29">
        <v>0</v>
      </c>
    </row>
    <row r="613" spans="1:14" x14ac:dyDescent="0.6">
      <c r="E613" s="29" t="s">
        <v>23</v>
      </c>
      <c r="F613" s="29">
        <v>0</v>
      </c>
      <c r="G613" s="29">
        <v>0</v>
      </c>
      <c r="H613" s="29">
        <v>0</v>
      </c>
    </row>
    <row r="614" spans="1:14" x14ac:dyDescent="0.6">
      <c r="E614" s="29" t="s">
        <v>27</v>
      </c>
      <c r="F614" s="29" t="s">
        <v>31</v>
      </c>
      <c r="G614" s="29" t="s">
        <v>30</v>
      </c>
      <c r="H614" s="29" t="s">
        <v>24</v>
      </c>
    </row>
    <row r="615" spans="1:14" x14ac:dyDescent="0.6">
      <c r="A615" s="29" t="s">
        <v>50</v>
      </c>
      <c r="B615" s="29" t="s">
        <v>166</v>
      </c>
      <c r="C615" s="29">
        <v>40</v>
      </c>
      <c r="D615" s="29">
        <v>65</v>
      </c>
      <c r="E615" s="29" t="s">
        <v>23</v>
      </c>
      <c r="F615" s="29" t="s">
        <v>28</v>
      </c>
      <c r="G615" s="29" t="s">
        <v>24</v>
      </c>
      <c r="H615" s="29" t="s">
        <v>30</v>
      </c>
      <c r="I615" s="29" t="s">
        <v>25</v>
      </c>
      <c r="J615" s="29" t="s">
        <v>107</v>
      </c>
      <c r="K615" s="29" t="s">
        <v>107</v>
      </c>
      <c r="L615" s="29" t="s">
        <v>107</v>
      </c>
      <c r="M615" s="29">
        <v>830</v>
      </c>
      <c r="N615" s="29">
        <v>50</v>
      </c>
    </row>
    <row r="616" spans="1:14" x14ac:dyDescent="0.6">
      <c r="E616" s="29" t="s">
        <v>27</v>
      </c>
      <c r="F616" s="29">
        <v>0</v>
      </c>
      <c r="G616" s="29">
        <v>0</v>
      </c>
      <c r="H616" s="29">
        <v>0</v>
      </c>
    </row>
    <row r="617" spans="1:14" x14ac:dyDescent="0.6">
      <c r="E617" s="29" t="s">
        <v>23</v>
      </c>
      <c r="F617" s="29">
        <v>0</v>
      </c>
      <c r="G617" s="29">
        <v>0</v>
      </c>
      <c r="H617" s="29">
        <v>0</v>
      </c>
    </row>
    <row r="618" spans="1:14" x14ac:dyDescent="0.6">
      <c r="E618" s="29" t="s">
        <v>27</v>
      </c>
      <c r="F618" s="29" t="s">
        <v>24</v>
      </c>
      <c r="G618" s="29" t="s">
        <v>31</v>
      </c>
      <c r="H618" s="29" t="s">
        <v>24</v>
      </c>
    </row>
    <row r="619" spans="1:14" x14ac:dyDescent="0.6">
      <c r="A619" s="29" t="s">
        <v>50</v>
      </c>
      <c r="B619" s="29" t="s">
        <v>167</v>
      </c>
      <c r="C619" s="29">
        <v>40</v>
      </c>
      <c r="D619" s="29">
        <v>65</v>
      </c>
      <c r="E619" s="29" t="s">
        <v>23</v>
      </c>
      <c r="F619" s="29" t="s">
        <v>30</v>
      </c>
      <c r="G619" s="29" t="s">
        <v>24</v>
      </c>
      <c r="H619" s="29" t="s">
        <v>30</v>
      </c>
      <c r="I619" s="29" t="s">
        <v>25</v>
      </c>
      <c r="J619" s="29" t="s">
        <v>107</v>
      </c>
      <c r="K619" s="29" t="s">
        <v>107</v>
      </c>
      <c r="L619" s="29" t="s">
        <v>107</v>
      </c>
      <c r="M619" s="29">
        <v>830</v>
      </c>
      <c r="N619" s="29">
        <v>50</v>
      </c>
    </row>
    <row r="620" spans="1:14" x14ac:dyDescent="0.6">
      <c r="E620" s="29" t="s">
        <v>27</v>
      </c>
      <c r="F620" s="29">
        <v>0</v>
      </c>
      <c r="G620" s="29">
        <v>0</v>
      </c>
      <c r="H620" s="29">
        <v>0</v>
      </c>
    </row>
    <row r="621" spans="1:14" x14ac:dyDescent="0.6">
      <c r="E621" s="29" t="s">
        <v>23</v>
      </c>
      <c r="F621" s="29">
        <v>0</v>
      </c>
      <c r="G621" s="29">
        <v>0</v>
      </c>
      <c r="H621" s="29">
        <v>0</v>
      </c>
    </row>
    <row r="622" spans="1:14" x14ac:dyDescent="0.6">
      <c r="E622" s="29" t="s">
        <v>27</v>
      </c>
      <c r="F622" s="29" t="s">
        <v>24</v>
      </c>
      <c r="G622" s="29" t="s">
        <v>30</v>
      </c>
      <c r="H622" s="29" t="s">
        <v>24</v>
      </c>
    </row>
    <row r="623" spans="1:14" x14ac:dyDescent="0.6">
      <c r="A623" s="29" t="s">
        <v>50</v>
      </c>
      <c r="B623" s="29" t="s">
        <v>168</v>
      </c>
      <c r="C623" s="29">
        <v>40</v>
      </c>
      <c r="D623" s="29">
        <v>65</v>
      </c>
      <c r="E623" s="29" t="s">
        <v>23</v>
      </c>
      <c r="F623" s="29" t="s">
        <v>30</v>
      </c>
      <c r="G623" s="29" t="s">
        <v>24</v>
      </c>
      <c r="H623" s="29" t="s">
        <v>28</v>
      </c>
      <c r="I623" s="29" t="s">
        <v>25</v>
      </c>
      <c r="J623" s="29" t="s">
        <v>107</v>
      </c>
      <c r="K623" s="29" t="s">
        <v>107</v>
      </c>
      <c r="L623" s="29" t="s">
        <v>107</v>
      </c>
      <c r="M623" s="29">
        <v>830</v>
      </c>
      <c r="N623" s="29">
        <v>50</v>
      </c>
    </row>
    <row r="624" spans="1:14" x14ac:dyDescent="0.6">
      <c r="E624" s="29" t="s">
        <v>27</v>
      </c>
      <c r="F624" s="29">
        <v>0</v>
      </c>
      <c r="G624" s="29">
        <v>0</v>
      </c>
      <c r="H624" s="29">
        <v>0</v>
      </c>
    </row>
    <row r="625" spans="1:14" x14ac:dyDescent="0.6">
      <c r="E625" s="29" t="s">
        <v>23</v>
      </c>
      <c r="F625" s="29">
        <v>0</v>
      </c>
      <c r="G625" s="29">
        <v>0</v>
      </c>
      <c r="H625" s="29">
        <v>0</v>
      </c>
    </row>
    <row r="626" spans="1:14" x14ac:dyDescent="0.6">
      <c r="E626" s="29" t="s">
        <v>27</v>
      </c>
      <c r="F626" s="29" t="s">
        <v>24</v>
      </c>
      <c r="G626" s="29" t="s">
        <v>31</v>
      </c>
      <c r="H626" s="29" t="s">
        <v>24</v>
      </c>
    </row>
    <row r="627" spans="1:14" x14ac:dyDescent="0.6">
      <c r="A627" s="29" t="s">
        <v>50</v>
      </c>
      <c r="B627" s="29" t="s">
        <v>169</v>
      </c>
      <c r="C627" s="29">
        <v>40</v>
      </c>
      <c r="D627" s="29">
        <v>65</v>
      </c>
      <c r="E627" s="29" t="s">
        <v>23</v>
      </c>
      <c r="F627" s="29" t="s">
        <v>28</v>
      </c>
      <c r="G627" s="29" t="s">
        <v>24</v>
      </c>
      <c r="H627" s="29" t="s">
        <v>31</v>
      </c>
      <c r="I627" s="29" t="s">
        <v>25</v>
      </c>
      <c r="J627" s="29" t="s">
        <v>107</v>
      </c>
      <c r="K627" s="29" t="s">
        <v>107</v>
      </c>
      <c r="L627" s="29" t="s">
        <v>107</v>
      </c>
      <c r="M627" s="29">
        <v>830</v>
      </c>
      <c r="N627" s="29">
        <v>50</v>
      </c>
    </row>
    <row r="628" spans="1:14" x14ac:dyDescent="0.6">
      <c r="E628" s="29" t="s">
        <v>27</v>
      </c>
      <c r="F628" s="29">
        <v>0</v>
      </c>
      <c r="G628" s="29">
        <v>0</v>
      </c>
      <c r="H628" s="29">
        <v>0</v>
      </c>
    </row>
    <row r="629" spans="1:14" x14ac:dyDescent="0.6">
      <c r="E629" s="29" t="s">
        <v>23</v>
      </c>
      <c r="F629" s="29">
        <v>0</v>
      </c>
      <c r="G629" s="29">
        <v>0</v>
      </c>
      <c r="H629" s="29">
        <v>0</v>
      </c>
    </row>
    <row r="630" spans="1:14" x14ac:dyDescent="0.6">
      <c r="E630" s="29" t="s">
        <v>27</v>
      </c>
      <c r="F630" s="29" t="s">
        <v>24</v>
      </c>
      <c r="G630" s="29" t="s">
        <v>31</v>
      </c>
      <c r="H630" s="29" t="s">
        <v>24</v>
      </c>
    </row>
    <row r="631" spans="1:14" ht="15.6" customHeight="1" x14ac:dyDescent="0.6">
      <c r="A631" s="29" t="s">
        <v>50</v>
      </c>
      <c r="B631" s="29" t="s">
        <v>170</v>
      </c>
      <c r="C631" s="29">
        <v>40</v>
      </c>
      <c r="D631" s="29">
        <v>65</v>
      </c>
      <c r="E631" s="29" t="s">
        <v>23</v>
      </c>
      <c r="F631" s="29" t="s">
        <v>31</v>
      </c>
      <c r="G631" s="29" t="s">
        <v>24</v>
      </c>
      <c r="H631" s="29" t="s">
        <v>29</v>
      </c>
      <c r="I631" s="29" t="s">
        <v>25</v>
      </c>
      <c r="J631" s="29" t="s">
        <v>107</v>
      </c>
      <c r="K631" s="29" t="s">
        <v>107</v>
      </c>
      <c r="L631" s="29" t="s">
        <v>107</v>
      </c>
      <c r="M631" s="29">
        <v>575</v>
      </c>
      <c r="N631" s="29">
        <v>50</v>
      </c>
    </row>
    <row r="632" spans="1:14" x14ac:dyDescent="0.6">
      <c r="E632" s="29" t="s">
        <v>27</v>
      </c>
      <c r="F632" s="29">
        <v>0</v>
      </c>
      <c r="G632" s="29">
        <v>0</v>
      </c>
      <c r="H632" s="29">
        <v>0</v>
      </c>
    </row>
    <row r="633" spans="1:14" x14ac:dyDescent="0.6">
      <c r="E633" s="29" t="s">
        <v>23</v>
      </c>
      <c r="F633" s="29">
        <v>0</v>
      </c>
      <c r="G633" s="29">
        <v>0</v>
      </c>
      <c r="H633" s="29">
        <v>0</v>
      </c>
    </row>
    <row r="634" spans="1:14" x14ac:dyDescent="0.6">
      <c r="E634" s="29" t="s">
        <v>27</v>
      </c>
      <c r="F634" s="29" t="s">
        <v>24</v>
      </c>
      <c r="G634" s="29" t="s">
        <v>24</v>
      </c>
      <c r="H634" s="29" t="s">
        <v>24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C2:X633"/>
  <sheetViews>
    <sheetView topLeftCell="C1" workbookViewId="0">
      <selection activeCell="E2" sqref="E2"/>
    </sheetView>
  </sheetViews>
  <sheetFormatPr defaultColWidth="8.83984375" defaultRowHeight="15.6" x14ac:dyDescent="0.6"/>
  <cols>
    <col min="1" max="16384" width="8.83984375" style="8"/>
  </cols>
  <sheetData>
    <row r="2" spans="3:24" ht="16.5" x14ac:dyDescent="0.6">
      <c r="D2" s="49" t="s">
        <v>185</v>
      </c>
      <c r="N2" s="49" t="s">
        <v>186</v>
      </c>
      <c r="X2" s="49" t="s">
        <v>187</v>
      </c>
    </row>
    <row r="3" spans="3:24" x14ac:dyDescent="0.6">
      <c r="C3" s="8" t="s">
        <v>53</v>
      </c>
      <c r="D3" s="8">
        <v>2</v>
      </c>
      <c r="E3" s="8">
        <v>2</v>
      </c>
      <c r="F3" s="8">
        <v>2</v>
      </c>
      <c r="G3" s="8">
        <v>2</v>
      </c>
      <c r="H3" s="8">
        <v>2</v>
      </c>
      <c r="I3" s="8">
        <v>2</v>
      </c>
      <c r="J3" s="8">
        <v>2</v>
      </c>
      <c r="K3" s="8">
        <v>2</v>
      </c>
      <c r="L3" s="8">
        <v>2</v>
      </c>
      <c r="M3" s="8">
        <v>2</v>
      </c>
      <c r="N3" s="8">
        <v>2</v>
      </c>
      <c r="O3" s="8">
        <v>2</v>
      </c>
      <c r="P3" s="8">
        <v>2</v>
      </c>
      <c r="Q3" s="8">
        <v>2</v>
      </c>
      <c r="R3" s="8">
        <v>2</v>
      </c>
      <c r="S3" s="8">
        <v>2</v>
      </c>
      <c r="T3" s="8">
        <v>2</v>
      </c>
      <c r="U3" s="8">
        <v>2</v>
      </c>
      <c r="V3" s="8">
        <v>2</v>
      </c>
      <c r="W3" s="8">
        <v>2</v>
      </c>
      <c r="X3" s="8">
        <v>2</v>
      </c>
    </row>
    <row r="5" spans="3:24" x14ac:dyDescent="0.6">
      <c r="C5" s="8" t="s">
        <v>54</v>
      </c>
      <c r="D5" s="8">
        <v>12</v>
      </c>
      <c r="E5" s="8">
        <v>11</v>
      </c>
      <c r="F5" s="8">
        <v>10</v>
      </c>
      <c r="G5" s="8">
        <v>9</v>
      </c>
      <c r="H5" s="8">
        <v>9</v>
      </c>
      <c r="I5" s="8">
        <v>11</v>
      </c>
      <c r="J5" s="8">
        <v>12</v>
      </c>
      <c r="K5" s="8">
        <v>13</v>
      </c>
      <c r="L5" s="8">
        <v>14</v>
      </c>
      <c r="M5" s="8">
        <v>14</v>
      </c>
      <c r="N5" s="8">
        <v>14</v>
      </c>
      <c r="O5" s="8">
        <v>14</v>
      </c>
      <c r="P5" s="8">
        <v>14</v>
      </c>
      <c r="Q5" s="8">
        <v>13</v>
      </c>
      <c r="R5" s="8">
        <v>12</v>
      </c>
      <c r="S5" s="8">
        <v>11</v>
      </c>
      <c r="T5" s="8">
        <v>9</v>
      </c>
      <c r="U5" s="8">
        <v>9</v>
      </c>
      <c r="V5" s="8">
        <v>10</v>
      </c>
      <c r="W5" s="8">
        <v>11</v>
      </c>
      <c r="X5" s="8">
        <v>12</v>
      </c>
    </row>
    <row r="7" spans="3:24" x14ac:dyDescent="0.6">
      <c r="C7" s="8" t="s">
        <v>53</v>
      </c>
      <c r="D7" s="8">
        <v>4</v>
      </c>
      <c r="E7" s="8">
        <v>4</v>
      </c>
      <c r="F7" s="8">
        <v>4</v>
      </c>
      <c r="G7" s="8">
        <v>3</v>
      </c>
      <c r="H7" s="8">
        <v>3</v>
      </c>
      <c r="I7" s="8">
        <v>3</v>
      </c>
      <c r="J7" s="8">
        <v>2</v>
      </c>
      <c r="K7" s="8">
        <v>2</v>
      </c>
      <c r="L7" s="8">
        <v>2</v>
      </c>
      <c r="M7" s="8">
        <v>2</v>
      </c>
      <c r="N7" s="8">
        <v>2</v>
      </c>
      <c r="O7" s="8">
        <v>2</v>
      </c>
      <c r="P7" s="8">
        <v>2</v>
      </c>
      <c r="Q7" s="8">
        <v>2</v>
      </c>
      <c r="R7" s="8">
        <v>2</v>
      </c>
      <c r="S7" s="8">
        <v>2</v>
      </c>
      <c r="T7" s="8">
        <v>2</v>
      </c>
      <c r="U7" s="8">
        <v>2</v>
      </c>
      <c r="V7" s="8">
        <v>2</v>
      </c>
      <c r="W7" s="8">
        <v>2</v>
      </c>
      <c r="X7" s="8">
        <v>2</v>
      </c>
    </row>
    <row r="9" spans="3:24" x14ac:dyDescent="0.6">
      <c r="C9" s="8" t="s">
        <v>54</v>
      </c>
      <c r="D9" s="8">
        <v>3</v>
      </c>
      <c r="E9" s="8">
        <v>3</v>
      </c>
      <c r="F9" s="8">
        <v>3</v>
      </c>
      <c r="G9" s="8">
        <v>3</v>
      </c>
      <c r="H9" s="8">
        <v>3</v>
      </c>
      <c r="I9" s="8">
        <v>3</v>
      </c>
      <c r="J9" s="8">
        <v>4</v>
      </c>
      <c r="K9" s="8">
        <v>4</v>
      </c>
      <c r="L9" s="8">
        <v>4</v>
      </c>
      <c r="M9" s="8">
        <v>4</v>
      </c>
      <c r="N9" s="8">
        <v>4</v>
      </c>
      <c r="O9" s="8">
        <v>4</v>
      </c>
      <c r="P9" s="8">
        <v>4</v>
      </c>
      <c r="Q9" s="8">
        <v>4</v>
      </c>
      <c r="R9" s="8">
        <v>4</v>
      </c>
      <c r="S9" s="8">
        <v>3</v>
      </c>
      <c r="T9" s="8">
        <v>3</v>
      </c>
      <c r="U9" s="8">
        <v>3</v>
      </c>
      <c r="V9" s="8">
        <v>4</v>
      </c>
      <c r="W9" s="8">
        <v>4</v>
      </c>
      <c r="X9" s="8">
        <v>4</v>
      </c>
    </row>
    <row r="11" spans="3:24" x14ac:dyDescent="0.6">
      <c r="C11" s="8" t="s">
        <v>53</v>
      </c>
      <c r="D11" s="8">
        <v>4</v>
      </c>
      <c r="E11" s="8">
        <v>4</v>
      </c>
      <c r="F11" s="8">
        <v>4</v>
      </c>
      <c r="G11" s="8">
        <v>3</v>
      </c>
      <c r="H11" s="8">
        <v>3</v>
      </c>
      <c r="I11" s="8">
        <v>3</v>
      </c>
      <c r="J11" s="8">
        <v>2</v>
      </c>
      <c r="K11" s="8">
        <v>2</v>
      </c>
      <c r="L11" s="8">
        <v>2</v>
      </c>
      <c r="M11" s="8">
        <v>2</v>
      </c>
      <c r="N11" s="8">
        <v>2</v>
      </c>
      <c r="O11" s="8">
        <v>2</v>
      </c>
      <c r="P11" s="8">
        <v>2</v>
      </c>
      <c r="Q11" s="8">
        <v>2</v>
      </c>
      <c r="R11" s="8">
        <v>2</v>
      </c>
      <c r="S11" s="8">
        <v>2</v>
      </c>
      <c r="T11" s="8">
        <v>2</v>
      </c>
      <c r="U11" s="8">
        <v>2</v>
      </c>
      <c r="V11" s="8">
        <v>2</v>
      </c>
      <c r="W11" s="8">
        <v>2</v>
      </c>
      <c r="X11" s="8">
        <v>2</v>
      </c>
    </row>
    <row r="13" spans="3:24" x14ac:dyDescent="0.6">
      <c r="C13" s="8" t="s">
        <v>54</v>
      </c>
      <c r="D13" s="8">
        <v>3</v>
      </c>
      <c r="E13" s="8">
        <v>3</v>
      </c>
      <c r="F13" s="8">
        <v>3</v>
      </c>
      <c r="G13" s="8">
        <v>3</v>
      </c>
      <c r="H13" s="8">
        <v>3</v>
      </c>
      <c r="I13" s="8">
        <v>3</v>
      </c>
      <c r="J13" s="8">
        <v>4</v>
      </c>
      <c r="K13" s="8">
        <v>4</v>
      </c>
      <c r="L13" s="8">
        <v>4</v>
      </c>
      <c r="M13" s="8">
        <v>4</v>
      </c>
      <c r="N13" s="8">
        <v>4</v>
      </c>
      <c r="O13" s="8">
        <v>4</v>
      </c>
      <c r="P13" s="8">
        <v>4</v>
      </c>
      <c r="Q13" s="8">
        <v>4</v>
      </c>
      <c r="R13" s="8">
        <v>4</v>
      </c>
      <c r="S13" s="8">
        <v>3</v>
      </c>
      <c r="T13" s="8">
        <v>3</v>
      </c>
      <c r="U13" s="8">
        <v>3</v>
      </c>
      <c r="V13" s="8">
        <v>4</v>
      </c>
      <c r="W13" s="8">
        <v>4</v>
      </c>
      <c r="X13" s="8">
        <v>4</v>
      </c>
    </row>
    <row r="15" spans="3:24" x14ac:dyDescent="0.6">
      <c r="C15" s="8" t="s">
        <v>53</v>
      </c>
      <c r="D15" s="8">
        <v>4</v>
      </c>
      <c r="E15" s="8">
        <v>4</v>
      </c>
      <c r="F15" s="8">
        <v>4</v>
      </c>
      <c r="G15" s="8">
        <v>3</v>
      </c>
      <c r="H15" s="8">
        <v>3</v>
      </c>
      <c r="I15" s="8">
        <v>3</v>
      </c>
      <c r="J15" s="8">
        <v>2</v>
      </c>
      <c r="K15" s="8">
        <v>2</v>
      </c>
      <c r="L15" s="8">
        <v>2</v>
      </c>
      <c r="M15" s="8">
        <v>2</v>
      </c>
      <c r="N15" s="8">
        <v>2</v>
      </c>
      <c r="O15" s="8">
        <v>2</v>
      </c>
      <c r="P15" s="8">
        <v>2</v>
      </c>
      <c r="Q15" s="8">
        <v>2</v>
      </c>
      <c r="R15" s="8">
        <v>2</v>
      </c>
      <c r="S15" s="8">
        <v>2</v>
      </c>
      <c r="T15" s="8">
        <v>3</v>
      </c>
      <c r="U15" s="8">
        <v>3</v>
      </c>
      <c r="V15" s="8">
        <v>4</v>
      </c>
      <c r="W15" s="8">
        <v>4</v>
      </c>
      <c r="X15" s="8">
        <v>4</v>
      </c>
    </row>
    <row r="17" spans="3:24" x14ac:dyDescent="0.6">
      <c r="C17" s="8" t="s">
        <v>54</v>
      </c>
      <c r="D17" s="8">
        <v>3</v>
      </c>
      <c r="E17" s="8">
        <v>3</v>
      </c>
      <c r="F17" s="8">
        <v>3</v>
      </c>
      <c r="G17" s="8">
        <v>3</v>
      </c>
      <c r="H17" s="8">
        <v>2</v>
      </c>
      <c r="I17" s="8">
        <v>3</v>
      </c>
      <c r="J17" s="8">
        <v>3</v>
      </c>
      <c r="K17" s="8">
        <v>3</v>
      </c>
      <c r="L17" s="8">
        <v>3</v>
      </c>
      <c r="M17" s="8">
        <v>3</v>
      </c>
      <c r="N17" s="8">
        <v>3</v>
      </c>
      <c r="O17" s="8">
        <v>3</v>
      </c>
      <c r="P17" s="8">
        <v>3</v>
      </c>
      <c r="Q17" s="8">
        <v>3</v>
      </c>
      <c r="R17" s="8">
        <v>3</v>
      </c>
      <c r="S17" s="8">
        <v>3</v>
      </c>
      <c r="T17" s="8">
        <v>2</v>
      </c>
      <c r="U17" s="8">
        <v>3</v>
      </c>
      <c r="V17" s="8">
        <v>3</v>
      </c>
      <c r="W17" s="8">
        <v>3</v>
      </c>
      <c r="X17" s="8">
        <v>3</v>
      </c>
    </row>
    <row r="19" spans="3:24" x14ac:dyDescent="0.6">
      <c r="C19" s="8" t="s">
        <v>53</v>
      </c>
      <c r="D19" s="8">
        <v>4</v>
      </c>
      <c r="E19" s="8">
        <v>4</v>
      </c>
      <c r="F19" s="8">
        <v>4</v>
      </c>
      <c r="G19" s="8">
        <v>3</v>
      </c>
      <c r="H19" s="8">
        <v>3</v>
      </c>
      <c r="I19" s="8">
        <v>3</v>
      </c>
      <c r="J19" s="8">
        <v>2</v>
      </c>
      <c r="K19" s="8">
        <v>2</v>
      </c>
      <c r="L19" s="8">
        <v>2</v>
      </c>
      <c r="M19" s="8">
        <v>2</v>
      </c>
      <c r="N19" s="8">
        <v>2</v>
      </c>
      <c r="O19" s="8">
        <v>2</v>
      </c>
      <c r="P19" s="8">
        <v>2</v>
      </c>
      <c r="Q19" s="8">
        <v>2</v>
      </c>
      <c r="R19" s="8">
        <v>2</v>
      </c>
      <c r="S19" s="8">
        <v>2</v>
      </c>
      <c r="T19" s="8">
        <v>3</v>
      </c>
      <c r="U19" s="8">
        <v>3</v>
      </c>
      <c r="V19" s="8">
        <v>4</v>
      </c>
      <c r="W19" s="8">
        <v>4</v>
      </c>
      <c r="X19" s="8">
        <v>4</v>
      </c>
    </row>
    <row r="21" spans="3:24" x14ac:dyDescent="0.6">
      <c r="C21" s="8" t="s">
        <v>54</v>
      </c>
      <c r="D21" s="8">
        <v>3</v>
      </c>
      <c r="E21" s="8">
        <v>3</v>
      </c>
      <c r="F21" s="8">
        <v>3</v>
      </c>
      <c r="G21" s="8">
        <v>3</v>
      </c>
      <c r="H21" s="8">
        <v>2</v>
      </c>
      <c r="I21" s="8">
        <v>3</v>
      </c>
      <c r="J21" s="8">
        <v>3</v>
      </c>
      <c r="K21" s="8">
        <v>3</v>
      </c>
      <c r="L21" s="8">
        <v>3</v>
      </c>
      <c r="M21" s="8">
        <v>3</v>
      </c>
      <c r="N21" s="8">
        <v>3</v>
      </c>
      <c r="O21" s="8">
        <v>3</v>
      </c>
      <c r="P21" s="8">
        <v>3</v>
      </c>
      <c r="Q21" s="8">
        <v>3</v>
      </c>
      <c r="R21" s="8">
        <v>3</v>
      </c>
      <c r="S21" s="8">
        <v>3</v>
      </c>
      <c r="T21" s="8">
        <v>2</v>
      </c>
      <c r="U21" s="8">
        <v>3</v>
      </c>
      <c r="V21" s="8">
        <v>3</v>
      </c>
      <c r="W21" s="8">
        <v>3</v>
      </c>
      <c r="X21" s="8">
        <v>3</v>
      </c>
    </row>
    <row r="23" spans="3:24" x14ac:dyDescent="0.6">
      <c r="C23" s="8" t="s">
        <v>53</v>
      </c>
      <c r="D23" s="8">
        <v>4</v>
      </c>
      <c r="E23" s="8">
        <v>4</v>
      </c>
      <c r="F23" s="8">
        <v>4</v>
      </c>
      <c r="G23" s="8">
        <v>3</v>
      </c>
      <c r="H23" s="8">
        <v>3</v>
      </c>
      <c r="I23" s="8">
        <v>3</v>
      </c>
      <c r="J23" s="8">
        <v>2</v>
      </c>
      <c r="K23" s="8">
        <v>2</v>
      </c>
      <c r="L23" s="8">
        <v>2</v>
      </c>
      <c r="M23" s="8">
        <v>2</v>
      </c>
      <c r="N23" s="8">
        <v>2</v>
      </c>
      <c r="O23" s="8">
        <v>2</v>
      </c>
      <c r="P23" s="8">
        <v>2</v>
      </c>
      <c r="Q23" s="8">
        <v>2</v>
      </c>
      <c r="R23" s="8">
        <v>2</v>
      </c>
      <c r="S23" s="8">
        <v>2</v>
      </c>
      <c r="T23" s="8">
        <v>3</v>
      </c>
      <c r="U23" s="8">
        <v>3</v>
      </c>
      <c r="V23" s="8">
        <v>4</v>
      </c>
      <c r="W23" s="8">
        <v>4</v>
      </c>
      <c r="X23" s="8">
        <v>4</v>
      </c>
    </row>
    <row r="25" spans="3:24" x14ac:dyDescent="0.6">
      <c r="C25" s="8" t="s">
        <v>54</v>
      </c>
      <c r="D25" s="8">
        <v>3</v>
      </c>
      <c r="E25" s="8">
        <v>3</v>
      </c>
      <c r="F25" s="8">
        <v>3</v>
      </c>
      <c r="G25" s="8">
        <v>3</v>
      </c>
      <c r="H25" s="8">
        <v>2</v>
      </c>
      <c r="I25" s="8">
        <v>3</v>
      </c>
      <c r="J25" s="8">
        <v>3</v>
      </c>
      <c r="K25" s="8">
        <v>3</v>
      </c>
      <c r="L25" s="8">
        <v>3</v>
      </c>
      <c r="M25" s="8">
        <v>3</v>
      </c>
      <c r="N25" s="8">
        <v>3</v>
      </c>
      <c r="O25" s="8">
        <v>3</v>
      </c>
      <c r="P25" s="8">
        <v>3</v>
      </c>
      <c r="Q25" s="8">
        <v>3</v>
      </c>
      <c r="R25" s="8">
        <v>3</v>
      </c>
      <c r="S25" s="8">
        <v>3</v>
      </c>
      <c r="T25" s="8">
        <v>2</v>
      </c>
      <c r="U25" s="8">
        <v>3</v>
      </c>
      <c r="V25" s="8">
        <v>3</v>
      </c>
      <c r="W25" s="8">
        <v>3</v>
      </c>
      <c r="X25" s="8">
        <v>3</v>
      </c>
    </row>
    <row r="27" spans="3:24" x14ac:dyDescent="0.6">
      <c r="C27" s="8" t="s">
        <v>53</v>
      </c>
      <c r="D27" s="8">
        <v>4</v>
      </c>
      <c r="E27" s="8">
        <v>4</v>
      </c>
      <c r="F27" s="8">
        <v>4</v>
      </c>
      <c r="G27" s="8">
        <v>3</v>
      </c>
      <c r="H27" s="8">
        <v>3</v>
      </c>
      <c r="I27" s="8">
        <v>3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3</v>
      </c>
      <c r="U27" s="8">
        <v>3</v>
      </c>
      <c r="V27" s="8">
        <v>4</v>
      </c>
      <c r="W27" s="8">
        <v>4</v>
      </c>
      <c r="X27" s="8">
        <v>4</v>
      </c>
    </row>
    <row r="29" spans="3:24" x14ac:dyDescent="0.6">
      <c r="C29" s="8" t="s">
        <v>54</v>
      </c>
      <c r="D29" s="8">
        <v>3</v>
      </c>
      <c r="E29" s="8">
        <v>3</v>
      </c>
      <c r="F29" s="8">
        <v>3</v>
      </c>
      <c r="G29" s="8">
        <v>3</v>
      </c>
      <c r="H29" s="8">
        <v>2</v>
      </c>
      <c r="I29" s="8">
        <v>3</v>
      </c>
      <c r="J29" s="8">
        <v>3</v>
      </c>
      <c r="K29" s="8">
        <v>3</v>
      </c>
      <c r="L29" s="8">
        <v>3</v>
      </c>
      <c r="M29" s="8">
        <v>3</v>
      </c>
      <c r="N29" s="8">
        <v>3</v>
      </c>
      <c r="O29" s="8">
        <v>3</v>
      </c>
      <c r="P29" s="8">
        <v>3</v>
      </c>
      <c r="Q29" s="8">
        <v>3</v>
      </c>
      <c r="R29" s="8">
        <v>3</v>
      </c>
      <c r="S29" s="8">
        <v>3</v>
      </c>
      <c r="T29" s="8">
        <v>2</v>
      </c>
      <c r="U29" s="8">
        <v>3</v>
      </c>
      <c r="V29" s="8">
        <v>3</v>
      </c>
      <c r="W29" s="8">
        <v>3</v>
      </c>
      <c r="X29" s="8">
        <v>3</v>
      </c>
    </row>
    <row r="31" spans="3:24" x14ac:dyDescent="0.6">
      <c r="C31" s="8" t="s">
        <v>53</v>
      </c>
      <c r="D31" s="8">
        <v>4</v>
      </c>
      <c r="E31" s="8">
        <v>4</v>
      </c>
      <c r="F31" s="8">
        <v>4</v>
      </c>
      <c r="G31" s="8">
        <v>3</v>
      </c>
      <c r="H31" s="8">
        <v>3</v>
      </c>
      <c r="I31" s="8">
        <v>3</v>
      </c>
      <c r="J31" s="8">
        <v>2</v>
      </c>
      <c r="K31" s="8">
        <v>2</v>
      </c>
      <c r="L31" s="8">
        <v>2</v>
      </c>
      <c r="M31" s="8">
        <v>2</v>
      </c>
      <c r="N31" s="8">
        <v>2</v>
      </c>
      <c r="O31" s="8">
        <v>2</v>
      </c>
      <c r="P31" s="8">
        <v>2</v>
      </c>
      <c r="Q31" s="8">
        <v>2</v>
      </c>
      <c r="R31" s="8">
        <v>2</v>
      </c>
      <c r="S31" s="8">
        <v>2</v>
      </c>
      <c r="T31" s="8">
        <v>3</v>
      </c>
      <c r="U31" s="8">
        <v>3</v>
      </c>
      <c r="V31" s="8">
        <v>4</v>
      </c>
      <c r="W31" s="8">
        <v>4</v>
      </c>
      <c r="X31" s="8">
        <v>4</v>
      </c>
    </row>
    <row r="33" spans="3:24" x14ac:dyDescent="0.6">
      <c r="C33" s="8" t="s">
        <v>54</v>
      </c>
      <c r="D33" s="8">
        <v>3</v>
      </c>
      <c r="E33" s="8">
        <v>3</v>
      </c>
      <c r="F33" s="8">
        <v>3</v>
      </c>
      <c r="G33" s="8">
        <v>3</v>
      </c>
      <c r="H33" s="8">
        <v>2</v>
      </c>
      <c r="I33" s="8">
        <v>3</v>
      </c>
      <c r="J33" s="8">
        <v>3</v>
      </c>
      <c r="K33" s="8">
        <v>3</v>
      </c>
      <c r="L33" s="8">
        <v>3</v>
      </c>
      <c r="M33" s="8">
        <v>3</v>
      </c>
      <c r="N33" s="8">
        <v>3</v>
      </c>
      <c r="O33" s="8">
        <v>3</v>
      </c>
      <c r="P33" s="8">
        <v>3</v>
      </c>
      <c r="Q33" s="8">
        <v>3</v>
      </c>
      <c r="R33" s="8">
        <v>3</v>
      </c>
      <c r="S33" s="8">
        <v>3</v>
      </c>
      <c r="T33" s="8">
        <v>2</v>
      </c>
      <c r="U33" s="8">
        <v>3</v>
      </c>
      <c r="V33" s="8">
        <v>3</v>
      </c>
      <c r="W33" s="8">
        <v>3</v>
      </c>
      <c r="X33" s="8">
        <v>3</v>
      </c>
    </row>
    <row r="35" spans="3:24" x14ac:dyDescent="0.6">
      <c r="C35" s="8" t="s">
        <v>53</v>
      </c>
      <c r="D35" s="8">
        <v>4</v>
      </c>
      <c r="E35" s="8">
        <v>4</v>
      </c>
      <c r="F35" s="8">
        <v>4</v>
      </c>
      <c r="G35" s="8">
        <v>3</v>
      </c>
      <c r="H35" s="8">
        <v>3</v>
      </c>
      <c r="I35" s="8">
        <v>3</v>
      </c>
      <c r="J35" s="8">
        <v>2</v>
      </c>
      <c r="K35" s="8">
        <v>2</v>
      </c>
      <c r="L35" s="8">
        <v>2</v>
      </c>
      <c r="M35" s="8">
        <v>2</v>
      </c>
      <c r="N35" s="8">
        <v>2</v>
      </c>
      <c r="O35" s="8">
        <v>2</v>
      </c>
      <c r="P35" s="8">
        <v>2</v>
      </c>
      <c r="Q35" s="8">
        <v>2</v>
      </c>
      <c r="R35" s="8">
        <v>2</v>
      </c>
      <c r="S35" s="8">
        <v>2</v>
      </c>
      <c r="T35" s="8">
        <v>3</v>
      </c>
      <c r="U35" s="8">
        <v>3</v>
      </c>
      <c r="V35" s="8">
        <v>4</v>
      </c>
      <c r="W35" s="8">
        <v>4</v>
      </c>
      <c r="X35" s="8">
        <v>4</v>
      </c>
    </row>
    <row r="37" spans="3:24" x14ac:dyDescent="0.6">
      <c r="C37" s="8" t="s">
        <v>54</v>
      </c>
      <c r="D37" s="8">
        <v>3</v>
      </c>
      <c r="E37" s="8">
        <v>3</v>
      </c>
      <c r="F37" s="8">
        <v>3</v>
      </c>
      <c r="G37" s="8">
        <v>3</v>
      </c>
      <c r="H37" s="8">
        <v>2</v>
      </c>
      <c r="I37" s="8">
        <v>3</v>
      </c>
      <c r="J37" s="8">
        <v>3</v>
      </c>
      <c r="K37" s="8">
        <v>3</v>
      </c>
      <c r="L37" s="8">
        <v>3</v>
      </c>
      <c r="M37" s="8">
        <v>3</v>
      </c>
      <c r="N37" s="8">
        <v>3</v>
      </c>
      <c r="O37" s="8">
        <v>3</v>
      </c>
      <c r="P37" s="8">
        <v>3</v>
      </c>
      <c r="Q37" s="8">
        <v>3</v>
      </c>
      <c r="R37" s="8">
        <v>3</v>
      </c>
      <c r="S37" s="8">
        <v>3</v>
      </c>
      <c r="T37" s="8">
        <v>2</v>
      </c>
      <c r="U37" s="8">
        <v>3</v>
      </c>
      <c r="V37" s="8">
        <v>3</v>
      </c>
      <c r="W37" s="8">
        <v>3</v>
      </c>
      <c r="X37" s="8">
        <v>3</v>
      </c>
    </row>
    <row r="39" spans="3:24" x14ac:dyDescent="0.6">
      <c r="C39" s="8" t="s">
        <v>53</v>
      </c>
      <c r="D39" s="8">
        <v>4</v>
      </c>
      <c r="E39" s="8">
        <v>4</v>
      </c>
      <c r="F39" s="8">
        <v>4</v>
      </c>
      <c r="G39" s="8">
        <v>3</v>
      </c>
      <c r="H39" s="8">
        <v>3</v>
      </c>
      <c r="I39" s="8">
        <v>3</v>
      </c>
      <c r="J39" s="8">
        <v>2</v>
      </c>
      <c r="K39" s="8">
        <v>2</v>
      </c>
      <c r="L39" s="8">
        <v>2</v>
      </c>
      <c r="M39" s="8">
        <v>2</v>
      </c>
      <c r="N39" s="8">
        <v>2</v>
      </c>
      <c r="O39" s="8">
        <v>2</v>
      </c>
      <c r="P39" s="8">
        <v>2</v>
      </c>
      <c r="Q39" s="8">
        <v>2</v>
      </c>
      <c r="R39" s="8">
        <v>2</v>
      </c>
      <c r="S39" s="8">
        <v>2</v>
      </c>
      <c r="T39" s="8">
        <v>3</v>
      </c>
      <c r="U39" s="8">
        <v>3</v>
      </c>
      <c r="V39" s="8">
        <v>4</v>
      </c>
      <c r="W39" s="8">
        <v>4</v>
      </c>
      <c r="X39" s="8">
        <v>4</v>
      </c>
    </row>
    <row r="41" spans="3:24" x14ac:dyDescent="0.6">
      <c r="C41" s="8" t="s">
        <v>54</v>
      </c>
      <c r="D41" s="8">
        <v>3</v>
      </c>
      <c r="E41" s="8">
        <v>3</v>
      </c>
      <c r="F41" s="8">
        <v>3</v>
      </c>
      <c r="G41" s="8">
        <v>3</v>
      </c>
      <c r="H41" s="8">
        <v>2</v>
      </c>
      <c r="I41" s="8">
        <v>3</v>
      </c>
      <c r="J41" s="8">
        <v>3</v>
      </c>
      <c r="K41" s="8">
        <v>3</v>
      </c>
      <c r="L41" s="8">
        <v>3</v>
      </c>
      <c r="M41" s="8">
        <v>3</v>
      </c>
      <c r="N41" s="8">
        <v>3</v>
      </c>
      <c r="O41" s="8">
        <v>3</v>
      </c>
      <c r="P41" s="8">
        <v>3</v>
      </c>
      <c r="Q41" s="8">
        <v>3</v>
      </c>
      <c r="R41" s="8">
        <v>3</v>
      </c>
      <c r="S41" s="8">
        <v>3</v>
      </c>
      <c r="T41" s="8">
        <v>2</v>
      </c>
      <c r="U41" s="8">
        <v>3</v>
      </c>
      <c r="V41" s="8">
        <v>3</v>
      </c>
      <c r="W41" s="8">
        <v>3</v>
      </c>
      <c r="X41" s="8">
        <v>3</v>
      </c>
    </row>
    <row r="43" spans="3:24" x14ac:dyDescent="0.6">
      <c r="C43" s="8" t="s">
        <v>53</v>
      </c>
      <c r="D43" s="8">
        <v>4</v>
      </c>
      <c r="E43" s="8">
        <v>4</v>
      </c>
      <c r="F43" s="8">
        <v>4</v>
      </c>
      <c r="G43" s="8">
        <v>3</v>
      </c>
      <c r="H43" s="8">
        <v>3</v>
      </c>
      <c r="I43" s="8">
        <v>3</v>
      </c>
      <c r="J43" s="8">
        <v>2</v>
      </c>
      <c r="K43" s="8">
        <v>2</v>
      </c>
      <c r="L43" s="8">
        <v>2</v>
      </c>
      <c r="M43" s="8">
        <v>2</v>
      </c>
      <c r="N43" s="8">
        <v>2</v>
      </c>
      <c r="O43" s="8">
        <v>2</v>
      </c>
      <c r="P43" s="8">
        <v>2</v>
      </c>
      <c r="Q43" s="8">
        <v>2</v>
      </c>
      <c r="R43" s="8">
        <v>2</v>
      </c>
      <c r="S43" s="8">
        <v>2</v>
      </c>
      <c r="T43" s="8">
        <v>3</v>
      </c>
      <c r="U43" s="8">
        <v>3</v>
      </c>
      <c r="V43" s="8">
        <v>4</v>
      </c>
      <c r="W43" s="8">
        <v>4</v>
      </c>
      <c r="X43" s="8">
        <v>4</v>
      </c>
    </row>
    <row r="45" spans="3:24" x14ac:dyDescent="0.6">
      <c r="C45" s="8" t="s">
        <v>54</v>
      </c>
      <c r="D45" s="8">
        <v>3</v>
      </c>
      <c r="E45" s="8">
        <v>3</v>
      </c>
      <c r="F45" s="8">
        <v>3</v>
      </c>
      <c r="G45" s="8">
        <v>3</v>
      </c>
      <c r="H45" s="8">
        <v>2</v>
      </c>
      <c r="I45" s="8">
        <v>3</v>
      </c>
      <c r="J45" s="8">
        <v>3</v>
      </c>
      <c r="K45" s="8">
        <v>3</v>
      </c>
      <c r="L45" s="8">
        <v>3</v>
      </c>
      <c r="M45" s="8">
        <v>3</v>
      </c>
      <c r="N45" s="8">
        <v>3</v>
      </c>
      <c r="O45" s="8">
        <v>3</v>
      </c>
      <c r="P45" s="8">
        <v>3</v>
      </c>
      <c r="Q45" s="8">
        <v>3</v>
      </c>
      <c r="R45" s="8">
        <v>3</v>
      </c>
      <c r="S45" s="8">
        <v>3</v>
      </c>
      <c r="T45" s="8">
        <v>2</v>
      </c>
      <c r="U45" s="8">
        <v>3</v>
      </c>
      <c r="V45" s="8">
        <v>3</v>
      </c>
      <c r="W45" s="8">
        <v>3</v>
      </c>
      <c r="X45" s="8">
        <v>3</v>
      </c>
    </row>
    <row r="47" spans="3:24" x14ac:dyDescent="0.6">
      <c r="C47" s="8" t="s">
        <v>53</v>
      </c>
      <c r="D47" s="8">
        <v>2</v>
      </c>
      <c r="E47" s="8">
        <v>2</v>
      </c>
      <c r="F47" s="8">
        <v>2</v>
      </c>
      <c r="G47" s="8">
        <v>2</v>
      </c>
      <c r="H47" s="8">
        <v>2</v>
      </c>
      <c r="I47" s="8">
        <v>2</v>
      </c>
      <c r="J47" s="8">
        <v>2</v>
      </c>
      <c r="K47" s="8">
        <v>2</v>
      </c>
      <c r="L47" s="8">
        <v>2</v>
      </c>
      <c r="M47" s="8">
        <v>2</v>
      </c>
      <c r="N47" s="8">
        <v>2</v>
      </c>
      <c r="O47" s="8">
        <v>2</v>
      </c>
      <c r="P47" s="8">
        <v>2</v>
      </c>
      <c r="Q47" s="8">
        <v>2</v>
      </c>
      <c r="R47" s="8">
        <v>2</v>
      </c>
      <c r="S47" s="8">
        <v>2</v>
      </c>
      <c r="T47" s="8">
        <v>3</v>
      </c>
      <c r="U47" s="8">
        <v>3</v>
      </c>
      <c r="V47" s="8">
        <v>4</v>
      </c>
      <c r="W47" s="8">
        <v>4</v>
      </c>
      <c r="X47" s="8">
        <v>4</v>
      </c>
    </row>
    <row r="49" spans="3:24" x14ac:dyDescent="0.6">
      <c r="C49" s="8" t="s">
        <v>54</v>
      </c>
      <c r="D49" s="8">
        <v>3</v>
      </c>
      <c r="E49" s="8">
        <v>3</v>
      </c>
      <c r="F49" s="8">
        <v>3</v>
      </c>
      <c r="G49" s="8">
        <v>3</v>
      </c>
      <c r="H49" s="8">
        <v>3</v>
      </c>
      <c r="I49" s="8">
        <v>3</v>
      </c>
      <c r="J49" s="8">
        <v>4</v>
      </c>
      <c r="K49" s="8">
        <v>4</v>
      </c>
      <c r="L49" s="8">
        <v>4</v>
      </c>
      <c r="M49" s="8">
        <v>4</v>
      </c>
      <c r="N49" s="8">
        <v>4</v>
      </c>
      <c r="O49" s="8">
        <v>4</v>
      </c>
      <c r="P49" s="8">
        <v>4</v>
      </c>
      <c r="Q49" s="8">
        <v>4</v>
      </c>
      <c r="R49" s="8">
        <v>4</v>
      </c>
      <c r="S49" s="8">
        <v>3</v>
      </c>
      <c r="T49" s="8">
        <v>3</v>
      </c>
      <c r="U49" s="8">
        <v>3</v>
      </c>
      <c r="V49" s="8">
        <v>3</v>
      </c>
      <c r="W49" s="8">
        <v>3</v>
      </c>
      <c r="X49" s="8">
        <v>3</v>
      </c>
    </row>
    <row r="51" spans="3:24" x14ac:dyDescent="0.6">
      <c r="C51" s="8" t="s">
        <v>53</v>
      </c>
      <c r="D51" s="8">
        <v>2</v>
      </c>
      <c r="E51" s="8">
        <v>2</v>
      </c>
      <c r="F51" s="8">
        <v>2</v>
      </c>
      <c r="G51" s="8">
        <v>2</v>
      </c>
      <c r="H51" s="8">
        <v>2</v>
      </c>
      <c r="I51" s="8">
        <v>2</v>
      </c>
      <c r="J51" s="8">
        <v>2</v>
      </c>
      <c r="K51" s="8">
        <v>2</v>
      </c>
      <c r="L51" s="8">
        <v>2</v>
      </c>
      <c r="M51" s="8">
        <v>2</v>
      </c>
      <c r="N51" s="8">
        <v>2</v>
      </c>
      <c r="O51" s="8">
        <v>2</v>
      </c>
      <c r="P51" s="8">
        <v>2</v>
      </c>
      <c r="Q51" s="8">
        <v>2</v>
      </c>
      <c r="R51" s="8">
        <v>2</v>
      </c>
      <c r="S51" s="8">
        <v>2</v>
      </c>
      <c r="T51" s="8">
        <v>3</v>
      </c>
      <c r="U51" s="8">
        <v>3</v>
      </c>
      <c r="V51" s="8">
        <v>4</v>
      </c>
      <c r="W51" s="8">
        <v>4</v>
      </c>
      <c r="X51" s="8">
        <v>4</v>
      </c>
    </row>
    <row r="53" spans="3:24" x14ac:dyDescent="0.6">
      <c r="C53" s="8" t="s">
        <v>54</v>
      </c>
      <c r="D53" s="8">
        <v>3</v>
      </c>
      <c r="E53" s="8">
        <v>3</v>
      </c>
      <c r="F53" s="8">
        <v>3</v>
      </c>
      <c r="G53" s="8">
        <v>3</v>
      </c>
      <c r="H53" s="8">
        <v>3</v>
      </c>
      <c r="I53" s="8">
        <v>3</v>
      </c>
      <c r="J53" s="8">
        <v>4</v>
      </c>
      <c r="K53" s="8">
        <v>4</v>
      </c>
      <c r="L53" s="8">
        <v>4</v>
      </c>
      <c r="M53" s="8">
        <v>4</v>
      </c>
      <c r="N53" s="8">
        <v>4</v>
      </c>
      <c r="O53" s="8">
        <v>4</v>
      </c>
      <c r="P53" s="8">
        <v>4</v>
      </c>
      <c r="Q53" s="8">
        <v>4</v>
      </c>
      <c r="R53" s="8">
        <v>4</v>
      </c>
      <c r="S53" s="8">
        <v>3</v>
      </c>
      <c r="T53" s="8">
        <v>3</v>
      </c>
      <c r="U53" s="8">
        <v>3</v>
      </c>
      <c r="V53" s="8">
        <v>3</v>
      </c>
      <c r="W53" s="8">
        <v>3</v>
      </c>
      <c r="X53" s="8">
        <v>3</v>
      </c>
    </row>
    <row r="55" spans="3:24" x14ac:dyDescent="0.6">
      <c r="C55" s="8" t="s">
        <v>53</v>
      </c>
      <c r="D55" s="8">
        <v>5</v>
      </c>
      <c r="E55" s="8">
        <v>5</v>
      </c>
      <c r="F55" s="8">
        <v>4</v>
      </c>
      <c r="G55" s="8">
        <v>4</v>
      </c>
      <c r="H55" s="8">
        <v>4</v>
      </c>
      <c r="I55" s="8">
        <v>3</v>
      </c>
      <c r="J55" s="8">
        <v>3</v>
      </c>
      <c r="K55" s="8">
        <v>2</v>
      </c>
      <c r="L55" s="8">
        <v>2</v>
      </c>
      <c r="M55" s="8">
        <v>2</v>
      </c>
      <c r="N55" s="8">
        <v>2</v>
      </c>
      <c r="O55" s="8">
        <v>2</v>
      </c>
      <c r="P55" s="8">
        <v>2</v>
      </c>
      <c r="Q55" s="8">
        <v>2</v>
      </c>
      <c r="R55" s="8">
        <v>2</v>
      </c>
      <c r="S55" s="8">
        <v>2</v>
      </c>
      <c r="T55" s="8">
        <v>2</v>
      </c>
      <c r="U55" s="8">
        <v>2</v>
      </c>
      <c r="V55" s="8">
        <v>2</v>
      </c>
      <c r="W55" s="8">
        <v>2</v>
      </c>
      <c r="X55" s="8">
        <v>2</v>
      </c>
    </row>
    <row r="57" spans="3:24" x14ac:dyDescent="0.6">
      <c r="C57" s="8" t="s">
        <v>54</v>
      </c>
      <c r="D57" s="8">
        <v>3</v>
      </c>
      <c r="E57" s="8">
        <v>3</v>
      </c>
      <c r="F57" s="8">
        <v>3</v>
      </c>
      <c r="G57" s="8">
        <v>3</v>
      </c>
      <c r="H57" s="8">
        <v>4</v>
      </c>
      <c r="I57" s="8">
        <v>4</v>
      </c>
      <c r="J57" s="8">
        <v>5</v>
      </c>
      <c r="K57" s="8">
        <v>5</v>
      </c>
      <c r="L57" s="8">
        <v>5</v>
      </c>
      <c r="M57" s="8">
        <v>5</v>
      </c>
      <c r="N57" s="8">
        <v>5</v>
      </c>
      <c r="O57" s="8">
        <v>5</v>
      </c>
      <c r="P57" s="8">
        <v>5</v>
      </c>
      <c r="Q57" s="8">
        <v>5</v>
      </c>
      <c r="R57" s="8">
        <v>5</v>
      </c>
      <c r="S57" s="8">
        <v>4</v>
      </c>
      <c r="T57" s="8">
        <v>4</v>
      </c>
      <c r="U57" s="8">
        <v>3</v>
      </c>
      <c r="V57" s="8">
        <v>4</v>
      </c>
      <c r="W57" s="8">
        <v>4</v>
      </c>
      <c r="X57" s="8">
        <v>4</v>
      </c>
    </row>
    <row r="59" spans="3:24" x14ac:dyDescent="0.6">
      <c r="C59" s="8" t="s">
        <v>53</v>
      </c>
      <c r="D59" s="8">
        <v>5</v>
      </c>
      <c r="E59" s="8">
        <v>5</v>
      </c>
      <c r="F59" s="8">
        <v>4</v>
      </c>
      <c r="G59" s="8">
        <v>4</v>
      </c>
      <c r="H59" s="8">
        <v>4</v>
      </c>
      <c r="I59" s="8">
        <v>3</v>
      </c>
      <c r="J59" s="8">
        <v>3</v>
      </c>
      <c r="K59" s="8">
        <v>2</v>
      </c>
      <c r="L59" s="8">
        <v>2</v>
      </c>
      <c r="M59" s="8">
        <v>2</v>
      </c>
      <c r="N59" s="8">
        <v>2</v>
      </c>
      <c r="O59" s="8">
        <v>2</v>
      </c>
      <c r="P59" s="8">
        <v>2</v>
      </c>
      <c r="Q59" s="8">
        <v>2</v>
      </c>
      <c r="R59" s="8">
        <v>2</v>
      </c>
      <c r="S59" s="8">
        <v>2</v>
      </c>
      <c r="T59" s="8">
        <v>2</v>
      </c>
      <c r="U59" s="8">
        <v>2</v>
      </c>
      <c r="V59" s="8">
        <v>2</v>
      </c>
      <c r="W59" s="8">
        <v>2</v>
      </c>
      <c r="X59" s="8">
        <v>2</v>
      </c>
    </row>
    <row r="61" spans="3:24" x14ac:dyDescent="0.6">
      <c r="C61" s="8" t="s">
        <v>54</v>
      </c>
      <c r="D61" s="8">
        <v>3</v>
      </c>
      <c r="E61" s="8">
        <v>3</v>
      </c>
      <c r="F61" s="8">
        <v>3</v>
      </c>
      <c r="G61" s="8">
        <v>3</v>
      </c>
      <c r="H61" s="8">
        <v>4</v>
      </c>
      <c r="I61" s="8">
        <v>4</v>
      </c>
      <c r="J61" s="8">
        <v>5</v>
      </c>
      <c r="K61" s="8">
        <v>5</v>
      </c>
      <c r="L61" s="8">
        <v>5</v>
      </c>
      <c r="M61" s="8">
        <v>5</v>
      </c>
      <c r="N61" s="8">
        <v>5</v>
      </c>
      <c r="O61" s="8">
        <v>5</v>
      </c>
      <c r="P61" s="8">
        <v>5</v>
      </c>
      <c r="Q61" s="8">
        <v>5</v>
      </c>
      <c r="R61" s="8">
        <v>5</v>
      </c>
      <c r="S61" s="8">
        <v>4</v>
      </c>
      <c r="T61" s="8">
        <v>4</v>
      </c>
      <c r="U61" s="8">
        <v>3</v>
      </c>
      <c r="V61" s="8">
        <v>4</v>
      </c>
      <c r="W61" s="8">
        <v>4</v>
      </c>
      <c r="X61" s="8">
        <v>4</v>
      </c>
    </row>
    <row r="63" spans="3:24" x14ac:dyDescent="0.6">
      <c r="C63" s="8" t="s">
        <v>53</v>
      </c>
      <c r="D63" s="8">
        <v>4</v>
      </c>
      <c r="E63" s="8">
        <v>4</v>
      </c>
      <c r="F63" s="8">
        <v>4</v>
      </c>
      <c r="G63" s="8">
        <v>3</v>
      </c>
      <c r="H63" s="8">
        <v>3</v>
      </c>
      <c r="I63" s="8">
        <v>3</v>
      </c>
      <c r="J63" s="8">
        <v>2</v>
      </c>
      <c r="K63" s="8">
        <v>2</v>
      </c>
      <c r="L63" s="8">
        <v>2</v>
      </c>
      <c r="M63" s="8">
        <v>2</v>
      </c>
      <c r="N63" s="8">
        <v>2</v>
      </c>
      <c r="O63" s="8">
        <v>2</v>
      </c>
      <c r="P63" s="8">
        <v>2</v>
      </c>
      <c r="Q63" s="8">
        <v>2</v>
      </c>
      <c r="R63" s="8">
        <v>2</v>
      </c>
      <c r="S63" s="8">
        <v>3</v>
      </c>
      <c r="T63" s="8">
        <v>3</v>
      </c>
      <c r="U63" s="8">
        <v>4</v>
      </c>
      <c r="V63" s="8">
        <v>4</v>
      </c>
      <c r="W63" s="8">
        <v>5</v>
      </c>
      <c r="X63" s="8">
        <v>5</v>
      </c>
    </row>
    <row r="65" spans="3:24" x14ac:dyDescent="0.6">
      <c r="C65" s="8" t="s">
        <v>54</v>
      </c>
      <c r="D65" s="8">
        <v>3</v>
      </c>
      <c r="E65" s="8">
        <v>3</v>
      </c>
      <c r="F65" s="8">
        <v>3</v>
      </c>
      <c r="G65" s="8">
        <v>3</v>
      </c>
      <c r="H65" s="8">
        <v>2</v>
      </c>
      <c r="I65" s="8">
        <v>3</v>
      </c>
      <c r="J65" s="8">
        <v>3</v>
      </c>
      <c r="K65" s="8">
        <v>3</v>
      </c>
      <c r="L65" s="8">
        <v>3</v>
      </c>
      <c r="M65" s="8">
        <v>3</v>
      </c>
      <c r="N65" s="8">
        <v>3</v>
      </c>
      <c r="O65" s="8">
        <v>3</v>
      </c>
      <c r="P65" s="8">
        <v>3</v>
      </c>
      <c r="Q65" s="8">
        <v>3</v>
      </c>
      <c r="R65" s="8">
        <v>3</v>
      </c>
      <c r="S65" s="8">
        <v>3</v>
      </c>
      <c r="T65" s="8">
        <v>2</v>
      </c>
      <c r="U65" s="8">
        <v>3</v>
      </c>
      <c r="V65" s="8">
        <v>3</v>
      </c>
      <c r="W65" s="8">
        <v>3</v>
      </c>
      <c r="X65" s="8">
        <v>3</v>
      </c>
    </row>
    <row r="67" spans="3:24" x14ac:dyDescent="0.6">
      <c r="C67" s="8" t="s">
        <v>53</v>
      </c>
      <c r="D67" s="8">
        <v>4</v>
      </c>
      <c r="E67" s="8">
        <v>4</v>
      </c>
      <c r="F67" s="8">
        <v>4</v>
      </c>
      <c r="G67" s="8">
        <v>3</v>
      </c>
      <c r="H67" s="8">
        <v>3</v>
      </c>
      <c r="I67" s="8">
        <v>3</v>
      </c>
      <c r="J67" s="8">
        <v>2</v>
      </c>
      <c r="K67" s="8">
        <v>2</v>
      </c>
      <c r="L67" s="8">
        <v>2</v>
      </c>
      <c r="M67" s="8">
        <v>2</v>
      </c>
      <c r="N67" s="8">
        <v>2</v>
      </c>
      <c r="O67" s="8">
        <v>2</v>
      </c>
      <c r="P67" s="8">
        <v>2</v>
      </c>
      <c r="Q67" s="8">
        <v>2</v>
      </c>
      <c r="R67" s="8">
        <v>2</v>
      </c>
      <c r="S67" s="8">
        <v>3</v>
      </c>
      <c r="T67" s="8">
        <v>3</v>
      </c>
      <c r="U67" s="8">
        <v>4</v>
      </c>
      <c r="V67" s="8">
        <v>4</v>
      </c>
      <c r="W67" s="8">
        <v>5</v>
      </c>
      <c r="X67" s="8">
        <v>5</v>
      </c>
    </row>
    <row r="69" spans="3:24" x14ac:dyDescent="0.6">
      <c r="C69" s="8" t="s">
        <v>54</v>
      </c>
      <c r="D69" s="8">
        <v>3</v>
      </c>
      <c r="E69" s="8">
        <v>3</v>
      </c>
      <c r="F69" s="8">
        <v>3</v>
      </c>
      <c r="G69" s="8">
        <v>3</v>
      </c>
      <c r="H69" s="8">
        <v>2</v>
      </c>
      <c r="I69" s="8">
        <v>3</v>
      </c>
      <c r="J69" s="8">
        <v>3</v>
      </c>
      <c r="K69" s="8">
        <v>3</v>
      </c>
      <c r="L69" s="8">
        <v>3</v>
      </c>
      <c r="M69" s="8">
        <v>3</v>
      </c>
      <c r="N69" s="8">
        <v>3</v>
      </c>
      <c r="O69" s="8">
        <v>3</v>
      </c>
      <c r="P69" s="8">
        <v>3</v>
      </c>
      <c r="Q69" s="8">
        <v>3</v>
      </c>
      <c r="R69" s="8">
        <v>3</v>
      </c>
      <c r="S69" s="8">
        <v>3</v>
      </c>
      <c r="T69" s="8">
        <v>2</v>
      </c>
      <c r="U69" s="8">
        <v>3</v>
      </c>
      <c r="V69" s="8">
        <v>3</v>
      </c>
      <c r="W69" s="8">
        <v>3</v>
      </c>
      <c r="X69" s="8">
        <v>3</v>
      </c>
    </row>
    <row r="71" spans="3:24" x14ac:dyDescent="0.6">
      <c r="C71" s="8" t="s">
        <v>53</v>
      </c>
      <c r="D71" s="8">
        <v>4</v>
      </c>
      <c r="E71" s="8">
        <v>4</v>
      </c>
      <c r="F71" s="8">
        <v>4</v>
      </c>
      <c r="G71" s="8">
        <v>3</v>
      </c>
      <c r="H71" s="8">
        <v>3</v>
      </c>
      <c r="I71" s="8">
        <v>3</v>
      </c>
      <c r="J71" s="8">
        <v>2</v>
      </c>
      <c r="K71" s="8">
        <v>2</v>
      </c>
      <c r="L71" s="8">
        <v>2</v>
      </c>
      <c r="M71" s="8">
        <v>2</v>
      </c>
      <c r="N71" s="8">
        <v>2</v>
      </c>
      <c r="O71" s="8">
        <v>2</v>
      </c>
      <c r="P71" s="8">
        <v>2</v>
      </c>
      <c r="Q71" s="8">
        <v>2</v>
      </c>
      <c r="R71" s="8">
        <v>2</v>
      </c>
      <c r="S71" s="8">
        <v>2</v>
      </c>
      <c r="T71" s="8">
        <v>3</v>
      </c>
      <c r="U71" s="8">
        <v>3</v>
      </c>
      <c r="V71" s="8">
        <v>4</v>
      </c>
      <c r="W71" s="8">
        <v>4</v>
      </c>
      <c r="X71" s="8">
        <v>4</v>
      </c>
    </row>
    <row r="73" spans="3:24" x14ac:dyDescent="0.6">
      <c r="C73" s="8" t="s">
        <v>54</v>
      </c>
      <c r="D73" s="8">
        <v>3</v>
      </c>
      <c r="E73" s="8">
        <v>3</v>
      </c>
      <c r="F73" s="8">
        <v>3</v>
      </c>
      <c r="G73" s="8">
        <v>3</v>
      </c>
      <c r="H73" s="8">
        <v>2</v>
      </c>
      <c r="I73" s="8">
        <v>3</v>
      </c>
      <c r="J73" s="8">
        <v>3</v>
      </c>
      <c r="K73" s="8">
        <v>3</v>
      </c>
      <c r="L73" s="8">
        <v>3</v>
      </c>
      <c r="M73" s="8">
        <v>3</v>
      </c>
      <c r="N73" s="8">
        <v>3</v>
      </c>
      <c r="O73" s="8">
        <v>3</v>
      </c>
      <c r="P73" s="8">
        <v>3</v>
      </c>
      <c r="Q73" s="8">
        <v>3</v>
      </c>
      <c r="R73" s="8">
        <v>3</v>
      </c>
      <c r="S73" s="8">
        <v>3</v>
      </c>
      <c r="T73" s="8">
        <v>2</v>
      </c>
      <c r="U73" s="8">
        <v>3</v>
      </c>
      <c r="V73" s="8">
        <v>3</v>
      </c>
      <c r="W73" s="8">
        <v>3</v>
      </c>
      <c r="X73" s="8">
        <v>3</v>
      </c>
    </row>
    <row r="75" spans="3:24" x14ac:dyDescent="0.6">
      <c r="C75" s="8" t="s">
        <v>53</v>
      </c>
      <c r="D75" s="8">
        <v>4</v>
      </c>
      <c r="E75" s="8">
        <v>4</v>
      </c>
      <c r="F75" s="8">
        <v>4</v>
      </c>
      <c r="G75" s="8">
        <v>3</v>
      </c>
      <c r="H75" s="8">
        <v>3</v>
      </c>
      <c r="I75" s="8">
        <v>3</v>
      </c>
      <c r="J75" s="8">
        <v>2</v>
      </c>
      <c r="K75" s="8">
        <v>2</v>
      </c>
      <c r="L75" s="8">
        <v>2</v>
      </c>
      <c r="M75" s="8">
        <v>2</v>
      </c>
      <c r="N75" s="8">
        <v>2</v>
      </c>
      <c r="O75" s="8">
        <v>2</v>
      </c>
      <c r="P75" s="8">
        <v>2</v>
      </c>
      <c r="Q75" s="8">
        <v>2</v>
      </c>
      <c r="R75" s="8">
        <v>2</v>
      </c>
      <c r="S75" s="8">
        <v>2</v>
      </c>
      <c r="T75" s="8">
        <v>3</v>
      </c>
      <c r="U75" s="8">
        <v>3</v>
      </c>
      <c r="V75" s="8">
        <v>4</v>
      </c>
      <c r="W75" s="8">
        <v>4</v>
      </c>
      <c r="X75" s="8">
        <v>4</v>
      </c>
    </row>
    <row r="77" spans="3:24" x14ac:dyDescent="0.6">
      <c r="C77" s="8" t="s">
        <v>54</v>
      </c>
      <c r="D77" s="8">
        <v>3</v>
      </c>
      <c r="E77" s="8">
        <v>3</v>
      </c>
      <c r="F77" s="8">
        <v>3</v>
      </c>
      <c r="G77" s="8">
        <v>3</v>
      </c>
      <c r="H77" s="8">
        <v>2</v>
      </c>
      <c r="I77" s="8">
        <v>3</v>
      </c>
      <c r="J77" s="8">
        <v>3</v>
      </c>
      <c r="K77" s="8">
        <v>3</v>
      </c>
      <c r="L77" s="8">
        <v>3</v>
      </c>
      <c r="M77" s="8">
        <v>3</v>
      </c>
      <c r="N77" s="8">
        <v>3</v>
      </c>
      <c r="O77" s="8">
        <v>3</v>
      </c>
      <c r="P77" s="8">
        <v>3</v>
      </c>
      <c r="Q77" s="8">
        <v>3</v>
      </c>
      <c r="R77" s="8">
        <v>3</v>
      </c>
      <c r="S77" s="8">
        <v>3</v>
      </c>
      <c r="T77" s="8">
        <v>2</v>
      </c>
      <c r="U77" s="8">
        <v>3</v>
      </c>
      <c r="V77" s="8">
        <v>3</v>
      </c>
      <c r="W77" s="8">
        <v>3</v>
      </c>
      <c r="X77" s="8">
        <v>3</v>
      </c>
    </row>
    <row r="79" spans="3:24" x14ac:dyDescent="0.6">
      <c r="C79" s="8" t="s">
        <v>53</v>
      </c>
      <c r="D79" s="8">
        <v>4</v>
      </c>
      <c r="E79" s="8">
        <v>4</v>
      </c>
      <c r="F79" s="8">
        <v>4</v>
      </c>
      <c r="G79" s="8">
        <v>3</v>
      </c>
      <c r="H79" s="8">
        <v>3</v>
      </c>
      <c r="I79" s="8">
        <v>3</v>
      </c>
      <c r="J79" s="8">
        <v>2</v>
      </c>
      <c r="K79" s="8">
        <v>2</v>
      </c>
      <c r="L79" s="8">
        <v>2</v>
      </c>
      <c r="M79" s="8">
        <v>2</v>
      </c>
      <c r="N79" s="8">
        <v>2</v>
      </c>
      <c r="O79" s="8">
        <v>2</v>
      </c>
      <c r="P79" s="8">
        <v>2</v>
      </c>
      <c r="Q79" s="8">
        <v>2</v>
      </c>
      <c r="R79" s="8">
        <v>2</v>
      </c>
      <c r="S79" s="8">
        <v>2</v>
      </c>
      <c r="T79" s="8">
        <v>3</v>
      </c>
      <c r="U79" s="8">
        <v>3</v>
      </c>
      <c r="V79" s="8">
        <v>4</v>
      </c>
      <c r="W79" s="8">
        <v>4</v>
      </c>
      <c r="X79" s="8">
        <v>4</v>
      </c>
    </row>
    <row r="81" spans="3:24" x14ac:dyDescent="0.6">
      <c r="C81" s="8" t="s">
        <v>54</v>
      </c>
      <c r="D81" s="8">
        <v>3</v>
      </c>
      <c r="E81" s="8">
        <v>3</v>
      </c>
      <c r="F81" s="8">
        <v>3</v>
      </c>
      <c r="G81" s="8">
        <v>3</v>
      </c>
      <c r="H81" s="8">
        <v>2</v>
      </c>
      <c r="I81" s="8">
        <v>3</v>
      </c>
      <c r="J81" s="8">
        <v>3</v>
      </c>
      <c r="K81" s="8">
        <v>3</v>
      </c>
      <c r="L81" s="8">
        <v>3</v>
      </c>
      <c r="M81" s="8">
        <v>3</v>
      </c>
      <c r="N81" s="8">
        <v>3</v>
      </c>
      <c r="O81" s="8">
        <v>3</v>
      </c>
      <c r="P81" s="8">
        <v>3</v>
      </c>
      <c r="Q81" s="8">
        <v>3</v>
      </c>
      <c r="R81" s="8">
        <v>3</v>
      </c>
      <c r="S81" s="8">
        <v>3</v>
      </c>
      <c r="T81" s="8">
        <v>2</v>
      </c>
      <c r="U81" s="8">
        <v>3</v>
      </c>
      <c r="V81" s="8">
        <v>3</v>
      </c>
      <c r="W81" s="8">
        <v>3</v>
      </c>
      <c r="X81" s="8">
        <v>3</v>
      </c>
    </row>
    <row r="83" spans="3:24" x14ac:dyDescent="0.6">
      <c r="C83" s="8" t="s">
        <v>53</v>
      </c>
      <c r="D83" s="8">
        <v>4</v>
      </c>
      <c r="E83" s="8">
        <v>4</v>
      </c>
      <c r="F83" s="8">
        <v>4</v>
      </c>
      <c r="G83" s="8">
        <v>3</v>
      </c>
      <c r="H83" s="8">
        <v>3</v>
      </c>
      <c r="I83" s="8">
        <v>3</v>
      </c>
      <c r="J83" s="8">
        <v>2</v>
      </c>
      <c r="K83" s="8">
        <v>2</v>
      </c>
      <c r="L83" s="8">
        <v>2</v>
      </c>
      <c r="M83" s="8">
        <v>2</v>
      </c>
      <c r="N83" s="8">
        <v>2</v>
      </c>
      <c r="O83" s="8">
        <v>2</v>
      </c>
      <c r="P83" s="8">
        <v>2</v>
      </c>
      <c r="Q83" s="8">
        <v>2</v>
      </c>
      <c r="R83" s="8">
        <v>2</v>
      </c>
      <c r="S83" s="8">
        <v>2</v>
      </c>
      <c r="T83" s="8">
        <v>3</v>
      </c>
      <c r="U83" s="8">
        <v>3</v>
      </c>
      <c r="V83" s="8">
        <v>4</v>
      </c>
      <c r="W83" s="8">
        <v>4</v>
      </c>
      <c r="X83" s="8">
        <v>4</v>
      </c>
    </row>
    <row r="85" spans="3:24" x14ac:dyDescent="0.6">
      <c r="C85" s="8" t="s">
        <v>54</v>
      </c>
      <c r="D85" s="8">
        <v>3</v>
      </c>
      <c r="E85" s="8">
        <v>3</v>
      </c>
      <c r="F85" s="8">
        <v>3</v>
      </c>
      <c r="G85" s="8">
        <v>3</v>
      </c>
      <c r="H85" s="8">
        <v>2</v>
      </c>
      <c r="I85" s="8">
        <v>3</v>
      </c>
      <c r="J85" s="8">
        <v>3</v>
      </c>
      <c r="K85" s="8">
        <v>3</v>
      </c>
      <c r="L85" s="8">
        <v>3</v>
      </c>
      <c r="M85" s="8">
        <v>3</v>
      </c>
      <c r="N85" s="8">
        <v>3</v>
      </c>
      <c r="O85" s="8">
        <v>3</v>
      </c>
      <c r="P85" s="8">
        <v>3</v>
      </c>
      <c r="Q85" s="8">
        <v>3</v>
      </c>
      <c r="R85" s="8">
        <v>3</v>
      </c>
      <c r="S85" s="8">
        <v>3</v>
      </c>
      <c r="T85" s="8">
        <v>2</v>
      </c>
      <c r="U85" s="8">
        <v>3</v>
      </c>
      <c r="V85" s="8">
        <v>3</v>
      </c>
      <c r="W85" s="8">
        <v>3</v>
      </c>
      <c r="X85" s="8">
        <v>3</v>
      </c>
    </row>
    <row r="87" spans="3:24" x14ac:dyDescent="0.6">
      <c r="C87" s="8" t="s">
        <v>53</v>
      </c>
      <c r="D87" s="8">
        <v>4</v>
      </c>
      <c r="E87" s="8">
        <v>4</v>
      </c>
      <c r="F87" s="8">
        <v>4</v>
      </c>
      <c r="G87" s="8">
        <v>3</v>
      </c>
      <c r="H87" s="8">
        <v>3</v>
      </c>
      <c r="I87" s="8">
        <v>3</v>
      </c>
      <c r="J87" s="8">
        <v>2</v>
      </c>
      <c r="K87" s="8">
        <v>2</v>
      </c>
      <c r="L87" s="8">
        <v>2</v>
      </c>
      <c r="M87" s="8">
        <v>2</v>
      </c>
      <c r="N87" s="8">
        <v>2</v>
      </c>
      <c r="O87" s="8">
        <v>2</v>
      </c>
      <c r="P87" s="8">
        <v>2</v>
      </c>
      <c r="Q87" s="8">
        <v>2</v>
      </c>
      <c r="R87" s="8">
        <v>2</v>
      </c>
      <c r="S87" s="8">
        <v>2</v>
      </c>
      <c r="T87" s="8">
        <v>3</v>
      </c>
      <c r="U87" s="8">
        <v>3</v>
      </c>
      <c r="V87" s="8">
        <v>4</v>
      </c>
      <c r="W87" s="8">
        <v>4</v>
      </c>
      <c r="X87" s="8">
        <v>4</v>
      </c>
    </row>
    <row r="89" spans="3:24" x14ac:dyDescent="0.6">
      <c r="C89" s="8" t="s">
        <v>54</v>
      </c>
      <c r="D89" s="8">
        <v>3</v>
      </c>
      <c r="E89" s="8">
        <v>3</v>
      </c>
      <c r="F89" s="8">
        <v>3</v>
      </c>
      <c r="G89" s="8">
        <v>3</v>
      </c>
      <c r="H89" s="8">
        <v>2</v>
      </c>
      <c r="I89" s="8">
        <v>3</v>
      </c>
      <c r="J89" s="8">
        <v>3</v>
      </c>
      <c r="K89" s="8">
        <v>3</v>
      </c>
      <c r="L89" s="8">
        <v>3</v>
      </c>
      <c r="M89" s="8">
        <v>3</v>
      </c>
      <c r="N89" s="8">
        <v>3</v>
      </c>
      <c r="O89" s="8">
        <v>3</v>
      </c>
      <c r="P89" s="8">
        <v>3</v>
      </c>
      <c r="Q89" s="8">
        <v>3</v>
      </c>
      <c r="R89" s="8">
        <v>3</v>
      </c>
      <c r="S89" s="8">
        <v>3</v>
      </c>
      <c r="T89" s="8">
        <v>2</v>
      </c>
      <c r="U89" s="8">
        <v>3</v>
      </c>
      <c r="V89" s="8">
        <v>3</v>
      </c>
      <c r="W89" s="8">
        <v>3</v>
      </c>
      <c r="X89" s="8">
        <v>3</v>
      </c>
    </row>
    <row r="91" spans="3:24" x14ac:dyDescent="0.6">
      <c r="C91" s="8" t="s">
        <v>53</v>
      </c>
      <c r="D91" s="8">
        <v>4</v>
      </c>
      <c r="E91" s="8">
        <v>4</v>
      </c>
      <c r="F91" s="8">
        <v>4</v>
      </c>
      <c r="G91" s="8">
        <v>3</v>
      </c>
      <c r="H91" s="8">
        <v>3</v>
      </c>
      <c r="I91" s="8">
        <v>3</v>
      </c>
      <c r="J91" s="8">
        <v>2</v>
      </c>
      <c r="K91" s="8">
        <v>2</v>
      </c>
      <c r="L91" s="8">
        <v>2</v>
      </c>
      <c r="M91" s="8">
        <v>2</v>
      </c>
      <c r="N91" s="8">
        <v>2</v>
      </c>
      <c r="O91" s="8">
        <v>2</v>
      </c>
      <c r="P91" s="8">
        <v>2</v>
      </c>
      <c r="Q91" s="8">
        <v>2</v>
      </c>
      <c r="R91" s="8">
        <v>2</v>
      </c>
      <c r="S91" s="8">
        <v>2</v>
      </c>
      <c r="T91" s="8">
        <v>3</v>
      </c>
      <c r="U91" s="8">
        <v>3</v>
      </c>
      <c r="V91" s="8">
        <v>4</v>
      </c>
      <c r="W91" s="8">
        <v>4</v>
      </c>
      <c r="X91" s="8">
        <v>4</v>
      </c>
    </row>
    <row r="93" spans="3:24" x14ac:dyDescent="0.6">
      <c r="C93" s="8" t="s">
        <v>54</v>
      </c>
      <c r="D93" s="8">
        <v>3</v>
      </c>
      <c r="E93" s="8">
        <v>3</v>
      </c>
      <c r="F93" s="8">
        <v>3</v>
      </c>
      <c r="G93" s="8">
        <v>3</v>
      </c>
      <c r="H93" s="8">
        <v>2</v>
      </c>
      <c r="I93" s="8">
        <v>3</v>
      </c>
      <c r="J93" s="8">
        <v>3</v>
      </c>
      <c r="K93" s="8">
        <v>3</v>
      </c>
      <c r="L93" s="8">
        <v>3</v>
      </c>
      <c r="M93" s="8">
        <v>3</v>
      </c>
      <c r="N93" s="8">
        <v>3</v>
      </c>
      <c r="O93" s="8">
        <v>3</v>
      </c>
      <c r="P93" s="8">
        <v>3</v>
      </c>
      <c r="Q93" s="8">
        <v>3</v>
      </c>
      <c r="R93" s="8">
        <v>3</v>
      </c>
      <c r="S93" s="8">
        <v>3</v>
      </c>
      <c r="T93" s="8">
        <v>2</v>
      </c>
      <c r="U93" s="8">
        <v>3</v>
      </c>
      <c r="V93" s="8">
        <v>3</v>
      </c>
      <c r="W93" s="8">
        <v>3</v>
      </c>
      <c r="X93" s="8">
        <v>3</v>
      </c>
    </row>
    <row r="95" spans="3:24" x14ac:dyDescent="0.6">
      <c r="C95" s="8" t="s">
        <v>53</v>
      </c>
      <c r="D95" s="8">
        <v>2</v>
      </c>
      <c r="E95" s="8">
        <v>2</v>
      </c>
      <c r="F95" s="8">
        <v>2</v>
      </c>
      <c r="G95" s="8">
        <v>2</v>
      </c>
      <c r="H95" s="8">
        <v>2</v>
      </c>
      <c r="I95" s="8">
        <v>2</v>
      </c>
      <c r="J95" s="8">
        <v>2</v>
      </c>
      <c r="K95" s="8">
        <v>2</v>
      </c>
      <c r="L95" s="8">
        <v>2</v>
      </c>
      <c r="M95" s="8">
        <v>2</v>
      </c>
      <c r="N95" s="8">
        <v>2</v>
      </c>
      <c r="O95" s="8">
        <v>2</v>
      </c>
      <c r="P95" s="8">
        <v>2</v>
      </c>
      <c r="Q95" s="8">
        <v>2</v>
      </c>
      <c r="R95" s="8">
        <v>2</v>
      </c>
      <c r="S95" s="8">
        <v>2</v>
      </c>
      <c r="T95" s="8">
        <v>3</v>
      </c>
      <c r="U95" s="8">
        <v>3</v>
      </c>
      <c r="V95" s="8">
        <v>4</v>
      </c>
      <c r="W95" s="8">
        <v>4</v>
      </c>
      <c r="X95" s="8">
        <v>4</v>
      </c>
    </row>
    <row r="97" spans="3:24" x14ac:dyDescent="0.6">
      <c r="C97" s="8" t="s">
        <v>54</v>
      </c>
      <c r="D97" s="8">
        <v>4</v>
      </c>
      <c r="E97" s="8">
        <v>4</v>
      </c>
      <c r="F97" s="8">
        <v>4</v>
      </c>
      <c r="G97" s="8">
        <v>3</v>
      </c>
      <c r="H97" s="8">
        <v>4</v>
      </c>
      <c r="I97" s="8">
        <v>4</v>
      </c>
      <c r="J97" s="8">
        <v>5</v>
      </c>
      <c r="K97" s="8">
        <v>5</v>
      </c>
      <c r="L97" s="8">
        <v>5</v>
      </c>
      <c r="M97" s="8">
        <v>5</v>
      </c>
      <c r="N97" s="8">
        <v>5</v>
      </c>
      <c r="O97" s="8">
        <v>5</v>
      </c>
      <c r="P97" s="8">
        <v>5</v>
      </c>
      <c r="Q97" s="8">
        <v>5</v>
      </c>
      <c r="R97" s="8">
        <v>5</v>
      </c>
      <c r="S97" s="8">
        <v>4</v>
      </c>
      <c r="T97" s="8">
        <v>4</v>
      </c>
      <c r="U97" s="8">
        <v>3</v>
      </c>
      <c r="V97" s="8">
        <v>3</v>
      </c>
      <c r="W97" s="8">
        <v>3</v>
      </c>
      <c r="X97" s="8">
        <v>3</v>
      </c>
    </row>
    <row r="99" spans="3:24" x14ac:dyDescent="0.6">
      <c r="C99" s="8" t="s">
        <v>53</v>
      </c>
      <c r="D99" s="8">
        <v>2</v>
      </c>
      <c r="E99" s="8">
        <v>2</v>
      </c>
      <c r="F99" s="8">
        <v>2</v>
      </c>
      <c r="G99" s="8">
        <v>2</v>
      </c>
      <c r="H99" s="8">
        <v>2</v>
      </c>
      <c r="I99" s="8">
        <v>2</v>
      </c>
      <c r="J99" s="8">
        <v>2</v>
      </c>
      <c r="K99" s="8">
        <v>2</v>
      </c>
      <c r="L99" s="8">
        <v>2</v>
      </c>
      <c r="M99" s="8">
        <v>2</v>
      </c>
      <c r="N99" s="8">
        <v>2</v>
      </c>
      <c r="O99" s="8">
        <v>2</v>
      </c>
      <c r="P99" s="8">
        <v>2</v>
      </c>
      <c r="Q99" s="8">
        <v>2</v>
      </c>
      <c r="R99" s="8">
        <v>2</v>
      </c>
      <c r="S99" s="8">
        <v>2</v>
      </c>
      <c r="T99" s="8">
        <v>3</v>
      </c>
      <c r="U99" s="8">
        <v>3</v>
      </c>
      <c r="V99" s="8">
        <v>4</v>
      </c>
      <c r="W99" s="8">
        <v>4</v>
      </c>
      <c r="X99" s="8">
        <v>4</v>
      </c>
    </row>
    <row r="101" spans="3:24" x14ac:dyDescent="0.6">
      <c r="C101" s="8" t="s">
        <v>54</v>
      </c>
      <c r="D101" s="8">
        <v>4</v>
      </c>
      <c r="E101" s="8">
        <v>4</v>
      </c>
      <c r="F101" s="8">
        <v>4</v>
      </c>
      <c r="G101" s="8">
        <v>3</v>
      </c>
      <c r="H101" s="8">
        <v>4</v>
      </c>
      <c r="I101" s="8">
        <v>4</v>
      </c>
      <c r="J101" s="8">
        <v>5</v>
      </c>
      <c r="K101" s="8">
        <v>5</v>
      </c>
      <c r="L101" s="8">
        <v>5</v>
      </c>
      <c r="M101" s="8">
        <v>5</v>
      </c>
      <c r="N101" s="8">
        <v>5</v>
      </c>
      <c r="O101" s="8">
        <v>5</v>
      </c>
      <c r="P101" s="8">
        <v>5</v>
      </c>
      <c r="Q101" s="8">
        <v>5</v>
      </c>
      <c r="R101" s="8">
        <v>5</v>
      </c>
      <c r="S101" s="8">
        <v>4</v>
      </c>
      <c r="T101" s="8">
        <v>4</v>
      </c>
      <c r="U101" s="8">
        <v>3</v>
      </c>
      <c r="V101" s="8">
        <v>3</v>
      </c>
      <c r="W101" s="8">
        <v>3</v>
      </c>
      <c r="X101" s="8">
        <v>3</v>
      </c>
    </row>
    <row r="103" spans="3:24" x14ac:dyDescent="0.6">
      <c r="C103" s="8" t="s">
        <v>53</v>
      </c>
      <c r="D103" s="8">
        <v>2</v>
      </c>
      <c r="E103" s="8">
        <v>2</v>
      </c>
      <c r="F103" s="8">
        <v>2</v>
      </c>
      <c r="G103" s="8">
        <v>2</v>
      </c>
      <c r="H103" s="8">
        <v>2</v>
      </c>
      <c r="I103" s="8">
        <v>2</v>
      </c>
      <c r="J103" s="8">
        <v>2</v>
      </c>
      <c r="K103" s="8">
        <v>2</v>
      </c>
      <c r="L103" s="8">
        <v>2</v>
      </c>
      <c r="M103" s="8">
        <v>2</v>
      </c>
      <c r="N103" s="8">
        <v>2</v>
      </c>
      <c r="O103" s="8">
        <v>2</v>
      </c>
      <c r="P103" s="8">
        <v>2</v>
      </c>
      <c r="Q103" s="8">
        <v>2</v>
      </c>
      <c r="R103" s="8">
        <v>2</v>
      </c>
      <c r="S103" s="8">
        <v>2</v>
      </c>
      <c r="T103" s="8">
        <v>2</v>
      </c>
      <c r="U103" s="8">
        <v>2</v>
      </c>
      <c r="V103" s="8">
        <v>2</v>
      </c>
      <c r="W103" s="8">
        <v>2</v>
      </c>
      <c r="X103" s="8">
        <v>2</v>
      </c>
    </row>
    <row r="105" spans="3:24" x14ac:dyDescent="0.6">
      <c r="C105" s="8" t="s">
        <v>54</v>
      </c>
      <c r="D105" s="8">
        <v>6</v>
      </c>
      <c r="E105" s="8">
        <v>6</v>
      </c>
      <c r="F105" s="8">
        <v>5</v>
      </c>
      <c r="G105" s="8">
        <v>5</v>
      </c>
      <c r="H105" s="8">
        <v>5</v>
      </c>
      <c r="I105" s="8">
        <v>6</v>
      </c>
      <c r="J105" s="8">
        <v>6</v>
      </c>
      <c r="K105" s="8">
        <v>7</v>
      </c>
      <c r="L105" s="8">
        <v>7</v>
      </c>
      <c r="M105" s="8">
        <v>7</v>
      </c>
      <c r="N105" s="8">
        <v>7</v>
      </c>
      <c r="O105" s="8">
        <v>7</v>
      </c>
      <c r="P105" s="8">
        <v>7</v>
      </c>
      <c r="Q105" s="8">
        <v>7</v>
      </c>
      <c r="R105" s="8">
        <v>6</v>
      </c>
      <c r="S105" s="8">
        <v>6</v>
      </c>
      <c r="T105" s="8">
        <v>5</v>
      </c>
      <c r="U105" s="8">
        <v>5</v>
      </c>
      <c r="V105" s="8">
        <v>5</v>
      </c>
      <c r="W105" s="8">
        <v>6</v>
      </c>
      <c r="X105" s="8">
        <v>6</v>
      </c>
    </row>
    <row r="107" spans="3:24" x14ac:dyDescent="0.6">
      <c r="C107" s="8" t="s">
        <v>53</v>
      </c>
      <c r="D107" s="8">
        <v>2</v>
      </c>
      <c r="E107" s="8">
        <v>2</v>
      </c>
      <c r="F107" s="8">
        <v>2</v>
      </c>
      <c r="G107" s="8">
        <v>2</v>
      </c>
      <c r="H107" s="8">
        <v>2</v>
      </c>
      <c r="I107" s="8">
        <v>2</v>
      </c>
      <c r="J107" s="8">
        <v>2</v>
      </c>
      <c r="K107" s="8">
        <v>2</v>
      </c>
      <c r="L107" s="8">
        <v>2</v>
      </c>
      <c r="M107" s="8">
        <v>2</v>
      </c>
      <c r="N107" s="8">
        <v>2</v>
      </c>
      <c r="O107" s="8">
        <v>2</v>
      </c>
      <c r="P107" s="8">
        <v>2</v>
      </c>
      <c r="Q107" s="8">
        <v>2</v>
      </c>
      <c r="R107" s="8">
        <v>2</v>
      </c>
      <c r="S107" s="8">
        <v>2</v>
      </c>
      <c r="T107" s="8">
        <v>2</v>
      </c>
      <c r="U107" s="8">
        <v>2</v>
      </c>
      <c r="V107" s="8">
        <v>2</v>
      </c>
      <c r="W107" s="8">
        <v>2</v>
      </c>
      <c r="X107" s="8">
        <v>2</v>
      </c>
    </row>
    <row r="109" spans="3:24" x14ac:dyDescent="0.6">
      <c r="C109" s="8" t="s">
        <v>54</v>
      </c>
      <c r="D109" s="8">
        <v>6</v>
      </c>
      <c r="E109" s="8">
        <v>6</v>
      </c>
      <c r="F109" s="8">
        <v>5</v>
      </c>
      <c r="G109" s="8">
        <v>5</v>
      </c>
      <c r="H109" s="8">
        <v>5</v>
      </c>
      <c r="I109" s="8">
        <v>6</v>
      </c>
      <c r="J109" s="8">
        <v>6</v>
      </c>
      <c r="K109" s="8">
        <v>7</v>
      </c>
      <c r="L109" s="8">
        <v>7</v>
      </c>
      <c r="M109" s="8">
        <v>7</v>
      </c>
      <c r="N109" s="8">
        <v>7</v>
      </c>
      <c r="O109" s="8">
        <v>7</v>
      </c>
      <c r="P109" s="8">
        <v>7</v>
      </c>
      <c r="Q109" s="8">
        <v>7</v>
      </c>
      <c r="R109" s="8">
        <v>6</v>
      </c>
      <c r="S109" s="8">
        <v>6</v>
      </c>
      <c r="T109" s="8">
        <v>5</v>
      </c>
      <c r="U109" s="8">
        <v>5</v>
      </c>
      <c r="V109" s="8">
        <v>5</v>
      </c>
      <c r="W109" s="8">
        <v>6</v>
      </c>
      <c r="X109" s="8">
        <v>6</v>
      </c>
    </row>
    <row r="111" spans="3:24" x14ac:dyDescent="0.6">
      <c r="C111" s="8" t="s">
        <v>53</v>
      </c>
      <c r="D111" s="8">
        <v>2</v>
      </c>
      <c r="E111" s="8">
        <v>2</v>
      </c>
      <c r="F111" s="8">
        <v>2</v>
      </c>
      <c r="G111" s="8">
        <v>2</v>
      </c>
      <c r="H111" s="8">
        <v>2</v>
      </c>
      <c r="I111" s="8">
        <v>2</v>
      </c>
      <c r="J111" s="8">
        <v>2</v>
      </c>
      <c r="K111" s="8">
        <v>2</v>
      </c>
      <c r="L111" s="8">
        <v>2</v>
      </c>
      <c r="M111" s="8">
        <v>2</v>
      </c>
      <c r="N111" s="8">
        <v>2</v>
      </c>
      <c r="O111" s="8">
        <v>2</v>
      </c>
      <c r="P111" s="8">
        <v>2</v>
      </c>
      <c r="Q111" s="8">
        <v>2</v>
      </c>
      <c r="R111" s="8">
        <v>2</v>
      </c>
      <c r="S111" s="8">
        <v>3</v>
      </c>
      <c r="T111" s="8">
        <v>3</v>
      </c>
      <c r="U111" s="8">
        <v>4</v>
      </c>
      <c r="V111" s="8">
        <v>4</v>
      </c>
      <c r="W111" s="8">
        <v>5</v>
      </c>
      <c r="X111" s="8">
        <v>5</v>
      </c>
    </row>
    <row r="113" spans="3:24" x14ac:dyDescent="0.6">
      <c r="C113" s="8" t="s">
        <v>54</v>
      </c>
      <c r="D113" s="8">
        <v>4</v>
      </c>
      <c r="E113" s="8">
        <v>4</v>
      </c>
      <c r="F113" s="8">
        <v>4</v>
      </c>
      <c r="G113" s="8">
        <v>3</v>
      </c>
      <c r="H113" s="8">
        <v>4</v>
      </c>
      <c r="I113" s="8">
        <v>4</v>
      </c>
      <c r="J113" s="8">
        <v>5</v>
      </c>
      <c r="K113" s="8">
        <v>5</v>
      </c>
      <c r="L113" s="8">
        <v>5</v>
      </c>
      <c r="M113" s="8">
        <v>5</v>
      </c>
      <c r="N113" s="8">
        <v>5</v>
      </c>
      <c r="O113" s="8">
        <v>5</v>
      </c>
      <c r="P113" s="8">
        <v>5</v>
      </c>
      <c r="Q113" s="8">
        <v>5</v>
      </c>
      <c r="R113" s="8">
        <v>5</v>
      </c>
      <c r="S113" s="8">
        <v>4</v>
      </c>
      <c r="T113" s="8">
        <v>4</v>
      </c>
      <c r="U113" s="8">
        <v>3</v>
      </c>
      <c r="V113" s="8">
        <v>3</v>
      </c>
      <c r="W113" s="8">
        <v>3</v>
      </c>
      <c r="X113" s="8">
        <v>3</v>
      </c>
    </row>
    <row r="115" spans="3:24" x14ac:dyDescent="0.6">
      <c r="C115" s="8" t="s">
        <v>53</v>
      </c>
      <c r="D115" s="8">
        <v>2</v>
      </c>
      <c r="E115" s="8">
        <v>2</v>
      </c>
      <c r="F115" s="8">
        <v>2</v>
      </c>
      <c r="G115" s="8">
        <v>2</v>
      </c>
      <c r="H115" s="8">
        <v>2</v>
      </c>
      <c r="I115" s="8">
        <v>2</v>
      </c>
      <c r="J115" s="8">
        <v>2</v>
      </c>
      <c r="K115" s="8">
        <v>2</v>
      </c>
      <c r="L115" s="8">
        <v>2</v>
      </c>
      <c r="M115" s="8">
        <v>2</v>
      </c>
      <c r="N115" s="8">
        <v>2</v>
      </c>
      <c r="O115" s="8">
        <v>2</v>
      </c>
      <c r="P115" s="8">
        <v>2</v>
      </c>
      <c r="Q115" s="8">
        <v>2</v>
      </c>
      <c r="R115" s="8">
        <v>2</v>
      </c>
      <c r="S115" s="8">
        <v>3</v>
      </c>
      <c r="T115" s="8">
        <v>3</v>
      </c>
      <c r="U115" s="8">
        <v>4</v>
      </c>
      <c r="V115" s="8">
        <v>4</v>
      </c>
      <c r="W115" s="8">
        <v>5</v>
      </c>
      <c r="X115" s="8">
        <v>5</v>
      </c>
    </row>
    <row r="117" spans="3:24" x14ac:dyDescent="0.6">
      <c r="C117" s="8" t="s">
        <v>54</v>
      </c>
      <c r="D117" s="8">
        <v>4</v>
      </c>
      <c r="E117" s="8">
        <v>4</v>
      </c>
      <c r="F117" s="8">
        <v>4</v>
      </c>
      <c r="G117" s="8">
        <v>3</v>
      </c>
      <c r="H117" s="8">
        <v>4</v>
      </c>
      <c r="I117" s="8">
        <v>4</v>
      </c>
      <c r="J117" s="8">
        <v>5</v>
      </c>
      <c r="K117" s="8">
        <v>5</v>
      </c>
      <c r="L117" s="8">
        <v>5</v>
      </c>
      <c r="M117" s="8">
        <v>5</v>
      </c>
      <c r="N117" s="8">
        <v>5</v>
      </c>
      <c r="O117" s="8">
        <v>5</v>
      </c>
      <c r="P117" s="8">
        <v>5</v>
      </c>
      <c r="Q117" s="8">
        <v>5</v>
      </c>
      <c r="R117" s="8">
        <v>5</v>
      </c>
      <c r="S117" s="8">
        <v>4</v>
      </c>
      <c r="T117" s="8">
        <v>4</v>
      </c>
      <c r="U117" s="8">
        <v>3</v>
      </c>
      <c r="V117" s="8">
        <v>3</v>
      </c>
      <c r="W117" s="8">
        <v>3</v>
      </c>
      <c r="X117" s="8">
        <v>3</v>
      </c>
    </row>
    <row r="119" spans="3:24" x14ac:dyDescent="0.6">
      <c r="C119" s="8" t="s">
        <v>53</v>
      </c>
      <c r="D119" s="8">
        <v>5</v>
      </c>
      <c r="E119" s="8">
        <v>5</v>
      </c>
      <c r="F119" s="8">
        <v>4</v>
      </c>
      <c r="G119" s="8">
        <v>4</v>
      </c>
      <c r="H119" s="8">
        <v>4</v>
      </c>
      <c r="I119" s="8">
        <v>3</v>
      </c>
      <c r="J119" s="8">
        <v>3</v>
      </c>
      <c r="K119" s="8">
        <v>2</v>
      </c>
      <c r="L119" s="8">
        <v>2</v>
      </c>
      <c r="M119" s="8">
        <v>2</v>
      </c>
      <c r="N119" s="8">
        <v>2</v>
      </c>
      <c r="O119" s="8">
        <v>2</v>
      </c>
      <c r="P119" s="8">
        <v>2</v>
      </c>
      <c r="Q119" s="8">
        <v>2</v>
      </c>
      <c r="R119" s="8">
        <v>2</v>
      </c>
      <c r="S119" s="8">
        <v>2</v>
      </c>
      <c r="T119" s="8">
        <v>2</v>
      </c>
      <c r="U119" s="8">
        <v>2</v>
      </c>
      <c r="V119" s="8">
        <v>2</v>
      </c>
      <c r="W119" s="8">
        <v>2</v>
      </c>
      <c r="X119" s="8">
        <v>2</v>
      </c>
    </row>
    <row r="121" spans="3:24" x14ac:dyDescent="0.6">
      <c r="C121" s="8" t="s">
        <v>54</v>
      </c>
      <c r="D121" s="8">
        <v>3</v>
      </c>
      <c r="E121" s="8">
        <v>3</v>
      </c>
      <c r="F121" s="8">
        <v>3</v>
      </c>
      <c r="G121" s="8">
        <v>3</v>
      </c>
      <c r="H121" s="8">
        <v>4</v>
      </c>
      <c r="I121" s="8">
        <v>4</v>
      </c>
      <c r="J121" s="8">
        <v>5</v>
      </c>
      <c r="K121" s="8">
        <v>5</v>
      </c>
      <c r="L121" s="8">
        <v>5</v>
      </c>
      <c r="M121" s="8">
        <v>5</v>
      </c>
      <c r="N121" s="8">
        <v>5</v>
      </c>
      <c r="O121" s="8">
        <v>5</v>
      </c>
      <c r="P121" s="8">
        <v>5</v>
      </c>
      <c r="Q121" s="8">
        <v>5</v>
      </c>
      <c r="R121" s="8">
        <v>5</v>
      </c>
      <c r="S121" s="8">
        <v>4</v>
      </c>
      <c r="T121" s="8">
        <v>4</v>
      </c>
      <c r="U121" s="8">
        <v>3</v>
      </c>
      <c r="V121" s="8">
        <v>4</v>
      </c>
      <c r="W121" s="8">
        <v>4</v>
      </c>
      <c r="X121" s="8">
        <v>4</v>
      </c>
    </row>
    <row r="123" spans="3:24" x14ac:dyDescent="0.6">
      <c r="C123" s="8" t="s">
        <v>53</v>
      </c>
      <c r="D123" s="8">
        <v>5</v>
      </c>
      <c r="E123" s="8">
        <v>5</v>
      </c>
      <c r="F123" s="8">
        <v>4</v>
      </c>
      <c r="G123" s="8">
        <v>4</v>
      </c>
      <c r="H123" s="8">
        <v>4</v>
      </c>
      <c r="I123" s="8">
        <v>3</v>
      </c>
      <c r="J123" s="8">
        <v>3</v>
      </c>
      <c r="K123" s="8">
        <v>2</v>
      </c>
      <c r="L123" s="8">
        <v>2</v>
      </c>
      <c r="M123" s="8">
        <v>2</v>
      </c>
      <c r="N123" s="8">
        <v>2</v>
      </c>
      <c r="O123" s="8">
        <v>2</v>
      </c>
      <c r="P123" s="8">
        <v>2</v>
      </c>
      <c r="Q123" s="8">
        <v>2</v>
      </c>
      <c r="R123" s="8">
        <v>2</v>
      </c>
      <c r="S123" s="8">
        <v>2</v>
      </c>
      <c r="T123" s="8">
        <v>2</v>
      </c>
      <c r="U123" s="8">
        <v>2</v>
      </c>
      <c r="V123" s="8">
        <v>2</v>
      </c>
      <c r="W123" s="8">
        <v>2</v>
      </c>
      <c r="X123" s="8">
        <v>2</v>
      </c>
    </row>
    <row r="125" spans="3:24" x14ac:dyDescent="0.6">
      <c r="C125" s="8" t="s">
        <v>54</v>
      </c>
      <c r="D125" s="8">
        <v>3</v>
      </c>
      <c r="E125" s="8">
        <v>3</v>
      </c>
      <c r="F125" s="8">
        <v>3</v>
      </c>
      <c r="G125" s="8">
        <v>3</v>
      </c>
      <c r="H125" s="8">
        <v>4</v>
      </c>
      <c r="I125" s="8">
        <v>4</v>
      </c>
      <c r="J125" s="8">
        <v>5</v>
      </c>
      <c r="K125" s="8">
        <v>5</v>
      </c>
      <c r="L125" s="8">
        <v>5</v>
      </c>
      <c r="M125" s="8">
        <v>5</v>
      </c>
      <c r="N125" s="8">
        <v>5</v>
      </c>
      <c r="O125" s="8">
        <v>5</v>
      </c>
      <c r="P125" s="8">
        <v>5</v>
      </c>
      <c r="Q125" s="8">
        <v>5</v>
      </c>
      <c r="R125" s="8">
        <v>5</v>
      </c>
      <c r="S125" s="8">
        <v>4</v>
      </c>
      <c r="T125" s="8">
        <v>4</v>
      </c>
      <c r="U125" s="8">
        <v>3</v>
      </c>
      <c r="V125" s="8">
        <v>4</v>
      </c>
      <c r="W125" s="8">
        <v>4</v>
      </c>
      <c r="X125" s="8">
        <v>4</v>
      </c>
    </row>
    <row r="127" spans="3:24" x14ac:dyDescent="0.6">
      <c r="C127" s="8" t="s">
        <v>53</v>
      </c>
      <c r="D127" s="8">
        <v>2</v>
      </c>
      <c r="E127" s="8">
        <v>2</v>
      </c>
      <c r="F127" s="8">
        <v>2</v>
      </c>
      <c r="G127" s="8">
        <v>2</v>
      </c>
      <c r="H127" s="8">
        <v>2</v>
      </c>
      <c r="I127" s="8">
        <v>2</v>
      </c>
      <c r="J127" s="8">
        <v>2</v>
      </c>
      <c r="K127" s="8">
        <v>2</v>
      </c>
      <c r="L127" s="8">
        <v>2</v>
      </c>
      <c r="M127" s="8">
        <v>2</v>
      </c>
      <c r="N127" s="8">
        <v>2</v>
      </c>
      <c r="O127" s="8">
        <v>2</v>
      </c>
      <c r="P127" s="8">
        <v>2</v>
      </c>
      <c r="Q127" s="8">
        <v>2</v>
      </c>
      <c r="R127" s="8">
        <v>2</v>
      </c>
      <c r="S127" s="8">
        <v>2</v>
      </c>
      <c r="T127" s="8">
        <v>2</v>
      </c>
      <c r="U127" s="8">
        <v>2</v>
      </c>
      <c r="V127" s="8">
        <v>2</v>
      </c>
      <c r="W127" s="8">
        <v>2</v>
      </c>
      <c r="X127" s="8">
        <v>2</v>
      </c>
    </row>
    <row r="129" spans="3:24" x14ac:dyDescent="0.6">
      <c r="C129" s="8" t="s">
        <v>54</v>
      </c>
      <c r="D129" s="8">
        <v>5</v>
      </c>
      <c r="E129" s="8">
        <v>5</v>
      </c>
      <c r="F129" s="8">
        <v>4</v>
      </c>
      <c r="G129" s="8">
        <v>4</v>
      </c>
      <c r="H129" s="8">
        <v>4</v>
      </c>
      <c r="I129" s="8">
        <v>5</v>
      </c>
      <c r="J129" s="8">
        <v>6</v>
      </c>
      <c r="K129" s="8">
        <v>6</v>
      </c>
      <c r="L129" s="8">
        <v>6</v>
      </c>
      <c r="M129" s="8">
        <v>6</v>
      </c>
      <c r="N129" s="8">
        <v>6</v>
      </c>
      <c r="O129" s="8">
        <v>6</v>
      </c>
      <c r="P129" s="8">
        <v>6</v>
      </c>
      <c r="Q129" s="8">
        <v>6</v>
      </c>
      <c r="R129" s="8">
        <v>6</v>
      </c>
      <c r="S129" s="8">
        <v>5</v>
      </c>
      <c r="T129" s="8">
        <v>4</v>
      </c>
      <c r="U129" s="8">
        <v>4</v>
      </c>
      <c r="V129" s="8">
        <v>4</v>
      </c>
      <c r="W129" s="8">
        <v>5</v>
      </c>
      <c r="X129" s="8">
        <v>5</v>
      </c>
    </row>
    <row r="131" spans="3:24" x14ac:dyDescent="0.6">
      <c r="C131" s="8" t="s">
        <v>53</v>
      </c>
      <c r="D131" s="8">
        <v>2</v>
      </c>
      <c r="E131" s="8">
        <v>2</v>
      </c>
      <c r="F131" s="8">
        <v>2</v>
      </c>
      <c r="G131" s="8">
        <v>2</v>
      </c>
      <c r="H131" s="8">
        <v>2</v>
      </c>
      <c r="I131" s="8">
        <v>2</v>
      </c>
      <c r="J131" s="8">
        <v>2</v>
      </c>
      <c r="K131" s="8">
        <v>2</v>
      </c>
      <c r="L131" s="8">
        <v>2</v>
      </c>
      <c r="M131" s="8">
        <v>2</v>
      </c>
      <c r="N131" s="8">
        <v>2</v>
      </c>
      <c r="O131" s="8">
        <v>2</v>
      </c>
      <c r="P131" s="8">
        <v>2</v>
      </c>
      <c r="Q131" s="8">
        <v>2</v>
      </c>
      <c r="R131" s="8">
        <v>2</v>
      </c>
      <c r="S131" s="8">
        <v>2</v>
      </c>
      <c r="T131" s="8">
        <v>2</v>
      </c>
      <c r="U131" s="8">
        <v>2</v>
      </c>
      <c r="V131" s="8">
        <v>2</v>
      </c>
      <c r="W131" s="8">
        <v>2</v>
      </c>
      <c r="X131" s="8">
        <v>2</v>
      </c>
    </row>
    <row r="133" spans="3:24" x14ac:dyDescent="0.6">
      <c r="C133" s="8" t="s">
        <v>54</v>
      </c>
      <c r="D133" s="8">
        <v>5</v>
      </c>
      <c r="E133" s="8">
        <v>5</v>
      </c>
      <c r="F133" s="8">
        <v>4</v>
      </c>
      <c r="G133" s="8">
        <v>4</v>
      </c>
      <c r="H133" s="8">
        <v>4</v>
      </c>
      <c r="I133" s="8">
        <v>5</v>
      </c>
      <c r="J133" s="8">
        <v>6</v>
      </c>
      <c r="K133" s="8">
        <v>6</v>
      </c>
      <c r="L133" s="8">
        <v>6</v>
      </c>
      <c r="M133" s="8">
        <v>6</v>
      </c>
      <c r="N133" s="8">
        <v>6</v>
      </c>
      <c r="O133" s="8">
        <v>6</v>
      </c>
      <c r="P133" s="8">
        <v>6</v>
      </c>
      <c r="Q133" s="8">
        <v>6</v>
      </c>
      <c r="R133" s="8">
        <v>6</v>
      </c>
      <c r="S133" s="8">
        <v>5</v>
      </c>
      <c r="T133" s="8">
        <v>4</v>
      </c>
      <c r="U133" s="8">
        <v>4</v>
      </c>
      <c r="V133" s="8">
        <v>4</v>
      </c>
      <c r="W133" s="8">
        <v>5</v>
      </c>
      <c r="X133" s="8">
        <v>5</v>
      </c>
    </row>
    <row r="135" spans="3:24" x14ac:dyDescent="0.6">
      <c r="C135" s="8" t="s">
        <v>53</v>
      </c>
      <c r="D135" s="8">
        <v>2</v>
      </c>
      <c r="E135" s="8">
        <v>2</v>
      </c>
      <c r="F135" s="8">
        <v>2</v>
      </c>
      <c r="G135" s="8">
        <v>2</v>
      </c>
      <c r="H135" s="8">
        <v>2</v>
      </c>
      <c r="I135" s="8">
        <v>2</v>
      </c>
      <c r="J135" s="8">
        <v>2</v>
      </c>
      <c r="K135" s="8">
        <v>2</v>
      </c>
      <c r="L135" s="8">
        <v>2</v>
      </c>
      <c r="M135" s="8">
        <v>2</v>
      </c>
      <c r="N135" s="8">
        <v>2</v>
      </c>
      <c r="O135" s="8">
        <v>2</v>
      </c>
      <c r="P135" s="8">
        <v>2</v>
      </c>
      <c r="Q135" s="8">
        <v>2</v>
      </c>
      <c r="R135" s="8">
        <v>2</v>
      </c>
      <c r="S135" s="8">
        <v>2</v>
      </c>
      <c r="T135" s="8">
        <v>2</v>
      </c>
      <c r="U135" s="8">
        <v>2</v>
      </c>
      <c r="V135" s="8">
        <v>2</v>
      </c>
      <c r="W135" s="8">
        <v>2</v>
      </c>
      <c r="X135" s="8">
        <v>2</v>
      </c>
    </row>
    <row r="137" spans="3:24" x14ac:dyDescent="0.6">
      <c r="C137" s="8" t="s">
        <v>54</v>
      </c>
      <c r="D137" s="8">
        <v>5</v>
      </c>
      <c r="E137" s="8">
        <v>5</v>
      </c>
      <c r="F137" s="8">
        <v>4</v>
      </c>
      <c r="G137" s="8">
        <v>4</v>
      </c>
      <c r="H137" s="8">
        <v>4</v>
      </c>
      <c r="I137" s="8">
        <v>5</v>
      </c>
      <c r="J137" s="8">
        <v>6</v>
      </c>
      <c r="K137" s="8">
        <v>6</v>
      </c>
      <c r="L137" s="8">
        <v>6</v>
      </c>
      <c r="M137" s="8">
        <v>6</v>
      </c>
      <c r="N137" s="8">
        <v>6</v>
      </c>
      <c r="O137" s="8">
        <v>6</v>
      </c>
      <c r="P137" s="8">
        <v>6</v>
      </c>
      <c r="Q137" s="8">
        <v>6</v>
      </c>
      <c r="R137" s="8">
        <v>6</v>
      </c>
      <c r="S137" s="8">
        <v>5</v>
      </c>
      <c r="T137" s="8">
        <v>4</v>
      </c>
      <c r="U137" s="8">
        <v>4</v>
      </c>
      <c r="V137" s="8">
        <v>4</v>
      </c>
      <c r="W137" s="8">
        <v>5</v>
      </c>
      <c r="X137" s="8">
        <v>5</v>
      </c>
    </row>
    <row r="139" spans="3:24" x14ac:dyDescent="0.6">
      <c r="C139" s="8" t="s">
        <v>53</v>
      </c>
      <c r="D139" s="8">
        <v>2</v>
      </c>
      <c r="E139" s="8">
        <v>2</v>
      </c>
      <c r="F139" s="8">
        <v>2</v>
      </c>
      <c r="G139" s="8">
        <v>2</v>
      </c>
      <c r="H139" s="8">
        <v>2</v>
      </c>
      <c r="I139" s="8">
        <v>2</v>
      </c>
      <c r="J139" s="8">
        <v>2</v>
      </c>
      <c r="K139" s="8">
        <v>2</v>
      </c>
      <c r="L139" s="8">
        <v>2</v>
      </c>
      <c r="M139" s="8">
        <v>2</v>
      </c>
      <c r="N139" s="8">
        <v>2</v>
      </c>
      <c r="O139" s="8">
        <v>2</v>
      </c>
      <c r="P139" s="8">
        <v>2</v>
      </c>
      <c r="Q139" s="8">
        <v>2</v>
      </c>
      <c r="R139" s="8">
        <v>2</v>
      </c>
      <c r="S139" s="8">
        <v>2</v>
      </c>
      <c r="T139" s="8">
        <v>2</v>
      </c>
      <c r="U139" s="8">
        <v>2</v>
      </c>
      <c r="V139" s="8">
        <v>2</v>
      </c>
      <c r="W139" s="8">
        <v>2</v>
      </c>
      <c r="X139" s="8">
        <v>2</v>
      </c>
    </row>
    <row r="141" spans="3:24" x14ac:dyDescent="0.6">
      <c r="C141" s="8" t="s">
        <v>54</v>
      </c>
      <c r="D141" s="8">
        <v>9</v>
      </c>
      <c r="E141" s="8">
        <v>9</v>
      </c>
      <c r="F141" s="8">
        <v>8</v>
      </c>
      <c r="G141" s="8">
        <v>7</v>
      </c>
      <c r="H141" s="8">
        <v>8</v>
      </c>
      <c r="I141" s="8">
        <v>9</v>
      </c>
      <c r="J141" s="8">
        <v>10</v>
      </c>
      <c r="K141" s="8">
        <v>11</v>
      </c>
      <c r="L141" s="8">
        <v>11</v>
      </c>
      <c r="M141" s="8">
        <v>11</v>
      </c>
      <c r="N141" s="8">
        <v>11</v>
      </c>
      <c r="O141" s="8">
        <v>11</v>
      </c>
      <c r="P141" s="8">
        <v>11</v>
      </c>
      <c r="Q141" s="8">
        <v>11</v>
      </c>
      <c r="R141" s="8">
        <v>10</v>
      </c>
      <c r="S141" s="8">
        <v>9</v>
      </c>
      <c r="T141" s="8">
        <v>8</v>
      </c>
      <c r="U141" s="8">
        <v>6</v>
      </c>
      <c r="V141" s="8">
        <v>7</v>
      </c>
      <c r="W141" s="8">
        <v>8</v>
      </c>
      <c r="X141" s="8">
        <v>8</v>
      </c>
    </row>
    <row r="143" spans="3:24" x14ac:dyDescent="0.6">
      <c r="C143" s="8" t="s">
        <v>53</v>
      </c>
      <c r="D143" s="8">
        <v>2</v>
      </c>
      <c r="E143" s="8">
        <v>2</v>
      </c>
      <c r="F143" s="8">
        <v>2</v>
      </c>
      <c r="G143" s="8">
        <v>2</v>
      </c>
      <c r="H143" s="8">
        <v>2</v>
      </c>
      <c r="I143" s="8">
        <v>2</v>
      </c>
      <c r="J143" s="8">
        <v>2</v>
      </c>
      <c r="K143" s="8">
        <v>2</v>
      </c>
      <c r="L143" s="8">
        <v>2</v>
      </c>
      <c r="M143" s="8">
        <v>2</v>
      </c>
      <c r="N143" s="8">
        <v>2</v>
      </c>
      <c r="O143" s="8">
        <v>2</v>
      </c>
      <c r="P143" s="8">
        <v>2</v>
      </c>
      <c r="Q143" s="8">
        <v>2</v>
      </c>
      <c r="R143" s="8">
        <v>2</v>
      </c>
      <c r="S143" s="8">
        <v>2</v>
      </c>
      <c r="T143" s="8">
        <v>2</v>
      </c>
      <c r="U143" s="8">
        <v>2</v>
      </c>
      <c r="V143" s="8">
        <v>2</v>
      </c>
      <c r="W143" s="8">
        <v>2</v>
      </c>
      <c r="X143" s="8">
        <v>2</v>
      </c>
    </row>
    <row r="145" spans="3:24" x14ac:dyDescent="0.6">
      <c r="C145" s="8" t="s">
        <v>54</v>
      </c>
      <c r="D145" s="8">
        <v>3</v>
      </c>
      <c r="E145" s="8">
        <v>3</v>
      </c>
      <c r="F145" s="8">
        <v>3</v>
      </c>
      <c r="G145" s="8">
        <v>3</v>
      </c>
      <c r="H145" s="8">
        <v>2</v>
      </c>
      <c r="I145" s="8">
        <v>3</v>
      </c>
      <c r="J145" s="8">
        <v>3</v>
      </c>
      <c r="K145" s="8">
        <v>3</v>
      </c>
      <c r="L145" s="8">
        <v>3</v>
      </c>
      <c r="M145" s="8">
        <v>3</v>
      </c>
      <c r="N145" s="8">
        <v>3</v>
      </c>
      <c r="O145" s="8">
        <v>3</v>
      </c>
      <c r="P145" s="8">
        <v>3</v>
      </c>
      <c r="Q145" s="8">
        <v>3</v>
      </c>
      <c r="R145" s="8">
        <v>3</v>
      </c>
      <c r="S145" s="8">
        <v>3</v>
      </c>
      <c r="T145" s="8">
        <v>2</v>
      </c>
      <c r="U145" s="8">
        <v>3</v>
      </c>
      <c r="V145" s="8">
        <v>3</v>
      </c>
      <c r="W145" s="8">
        <v>3</v>
      </c>
      <c r="X145" s="8">
        <v>3</v>
      </c>
    </row>
    <row r="147" spans="3:24" x14ac:dyDescent="0.6">
      <c r="C147" s="8" t="s">
        <v>53</v>
      </c>
      <c r="D147" s="8">
        <v>2</v>
      </c>
      <c r="E147" s="8">
        <v>2</v>
      </c>
      <c r="F147" s="8">
        <v>2</v>
      </c>
      <c r="G147" s="8">
        <v>2</v>
      </c>
      <c r="H147" s="8">
        <v>2</v>
      </c>
      <c r="I147" s="8">
        <v>2</v>
      </c>
      <c r="J147" s="8">
        <v>2</v>
      </c>
      <c r="K147" s="8">
        <v>2</v>
      </c>
      <c r="L147" s="8">
        <v>2</v>
      </c>
      <c r="M147" s="8">
        <v>2</v>
      </c>
      <c r="N147" s="8">
        <v>2</v>
      </c>
      <c r="O147" s="8">
        <v>2</v>
      </c>
      <c r="P147" s="8">
        <v>2</v>
      </c>
      <c r="Q147" s="8">
        <v>2</v>
      </c>
      <c r="R147" s="8">
        <v>2</v>
      </c>
      <c r="S147" s="8">
        <v>2</v>
      </c>
      <c r="T147" s="8">
        <v>2</v>
      </c>
      <c r="U147" s="8">
        <v>2</v>
      </c>
      <c r="V147" s="8">
        <v>2</v>
      </c>
      <c r="W147" s="8">
        <v>2</v>
      </c>
      <c r="X147" s="8">
        <v>2</v>
      </c>
    </row>
    <row r="149" spans="3:24" x14ac:dyDescent="0.6">
      <c r="C149" s="8" t="s">
        <v>54</v>
      </c>
      <c r="D149" s="8">
        <v>3</v>
      </c>
      <c r="E149" s="8">
        <v>3</v>
      </c>
      <c r="F149" s="8">
        <v>3</v>
      </c>
      <c r="G149" s="8">
        <v>3</v>
      </c>
      <c r="H149" s="8">
        <v>2</v>
      </c>
      <c r="I149" s="8">
        <v>3</v>
      </c>
      <c r="J149" s="8">
        <v>3</v>
      </c>
      <c r="K149" s="8">
        <v>3</v>
      </c>
      <c r="L149" s="8">
        <v>3</v>
      </c>
      <c r="M149" s="8">
        <v>3</v>
      </c>
      <c r="N149" s="8">
        <v>3</v>
      </c>
      <c r="O149" s="8">
        <v>3</v>
      </c>
      <c r="P149" s="8">
        <v>3</v>
      </c>
      <c r="Q149" s="8">
        <v>3</v>
      </c>
      <c r="R149" s="8">
        <v>3</v>
      </c>
      <c r="S149" s="8">
        <v>3</v>
      </c>
      <c r="T149" s="8">
        <v>2</v>
      </c>
      <c r="U149" s="8">
        <v>3</v>
      </c>
      <c r="V149" s="8">
        <v>3</v>
      </c>
      <c r="W149" s="8">
        <v>3</v>
      </c>
      <c r="X149" s="8">
        <v>3</v>
      </c>
    </row>
    <row r="151" spans="3:24" x14ac:dyDescent="0.6">
      <c r="C151" s="8" t="s">
        <v>53</v>
      </c>
      <c r="D151" s="8">
        <v>2</v>
      </c>
      <c r="E151" s="8">
        <v>2</v>
      </c>
      <c r="F151" s="8">
        <v>2</v>
      </c>
      <c r="G151" s="8">
        <v>2</v>
      </c>
      <c r="H151" s="8">
        <v>2</v>
      </c>
      <c r="I151" s="8">
        <v>2</v>
      </c>
      <c r="J151" s="8">
        <v>2</v>
      </c>
      <c r="K151" s="8">
        <v>2</v>
      </c>
      <c r="L151" s="8">
        <v>2</v>
      </c>
      <c r="M151" s="8">
        <v>2</v>
      </c>
      <c r="N151" s="8">
        <v>2</v>
      </c>
      <c r="O151" s="8">
        <v>2</v>
      </c>
      <c r="P151" s="8">
        <v>2</v>
      </c>
      <c r="Q151" s="8">
        <v>3</v>
      </c>
      <c r="R151" s="8">
        <v>4</v>
      </c>
      <c r="S151" s="8">
        <v>4</v>
      </c>
      <c r="T151" s="8">
        <v>5</v>
      </c>
      <c r="U151" s="8">
        <v>6</v>
      </c>
      <c r="V151" s="8">
        <v>7</v>
      </c>
      <c r="W151" s="8">
        <v>8</v>
      </c>
      <c r="X151" s="8">
        <v>8</v>
      </c>
    </row>
    <row r="153" spans="3:24" x14ac:dyDescent="0.6">
      <c r="C153" s="8" t="s">
        <v>54</v>
      </c>
      <c r="D153" s="8">
        <v>4</v>
      </c>
      <c r="E153" s="8">
        <v>4</v>
      </c>
      <c r="F153" s="8">
        <v>4</v>
      </c>
      <c r="G153" s="8">
        <v>3</v>
      </c>
      <c r="H153" s="8">
        <v>3</v>
      </c>
      <c r="I153" s="8">
        <v>3</v>
      </c>
      <c r="J153" s="8">
        <v>4</v>
      </c>
      <c r="K153" s="8">
        <v>4</v>
      </c>
      <c r="L153" s="8">
        <v>4</v>
      </c>
      <c r="M153" s="8">
        <v>4</v>
      </c>
      <c r="N153" s="8">
        <v>4</v>
      </c>
      <c r="O153" s="8">
        <v>4</v>
      </c>
      <c r="P153" s="8">
        <v>4</v>
      </c>
      <c r="Q153" s="8">
        <v>4</v>
      </c>
      <c r="R153" s="8">
        <v>4</v>
      </c>
      <c r="S153" s="8">
        <v>3</v>
      </c>
      <c r="T153" s="8">
        <v>3</v>
      </c>
      <c r="U153" s="8">
        <v>3</v>
      </c>
      <c r="V153" s="8">
        <v>3</v>
      </c>
      <c r="W153" s="8">
        <v>3</v>
      </c>
      <c r="X153" s="8">
        <v>3</v>
      </c>
    </row>
    <row r="155" spans="3:24" x14ac:dyDescent="0.6">
      <c r="C155" s="8" t="s">
        <v>53</v>
      </c>
      <c r="D155" s="8">
        <v>2</v>
      </c>
      <c r="E155" s="8">
        <v>2</v>
      </c>
      <c r="F155" s="8">
        <v>2</v>
      </c>
      <c r="G155" s="8">
        <v>2</v>
      </c>
      <c r="H155" s="8">
        <v>2</v>
      </c>
      <c r="I155" s="8">
        <v>2</v>
      </c>
      <c r="J155" s="8">
        <v>2</v>
      </c>
      <c r="K155" s="8">
        <v>2</v>
      </c>
      <c r="L155" s="8">
        <v>2</v>
      </c>
      <c r="M155" s="8">
        <v>2</v>
      </c>
      <c r="N155" s="8">
        <v>2</v>
      </c>
      <c r="O155" s="8">
        <v>2</v>
      </c>
      <c r="P155" s="8">
        <v>2</v>
      </c>
      <c r="Q155" s="8">
        <v>3</v>
      </c>
      <c r="R155" s="8">
        <v>3</v>
      </c>
      <c r="S155" s="8">
        <v>4</v>
      </c>
      <c r="T155" s="8">
        <v>5</v>
      </c>
      <c r="U155" s="8">
        <v>5</v>
      </c>
      <c r="V155" s="8">
        <v>6</v>
      </c>
      <c r="W155" s="8">
        <v>7</v>
      </c>
      <c r="X155" s="8">
        <v>7</v>
      </c>
    </row>
    <row r="157" spans="3:24" x14ac:dyDescent="0.6">
      <c r="C157" s="8" t="s">
        <v>54</v>
      </c>
      <c r="D157" s="8">
        <v>3</v>
      </c>
      <c r="E157" s="8">
        <v>3</v>
      </c>
      <c r="F157" s="8">
        <v>3</v>
      </c>
      <c r="G157" s="8">
        <v>3</v>
      </c>
      <c r="H157" s="8">
        <v>2</v>
      </c>
      <c r="I157" s="8">
        <v>3</v>
      </c>
      <c r="J157" s="8">
        <v>3</v>
      </c>
      <c r="K157" s="8">
        <v>3</v>
      </c>
      <c r="L157" s="8">
        <v>3</v>
      </c>
      <c r="M157" s="8">
        <v>3</v>
      </c>
      <c r="N157" s="8">
        <v>3</v>
      </c>
      <c r="O157" s="8">
        <v>3</v>
      </c>
      <c r="P157" s="8">
        <v>3</v>
      </c>
      <c r="Q157" s="8">
        <v>3</v>
      </c>
      <c r="R157" s="8">
        <v>3</v>
      </c>
      <c r="S157" s="8">
        <v>3</v>
      </c>
      <c r="T157" s="8">
        <v>2</v>
      </c>
      <c r="U157" s="8">
        <v>3</v>
      </c>
      <c r="V157" s="8">
        <v>3</v>
      </c>
      <c r="W157" s="8">
        <v>3</v>
      </c>
      <c r="X157" s="8">
        <v>3</v>
      </c>
    </row>
    <row r="159" spans="3:24" x14ac:dyDescent="0.6">
      <c r="C159" s="8" t="s">
        <v>53</v>
      </c>
      <c r="D159" s="8">
        <v>2</v>
      </c>
      <c r="E159" s="8">
        <v>2</v>
      </c>
      <c r="F159" s="8">
        <v>2</v>
      </c>
      <c r="G159" s="8">
        <v>2</v>
      </c>
      <c r="H159" s="8">
        <v>2</v>
      </c>
      <c r="I159" s="8">
        <v>2</v>
      </c>
      <c r="J159" s="8">
        <v>2</v>
      </c>
      <c r="K159" s="8">
        <v>2</v>
      </c>
      <c r="L159" s="8">
        <v>2</v>
      </c>
      <c r="M159" s="8">
        <v>2</v>
      </c>
      <c r="N159" s="8">
        <v>2</v>
      </c>
      <c r="O159" s="8">
        <v>2</v>
      </c>
      <c r="P159" s="8">
        <v>2</v>
      </c>
      <c r="Q159" s="8">
        <v>3</v>
      </c>
      <c r="R159" s="8">
        <v>4</v>
      </c>
      <c r="S159" s="8">
        <v>4</v>
      </c>
      <c r="T159" s="8">
        <v>5</v>
      </c>
      <c r="U159" s="8">
        <v>6</v>
      </c>
      <c r="V159" s="8">
        <v>7</v>
      </c>
      <c r="W159" s="8">
        <v>8</v>
      </c>
      <c r="X159" s="8">
        <v>8</v>
      </c>
    </row>
    <row r="161" spans="3:24" x14ac:dyDescent="0.6">
      <c r="C161" s="8" t="s">
        <v>54</v>
      </c>
      <c r="D161" s="8">
        <v>4</v>
      </c>
      <c r="E161" s="8">
        <v>4</v>
      </c>
      <c r="F161" s="8">
        <v>4</v>
      </c>
      <c r="G161" s="8">
        <v>3</v>
      </c>
      <c r="H161" s="8">
        <v>3</v>
      </c>
      <c r="I161" s="8">
        <v>3</v>
      </c>
      <c r="J161" s="8">
        <v>4</v>
      </c>
      <c r="K161" s="8">
        <v>4</v>
      </c>
      <c r="L161" s="8">
        <v>4</v>
      </c>
      <c r="M161" s="8">
        <v>4</v>
      </c>
      <c r="N161" s="8">
        <v>4</v>
      </c>
      <c r="O161" s="8">
        <v>4</v>
      </c>
      <c r="P161" s="8">
        <v>4</v>
      </c>
      <c r="Q161" s="8">
        <v>4</v>
      </c>
      <c r="R161" s="8">
        <v>4</v>
      </c>
      <c r="S161" s="8">
        <v>3</v>
      </c>
      <c r="T161" s="8">
        <v>3</v>
      </c>
      <c r="U161" s="8">
        <v>3</v>
      </c>
      <c r="V161" s="8">
        <v>3</v>
      </c>
      <c r="W161" s="8">
        <v>3</v>
      </c>
      <c r="X161" s="8">
        <v>3</v>
      </c>
    </row>
    <row r="163" spans="3:24" x14ac:dyDescent="0.6">
      <c r="C163" s="8" t="s">
        <v>53</v>
      </c>
      <c r="D163" s="8">
        <v>2</v>
      </c>
      <c r="E163" s="8">
        <v>2</v>
      </c>
      <c r="F163" s="8">
        <v>2</v>
      </c>
      <c r="G163" s="8">
        <v>2</v>
      </c>
      <c r="H163" s="8">
        <v>2</v>
      </c>
      <c r="I163" s="8">
        <v>2</v>
      </c>
      <c r="J163" s="8">
        <v>2</v>
      </c>
      <c r="K163" s="8">
        <v>2</v>
      </c>
      <c r="L163" s="8">
        <v>2</v>
      </c>
      <c r="M163" s="8">
        <v>2</v>
      </c>
      <c r="N163" s="8">
        <v>2</v>
      </c>
      <c r="O163" s="8">
        <v>2</v>
      </c>
      <c r="P163" s="8">
        <v>2</v>
      </c>
      <c r="Q163" s="8">
        <v>3</v>
      </c>
      <c r="R163" s="8">
        <v>3</v>
      </c>
      <c r="S163" s="8">
        <v>4</v>
      </c>
      <c r="T163" s="8">
        <v>5</v>
      </c>
      <c r="U163" s="8">
        <v>5</v>
      </c>
      <c r="V163" s="8">
        <v>6</v>
      </c>
      <c r="W163" s="8">
        <v>7</v>
      </c>
      <c r="X163" s="8">
        <v>7</v>
      </c>
    </row>
    <row r="165" spans="3:24" x14ac:dyDescent="0.6">
      <c r="C165" s="8" t="s">
        <v>54</v>
      </c>
      <c r="D165" s="8">
        <v>3</v>
      </c>
      <c r="E165" s="8">
        <v>3</v>
      </c>
      <c r="F165" s="8">
        <v>3</v>
      </c>
      <c r="G165" s="8">
        <v>3</v>
      </c>
      <c r="H165" s="8">
        <v>2</v>
      </c>
      <c r="I165" s="8">
        <v>3</v>
      </c>
      <c r="J165" s="8">
        <v>3</v>
      </c>
      <c r="K165" s="8">
        <v>3</v>
      </c>
      <c r="L165" s="8">
        <v>3</v>
      </c>
      <c r="M165" s="8">
        <v>3</v>
      </c>
      <c r="N165" s="8">
        <v>3</v>
      </c>
      <c r="O165" s="8">
        <v>3</v>
      </c>
      <c r="P165" s="8">
        <v>3</v>
      </c>
      <c r="Q165" s="8">
        <v>3</v>
      </c>
      <c r="R165" s="8">
        <v>3</v>
      </c>
      <c r="S165" s="8">
        <v>3</v>
      </c>
      <c r="T165" s="8">
        <v>2</v>
      </c>
      <c r="U165" s="8">
        <v>3</v>
      </c>
      <c r="V165" s="8">
        <v>3</v>
      </c>
      <c r="W165" s="8">
        <v>3</v>
      </c>
      <c r="X165" s="8">
        <v>3</v>
      </c>
    </row>
    <row r="167" spans="3:24" x14ac:dyDescent="0.6">
      <c r="C167" s="8" t="s">
        <v>53</v>
      </c>
      <c r="D167" s="8">
        <v>2</v>
      </c>
      <c r="E167" s="8">
        <v>2</v>
      </c>
      <c r="F167" s="8">
        <v>2</v>
      </c>
      <c r="G167" s="8">
        <v>2</v>
      </c>
      <c r="H167" s="8">
        <v>2</v>
      </c>
      <c r="I167" s="8">
        <v>2</v>
      </c>
      <c r="J167" s="8">
        <v>2</v>
      </c>
      <c r="K167" s="8">
        <v>2</v>
      </c>
      <c r="L167" s="8">
        <v>2</v>
      </c>
      <c r="M167" s="8">
        <v>2</v>
      </c>
      <c r="N167" s="8">
        <v>2</v>
      </c>
      <c r="O167" s="8">
        <v>2</v>
      </c>
      <c r="P167" s="8">
        <v>2</v>
      </c>
      <c r="Q167" s="8">
        <v>3</v>
      </c>
      <c r="R167" s="8">
        <v>4</v>
      </c>
      <c r="S167" s="8">
        <v>4</v>
      </c>
      <c r="T167" s="8">
        <v>5</v>
      </c>
      <c r="U167" s="8">
        <v>6</v>
      </c>
      <c r="V167" s="8">
        <v>7</v>
      </c>
      <c r="W167" s="8">
        <v>8</v>
      </c>
      <c r="X167" s="8">
        <v>8</v>
      </c>
    </row>
    <row r="169" spans="3:24" x14ac:dyDescent="0.6">
      <c r="C169" s="8" t="s">
        <v>54</v>
      </c>
      <c r="D169" s="8">
        <v>4</v>
      </c>
      <c r="E169" s="8">
        <v>4</v>
      </c>
      <c r="F169" s="8">
        <v>4</v>
      </c>
      <c r="G169" s="8">
        <v>3</v>
      </c>
      <c r="H169" s="8">
        <v>3</v>
      </c>
      <c r="I169" s="8">
        <v>3</v>
      </c>
      <c r="J169" s="8">
        <v>4</v>
      </c>
      <c r="K169" s="8">
        <v>4</v>
      </c>
      <c r="L169" s="8">
        <v>4</v>
      </c>
      <c r="M169" s="8">
        <v>4</v>
      </c>
      <c r="N169" s="8">
        <v>4</v>
      </c>
      <c r="O169" s="8">
        <v>4</v>
      </c>
      <c r="P169" s="8">
        <v>4</v>
      </c>
      <c r="Q169" s="8">
        <v>4</v>
      </c>
      <c r="R169" s="8">
        <v>4</v>
      </c>
      <c r="S169" s="8">
        <v>3</v>
      </c>
      <c r="T169" s="8">
        <v>3</v>
      </c>
      <c r="U169" s="8">
        <v>3</v>
      </c>
      <c r="V169" s="8">
        <v>3</v>
      </c>
      <c r="W169" s="8">
        <v>3</v>
      </c>
      <c r="X169" s="8">
        <v>3</v>
      </c>
    </row>
    <row r="171" spans="3:24" x14ac:dyDescent="0.6">
      <c r="C171" s="8" t="s">
        <v>53</v>
      </c>
      <c r="D171" s="8">
        <v>2</v>
      </c>
      <c r="E171" s="8">
        <v>2</v>
      </c>
      <c r="F171" s="8">
        <v>2</v>
      </c>
      <c r="G171" s="8">
        <v>2</v>
      </c>
      <c r="H171" s="8">
        <v>2</v>
      </c>
      <c r="I171" s="8">
        <v>2</v>
      </c>
      <c r="J171" s="8">
        <v>2</v>
      </c>
      <c r="K171" s="8">
        <v>2</v>
      </c>
      <c r="L171" s="8">
        <v>2</v>
      </c>
      <c r="M171" s="8">
        <v>2</v>
      </c>
      <c r="N171" s="8">
        <v>2</v>
      </c>
      <c r="O171" s="8">
        <v>2</v>
      </c>
      <c r="P171" s="8">
        <v>2</v>
      </c>
      <c r="Q171" s="8">
        <v>3</v>
      </c>
      <c r="R171" s="8">
        <v>4</v>
      </c>
      <c r="S171" s="8">
        <v>4</v>
      </c>
      <c r="T171" s="8">
        <v>5</v>
      </c>
      <c r="U171" s="8">
        <v>6</v>
      </c>
      <c r="V171" s="8">
        <v>7</v>
      </c>
      <c r="W171" s="8">
        <v>8</v>
      </c>
      <c r="X171" s="8">
        <v>8</v>
      </c>
    </row>
    <row r="173" spans="3:24" x14ac:dyDescent="0.6">
      <c r="C173" s="8" t="s">
        <v>54</v>
      </c>
      <c r="D173" s="8">
        <v>4</v>
      </c>
      <c r="E173" s="8">
        <v>4</v>
      </c>
      <c r="F173" s="8">
        <v>4</v>
      </c>
      <c r="G173" s="8">
        <v>3</v>
      </c>
      <c r="H173" s="8">
        <v>3</v>
      </c>
      <c r="I173" s="8">
        <v>3</v>
      </c>
      <c r="J173" s="8">
        <v>4</v>
      </c>
      <c r="K173" s="8">
        <v>4</v>
      </c>
      <c r="L173" s="8">
        <v>4</v>
      </c>
      <c r="M173" s="8">
        <v>4</v>
      </c>
      <c r="N173" s="8">
        <v>4</v>
      </c>
      <c r="O173" s="8">
        <v>4</v>
      </c>
      <c r="P173" s="8">
        <v>4</v>
      </c>
      <c r="Q173" s="8">
        <v>4</v>
      </c>
      <c r="R173" s="8">
        <v>4</v>
      </c>
      <c r="S173" s="8">
        <v>3</v>
      </c>
      <c r="T173" s="8">
        <v>3</v>
      </c>
      <c r="U173" s="8">
        <v>3</v>
      </c>
      <c r="V173" s="8">
        <v>3</v>
      </c>
      <c r="W173" s="8">
        <v>3</v>
      </c>
      <c r="X173" s="8">
        <v>3</v>
      </c>
    </row>
    <row r="175" spans="3:24" x14ac:dyDescent="0.6">
      <c r="C175" s="8" t="s">
        <v>53</v>
      </c>
      <c r="D175" s="8">
        <v>2</v>
      </c>
      <c r="E175" s="8">
        <v>2</v>
      </c>
      <c r="F175" s="8">
        <v>2</v>
      </c>
      <c r="G175" s="8">
        <v>2</v>
      </c>
      <c r="H175" s="8">
        <v>2</v>
      </c>
      <c r="I175" s="8">
        <v>2</v>
      </c>
      <c r="J175" s="8">
        <v>2</v>
      </c>
      <c r="K175" s="8">
        <v>2</v>
      </c>
      <c r="L175" s="8">
        <v>2</v>
      </c>
      <c r="M175" s="8">
        <v>2</v>
      </c>
      <c r="N175" s="8">
        <v>2</v>
      </c>
      <c r="O175" s="8">
        <v>2</v>
      </c>
      <c r="P175" s="8">
        <v>2</v>
      </c>
      <c r="Q175" s="8">
        <v>2</v>
      </c>
      <c r="R175" s="8">
        <v>2</v>
      </c>
      <c r="S175" s="8">
        <v>3</v>
      </c>
      <c r="T175" s="8">
        <v>3</v>
      </c>
      <c r="U175" s="8">
        <v>4</v>
      </c>
      <c r="V175" s="8">
        <v>4</v>
      </c>
      <c r="W175" s="8">
        <v>5</v>
      </c>
      <c r="X175" s="8">
        <v>5</v>
      </c>
    </row>
    <row r="177" spans="3:24" x14ac:dyDescent="0.6">
      <c r="C177" s="8" t="s">
        <v>54</v>
      </c>
      <c r="D177" s="8">
        <v>5</v>
      </c>
      <c r="E177" s="8">
        <v>5</v>
      </c>
      <c r="F177" s="8">
        <v>4</v>
      </c>
      <c r="G177" s="8">
        <v>4</v>
      </c>
      <c r="H177" s="8">
        <v>4</v>
      </c>
      <c r="I177" s="8">
        <v>4</v>
      </c>
      <c r="J177" s="8">
        <v>5</v>
      </c>
      <c r="K177" s="8">
        <v>5</v>
      </c>
      <c r="L177" s="8">
        <v>5</v>
      </c>
      <c r="M177" s="8">
        <v>5</v>
      </c>
      <c r="N177" s="8">
        <v>5</v>
      </c>
      <c r="O177" s="8">
        <v>5</v>
      </c>
      <c r="P177" s="8">
        <v>5</v>
      </c>
      <c r="Q177" s="8">
        <v>5</v>
      </c>
      <c r="R177" s="8">
        <v>5</v>
      </c>
      <c r="S177" s="8">
        <v>4</v>
      </c>
      <c r="T177" s="8">
        <v>4</v>
      </c>
      <c r="U177" s="8">
        <v>3</v>
      </c>
      <c r="V177" s="8">
        <v>3</v>
      </c>
      <c r="W177" s="8">
        <v>3</v>
      </c>
      <c r="X177" s="8">
        <v>3</v>
      </c>
    </row>
    <row r="179" spans="3:24" x14ac:dyDescent="0.6">
      <c r="C179" s="8" t="s">
        <v>53</v>
      </c>
      <c r="D179" s="8">
        <v>5</v>
      </c>
      <c r="E179" s="8">
        <v>5</v>
      </c>
      <c r="F179" s="8">
        <v>4</v>
      </c>
      <c r="G179" s="8">
        <v>4</v>
      </c>
      <c r="H179" s="8">
        <v>4</v>
      </c>
      <c r="I179" s="8">
        <v>3</v>
      </c>
      <c r="J179" s="8">
        <v>3</v>
      </c>
      <c r="K179" s="8">
        <v>2</v>
      </c>
      <c r="L179" s="8">
        <v>2</v>
      </c>
      <c r="M179" s="8">
        <v>2</v>
      </c>
      <c r="N179" s="8">
        <v>2</v>
      </c>
      <c r="O179" s="8">
        <v>2</v>
      </c>
      <c r="P179" s="8">
        <v>2</v>
      </c>
      <c r="Q179" s="8">
        <v>2</v>
      </c>
      <c r="R179" s="8">
        <v>2</v>
      </c>
      <c r="S179" s="8">
        <v>3</v>
      </c>
      <c r="T179" s="8">
        <v>3</v>
      </c>
      <c r="U179" s="8">
        <v>4</v>
      </c>
      <c r="V179" s="8">
        <v>4</v>
      </c>
      <c r="W179" s="8">
        <v>5</v>
      </c>
      <c r="X179" s="8">
        <v>5</v>
      </c>
    </row>
    <row r="181" spans="3:24" x14ac:dyDescent="0.6">
      <c r="C181" s="8" t="s">
        <v>54</v>
      </c>
      <c r="D181" s="8">
        <v>3</v>
      </c>
      <c r="E181" s="8">
        <v>3</v>
      </c>
      <c r="F181" s="8">
        <v>3</v>
      </c>
      <c r="G181" s="8">
        <v>3</v>
      </c>
      <c r="H181" s="8">
        <v>3</v>
      </c>
      <c r="I181" s="8">
        <v>3</v>
      </c>
      <c r="J181" s="8">
        <v>4</v>
      </c>
      <c r="K181" s="8">
        <v>4</v>
      </c>
      <c r="L181" s="8">
        <v>4</v>
      </c>
      <c r="M181" s="8">
        <v>4</v>
      </c>
      <c r="N181" s="8">
        <v>4</v>
      </c>
      <c r="O181" s="8">
        <v>4</v>
      </c>
      <c r="P181" s="8">
        <v>4</v>
      </c>
      <c r="Q181" s="8">
        <v>4</v>
      </c>
      <c r="R181" s="8">
        <v>4</v>
      </c>
      <c r="S181" s="8">
        <v>3</v>
      </c>
      <c r="T181" s="8">
        <v>3</v>
      </c>
      <c r="U181" s="8">
        <v>3</v>
      </c>
      <c r="V181" s="8">
        <v>3</v>
      </c>
      <c r="W181" s="8">
        <v>3</v>
      </c>
      <c r="X181" s="8">
        <v>3</v>
      </c>
    </row>
    <row r="183" spans="3:24" x14ac:dyDescent="0.6">
      <c r="C183" s="8" t="s">
        <v>53</v>
      </c>
      <c r="D183" s="8">
        <v>5</v>
      </c>
      <c r="E183" s="8">
        <v>5</v>
      </c>
      <c r="F183" s="8">
        <v>4</v>
      </c>
      <c r="G183" s="8">
        <v>4</v>
      </c>
      <c r="H183" s="8">
        <v>4</v>
      </c>
      <c r="I183" s="8">
        <v>3</v>
      </c>
      <c r="J183" s="8">
        <v>3</v>
      </c>
      <c r="K183" s="8">
        <v>2</v>
      </c>
      <c r="L183" s="8">
        <v>2</v>
      </c>
      <c r="M183" s="8">
        <v>2</v>
      </c>
      <c r="N183" s="8">
        <v>2</v>
      </c>
      <c r="O183" s="8">
        <v>2</v>
      </c>
      <c r="P183" s="8">
        <v>2</v>
      </c>
      <c r="Q183" s="8">
        <v>2</v>
      </c>
      <c r="R183" s="8">
        <v>2</v>
      </c>
      <c r="S183" s="8">
        <v>3</v>
      </c>
      <c r="T183" s="8">
        <v>3</v>
      </c>
      <c r="U183" s="8">
        <v>4</v>
      </c>
      <c r="V183" s="8">
        <v>4</v>
      </c>
      <c r="W183" s="8">
        <v>5</v>
      </c>
      <c r="X183" s="8">
        <v>5</v>
      </c>
    </row>
    <row r="185" spans="3:24" x14ac:dyDescent="0.6">
      <c r="C185" s="8" t="s">
        <v>54</v>
      </c>
      <c r="D185" s="8">
        <v>3</v>
      </c>
      <c r="E185" s="8">
        <v>3</v>
      </c>
      <c r="F185" s="8">
        <v>3</v>
      </c>
      <c r="G185" s="8">
        <v>3</v>
      </c>
      <c r="H185" s="8">
        <v>3</v>
      </c>
      <c r="I185" s="8">
        <v>3</v>
      </c>
      <c r="J185" s="8">
        <v>4</v>
      </c>
      <c r="K185" s="8">
        <v>4</v>
      </c>
      <c r="L185" s="8">
        <v>4</v>
      </c>
      <c r="M185" s="8">
        <v>4</v>
      </c>
      <c r="N185" s="8">
        <v>4</v>
      </c>
      <c r="O185" s="8">
        <v>4</v>
      </c>
      <c r="P185" s="8">
        <v>4</v>
      </c>
      <c r="Q185" s="8">
        <v>4</v>
      </c>
      <c r="R185" s="8">
        <v>4</v>
      </c>
      <c r="S185" s="8">
        <v>3</v>
      </c>
      <c r="T185" s="8">
        <v>3</v>
      </c>
      <c r="U185" s="8">
        <v>3</v>
      </c>
      <c r="V185" s="8">
        <v>3</v>
      </c>
      <c r="W185" s="8">
        <v>3</v>
      </c>
      <c r="X185" s="8">
        <v>3</v>
      </c>
    </row>
    <row r="187" spans="3:24" x14ac:dyDescent="0.6">
      <c r="C187" s="8" t="s">
        <v>53</v>
      </c>
      <c r="D187" s="8">
        <v>5</v>
      </c>
      <c r="E187" s="8">
        <v>5</v>
      </c>
      <c r="F187" s="8">
        <v>4</v>
      </c>
      <c r="G187" s="8">
        <v>4</v>
      </c>
      <c r="H187" s="8">
        <v>4</v>
      </c>
      <c r="I187" s="8">
        <v>3</v>
      </c>
      <c r="J187" s="8">
        <v>3</v>
      </c>
      <c r="K187" s="8">
        <v>2</v>
      </c>
      <c r="L187" s="8">
        <v>2</v>
      </c>
      <c r="M187" s="8">
        <v>2</v>
      </c>
      <c r="N187" s="8">
        <v>2</v>
      </c>
      <c r="O187" s="8">
        <v>2</v>
      </c>
      <c r="P187" s="8">
        <v>2</v>
      </c>
      <c r="Q187" s="8">
        <v>2</v>
      </c>
      <c r="R187" s="8">
        <v>2</v>
      </c>
      <c r="S187" s="8">
        <v>3</v>
      </c>
      <c r="T187" s="8">
        <v>3</v>
      </c>
      <c r="U187" s="8">
        <v>4</v>
      </c>
      <c r="V187" s="8">
        <v>4</v>
      </c>
      <c r="W187" s="8">
        <v>5</v>
      </c>
      <c r="X187" s="8">
        <v>5</v>
      </c>
    </row>
    <row r="189" spans="3:24" x14ac:dyDescent="0.6">
      <c r="C189" s="8" t="s">
        <v>54</v>
      </c>
      <c r="D189" s="8">
        <v>3</v>
      </c>
      <c r="E189" s="8">
        <v>3</v>
      </c>
      <c r="F189" s="8">
        <v>3</v>
      </c>
      <c r="G189" s="8">
        <v>3</v>
      </c>
      <c r="H189" s="8">
        <v>3</v>
      </c>
      <c r="I189" s="8">
        <v>3</v>
      </c>
      <c r="J189" s="8">
        <v>4</v>
      </c>
      <c r="K189" s="8">
        <v>4</v>
      </c>
      <c r="L189" s="8">
        <v>4</v>
      </c>
      <c r="M189" s="8">
        <v>4</v>
      </c>
      <c r="N189" s="8">
        <v>4</v>
      </c>
      <c r="O189" s="8">
        <v>4</v>
      </c>
      <c r="P189" s="8">
        <v>4</v>
      </c>
      <c r="Q189" s="8">
        <v>4</v>
      </c>
      <c r="R189" s="8">
        <v>4</v>
      </c>
      <c r="S189" s="8">
        <v>3</v>
      </c>
      <c r="T189" s="8">
        <v>3</v>
      </c>
      <c r="U189" s="8">
        <v>3</v>
      </c>
      <c r="V189" s="8">
        <v>3</v>
      </c>
      <c r="W189" s="8">
        <v>3</v>
      </c>
      <c r="X189" s="8">
        <v>3</v>
      </c>
    </row>
    <row r="191" spans="3:24" x14ac:dyDescent="0.6">
      <c r="C191" s="8" t="s">
        <v>53</v>
      </c>
      <c r="D191" s="8">
        <v>5</v>
      </c>
      <c r="E191" s="8">
        <v>5</v>
      </c>
      <c r="F191" s="8">
        <v>4</v>
      </c>
      <c r="G191" s="8">
        <v>4</v>
      </c>
      <c r="H191" s="8">
        <v>4</v>
      </c>
      <c r="I191" s="8">
        <v>3</v>
      </c>
      <c r="J191" s="8">
        <v>3</v>
      </c>
      <c r="K191" s="8">
        <v>2</v>
      </c>
      <c r="L191" s="8">
        <v>2</v>
      </c>
      <c r="M191" s="8">
        <v>2</v>
      </c>
      <c r="N191" s="8">
        <v>2</v>
      </c>
      <c r="O191" s="8">
        <v>2</v>
      </c>
      <c r="P191" s="8">
        <v>2</v>
      </c>
      <c r="Q191" s="8">
        <v>2</v>
      </c>
      <c r="R191" s="8">
        <v>2</v>
      </c>
      <c r="S191" s="8">
        <v>3</v>
      </c>
      <c r="T191" s="8">
        <v>3</v>
      </c>
      <c r="U191" s="8">
        <v>4</v>
      </c>
      <c r="V191" s="8">
        <v>4</v>
      </c>
      <c r="W191" s="8">
        <v>5</v>
      </c>
      <c r="X191" s="8">
        <v>5</v>
      </c>
    </row>
    <row r="193" spans="3:24" x14ac:dyDescent="0.6">
      <c r="C193" s="8" t="s">
        <v>54</v>
      </c>
      <c r="D193" s="8">
        <v>3</v>
      </c>
      <c r="E193" s="8">
        <v>3</v>
      </c>
      <c r="F193" s="8">
        <v>3</v>
      </c>
      <c r="G193" s="8">
        <v>3</v>
      </c>
      <c r="H193" s="8">
        <v>3</v>
      </c>
      <c r="I193" s="8">
        <v>3</v>
      </c>
      <c r="J193" s="8">
        <v>4</v>
      </c>
      <c r="K193" s="8">
        <v>4</v>
      </c>
      <c r="L193" s="8">
        <v>4</v>
      </c>
      <c r="M193" s="8">
        <v>4</v>
      </c>
      <c r="N193" s="8">
        <v>4</v>
      </c>
      <c r="O193" s="8">
        <v>4</v>
      </c>
      <c r="P193" s="8">
        <v>4</v>
      </c>
      <c r="Q193" s="8">
        <v>4</v>
      </c>
      <c r="R193" s="8">
        <v>4</v>
      </c>
      <c r="S193" s="8">
        <v>3</v>
      </c>
      <c r="T193" s="8">
        <v>3</v>
      </c>
      <c r="U193" s="8">
        <v>3</v>
      </c>
      <c r="V193" s="8">
        <v>3</v>
      </c>
      <c r="W193" s="8">
        <v>3</v>
      </c>
      <c r="X193" s="8">
        <v>3</v>
      </c>
    </row>
    <row r="195" spans="3:24" x14ac:dyDescent="0.6">
      <c r="C195" s="8" t="s">
        <v>53</v>
      </c>
      <c r="D195" s="8">
        <v>5</v>
      </c>
      <c r="E195" s="8">
        <v>5</v>
      </c>
      <c r="F195" s="8">
        <v>4</v>
      </c>
      <c r="G195" s="8">
        <v>4</v>
      </c>
      <c r="H195" s="8">
        <v>4</v>
      </c>
      <c r="I195" s="8">
        <v>3</v>
      </c>
      <c r="J195" s="8">
        <v>3</v>
      </c>
      <c r="K195" s="8">
        <v>2</v>
      </c>
      <c r="L195" s="8">
        <v>2</v>
      </c>
      <c r="M195" s="8">
        <v>2</v>
      </c>
      <c r="N195" s="8">
        <v>2</v>
      </c>
      <c r="O195" s="8">
        <v>2</v>
      </c>
      <c r="P195" s="8">
        <v>2</v>
      </c>
      <c r="Q195" s="8">
        <v>2</v>
      </c>
      <c r="R195" s="8">
        <v>2</v>
      </c>
      <c r="S195" s="8">
        <v>2</v>
      </c>
      <c r="T195" s="8">
        <v>2</v>
      </c>
      <c r="U195" s="8">
        <v>2</v>
      </c>
      <c r="V195" s="8">
        <v>2</v>
      </c>
      <c r="W195" s="8">
        <v>2</v>
      </c>
      <c r="X195" s="8">
        <v>2</v>
      </c>
    </row>
    <row r="197" spans="3:24" x14ac:dyDescent="0.6">
      <c r="C197" s="8" t="s">
        <v>54</v>
      </c>
      <c r="D197" s="8">
        <v>3</v>
      </c>
      <c r="E197" s="8">
        <v>3</v>
      </c>
      <c r="F197" s="8">
        <v>3</v>
      </c>
      <c r="G197" s="8">
        <v>3</v>
      </c>
      <c r="H197" s="8">
        <v>3</v>
      </c>
      <c r="I197" s="8">
        <v>3</v>
      </c>
      <c r="J197" s="8">
        <v>4</v>
      </c>
      <c r="K197" s="8">
        <v>4</v>
      </c>
      <c r="L197" s="8">
        <v>4</v>
      </c>
      <c r="M197" s="8">
        <v>4</v>
      </c>
      <c r="N197" s="8">
        <v>4</v>
      </c>
      <c r="O197" s="8">
        <v>4</v>
      </c>
      <c r="P197" s="8">
        <v>4</v>
      </c>
      <c r="Q197" s="8">
        <v>4</v>
      </c>
      <c r="R197" s="8">
        <v>4</v>
      </c>
      <c r="S197" s="8">
        <v>3</v>
      </c>
      <c r="T197" s="8">
        <v>3</v>
      </c>
      <c r="U197" s="8">
        <v>3</v>
      </c>
      <c r="V197" s="8">
        <v>4</v>
      </c>
      <c r="W197" s="8">
        <v>4</v>
      </c>
      <c r="X197" s="8">
        <v>4</v>
      </c>
    </row>
    <row r="199" spans="3:24" x14ac:dyDescent="0.6">
      <c r="C199" s="8" t="s">
        <v>53</v>
      </c>
      <c r="D199" s="8">
        <v>8</v>
      </c>
      <c r="E199" s="8">
        <v>8</v>
      </c>
      <c r="F199" s="8">
        <v>7</v>
      </c>
      <c r="G199" s="8">
        <v>6</v>
      </c>
      <c r="H199" s="8">
        <v>5</v>
      </c>
      <c r="I199" s="8">
        <v>5</v>
      </c>
      <c r="J199" s="8">
        <v>4</v>
      </c>
      <c r="K199" s="8">
        <v>3</v>
      </c>
      <c r="L199" s="8">
        <v>2</v>
      </c>
      <c r="M199" s="8">
        <v>2</v>
      </c>
      <c r="N199" s="8">
        <v>2</v>
      </c>
      <c r="O199" s="8">
        <v>2</v>
      </c>
      <c r="P199" s="8">
        <v>2</v>
      </c>
      <c r="Q199" s="8">
        <v>4</v>
      </c>
      <c r="R199" s="8">
        <v>4</v>
      </c>
      <c r="S199" s="8">
        <v>5</v>
      </c>
      <c r="T199" s="8">
        <v>6</v>
      </c>
      <c r="U199" s="8">
        <v>7</v>
      </c>
      <c r="V199" s="8">
        <v>8</v>
      </c>
      <c r="W199" s="8">
        <v>9</v>
      </c>
      <c r="X199" s="8">
        <v>10</v>
      </c>
    </row>
    <row r="201" spans="3:24" x14ac:dyDescent="0.6">
      <c r="C201" s="8" t="s">
        <v>54</v>
      </c>
      <c r="D201" s="8">
        <v>6</v>
      </c>
      <c r="E201" s="8">
        <v>6</v>
      </c>
      <c r="F201" s="8">
        <v>5</v>
      </c>
      <c r="G201" s="8">
        <v>5</v>
      </c>
      <c r="H201" s="8">
        <v>4</v>
      </c>
      <c r="I201" s="8">
        <v>5</v>
      </c>
      <c r="J201" s="8">
        <v>6</v>
      </c>
      <c r="K201" s="8">
        <v>6</v>
      </c>
      <c r="L201" s="8">
        <v>6</v>
      </c>
      <c r="M201" s="8">
        <v>6</v>
      </c>
      <c r="N201" s="8">
        <v>6</v>
      </c>
      <c r="O201" s="8">
        <v>6</v>
      </c>
      <c r="P201" s="8">
        <v>6</v>
      </c>
      <c r="Q201" s="8">
        <v>6</v>
      </c>
      <c r="R201" s="8">
        <v>6</v>
      </c>
      <c r="S201" s="8">
        <v>5</v>
      </c>
      <c r="T201" s="8">
        <v>4</v>
      </c>
      <c r="U201" s="8">
        <v>5</v>
      </c>
      <c r="V201" s="8">
        <v>5</v>
      </c>
      <c r="W201" s="8">
        <v>6</v>
      </c>
      <c r="X201" s="8">
        <v>6</v>
      </c>
    </row>
    <row r="203" spans="3:24" x14ac:dyDescent="0.6">
      <c r="C203" s="8" t="s">
        <v>53</v>
      </c>
      <c r="D203" s="8">
        <v>7</v>
      </c>
      <c r="E203" s="8">
        <v>7</v>
      </c>
      <c r="F203" s="8">
        <v>6</v>
      </c>
      <c r="G203" s="8">
        <v>5</v>
      </c>
      <c r="H203" s="8">
        <v>5</v>
      </c>
      <c r="I203" s="8">
        <v>4</v>
      </c>
      <c r="J203" s="8">
        <v>3</v>
      </c>
      <c r="K203" s="8">
        <v>3</v>
      </c>
      <c r="L203" s="8">
        <v>2</v>
      </c>
      <c r="M203" s="8">
        <v>2</v>
      </c>
      <c r="N203" s="8">
        <v>2</v>
      </c>
      <c r="O203" s="8">
        <v>2</v>
      </c>
      <c r="P203" s="8">
        <v>2</v>
      </c>
      <c r="Q203" s="8">
        <v>3</v>
      </c>
      <c r="R203" s="8">
        <v>4</v>
      </c>
      <c r="S203" s="8">
        <v>4</v>
      </c>
      <c r="T203" s="8">
        <v>5</v>
      </c>
      <c r="U203" s="8">
        <v>6</v>
      </c>
      <c r="V203" s="8">
        <v>7</v>
      </c>
      <c r="W203" s="8">
        <v>8</v>
      </c>
      <c r="X203" s="8">
        <v>8</v>
      </c>
    </row>
    <row r="205" spans="3:24" x14ac:dyDescent="0.6">
      <c r="C205" s="8" t="s">
        <v>54</v>
      </c>
      <c r="D205" s="8">
        <v>5</v>
      </c>
      <c r="E205" s="8">
        <v>5</v>
      </c>
      <c r="F205" s="8">
        <v>4</v>
      </c>
      <c r="G205" s="8">
        <v>4</v>
      </c>
      <c r="H205" s="8">
        <v>4</v>
      </c>
      <c r="I205" s="8">
        <v>4</v>
      </c>
      <c r="J205" s="8">
        <v>5</v>
      </c>
      <c r="K205" s="8">
        <v>5</v>
      </c>
      <c r="L205" s="8">
        <v>5</v>
      </c>
      <c r="M205" s="8">
        <v>5</v>
      </c>
      <c r="N205" s="8">
        <v>5</v>
      </c>
      <c r="O205" s="8">
        <v>5</v>
      </c>
      <c r="P205" s="8">
        <v>5</v>
      </c>
      <c r="Q205" s="8">
        <v>5</v>
      </c>
      <c r="R205" s="8">
        <v>5</v>
      </c>
      <c r="S205" s="8">
        <v>4</v>
      </c>
      <c r="T205" s="8">
        <v>4</v>
      </c>
      <c r="U205" s="8">
        <v>4</v>
      </c>
      <c r="V205" s="8">
        <v>4</v>
      </c>
      <c r="W205" s="8">
        <v>5</v>
      </c>
      <c r="X205" s="8">
        <v>5</v>
      </c>
    </row>
    <row r="207" spans="3:24" x14ac:dyDescent="0.6">
      <c r="C207" s="8" t="s">
        <v>53</v>
      </c>
      <c r="D207" s="8">
        <v>8</v>
      </c>
      <c r="E207" s="8">
        <v>8</v>
      </c>
      <c r="F207" s="8">
        <v>7</v>
      </c>
      <c r="G207" s="8">
        <v>6</v>
      </c>
      <c r="H207" s="8">
        <v>5</v>
      </c>
      <c r="I207" s="8">
        <v>5</v>
      </c>
      <c r="J207" s="8">
        <v>4</v>
      </c>
      <c r="K207" s="8">
        <v>3</v>
      </c>
      <c r="L207" s="8">
        <v>2</v>
      </c>
      <c r="M207" s="8">
        <v>2</v>
      </c>
      <c r="N207" s="8">
        <v>2</v>
      </c>
      <c r="O207" s="8">
        <v>2</v>
      </c>
      <c r="P207" s="8">
        <v>2</v>
      </c>
      <c r="Q207" s="8">
        <v>4</v>
      </c>
      <c r="R207" s="8">
        <v>4</v>
      </c>
      <c r="S207" s="8">
        <v>5</v>
      </c>
      <c r="T207" s="8">
        <v>6</v>
      </c>
      <c r="U207" s="8">
        <v>7</v>
      </c>
      <c r="V207" s="8">
        <v>8</v>
      </c>
      <c r="W207" s="8">
        <v>9</v>
      </c>
      <c r="X207" s="8">
        <v>10</v>
      </c>
    </row>
    <row r="209" spans="3:24" x14ac:dyDescent="0.6">
      <c r="C209" s="8" t="s">
        <v>54</v>
      </c>
      <c r="D209" s="8">
        <v>6</v>
      </c>
      <c r="E209" s="8">
        <v>6</v>
      </c>
      <c r="F209" s="8">
        <v>5</v>
      </c>
      <c r="G209" s="8">
        <v>5</v>
      </c>
      <c r="H209" s="8">
        <v>4</v>
      </c>
      <c r="I209" s="8">
        <v>5</v>
      </c>
      <c r="J209" s="8">
        <v>6</v>
      </c>
      <c r="K209" s="8">
        <v>6</v>
      </c>
      <c r="L209" s="8">
        <v>6</v>
      </c>
      <c r="M209" s="8">
        <v>6</v>
      </c>
      <c r="N209" s="8">
        <v>6</v>
      </c>
      <c r="O209" s="8">
        <v>6</v>
      </c>
      <c r="P209" s="8">
        <v>6</v>
      </c>
      <c r="Q209" s="8">
        <v>6</v>
      </c>
      <c r="R209" s="8">
        <v>6</v>
      </c>
      <c r="S209" s="8">
        <v>5</v>
      </c>
      <c r="T209" s="8">
        <v>4</v>
      </c>
      <c r="U209" s="8">
        <v>5</v>
      </c>
      <c r="V209" s="8">
        <v>5</v>
      </c>
      <c r="W209" s="8">
        <v>6</v>
      </c>
      <c r="X209" s="8">
        <v>6</v>
      </c>
    </row>
    <row r="211" spans="3:24" x14ac:dyDescent="0.6">
      <c r="C211" s="8" t="s">
        <v>53</v>
      </c>
      <c r="D211" s="8">
        <v>7</v>
      </c>
      <c r="E211" s="8">
        <v>7</v>
      </c>
      <c r="F211" s="8">
        <v>6</v>
      </c>
      <c r="G211" s="8">
        <v>5</v>
      </c>
      <c r="H211" s="8">
        <v>5</v>
      </c>
      <c r="I211" s="8">
        <v>4</v>
      </c>
      <c r="J211" s="8">
        <v>3</v>
      </c>
      <c r="K211" s="8">
        <v>3</v>
      </c>
      <c r="L211" s="8">
        <v>2</v>
      </c>
      <c r="M211" s="8">
        <v>2</v>
      </c>
      <c r="N211" s="8">
        <v>2</v>
      </c>
      <c r="O211" s="8">
        <v>2</v>
      </c>
      <c r="P211" s="8">
        <v>2</v>
      </c>
      <c r="Q211" s="8">
        <v>3</v>
      </c>
      <c r="R211" s="8">
        <v>4</v>
      </c>
      <c r="S211" s="8">
        <v>4</v>
      </c>
      <c r="T211" s="8">
        <v>5</v>
      </c>
      <c r="U211" s="8">
        <v>6</v>
      </c>
      <c r="V211" s="8">
        <v>7</v>
      </c>
      <c r="W211" s="8">
        <v>8</v>
      </c>
      <c r="X211" s="8">
        <v>8</v>
      </c>
    </row>
    <row r="213" spans="3:24" x14ac:dyDescent="0.6">
      <c r="C213" s="8" t="s">
        <v>54</v>
      </c>
      <c r="D213" s="8">
        <v>5</v>
      </c>
      <c r="E213" s="8">
        <v>5</v>
      </c>
      <c r="F213" s="8">
        <v>4</v>
      </c>
      <c r="G213" s="8">
        <v>4</v>
      </c>
      <c r="H213" s="8">
        <v>4</v>
      </c>
      <c r="I213" s="8">
        <v>4</v>
      </c>
      <c r="J213" s="8">
        <v>5</v>
      </c>
      <c r="K213" s="8">
        <v>5</v>
      </c>
      <c r="L213" s="8">
        <v>5</v>
      </c>
      <c r="M213" s="8">
        <v>5</v>
      </c>
      <c r="N213" s="8">
        <v>5</v>
      </c>
      <c r="O213" s="8">
        <v>5</v>
      </c>
      <c r="P213" s="8">
        <v>5</v>
      </c>
      <c r="Q213" s="8">
        <v>5</v>
      </c>
      <c r="R213" s="8">
        <v>5</v>
      </c>
      <c r="S213" s="8">
        <v>4</v>
      </c>
      <c r="T213" s="8">
        <v>4</v>
      </c>
      <c r="U213" s="8">
        <v>4</v>
      </c>
      <c r="V213" s="8">
        <v>4</v>
      </c>
      <c r="W213" s="8">
        <v>5</v>
      </c>
      <c r="X213" s="8">
        <v>5</v>
      </c>
    </row>
    <row r="215" spans="3:24" x14ac:dyDescent="0.6">
      <c r="C215" s="8" t="s">
        <v>53</v>
      </c>
      <c r="D215" s="8">
        <v>8</v>
      </c>
      <c r="E215" s="8">
        <v>8</v>
      </c>
      <c r="F215" s="8">
        <v>7</v>
      </c>
      <c r="G215" s="8">
        <v>6</v>
      </c>
      <c r="H215" s="8">
        <v>5</v>
      </c>
      <c r="I215" s="8">
        <v>5</v>
      </c>
      <c r="J215" s="8">
        <v>4</v>
      </c>
      <c r="K215" s="8">
        <v>3</v>
      </c>
      <c r="L215" s="8">
        <v>2</v>
      </c>
      <c r="M215" s="8">
        <v>2</v>
      </c>
      <c r="N215" s="8">
        <v>2</v>
      </c>
      <c r="O215" s="8">
        <v>2</v>
      </c>
      <c r="P215" s="8">
        <v>2</v>
      </c>
      <c r="Q215" s="8">
        <v>4</v>
      </c>
      <c r="R215" s="8">
        <v>4</v>
      </c>
      <c r="S215" s="8">
        <v>5</v>
      </c>
      <c r="T215" s="8">
        <v>6</v>
      </c>
      <c r="U215" s="8">
        <v>7</v>
      </c>
      <c r="V215" s="8">
        <v>8</v>
      </c>
      <c r="W215" s="8">
        <v>9</v>
      </c>
      <c r="X215" s="8">
        <v>10</v>
      </c>
    </row>
    <row r="217" spans="3:24" x14ac:dyDescent="0.6">
      <c r="C217" s="8" t="s">
        <v>54</v>
      </c>
      <c r="D217" s="8">
        <v>6</v>
      </c>
      <c r="E217" s="8">
        <v>6</v>
      </c>
      <c r="F217" s="8">
        <v>5</v>
      </c>
      <c r="G217" s="8">
        <v>5</v>
      </c>
      <c r="H217" s="8">
        <v>4</v>
      </c>
      <c r="I217" s="8">
        <v>5</v>
      </c>
      <c r="J217" s="8">
        <v>6</v>
      </c>
      <c r="K217" s="8">
        <v>6</v>
      </c>
      <c r="L217" s="8">
        <v>6</v>
      </c>
      <c r="M217" s="8">
        <v>6</v>
      </c>
      <c r="N217" s="8">
        <v>6</v>
      </c>
      <c r="O217" s="8">
        <v>6</v>
      </c>
      <c r="P217" s="8">
        <v>6</v>
      </c>
      <c r="Q217" s="8">
        <v>6</v>
      </c>
      <c r="R217" s="8">
        <v>6</v>
      </c>
      <c r="S217" s="8">
        <v>5</v>
      </c>
      <c r="T217" s="8">
        <v>4</v>
      </c>
      <c r="U217" s="8">
        <v>5</v>
      </c>
      <c r="V217" s="8">
        <v>5</v>
      </c>
      <c r="W217" s="8">
        <v>6</v>
      </c>
      <c r="X217" s="8">
        <v>6</v>
      </c>
    </row>
    <row r="219" spans="3:24" x14ac:dyDescent="0.6">
      <c r="C219" s="8" t="s">
        <v>53</v>
      </c>
      <c r="D219" s="8">
        <v>8</v>
      </c>
      <c r="E219" s="8">
        <v>8</v>
      </c>
      <c r="F219" s="8">
        <v>7</v>
      </c>
      <c r="G219" s="8">
        <v>6</v>
      </c>
      <c r="H219" s="8">
        <v>5</v>
      </c>
      <c r="I219" s="8">
        <v>5</v>
      </c>
      <c r="J219" s="8">
        <v>4</v>
      </c>
      <c r="K219" s="8">
        <v>3</v>
      </c>
      <c r="L219" s="8">
        <v>2</v>
      </c>
      <c r="M219" s="8">
        <v>2</v>
      </c>
      <c r="N219" s="8">
        <v>2</v>
      </c>
      <c r="O219" s="8">
        <v>2</v>
      </c>
      <c r="P219" s="8">
        <v>2</v>
      </c>
      <c r="Q219" s="8">
        <v>4</v>
      </c>
      <c r="R219" s="8">
        <v>4</v>
      </c>
      <c r="S219" s="8">
        <v>5</v>
      </c>
      <c r="T219" s="8">
        <v>6</v>
      </c>
      <c r="U219" s="8">
        <v>7</v>
      </c>
      <c r="V219" s="8">
        <v>8</v>
      </c>
      <c r="W219" s="8">
        <v>9</v>
      </c>
      <c r="X219" s="8">
        <v>10</v>
      </c>
    </row>
    <row r="221" spans="3:24" x14ac:dyDescent="0.6">
      <c r="C221" s="8" t="s">
        <v>54</v>
      </c>
      <c r="D221" s="8">
        <v>6</v>
      </c>
      <c r="E221" s="8">
        <v>6</v>
      </c>
      <c r="F221" s="8">
        <v>5</v>
      </c>
      <c r="G221" s="8">
        <v>5</v>
      </c>
      <c r="H221" s="8">
        <v>4</v>
      </c>
      <c r="I221" s="8">
        <v>5</v>
      </c>
      <c r="J221" s="8">
        <v>6</v>
      </c>
      <c r="K221" s="8">
        <v>6</v>
      </c>
      <c r="L221" s="8">
        <v>6</v>
      </c>
      <c r="M221" s="8">
        <v>6</v>
      </c>
      <c r="N221" s="8">
        <v>6</v>
      </c>
      <c r="O221" s="8">
        <v>6</v>
      </c>
      <c r="P221" s="8">
        <v>6</v>
      </c>
      <c r="Q221" s="8">
        <v>6</v>
      </c>
      <c r="R221" s="8">
        <v>6</v>
      </c>
      <c r="S221" s="8">
        <v>5</v>
      </c>
      <c r="T221" s="8">
        <v>4</v>
      </c>
      <c r="U221" s="8">
        <v>5</v>
      </c>
      <c r="V221" s="8">
        <v>5</v>
      </c>
      <c r="W221" s="8">
        <v>6</v>
      </c>
      <c r="X221" s="8">
        <v>6</v>
      </c>
    </row>
    <row r="223" spans="3:24" x14ac:dyDescent="0.6">
      <c r="C223" s="8" t="s">
        <v>53</v>
      </c>
      <c r="D223" s="8">
        <v>2</v>
      </c>
      <c r="E223" s="8">
        <v>2</v>
      </c>
      <c r="F223" s="8">
        <v>2</v>
      </c>
      <c r="G223" s="8">
        <v>2</v>
      </c>
      <c r="H223" s="8">
        <v>2</v>
      </c>
      <c r="I223" s="8">
        <v>2</v>
      </c>
      <c r="J223" s="8">
        <v>2</v>
      </c>
      <c r="K223" s="8">
        <v>2</v>
      </c>
      <c r="L223" s="8">
        <v>2</v>
      </c>
      <c r="M223" s="8">
        <v>2</v>
      </c>
      <c r="N223" s="8">
        <v>2</v>
      </c>
      <c r="O223" s="8">
        <v>2</v>
      </c>
      <c r="P223" s="8">
        <v>2</v>
      </c>
      <c r="Q223" s="8">
        <v>2</v>
      </c>
      <c r="R223" s="8">
        <v>2</v>
      </c>
      <c r="S223" s="8">
        <v>3</v>
      </c>
      <c r="T223" s="8">
        <v>3</v>
      </c>
      <c r="U223" s="8">
        <v>4</v>
      </c>
      <c r="V223" s="8">
        <v>4</v>
      </c>
      <c r="W223" s="8">
        <v>5</v>
      </c>
      <c r="X223" s="8">
        <v>5</v>
      </c>
    </row>
    <row r="225" spans="3:24" x14ac:dyDescent="0.6">
      <c r="C225" s="8" t="s">
        <v>54</v>
      </c>
      <c r="D225" s="8">
        <v>5</v>
      </c>
      <c r="E225" s="8">
        <v>5</v>
      </c>
      <c r="F225" s="8">
        <v>4</v>
      </c>
      <c r="G225" s="8">
        <v>4</v>
      </c>
      <c r="H225" s="8">
        <v>4</v>
      </c>
      <c r="I225" s="8">
        <v>4</v>
      </c>
      <c r="J225" s="8">
        <v>5</v>
      </c>
      <c r="K225" s="8">
        <v>5</v>
      </c>
      <c r="L225" s="8">
        <v>5</v>
      </c>
      <c r="M225" s="8">
        <v>5</v>
      </c>
      <c r="N225" s="8">
        <v>5</v>
      </c>
      <c r="O225" s="8">
        <v>5</v>
      </c>
      <c r="P225" s="8">
        <v>5</v>
      </c>
      <c r="Q225" s="8">
        <v>5</v>
      </c>
      <c r="R225" s="8">
        <v>5</v>
      </c>
      <c r="S225" s="8">
        <v>4</v>
      </c>
      <c r="T225" s="8">
        <v>4</v>
      </c>
      <c r="U225" s="8">
        <v>3</v>
      </c>
      <c r="V225" s="8">
        <v>3</v>
      </c>
      <c r="W225" s="8">
        <v>3</v>
      </c>
      <c r="X225" s="8">
        <v>3</v>
      </c>
    </row>
    <row r="227" spans="3:24" x14ac:dyDescent="0.6">
      <c r="C227" s="8" t="s">
        <v>53</v>
      </c>
      <c r="D227" s="8">
        <v>5</v>
      </c>
      <c r="E227" s="8">
        <v>5</v>
      </c>
      <c r="F227" s="8">
        <v>4</v>
      </c>
      <c r="G227" s="8">
        <v>4</v>
      </c>
      <c r="H227" s="8">
        <v>4</v>
      </c>
      <c r="I227" s="8">
        <v>3</v>
      </c>
      <c r="J227" s="8">
        <v>3</v>
      </c>
      <c r="K227" s="8">
        <v>2</v>
      </c>
      <c r="L227" s="8">
        <v>2</v>
      </c>
      <c r="M227" s="8">
        <v>2</v>
      </c>
      <c r="N227" s="8">
        <v>2</v>
      </c>
      <c r="O227" s="8">
        <v>2</v>
      </c>
      <c r="P227" s="8">
        <v>2</v>
      </c>
      <c r="Q227" s="8">
        <v>2</v>
      </c>
      <c r="R227" s="8">
        <v>2</v>
      </c>
      <c r="S227" s="8">
        <v>3</v>
      </c>
      <c r="T227" s="8">
        <v>3</v>
      </c>
      <c r="U227" s="8">
        <v>4</v>
      </c>
      <c r="V227" s="8">
        <v>4</v>
      </c>
      <c r="W227" s="8">
        <v>5</v>
      </c>
      <c r="X227" s="8">
        <v>5</v>
      </c>
    </row>
    <row r="229" spans="3:24" x14ac:dyDescent="0.6">
      <c r="C229" s="8" t="s">
        <v>54</v>
      </c>
      <c r="D229" s="8">
        <v>3</v>
      </c>
      <c r="E229" s="8">
        <v>3</v>
      </c>
      <c r="F229" s="8">
        <v>3</v>
      </c>
      <c r="G229" s="8">
        <v>3</v>
      </c>
      <c r="H229" s="8">
        <v>3</v>
      </c>
      <c r="I229" s="8">
        <v>3</v>
      </c>
      <c r="J229" s="8">
        <v>4</v>
      </c>
      <c r="K229" s="8">
        <v>4</v>
      </c>
      <c r="L229" s="8">
        <v>4</v>
      </c>
      <c r="M229" s="8">
        <v>4</v>
      </c>
      <c r="N229" s="8">
        <v>4</v>
      </c>
      <c r="O229" s="8">
        <v>4</v>
      </c>
      <c r="P229" s="8">
        <v>4</v>
      </c>
      <c r="Q229" s="8">
        <v>4</v>
      </c>
      <c r="R229" s="8">
        <v>4</v>
      </c>
      <c r="S229" s="8">
        <v>3</v>
      </c>
      <c r="T229" s="8">
        <v>3</v>
      </c>
      <c r="U229" s="8">
        <v>3</v>
      </c>
      <c r="V229" s="8">
        <v>3</v>
      </c>
      <c r="W229" s="8">
        <v>3</v>
      </c>
      <c r="X229" s="8">
        <v>3</v>
      </c>
    </row>
    <row r="231" spans="3:24" x14ac:dyDescent="0.6">
      <c r="C231" s="8" t="s">
        <v>53</v>
      </c>
      <c r="D231" s="8">
        <v>5</v>
      </c>
      <c r="E231" s="8">
        <v>5</v>
      </c>
      <c r="F231" s="8">
        <v>4</v>
      </c>
      <c r="G231" s="8">
        <v>4</v>
      </c>
      <c r="H231" s="8">
        <v>4</v>
      </c>
      <c r="I231" s="8">
        <v>3</v>
      </c>
      <c r="J231" s="8">
        <v>3</v>
      </c>
      <c r="K231" s="8">
        <v>2</v>
      </c>
      <c r="L231" s="8">
        <v>2</v>
      </c>
      <c r="M231" s="8">
        <v>2</v>
      </c>
      <c r="N231" s="8">
        <v>2</v>
      </c>
      <c r="O231" s="8">
        <v>2</v>
      </c>
      <c r="P231" s="8">
        <v>2</v>
      </c>
      <c r="Q231" s="8">
        <v>2</v>
      </c>
      <c r="R231" s="8">
        <v>2</v>
      </c>
      <c r="S231" s="8">
        <v>3</v>
      </c>
      <c r="T231" s="8">
        <v>3</v>
      </c>
      <c r="U231" s="8">
        <v>4</v>
      </c>
      <c r="V231" s="8">
        <v>4</v>
      </c>
      <c r="W231" s="8">
        <v>5</v>
      </c>
      <c r="X231" s="8">
        <v>5</v>
      </c>
    </row>
    <row r="233" spans="3:24" x14ac:dyDescent="0.6">
      <c r="C233" s="8" t="s">
        <v>54</v>
      </c>
      <c r="D233" s="8">
        <v>3</v>
      </c>
      <c r="E233" s="8">
        <v>3</v>
      </c>
      <c r="F233" s="8">
        <v>3</v>
      </c>
      <c r="G233" s="8">
        <v>3</v>
      </c>
      <c r="H233" s="8">
        <v>3</v>
      </c>
      <c r="I233" s="8">
        <v>3</v>
      </c>
      <c r="J233" s="8">
        <v>4</v>
      </c>
      <c r="K233" s="8">
        <v>4</v>
      </c>
      <c r="L233" s="8">
        <v>4</v>
      </c>
      <c r="M233" s="8">
        <v>4</v>
      </c>
      <c r="N233" s="8">
        <v>4</v>
      </c>
      <c r="O233" s="8">
        <v>4</v>
      </c>
      <c r="P233" s="8">
        <v>4</v>
      </c>
      <c r="Q233" s="8">
        <v>4</v>
      </c>
      <c r="R233" s="8">
        <v>4</v>
      </c>
      <c r="S233" s="8">
        <v>3</v>
      </c>
      <c r="T233" s="8">
        <v>3</v>
      </c>
      <c r="U233" s="8">
        <v>3</v>
      </c>
      <c r="V233" s="8">
        <v>3</v>
      </c>
      <c r="W233" s="8">
        <v>3</v>
      </c>
      <c r="X233" s="8">
        <v>3</v>
      </c>
    </row>
    <row r="235" spans="3:24" x14ac:dyDescent="0.6">
      <c r="C235" s="8" t="s">
        <v>53</v>
      </c>
      <c r="D235" s="8">
        <v>5</v>
      </c>
      <c r="E235" s="8">
        <v>5</v>
      </c>
      <c r="F235" s="8">
        <v>4</v>
      </c>
      <c r="G235" s="8">
        <v>4</v>
      </c>
      <c r="H235" s="8">
        <v>4</v>
      </c>
      <c r="I235" s="8">
        <v>3</v>
      </c>
      <c r="J235" s="8">
        <v>3</v>
      </c>
      <c r="K235" s="8">
        <v>2</v>
      </c>
      <c r="L235" s="8">
        <v>2</v>
      </c>
      <c r="M235" s="8">
        <v>2</v>
      </c>
      <c r="N235" s="8">
        <v>2</v>
      </c>
      <c r="O235" s="8">
        <v>2</v>
      </c>
      <c r="P235" s="8">
        <v>2</v>
      </c>
      <c r="Q235" s="8">
        <v>2</v>
      </c>
      <c r="R235" s="8">
        <v>2</v>
      </c>
      <c r="S235" s="8">
        <v>3</v>
      </c>
      <c r="T235" s="8">
        <v>3</v>
      </c>
      <c r="U235" s="8">
        <v>4</v>
      </c>
      <c r="V235" s="8">
        <v>4</v>
      </c>
      <c r="W235" s="8">
        <v>5</v>
      </c>
      <c r="X235" s="8">
        <v>5</v>
      </c>
    </row>
    <row r="237" spans="3:24" x14ac:dyDescent="0.6">
      <c r="C237" s="8" t="s">
        <v>54</v>
      </c>
      <c r="D237" s="8">
        <v>3</v>
      </c>
      <c r="E237" s="8">
        <v>3</v>
      </c>
      <c r="F237" s="8">
        <v>3</v>
      </c>
      <c r="G237" s="8">
        <v>3</v>
      </c>
      <c r="H237" s="8">
        <v>3</v>
      </c>
      <c r="I237" s="8">
        <v>3</v>
      </c>
      <c r="J237" s="8">
        <v>4</v>
      </c>
      <c r="K237" s="8">
        <v>4</v>
      </c>
      <c r="L237" s="8">
        <v>4</v>
      </c>
      <c r="M237" s="8">
        <v>4</v>
      </c>
      <c r="N237" s="8">
        <v>4</v>
      </c>
      <c r="O237" s="8">
        <v>4</v>
      </c>
      <c r="P237" s="8">
        <v>4</v>
      </c>
      <c r="Q237" s="8">
        <v>4</v>
      </c>
      <c r="R237" s="8">
        <v>4</v>
      </c>
      <c r="S237" s="8">
        <v>3</v>
      </c>
      <c r="T237" s="8">
        <v>3</v>
      </c>
      <c r="U237" s="8">
        <v>3</v>
      </c>
      <c r="V237" s="8">
        <v>3</v>
      </c>
      <c r="W237" s="8">
        <v>3</v>
      </c>
      <c r="X237" s="8">
        <v>3</v>
      </c>
    </row>
    <row r="239" spans="3:24" x14ac:dyDescent="0.6">
      <c r="C239" s="8" t="s">
        <v>53</v>
      </c>
      <c r="D239" s="8">
        <v>5</v>
      </c>
      <c r="E239" s="8">
        <v>5</v>
      </c>
      <c r="F239" s="8">
        <v>4</v>
      </c>
      <c r="G239" s="8">
        <v>4</v>
      </c>
      <c r="H239" s="8">
        <v>4</v>
      </c>
      <c r="I239" s="8">
        <v>3</v>
      </c>
      <c r="J239" s="8">
        <v>3</v>
      </c>
      <c r="K239" s="8">
        <v>2</v>
      </c>
      <c r="L239" s="8">
        <v>2</v>
      </c>
      <c r="M239" s="8">
        <v>2</v>
      </c>
      <c r="N239" s="8">
        <v>2</v>
      </c>
      <c r="O239" s="8">
        <v>2</v>
      </c>
      <c r="P239" s="8">
        <v>2</v>
      </c>
      <c r="Q239" s="8">
        <v>2</v>
      </c>
      <c r="R239" s="8">
        <v>2</v>
      </c>
      <c r="S239" s="8">
        <v>3</v>
      </c>
      <c r="T239" s="8">
        <v>3</v>
      </c>
      <c r="U239" s="8">
        <v>4</v>
      </c>
      <c r="V239" s="8">
        <v>4</v>
      </c>
      <c r="W239" s="8">
        <v>5</v>
      </c>
      <c r="X239" s="8">
        <v>5</v>
      </c>
    </row>
    <row r="241" spans="3:24" x14ac:dyDescent="0.6">
      <c r="C241" s="8" t="s">
        <v>54</v>
      </c>
      <c r="D241" s="8">
        <v>3</v>
      </c>
      <c r="E241" s="8">
        <v>3</v>
      </c>
      <c r="F241" s="8">
        <v>3</v>
      </c>
      <c r="G241" s="8">
        <v>3</v>
      </c>
      <c r="H241" s="8">
        <v>3</v>
      </c>
      <c r="I241" s="8">
        <v>3</v>
      </c>
      <c r="J241" s="8">
        <v>4</v>
      </c>
      <c r="K241" s="8">
        <v>4</v>
      </c>
      <c r="L241" s="8">
        <v>4</v>
      </c>
      <c r="M241" s="8">
        <v>4</v>
      </c>
      <c r="N241" s="8">
        <v>4</v>
      </c>
      <c r="O241" s="8">
        <v>4</v>
      </c>
      <c r="P241" s="8">
        <v>4</v>
      </c>
      <c r="Q241" s="8">
        <v>4</v>
      </c>
      <c r="R241" s="8">
        <v>4</v>
      </c>
      <c r="S241" s="8">
        <v>3</v>
      </c>
      <c r="T241" s="8">
        <v>3</v>
      </c>
      <c r="U241" s="8">
        <v>3</v>
      </c>
      <c r="V241" s="8">
        <v>3</v>
      </c>
      <c r="W241" s="8">
        <v>3</v>
      </c>
      <c r="X241" s="8">
        <v>3</v>
      </c>
    </row>
    <row r="243" spans="3:24" x14ac:dyDescent="0.6">
      <c r="C243" s="8" t="s">
        <v>53</v>
      </c>
      <c r="D243" s="8">
        <v>5</v>
      </c>
      <c r="E243" s="8">
        <v>5</v>
      </c>
      <c r="F243" s="8">
        <v>4</v>
      </c>
      <c r="G243" s="8">
        <v>4</v>
      </c>
      <c r="H243" s="8">
        <v>4</v>
      </c>
      <c r="I243" s="8">
        <v>3</v>
      </c>
      <c r="J243" s="8">
        <v>3</v>
      </c>
      <c r="K243" s="8">
        <v>2</v>
      </c>
      <c r="L243" s="8">
        <v>2</v>
      </c>
      <c r="M243" s="8">
        <v>2</v>
      </c>
      <c r="N243" s="8">
        <v>2</v>
      </c>
      <c r="O243" s="8">
        <v>2</v>
      </c>
      <c r="P243" s="8">
        <v>2</v>
      </c>
      <c r="Q243" s="8">
        <v>2</v>
      </c>
      <c r="R243" s="8">
        <v>2</v>
      </c>
      <c r="S243" s="8">
        <v>2</v>
      </c>
      <c r="T243" s="8">
        <v>2</v>
      </c>
      <c r="U243" s="8">
        <v>2</v>
      </c>
      <c r="V243" s="8">
        <v>2</v>
      </c>
      <c r="W243" s="8">
        <v>2</v>
      </c>
      <c r="X243" s="8">
        <v>2</v>
      </c>
    </row>
    <row r="245" spans="3:24" x14ac:dyDescent="0.6">
      <c r="C245" s="8" t="s">
        <v>54</v>
      </c>
      <c r="D245" s="8">
        <v>3</v>
      </c>
      <c r="E245" s="8">
        <v>3</v>
      </c>
      <c r="F245" s="8">
        <v>3</v>
      </c>
      <c r="G245" s="8">
        <v>3</v>
      </c>
      <c r="H245" s="8">
        <v>3</v>
      </c>
      <c r="I245" s="8">
        <v>3</v>
      </c>
      <c r="J245" s="8">
        <v>4</v>
      </c>
      <c r="K245" s="8">
        <v>4</v>
      </c>
      <c r="L245" s="8">
        <v>4</v>
      </c>
      <c r="M245" s="8">
        <v>4</v>
      </c>
      <c r="N245" s="8">
        <v>4</v>
      </c>
      <c r="O245" s="8">
        <v>4</v>
      </c>
      <c r="P245" s="8">
        <v>4</v>
      </c>
      <c r="Q245" s="8">
        <v>4</v>
      </c>
      <c r="R245" s="8">
        <v>4</v>
      </c>
      <c r="S245" s="8">
        <v>3</v>
      </c>
      <c r="T245" s="8">
        <v>3</v>
      </c>
      <c r="U245" s="8">
        <v>3</v>
      </c>
      <c r="V245" s="8">
        <v>4</v>
      </c>
      <c r="W245" s="8">
        <v>4</v>
      </c>
      <c r="X245" s="8">
        <v>4</v>
      </c>
    </row>
    <row r="247" spans="3:24" x14ac:dyDescent="0.6">
      <c r="C247" s="8" t="s">
        <v>53</v>
      </c>
      <c r="D247" s="8">
        <v>10</v>
      </c>
      <c r="E247" s="8">
        <v>9</v>
      </c>
      <c r="F247" s="8">
        <v>8</v>
      </c>
      <c r="G247" s="8">
        <v>8</v>
      </c>
      <c r="H247" s="8">
        <v>7</v>
      </c>
      <c r="I247" s="8">
        <v>6</v>
      </c>
      <c r="J247" s="8">
        <v>5</v>
      </c>
      <c r="K247" s="8">
        <v>4</v>
      </c>
      <c r="L247" s="8">
        <v>3</v>
      </c>
      <c r="M247" s="8">
        <v>2</v>
      </c>
      <c r="N247" s="8">
        <v>2</v>
      </c>
      <c r="O247" s="8">
        <v>2</v>
      </c>
      <c r="P247" s="8">
        <v>3</v>
      </c>
      <c r="Q247" s="8">
        <v>4</v>
      </c>
      <c r="R247" s="8">
        <v>5</v>
      </c>
      <c r="S247" s="8">
        <v>6</v>
      </c>
      <c r="T247" s="8">
        <v>8</v>
      </c>
      <c r="U247" s="8">
        <v>9</v>
      </c>
      <c r="V247" s="8">
        <v>10</v>
      </c>
      <c r="W247" s="8">
        <v>11</v>
      </c>
      <c r="X247" s="8">
        <v>12</v>
      </c>
    </row>
    <row r="249" spans="3:24" x14ac:dyDescent="0.6">
      <c r="C249" s="8" t="s">
        <v>54</v>
      </c>
      <c r="D249" s="8">
        <v>6</v>
      </c>
      <c r="E249" s="8">
        <v>6</v>
      </c>
      <c r="F249" s="8">
        <v>5</v>
      </c>
      <c r="G249" s="8">
        <v>5</v>
      </c>
      <c r="H249" s="8">
        <v>6</v>
      </c>
      <c r="I249" s="8">
        <v>6</v>
      </c>
      <c r="J249" s="8">
        <v>7</v>
      </c>
      <c r="K249" s="8">
        <v>8</v>
      </c>
      <c r="L249" s="8">
        <v>8</v>
      </c>
      <c r="M249" s="8">
        <v>8</v>
      </c>
      <c r="N249" s="8">
        <v>8</v>
      </c>
      <c r="O249" s="8">
        <v>8</v>
      </c>
      <c r="P249" s="8">
        <v>8</v>
      </c>
      <c r="Q249" s="8">
        <v>8</v>
      </c>
      <c r="R249" s="8">
        <v>7</v>
      </c>
      <c r="S249" s="8">
        <v>6</v>
      </c>
      <c r="T249" s="8">
        <v>6</v>
      </c>
      <c r="U249" s="8">
        <v>5</v>
      </c>
      <c r="V249" s="8">
        <v>6</v>
      </c>
      <c r="W249" s="8">
        <v>7</v>
      </c>
      <c r="X249" s="8">
        <v>7</v>
      </c>
    </row>
    <row r="251" spans="3:24" x14ac:dyDescent="0.6">
      <c r="C251" s="8" t="s">
        <v>53</v>
      </c>
      <c r="D251" s="8">
        <v>10</v>
      </c>
      <c r="E251" s="8">
        <v>9</v>
      </c>
      <c r="F251" s="8">
        <v>8</v>
      </c>
      <c r="G251" s="8">
        <v>8</v>
      </c>
      <c r="H251" s="8">
        <v>7</v>
      </c>
      <c r="I251" s="8">
        <v>6</v>
      </c>
      <c r="J251" s="8">
        <v>5</v>
      </c>
      <c r="K251" s="8">
        <v>4</v>
      </c>
      <c r="L251" s="8">
        <v>3</v>
      </c>
      <c r="M251" s="8">
        <v>2</v>
      </c>
      <c r="N251" s="8">
        <v>2</v>
      </c>
      <c r="O251" s="8">
        <v>2</v>
      </c>
      <c r="P251" s="8">
        <v>3</v>
      </c>
      <c r="Q251" s="8">
        <v>4</v>
      </c>
      <c r="R251" s="8">
        <v>5</v>
      </c>
      <c r="S251" s="8">
        <v>6</v>
      </c>
      <c r="T251" s="8">
        <v>8</v>
      </c>
      <c r="U251" s="8">
        <v>9</v>
      </c>
      <c r="V251" s="8">
        <v>10</v>
      </c>
      <c r="W251" s="8">
        <v>11</v>
      </c>
      <c r="X251" s="8">
        <v>12</v>
      </c>
    </row>
    <row r="253" spans="3:24" x14ac:dyDescent="0.6">
      <c r="C253" s="8" t="s">
        <v>54</v>
      </c>
      <c r="D253" s="8">
        <v>6</v>
      </c>
      <c r="E253" s="8">
        <v>6</v>
      </c>
      <c r="F253" s="8">
        <v>5</v>
      </c>
      <c r="G253" s="8">
        <v>5</v>
      </c>
      <c r="H253" s="8">
        <v>6</v>
      </c>
      <c r="I253" s="8">
        <v>6</v>
      </c>
      <c r="J253" s="8">
        <v>7</v>
      </c>
      <c r="K253" s="8">
        <v>8</v>
      </c>
      <c r="L253" s="8">
        <v>8</v>
      </c>
      <c r="M253" s="8">
        <v>8</v>
      </c>
      <c r="N253" s="8">
        <v>8</v>
      </c>
      <c r="O253" s="8">
        <v>8</v>
      </c>
      <c r="P253" s="8">
        <v>8</v>
      </c>
      <c r="Q253" s="8">
        <v>8</v>
      </c>
      <c r="R253" s="8">
        <v>7</v>
      </c>
      <c r="S253" s="8">
        <v>6</v>
      </c>
      <c r="T253" s="8">
        <v>6</v>
      </c>
      <c r="U253" s="8">
        <v>5</v>
      </c>
      <c r="V253" s="8">
        <v>6</v>
      </c>
      <c r="W253" s="8">
        <v>7</v>
      </c>
      <c r="X253" s="8">
        <v>7</v>
      </c>
    </row>
    <row r="255" spans="3:24" x14ac:dyDescent="0.6">
      <c r="C255" s="8" t="s">
        <v>53</v>
      </c>
      <c r="D255" s="8">
        <v>10</v>
      </c>
      <c r="E255" s="8">
        <v>9</v>
      </c>
      <c r="F255" s="8">
        <v>8</v>
      </c>
      <c r="G255" s="8">
        <v>8</v>
      </c>
      <c r="H255" s="8">
        <v>7</v>
      </c>
      <c r="I255" s="8">
        <v>6</v>
      </c>
      <c r="J255" s="8">
        <v>5</v>
      </c>
      <c r="K255" s="8">
        <v>4</v>
      </c>
      <c r="L255" s="8">
        <v>3</v>
      </c>
      <c r="M255" s="8">
        <v>2</v>
      </c>
      <c r="N255" s="8">
        <v>2</v>
      </c>
      <c r="O255" s="8">
        <v>2</v>
      </c>
      <c r="P255" s="8">
        <v>3</v>
      </c>
      <c r="Q255" s="8">
        <v>4</v>
      </c>
      <c r="R255" s="8">
        <v>5</v>
      </c>
      <c r="S255" s="8">
        <v>6</v>
      </c>
      <c r="T255" s="8">
        <v>8</v>
      </c>
      <c r="U255" s="8">
        <v>9</v>
      </c>
      <c r="V255" s="8">
        <v>10</v>
      </c>
      <c r="W255" s="8">
        <v>11</v>
      </c>
      <c r="X255" s="8">
        <v>12</v>
      </c>
    </row>
    <row r="257" spans="3:24" x14ac:dyDescent="0.6">
      <c r="C257" s="8" t="s">
        <v>54</v>
      </c>
      <c r="D257" s="8">
        <v>6</v>
      </c>
      <c r="E257" s="8">
        <v>6</v>
      </c>
      <c r="F257" s="8">
        <v>5</v>
      </c>
      <c r="G257" s="8">
        <v>5</v>
      </c>
      <c r="H257" s="8">
        <v>6</v>
      </c>
      <c r="I257" s="8">
        <v>6</v>
      </c>
      <c r="J257" s="8">
        <v>7</v>
      </c>
      <c r="K257" s="8">
        <v>8</v>
      </c>
      <c r="L257" s="8">
        <v>8</v>
      </c>
      <c r="M257" s="8">
        <v>8</v>
      </c>
      <c r="N257" s="8">
        <v>8</v>
      </c>
      <c r="O257" s="8">
        <v>8</v>
      </c>
      <c r="P257" s="8">
        <v>8</v>
      </c>
      <c r="Q257" s="8">
        <v>8</v>
      </c>
      <c r="R257" s="8">
        <v>7</v>
      </c>
      <c r="S257" s="8">
        <v>6</v>
      </c>
      <c r="T257" s="8">
        <v>6</v>
      </c>
      <c r="U257" s="8">
        <v>5</v>
      </c>
      <c r="V257" s="8">
        <v>6</v>
      </c>
      <c r="W257" s="8">
        <v>7</v>
      </c>
      <c r="X257" s="8">
        <v>7</v>
      </c>
    </row>
    <row r="259" spans="3:24" x14ac:dyDescent="0.6">
      <c r="C259" s="8" t="s">
        <v>53</v>
      </c>
      <c r="D259" s="8">
        <v>10</v>
      </c>
      <c r="E259" s="8">
        <v>9</v>
      </c>
      <c r="F259" s="8">
        <v>8</v>
      </c>
      <c r="G259" s="8">
        <v>8</v>
      </c>
      <c r="H259" s="8">
        <v>7</v>
      </c>
      <c r="I259" s="8">
        <v>6</v>
      </c>
      <c r="J259" s="8">
        <v>5</v>
      </c>
      <c r="K259" s="8">
        <v>4</v>
      </c>
      <c r="L259" s="8">
        <v>3</v>
      </c>
      <c r="M259" s="8">
        <v>2</v>
      </c>
      <c r="N259" s="8">
        <v>2</v>
      </c>
      <c r="O259" s="8">
        <v>2</v>
      </c>
      <c r="P259" s="8">
        <v>3</v>
      </c>
      <c r="Q259" s="8">
        <v>4</v>
      </c>
      <c r="R259" s="8">
        <v>5</v>
      </c>
      <c r="S259" s="8">
        <v>6</v>
      </c>
      <c r="T259" s="8">
        <v>8</v>
      </c>
      <c r="U259" s="8">
        <v>9</v>
      </c>
      <c r="V259" s="8">
        <v>10</v>
      </c>
      <c r="W259" s="8">
        <v>11</v>
      </c>
      <c r="X259" s="8">
        <v>12</v>
      </c>
    </row>
    <row r="261" spans="3:24" x14ac:dyDescent="0.6">
      <c r="C261" s="8" t="s">
        <v>54</v>
      </c>
      <c r="D261" s="8">
        <v>6</v>
      </c>
      <c r="E261" s="8">
        <v>6</v>
      </c>
      <c r="F261" s="8">
        <v>5</v>
      </c>
      <c r="G261" s="8">
        <v>5</v>
      </c>
      <c r="H261" s="8">
        <v>6</v>
      </c>
      <c r="I261" s="8">
        <v>6</v>
      </c>
      <c r="J261" s="8">
        <v>7</v>
      </c>
      <c r="K261" s="8">
        <v>8</v>
      </c>
      <c r="L261" s="8">
        <v>8</v>
      </c>
      <c r="M261" s="8">
        <v>8</v>
      </c>
      <c r="N261" s="8">
        <v>8</v>
      </c>
      <c r="O261" s="8">
        <v>8</v>
      </c>
      <c r="P261" s="8">
        <v>8</v>
      </c>
      <c r="Q261" s="8">
        <v>8</v>
      </c>
      <c r="R261" s="8">
        <v>7</v>
      </c>
      <c r="S261" s="8">
        <v>6</v>
      </c>
      <c r="T261" s="8">
        <v>6</v>
      </c>
      <c r="U261" s="8">
        <v>5</v>
      </c>
      <c r="V261" s="8">
        <v>6</v>
      </c>
      <c r="W261" s="8">
        <v>7</v>
      </c>
      <c r="X261" s="8">
        <v>7</v>
      </c>
    </row>
    <row r="263" spans="3:24" x14ac:dyDescent="0.6">
      <c r="C263" s="8" t="s">
        <v>53</v>
      </c>
      <c r="D263" s="8">
        <v>3</v>
      </c>
      <c r="E263" s="8">
        <v>3</v>
      </c>
      <c r="F263" s="8">
        <v>3</v>
      </c>
      <c r="G263" s="8">
        <v>3</v>
      </c>
      <c r="H263" s="8">
        <v>2</v>
      </c>
      <c r="I263" s="8">
        <v>2</v>
      </c>
      <c r="J263" s="8">
        <v>2</v>
      </c>
      <c r="K263" s="8">
        <v>2</v>
      </c>
      <c r="L263" s="8">
        <v>2</v>
      </c>
      <c r="M263" s="8">
        <v>2</v>
      </c>
      <c r="N263" s="8">
        <v>2</v>
      </c>
      <c r="O263" s="8">
        <v>2</v>
      </c>
      <c r="P263" s="8">
        <v>2</v>
      </c>
      <c r="Q263" s="8">
        <v>2</v>
      </c>
      <c r="R263" s="8">
        <v>2</v>
      </c>
      <c r="S263" s="8">
        <v>2</v>
      </c>
      <c r="T263" s="8">
        <v>2</v>
      </c>
      <c r="U263" s="8">
        <v>3</v>
      </c>
      <c r="V263" s="8">
        <v>3</v>
      </c>
      <c r="W263" s="8">
        <v>3</v>
      </c>
      <c r="X263" s="8">
        <v>3</v>
      </c>
    </row>
    <row r="265" spans="3:24" x14ac:dyDescent="0.6">
      <c r="C265" s="8" t="s">
        <v>54</v>
      </c>
      <c r="D265" s="8">
        <v>3</v>
      </c>
      <c r="E265" s="8">
        <v>3</v>
      </c>
      <c r="F265" s="8">
        <v>3</v>
      </c>
      <c r="G265" s="8">
        <v>3</v>
      </c>
      <c r="H265" s="8">
        <v>2</v>
      </c>
      <c r="I265" s="8">
        <v>3</v>
      </c>
      <c r="J265" s="8">
        <v>3</v>
      </c>
      <c r="K265" s="8">
        <v>3</v>
      </c>
      <c r="L265" s="8">
        <v>3</v>
      </c>
      <c r="M265" s="8">
        <v>3</v>
      </c>
      <c r="N265" s="8">
        <v>3</v>
      </c>
      <c r="O265" s="8">
        <v>3</v>
      </c>
      <c r="P265" s="8">
        <v>3</v>
      </c>
      <c r="Q265" s="8">
        <v>3</v>
      </c>
      <c r="R265" s="8">
        <v>3</v>
      </c>
      <c r="S265" s="8">
        <v>3</v>
      </c>
      <c r="T265" s="8">
        <v>2</v>
      </c>
      <c r="U265" s="8">
        <v>3</v>
      </c>
      <c r="V265" s="8">
        <v>3</v>
      </c>
      <c r="W265" s="8">
        <v>3</v>
      </c>
      <c r="X265" s="8">
        <v>3</v>
      </c>
    </row>
    <row r="267" spans="3:24" x14ac:dyDescent="0.6">
      <c r="C267" s="8" t="s">
        <v>53</v>
      </c>
      <c r="D267" s="8">
        <v>5</v>
      </c>
      <c r="E267" s="8">
        <v>5</v>
      </c>
      <c r="F267" s="8">
        <v>4</v>
      </c>
      <c r="G267" s="8">
        <v>4</v>
      </c>
      <c r="H267" s="8">
        <v>4</v>
      </c>
      <c r="I267" s="8">
        <v>3</v>
      </c>
      <c r="J267" s="8">
        <v>3</v>
      </c>
      <c r="K267" s="8">
        <v>2</v>
      </c>
      <c r="L267" s="8">
        <v>2</v>
      </c>
      <c r="M267" s="8">
        <v>2</v>
      </c>
      <c r="N267" s="8">
        <v>2</v>
      </c>
      <c r="O267" s="8">
        <v>2</v>
      </c>
      <c r="P267" s="8">
        <v>2</v>
      </c>
      <c r="Q267" s="8">
        <v>2</v>
      </c>
      <c r="R267" s="8">
        <v>2</v>
      </c>
      <c r="S267" s="8">
        <v>3</v>
      </c>
      <c r="T267" s="8">
        <v>3</v>
      </c>
      <c r="U267" s="8">
        <v>4</v>
      </c>
      <c r="V267" s="8">
        <v>4</v>
      </c>
      <c r="W267" s="8">
        <v>5</v>
      </c>
      <c r="X267" s="8">
        <v>5</v>
      </c>
    </row>
    <row r="269" spans="3:24" x14ac:dyDescent="0.6">
      <c r="C269" s="8" t="s">
        <v>54</v>
      </c>
      <c r="D269" s="8">
        <v>3</v>
      </c>
      <c r="E269" s="8">
        <v>3</v>
      </c>
      <c r="F269" s="8">
        <v>3</v>
      </c>
      <c r="G269" s="8">
        <v>3</v>
      </c>
      <c r="H269" s="8">
        <v>3</v>
      </c>
      <c r="I269" s="8">
        <v>3</v>
      </c>
      <c r="J269" s="8">
        <v>4</v>
      </c>
      <c r="K269" s="8">
        <v>4</v>
      </c>
      <c r="L269" s="8">
        <v>4</v>
      </c>
      <c r="M269" s="8">
        <v>4</v>
      </c>
      <c r="N269" s="8">
        <v>4</v>
      </c>
      <c r="O269" s="8">
        <v>4</v>
      </c>
      <c r="P269" s="8">
        <v>4</v>
      </c>
      <c r="Q269" s="8">
        <v>4</v>
      </c>
      <c r="R269" s="8">
        <v>4</v>
      </c>
      <c r="S269" s="8">
        <v>3</v>
      </c>
      <c r="T269" s="8">
        <v>3</v>
      </c>
      <c r="U269" s="8">
        <v>3</v>
      </c>
      <c r="V269" s="8">
        <v>3</v>
      </c>
      <c r="W269" s="8">
        <v>3</v>
      </c>
      <c r="X269" s="8">
        <v>3</v>
      </c>
    </row>
    <row r="271" spans="3:24" x14ac:dyDescent="0.6">
      <c r="C271" s="8" t="s">
        <v>53</v>
      </c>
      <c r="D271" s="8">
        <v>5</v>
      </c>
      <c r="E271" s="8">
        <v>5</v>
      </c>
      <c r="F271" s="8">
        <v>4</v>
      </c>
      <c r="G271" s="8">
        <v>4</v>
      </c>
      <c r="H271" s="8">
        <v>4</v>
      </c>
      <c r="I271" s="8">
        <v>3</v>
      </c>
      <c r="J271" s="8">
        <v>3</v>
      </c>
      <c r="K271" s="8">
        <v>2</v>
      </c>
      <c r="L271" s="8">
        <v>2</v>
      </c>
      <c r="M271" s="8">
        <v>2</v>
      </c>
      <c r="N271" s="8">
        <v>2</v>
      </c>
      <c r="O271" s="8">
        <v>2</v>
      </c>
      <c r="P271" s="8">
        <v>2</v>
      </c>
      <c r="Q271" s="8">
        <v>2</v>
      </c>
      <c r="R271" s="8">
        <v>2</v>
      </c>
      <c r="S271" s="8">
        <v>3</v>
      </c>
      <c r="T271" s="8">
        <v>3</v>
      </c>
      <c r="U271" s="8">
        <v>4</v>
      </c>
      <c r="V271" s="8">
        <v>4</v>
      </c>
      <c r="W271" s="8">
        <v>5</v>
      </c>
      <c r="X271" s="8">
        <v>5</v>
      </c>
    </row>
    <row r="273" spans="3:24" x14ac:dyDescent="0.6">
      <c r="C273" s="8" t="s">
        <v>54</v>
      </c>
      <c r="D273" s="8">
        <v>3</v>
      </c>
      <c r="E273" s="8">
        <v>3</v>
      </c>
      <c r="F273" s="8">
        <v>3</v>
      </c>
      <c r="G273" s="8">
        <v>3</v>
      </c>
      <c r="H273" s="8">
        <v>3</v>
      </c>
      <c r="I273" s="8">
        <v>3</v>
      </c>
      <c r="J273" s="8">
        <v>4</v>
      </c>
      <c r="K273" s="8">
        <v>4</v>
      </c>
      <c r="L273" s="8">
        <v>4</v>
      </c>
      <c r="M273" s="8">
        <v>4</v>
      </c>
      <c r="N273" s="8">
        <v>4</v>
      </c>
      <c r="O273" s="8">
        <v>4</v>
      </c>
      <c r="P273" s="8">
        <v>4</v>
      </c>
      <c r="Q273" s="8">
        <v>4</v>
      </c>
      <c r="R273" s="8">
        <v>4</v>
      </c>
      <c r="S273" s="8">
        <v>3</v>
      </c>
      <c r="T273" s="8">
        <v>3</v>
      </c>
      <c r="U273" s="8">
        <v>3</v>
      </c>
      <c r="V273" s="8">
        <v>3</v>
      </c>
      <c r="W273" s="8">
        <v>3</v>
      </c>
      <c r="X273" s="8">
        <v>3</v>
      </c>
    </row>
    <row r="275" spans="3:24" x14ac:dyDescent="0.6">
      <c r="C275" s="8" t="s">
        <v>53</v>
      </c>
      <c r="D275" s="8">
        <v>5</v>
      </c>
      <c r="E275" s="8">
        <v>5</v>
      </c>
      <c r="F275" s="8">
        <v>4</v>
      </c>
      <c r="G275" s="8">
        <v>4</v>
      </c>
      <c r="H275" s="8">
        <v>4</v>
      </c>
      <c r="I275" s="8">
        <v>3</v>
      </c>
      <c r="J275" s="8">
        <v>3</v>
      </c>
      <c r="K275" s="8">
        <v>2</v>
      </c>
      <c r="L275" s="8">
        <v>2</v>
      </c>
      <c r="M275" s="8">
        <v>2</v>
      </c>
      <c r="N275" s="8">
        <v>2</v>
      </c>
      <c r="O275" s="8">
        <v>2</v>
      </c>
      <c r="P275" s="8">
        <v>2</v>
      </c>
      <c r="Q275" s="8">
        <v>2</v>
      </c>
      <c r="R275" s="8">
        <v>2</v>
      </c>
      <c r="S275" s="8">
        <v>3</v>
      </c>
      <c r="T275" s="8">
        <v>3</v>
      </c>
      <c r="U275" s="8">
        <v>4</v>
      </c>
      <c r="V275" s="8">
        <v>4</v>
      </c>
      <c r="W275" s="8">
        <v>5</v>
      </c>
      <c r="X275" s="8">
        <v>5</v>
      </c>
    </row>
    <row r="277" spans="3:24" x14ac:dyDescent="0.6">
      <c r="C277" s="8" t="s">
        <v>54</v>
      </c>
      <c r="D277" s="8">
        <v>3</v>
      </c>
      <c r="E277" s="8">
        <v>3</v>
      </c>
      <c r="F277" s="8">
        <v>3</v>
      </c>
      <c r="G277" s="8">
        <v>3</v>
      </c>
      <c r="H277" s="8">
        <v>3</v>
      </c>
      <c r="I277" s="8">
        <v>3</v>
      </c>
      <c r="J277" s="8">
        <v>4</v>
      </c>
      <c r="K277" s="8">
        <v>4</v>
      </c>
      <c r="L277" s="8">
        <v>4</v>
      </c>
      <c r="M277" s="8">
        <v>4</v>
      </c>
      <c r="N277" s="8">
        <v>4</v>
      </c>
      <c r="O277" s="8">
        <v>4</v>
      </c>
      <c r="P277" s="8">
        <v>4</v>
      </c>
      <c r="Q277" s="8">
        <v>4</v>
      </c>
      <c r="R277" s="8">
        <v>4</v>
      </c>
      <c r="S277" s="8">
        <v>3</v>
      </c>
      <c r="T277" s="8">
        <v>3</v>
      </c>
      <c r="U277" s="8">
        <v>3</v>
      </c>
      <c r="V277" s="8">
        <v>3</v>
      </c>
      <c r="W277" s="8">
        <v>3</v>
      </c>
      <c r="X277" s="8">
        <v>3</v>
      </c>
    </row>
    <row r="279" spans="3:24" x14ac:dyDescent="0.6">
      <c r="C279" s="8" t="s">
        <v>53</v>
      </c>
      <c r="D279" s="8">
        <v>5</v>
      </c>
      <c r="E279" s="8">
        <v>5</v>
      </c>
      <c r="F279" s="8">
        <v>4</v>
      </c>
      <c r="G279" s="8">
        <v>4</v>
      </c>
      <c r="H279" s="8">
        <v>4</v>
      </c>
      <c r="I279" s="8">
        <v>3</v>
      </c>
      <c r="J279" s="8">
        <v>3</v>
      </c>
      <c r="K279" s="8">
        <v>2</v>
      </c>
      <c r="L279" s="8">
        <v>2</v>
      </c>
      <c r="M279" s="8">
        <v>2</v>
      </c>
      <c r="N279" s="8">
        <v>2</v>
      </c>
      <c r="O279" s="8">
        <v>2</v>
      </c>
      <c r="P279" s="8">
        <v>2</v>
      </c>
      <c r="Q279" s="8">
        <v>2</v>
      </c>
      <c r="R279" s="8">
        <v>2</v>
      </c>
      <c r="S279" s="8">
        <v>2</v>
      </c>
      <c r="T279" s="8">
        <v>2</v>
      </c>
      <c r="U279" s="8">
        <v>2</v>
      </c>
      <c r="V279" s="8">
        <v>2</v>
      </c>
      <c r="W279" s="8">
        <v>2</v>
      </c>
      <c r="X279" s="8">
        <v>2</v>
      </c>
    </row>
    <row r="281" spans="3:24" x14ac:dyDescent="0.6">
      <c r="C281" s="8" t="s">
        <v>54</v>
      </c>
      <c r="D281" s="8">
        <v>3</v>
      </c>
      <c r="E281" s="8">
        <v>3</v>
      </c>
      <c r="F281" s="8">
        <v>3</v>
      </c>
      <c r="G281" s="8">
        <v>3</v>
      </c>
      <c r="H281" s="8">
        <v>3</v>
      </c>
      <c r="I281" s="8">
        <v>3</v>
      </c>
      <c r="J281" s="8">
        <v>4</v>
      </c>
      <c r="K281" s="8">
        <v>4</v>
      </c>
      <c r="L281" s="8">
        <v>4</v>
      </c>
      <c r="M281" s="8">
        <v>4</v>
      </c>
      <c r="N281" s="8">
        <v>4</v>
      </c>
      <c r="O281" s="8">
        <v>4</v>
      </c>
      <c r="P281" s="8">
        <v>4</v>
      </c>
      <c r="Q281" s="8">
        <v>4</v>
      </c>
      <c r="R281" s="8">
        <v>4</v>
      </c>
      <c r="S281" s="8">
        <v>3</v>
      </c>
      <c r="T281" s="8">
        <v>3</v>
      </c>
      <c r="U281" s="8">
        <v>3</v>
      </c>
      <c r="V281" s="8">
        <v>4</v>
      </c>
      <c r="W281" s="8">
        <v>4</v>
      </c>
      <c r="X281" s="8">
        <v>4</v>
      </c>
    </row>
    <row r="283" spans="3:24" x14ac:dyDescent="0.6">
      <c r="C283" s="8" t="s">
        <v>53</v>
      </c>
      <c r="D283" s="8">
        <v>11</v>
      </c>
      <c r="E283" s="8">
        <v>10</v>
      </c>
      <c r="F283" s="8">
        <v>9</v>
      </c>
      <c r="G283" s="8">
        <v>8</v>
      </c>
      <c r="H283" s="8">
        <v>7</v>
      </c>
      <c r="I283" s="8">
        <v>6</v>
      </c>
      <c r="J283" s="8">
        <v>5</v>
      </c>
      <c r="K283" s="8">
        <v>4</v>
      </c>
      <c r="L283" s="8">
        <v>3</v>
      </c>
      <c r="M283" s="8">
        <v>2</v>
      </c>
      <c r="N283" s="8">
        <v>2</v>
      </c>
      <c r="O283" s="8">
        <v>2</v>
      </c>
      <c r="P283" s="8">
        <v>2</v>
      </c>
      <c r="Q283" s="8">
        <v>2</v>
      </c>
      <c r="R283" s="8">
        <v>2</v>
      </c>
      <c r="S283" s="8">
        <v>2</v>
      </c>
      <c r="T283" s="8">
        <v>2</v>
      </c>
      <c r="U283" s="8">
        <v>2</v>
      </c>
      <c r="V283" s="8">
        <v>2</v>
      </c>
      <c r="W283" s="8">
        <v>2</v>
      </c>
      <c r="X283" s="8">
        <v>2</v>
      </c>
    </row>
    <row r="285" spans="3:24" x14ac:dyDescent="0.6">
      <c r="C285" s="8" t="s">
        <v>54</v>
      </c>
      <c r="D285" s="8">
        <v>6</v>
      </c>
      <c r="E285" s="8">
        <v>6</v>
      </c>
      <c r="F285" s="8">
        <v>5</v>
      </c>
      <c r="G285" s="8">
        <v>5</v>
      </c>
      <c r="H285" s="8">
        <v>6</v>
      </c>
      <c r="I285" s="8">
        <v>6</v>
      </c>
      <c r="J285" s="8">
        <v>7</v>
      </c>
      <c r="K285" s="8">
        <v>8</v>
      </c>
      <c r="L285" s="8">
        <v>8</v>
      </c>
      <c r="M285" s="8">
        <v>8</v>
      </c>
      <c r="N285" s="8">
        <v>8</v>
      </c>
      <c r="O285" s="8">
        <v>8</v>
      </c>
      <c r="P285" s="8">
        <v>8</v>
      </c>
      <c r="Q285" s="8">
        <v>8</v>
      </c>
      <c r="R285" s="8">
        <v>7</v>
      </c>
      <c r="S285" s="8">
        <v>6</v>
      </c>
      <c r="T285" s="8">
        <v>6</v>
      </c>
      <c r="U285" s="8">
        <v>6</v>
      </c>
      <c r="V285" s="8">
        <v>7</v>
      </c>
      <c r="W285" s="8">
        <v>8</v>
      </c>
      <c r="X285" s="8">
        <v>8</v>
      </c>
    </row>
    <row r="287" spans="3:24" x14ac:dyDescent="0.6">
      <c r="C287" s="8" t="s">
        <v>53</v>
      </c>
      <c r="D287" s="8">
        <v>10</v>
      </c>
      <c r="E287" s="8">
        <v>9</v>
      </c>
      <c r="F287" s="8">
        <v>8</v>
      </c>
      <c r="G287" s="8">
        <v>8</v>
      </c>
      <c r="H287" s="8">
        <v>7</v>
      </c>
      <c r="I287" s="8">
        <v>6</v>
      </c>
      <c r="J287" s="8">
        <v>5</v>
      </c>
      <c r="K287" s="8">
        <v>4</v>
      </c>
      <c r="L287" s="8">
        <v>3</v>
      </c>
      <c r="M287" s="8">
        <v>2</v>
      </c>
      <c r="N287" s="8">
        <v>2</v>
      </c>
      <c r="O287" s="8">
        <v>2</v>
      </c>
      <c r="P287" s="8">
        <v>2</v>
      </c>
      <c r="Q287" s="8">
        <v>2</v>
      </c>
      <c r="R287" s="8">
        <v>2</v>
      </c>
      <c r="S287" s="8">
        <v>2</v>
      </c>
      <c r="T287" s="8">
        <v>2</v>
      </c>
      <c r="U287" s="8">
        <v>2</v>
      </c>
      <c r="V287" s="8">
        <v>2</v>
      </c>
      <c r="W287" s="8">
        <v>2</v>
      </c>
      <c r="X287" s="8">
        <v>2</v>
      </c>
    </row>
    <row r="289" spans="3:24" x14ac:dyDescent="0.6">
      <c r="C289" s="8" t="s">
        <v>54</v>
      </c>
      <c r="D289" s="8">
        <v>6</v>
      </c>
      <c r="E289" s="8">
        <v>6</v>
      </c>
      <c r="F289" s="8">
        <v>5</v>
      </c>
      <c r="G289" s="8">
        <v>5</v>
      </c>
      <c r="H289" s="8">
        <v>6</v>
      </c>
      <c r="I289" s="8">
        <v>6</v>
      </c>
      <c r="J289" s="8">
        <v>7</v>
      </c>
      <c r="K289" s="8">
        <v>8</v>
      </c>
      <c r="L289" s="8">
        <v>8</v>
      </c>
      <c r="M289" s="8">
        <v>8</v>
      </c>
      <c r="N289" s="8">
        <v>8</v>
      </c>
      <c r="O289" s="8">
        <v>8</v>
      </c>
      <c r="P289" s="8">
        <v>8</v>
      </c>
      <c r="Q289" s="8">
        <v>8</v>
      </c>
      <c r="R289" s="8">
        <v>7</v>
      </c>
      <c r="S289" s="8">
        <v>6</v>
      </c>
      <c r="T289" s="8">
        <v>6</v>
      </c>
      <c r="U289" s="8">
        <v>6</v>
      </c>
      <c r="V289" s="8">
        <v>7</v>
      </c>
      <c r="W289" s="8">
        <v>8</v>
      </c>
      <c r="X289" s="8">
        <v>8</v>
      </c>
    </row>
    <row r="291" spans="3:24" x14ac:dyDescent="0.6">
      <c r="C291" s="8" t="s">
        <v>53</v>
      </c>
      <c r="D291" s="8">
        <v>12</v>
      </c>
      <c r="E291" s="8">
        <v>11</v>
      </c>
      <c r="F291" s="8">
        <v>10</v>
      </c>
      <c r="G291" s="8">
        <v>9</v>
      </c>
      <c r="H291" s="8">
        <v>8</v>
      </c>
      <c r="I291" s="8">
        <v>7</v>
      </c>
      <c r="J291" s="8">
        <v>5</v>
      </c>
      <c r="K291" s="8">
        <v>4</v>
      </c>
      <c r="L291" s="8">
        <v>3</v>
      </c>
      <c r="M291" s="8">
        <v>2</v>
      </c>
      <c r="N291" s="8">
        <v>2</v>
      </c>
      <c r="O291" s="8">
        <v>2</v>
      </c>
      <c r="P291" s="8">
        <v>2</v>
      </c>
      <c r="Q291" s="8">
        <v>2</v>
      </c>
      <c r="R291" s="8">
        <v>2</v>
      </c>
      <c r="S291" s="8">
        <v>2</v>
      </c>
      <c r="T291" s="8">
        <v>2</v>
      </c>
      <c r="U291" s="8">
        <v>2</v>
      </c>
      <c r="V291" s="8">
        <v>2</v>
      </c>
      <c r="W291" s="8">
        <v>2</v>
      </c>
      <c r="X291" s="8">
        <v>2</v>
      </c>
    </row>
    <row r="293" spans="3:24" x14ac:dyDescent="0.6">
      <c r="C293" s="8" t="s">
        <v>54</v>
      </c>
      <c r="D293" s="8">
        <v>7</v>
      </c>
      <c r="E293" s="8">
        <v>7</v>
      </c>
      <c r="F293" s="8">
        <v>6</v>
      </c>
      <c r="G293" s="8">
        <v>5</v>
      </c>
      <c r="H293" s="8">
        <v>6</v>
      </c>
      <c r="I293" s="8">
        <v>7</v>
      </c>
      <c r="J293" s="8">
        <v>8</v>
      </c>
      <c r="K293" s="8">
        <v>9</v>
      </c>
      <c r="L293" s="8">
        <v>9</v>
      </c>
      <c r="M293" s="8">
        <v>9</v>
      </c>
      <c r="N293" s="8">
        <v>9</v>
      </c>
      <c r="O293" s="8">
        <v>9</v>
      </c>
      <c r="P293" s="8">
        <v>9</v>
      </c>
      <c r="Q293" s="8">
        <v>9</v>
      </c>
      <c r="R293" s="8">
        <v>8</v>
      </c>
      <c r="S293" s="8">
        <v>7</v>
      </c>
      <c r="T293" s="8">
        <v>6</v>
      </c>
      <c r="U293" s="8">
        <v>7</v>
      </c>
      <c r="V293" s="8">
        <v>8</v>
      </c>
      <c r="W293" s="8">
        <v>9</v>
      </c>
      <c r="X293" s="8">
        <v>9</v>
      </c>
    </row>
    <row r="295" spans="3:24" x14ac:dyDescent="0.6">
      <c r="C295" s="8" t="s">
        <v>53</v>
      </c>
      <c r="D295" s="8">
        <v>12</v>
      </c>
      <c r="E295" s="8">
        <v>11</v>
      </c>
      <c r="F295" s="8">
        <v>10</v>
      </c>
      <c r="G295" s="8">
        <v>9</v>
      </c>
      <c r="H295" s="8">
        <v>8</v>
      </c>
      <c r="I295" s="8">
        <v>7</v>
      </c>
      <c r="J295" s="8">
        <v>5</v>
      </c>
      <c r="K295" s="8">
        <v>4</v>
      </c>
      <c r="L295" s="8">
        <v>3</v>
      </c>
      <c r="M295" s="8">
        <v>2</v>
      </c>
      <c r="N295" s="8">
        <v>2</v>
      </c>
      <c r="O295" s="8">
        <v>2</v>
      </c>
      <c r="P295" s="8">
        <v>2</v>
      </c>
      <c r="Q295" s="8">
        <v>2</v>
      </c>
      <c r="R295" s="8">
        <v>2</v>
      </c>
      <c r="S295" s="8">
        <v>2</v>
      </c>
      <c r="T295" s="8">
        <v>2</v>
      </c>
      <c r="U295" s="8">
        <v>2</v>
      </c>
      <c r="V295" s="8">
        <v>2</v>
      </c>
      <c r="W295" s="8">
        <v>2</v>
      </c>
      <c r="X295" s="8">
        <v>2</v>
      </c>
    </row>
    <row r="297" spans="3:24" x14ac:dyDescent="0.6">
      <c r="C297" s="8" t="s">
        <v>54</v>
      </c>
      <c r="D297" s="8">
        <v>7</v>
      </c>
      <c r="E297" s="8">
        <v>7</v>
      </c>
      <c r="F297" s="8">
        <v>6</v>
      </c>
      <c r="G297" s="8">
        <v>5</v>
      </c>
      <c r="H297" s="8">
        <v>6</v>
      </c>
      <c r="I297" s="8">
        <v>7</v>
      </c>
      <c r="J297" s="8">
        <v>8</v>
      </c>
      <c r="K297" s="8">
        <v>9</v>
      </c>
      <c r="L297" s="8">
        <v>9</v>
      </c>
      <c r="M297" s="8">
        <v>9</v>
      </c>
      <c r="N297" s="8">
        <v>9</v>
      </c>
      <c r="O297" s="8">
        <v>9</v>
      </c>
      <c r="P297" s="8">
        <v>9</v>
      </c>
      <c r="Q297" s="8">
        <v>9</v>
      </c>
      <c r="R297" s="8">
        <v>8</v>
      </c>
      <c r="S297" s="8">
        <v>7</v>
      </c>
      <c r="T297" s="8">
        <v>6</v>
      </c>
      <c r="U297" s="8">
        <v>7</v>
      </c>
      <c r="V297" s="8">
        <v>8</v>
      </c>
      <c r="W297" s="8">
        <v>9</v>
      </c>
      <c r="X297" s="8">
        <v>9</v>
      </c>
    </row>
    <row r="299" spans="3:24" x14ac:dyDescent="0.6">
      <c r="C299" s="8" t="s">
        <v>53</v>
      </c>
      <c r="D299" s="8">
        <v>12</v>
      </c>
      <c r="E299" s="8">
        <v>11</v>
      </c>
      <c r="F299" s="8">
        <v>10</v>
      </c>
      <c r="G299" s="8">
        <v>9</v>
      </c>
      <c r="H299" s="8">
        <v>8</v>
      </c>
      <c r="I299" s="8">
        <v>7</v>
      </c>
      <c r="J299" s="8">
        <v>5</v>
      </c>
      <c r="K299" s="8">
        <v>4</v>
      </c>
      <c r="L299" s="8">
        <v>3</v>
      </c>
      <c r="M299" s="8">
        <v>2</v>
      </c>
      <c r="N299" s="8">
        <v>2</v>
      </c>
      <c r="O299" s="8">
        <v>2</v>
      </c>
      <c r="P299" s="8">
        <v>2</v>
      </c>
      <c r="Q299" s="8">
        <v>2</v>
      </c>
      <c r="R299" s="8">
        <v>2</v>
      </c>
      <c r="S299" s="8">
        <v>2</v>
      </c>
      <c r="T299" s="8">
        <v>2</v>
      </c>
      <c r="U299" s="8">
        <v>2</v>
      </c>
      <c r="V299" s="8">
        <v>2</v>
      </c>
      <c r="W299" s="8">
        <v>2</v>
      </c>
      <c r="X299" s="8">
        <v>2</v>
      </c>
    </row>
    <row r="301" spans="3:24" x14ac:dyDescent="0.6">
      <c r="C301" s="8" t="s">
        <v>54</v>
      </c>
      <c r="D301" s="8">
        <v>7</v>
      </c>
      <c r="E301" s="8">
        <v>7</v>
      </c>
      <c r="F301" s="8">
        <v>6</v>
      </c>
      <c r="G301" s="8">
        <v>5</v>
      </c>
      <c r="H301" s="8">
        <v>6</v>
      </c>
      <c r="I301" s="8">
        <v>7</v>
      </c>
      <c r="J301" s="8">
        <v>8</v>
      </c>
      <c r="K301" s="8">
        <v>9</v>
      </c>
      <c r="L301" s="8">
        <v>9</v>
      </c>
      <c r="M301" s="8">
        <v>9</v>
      </c>
      <c r="N301" s="8">
        <v>9</v>
      </c>
      <c r="O301" s="8">
        <v>9</v>
      </c>
      <c r="P301" s="8">
        <v>9</v>
      </c>
      <c r="Q301" s="8">
        <v>9</v>
      </c>
      <c r="R301" s="8">
        <v>8</v>
      </c>
      <c r="S301" s="8">
        <v>7</v>
      </c>
      <c r="T301" s="8">
        <v>6</v>
      </c>
      <c r="U301" s="8">
        <v>7</v>
      </c>
      <c r="V301" s="8">
        <v>8</v>
      </c>
      <c r="W301" s="8">
        <v>9</v>
      </c>
      <c r="X301" s="8">
        <v>9</v>
      </c>
    </row>
    <row r="303" spans="3:24" x14ac:dyDescent="0.6">
      <c r="C303" s="8" t="s">
        <v>53</v>
      </c>
      <c r="D303" s="8">
        <v>12</v>
      </c>
      <c r="E303" s="8">
        <v>11</v>
      </c>
      <c r="F303" s="8">
        <v>10</v>
      </c>
      <c r="G303" s="8">
        <v>9</v>
      </c>
      <c r="H303" s="8">
        <v>8</v>
      </c>
      <c r="I303" s="8">
        <v>7</v>
      </c>
      <c r="J303" s="8">
        <v>5</v>
      </c>
      <c r="K303" s="8">
        <v>4</v>
      </c>
      <c r="L303" s="8">
        <v>3</v>
      </c>
      <c r="M303" s="8">
        <v>2</v>
      </c>
      <c r="N303" s="8">
        <v>2</v>
      </c>
      <c r="O303" s="8">
        <v>2</v>
      </c>
      <c r="P303" s="8">
        <v>2</v>
      </c>
      <c r="Q303" s="8">
        <v>2</v>
      </c>
      <c r="R303" s="8">
        <v>2</v>
      </c>
      <c r="S303" s="8">
        <v>2</v>
      </c>
      <c r="T303" s="8">
        <v>2</v>
      </c>
      <c r="U303" s="8">
        <v>2</v>
      </c>
      <c r="V303" s="8">
        <v>2</v>
      </c>
      <c r="W303" s="8">
        <v>2</v>
      </c>
      <c r="X303" s="8">
        <v>2</v>
      </c>
    </row>
    <row r="305" spans="3:24" x14ac:dyDescent="0.6">
      <c r="C305" s="8" t="s">
        <v>54</v>
      </c>
      <c r="D305" s="8">
        <v>7</v>
      </c>
      <c r="E305" s="8">
        <v>7</v>
      </c>
      <c r="F305" s="8">
        <v>6</v>
      </c>
      <c r="G305" s="8">
        <v>5</v>
      </c>
      <c r="H305" s="8">
        <v>6</v>
      </c>
      <c r="I305" s="8">
        <v>7</v>
      </c>
      <c r="J305" s="8">
        <v>8</v>
      </c>
      <c r="K305" s="8">
        <v>9</v>
      </c>
      <c r="L305" s="8">
        <v>9</v>
      </c>
      <c r="M305" s="8">
        <v>9</v>
      </c>
      <c r="N305" s="8">
        <v>9</v>
      </c>
      <c r="O305" s="8">
        <v>9</v>
      </c>
      <c r="P305" s="8">
        <v>9</v>
      </c>
      <c r="Q305" s="8">
        <v>9</v>
      </c>
      <c r="R305" s="8">
        <v>8</v>
      </c>
      <c r="S305" s="8">
        <v>7</v>
      </c>
      <c r="T305" s="8">
        <v>6</v>
      </c>
      <c r="U305" s="8">
        <v>7</v>
      </c>
      <c r="V305" s="8">
        <v>8</v>
      </c>
      <c r="W305" s="8">
        <v>9</v>
      </c>
      <c r="X305" s="8">
        <v>9</v>
      </c>
    </row>
    <row r="307" spans="3:24" x14ac:dyDescent="0.6">
      <c r="C307" s="8" t="s">
        <v>53</v>
      </c>
      <c r="D307" s="8">
        <v>2</v>
      </c>
      <c r="E307" s="8">
        <v>2</v>
      </c>
      <c r="F307" s="8">
        <v>2</v>
      </c>
      <c r="G307" s="8">
        <v>2</v>
      </c>
      <c r="H307" s="8">
        <v>2</v>
      </c>
      <c r="I307" s="8">
        <v>2</v>
      </c>
      <c r="J307" s="8">
        <v>2</v>
      </c>
      <c r="K307" s="8">
        <v>2</v>
      </c>
      <c r="L307" s="8">
        <v>2</v>
      </c>
      <c r="M307" s="8">
        <v>2</v>
      </c>
      <c r="N307" s="8">
        <v>2</v>
      </c>
      <c r="O307" s="8">
        <v>2</v>
      </c>
      <c r="P307" s="8">
        <v>2</v>
      </c>
      <c r="Q307" s="8">
        <v>3</v>
      </c>
      <c r="R307" s="8">
        <v>4</v>
      </c>
      <c r="S307" s="8">
        <v>5</v>
      </c>
      <c r="T307" s="8">
        <v>6</v>
      </c>
      <c r="U307" s="8">
        <v>7</v>
      </c>
      <c r="V307" s="8">
        <v>8</v>
      </c>
      <c r="W307" s="8">
        <v>9</v>
      </c>
      <c r="X307" s="8">
        <v>9</v>
      </c>
    </row>
    <row r="309" spans="3:24" x14ac:dyDescent="0.6">
      <c r="C309" s="8" t="s">
        <v>54</v>
      </c>
      <c r="D309" s="8">
        <v>7</v>
      </c>
      <c r="E309" s="8">
        <v>7</v>
      </c>
      <c r="F309" s="8">
        <v>6</v>
      </c>
      <c r="G309" s="8">
        <v>5</v>
      </c>
      <c r="H309" s="8">
        <v>6</v>
      </c>
      <c r="I309" s="8">
        <v>7</v>
      </c>
      <c r="J309" s="8">
        <v>8</v>
      </c>
      <c r="K309" s="8">
        <v>9</v>
      </c>
      <c r="L309" s="8">
        <v>9</v>
      </c>
      <c r="M309" s="8">
        <v>9</v>
      </c>
      <c r="N309" s="8">
        <v>9</v>
      </c>
      <c r="O309" s="8">
        <v>9</v>
      </c>
      <c r="P309" s="8">
        <v>9</v>
      </c>
      <c r="Q309" s="8">
        <v>9</v>
      </c>
      <c r="R309" s="8">
        <v>8</v>
      </c>
      <c r="S309" s="8">
        <v>7</v>
      </c>
      <c r="T309" s="8">
        <v>6</v>
      </c>
      <c r="U309" s="8">
        <v>5</v>
      </c>
      <c r="V309" s="8">
        <v>5</v>
      </c>
      <c r="W309" s="8">
        <v>6</v>
      </c>
      <c r="X309" s="8">
        <v>6</v>
      </c>
    </row>
    <row r="311" spans="3:24" x14ac:dyDescent="0.6">
      <c r="C311" s="8" t="s">
        <v>53</v>
      </c>
      <c r="D311" s="8">
        <v>9</v>
      </c>
      <c r="E311" s="8">
        <v>9</v>
      </c>
      <c r="F311" s="8">
        <v>8</v>
      </c>
      <c r="G311" s="8">
        <v>7</v>
      </c>
      <c r="H311" s="8">
        <v>6</v>
      </c>
      <c r="I311" s="8">
        <v>5</v>
      </c>
      <c r="J311" s="8">
        <v>4</v>
      </c>
      <c r="K311" s="8">
        <v>3</v>
      </c>
      <c r="L311" s="8">
        <v>2</v>
      </c>
      <c r="M311" s="8">
        <v>2</v>
      </c>
      <c r="N311" s="8">
        <v>2</v>
      </c>
      <c r="O311" s="8">
        <v>2</v>
      </c>
      <c r="P311" s="8">
        <v>2</v>
      </c>
      <c r="Q311" s="8">
        <v>3</v>
      </c>
      <c r="R311" s="8">
        <v>4</v>
      </c>
      <c r="S311" s="8">
        <v>5</v>
      </c>
      <c r="T311" s="8">
        <v>6</v>
      </c>
      <c r="U311" s="8">
        <v>7</v>
      </c>
      <c r="V311" s="8">
        <v>8</v>
      </c>
      <c r="W311" s="8">
        <v>9</v>
      </c>
      <c r="X311" s="8">
        <v>9</v>
      </c>
    </row>
    <row r="313" spans="3:24" x14ac:dyDescent="0.6">
      <c r="C313" s="8" t="s">
        <v>54</v>
      </c>
      <c r="D313" s="8">
        <v>5</v>
      </c>
      <c r="E313" s="8">
        <v>5</v>
      </c>
      <c r="F313" s="8">
        <v>4</v>
      </c>
      <c r="G313" s="8">
        <v>5</v>
      </c>
      <c r="H313" s="8">
        <v>6</v>
      </c>
      <c r="I313" s="8">
        <v>6</v>
      </c>
      <c r="J313" s="8">
        <v>7</v>
      </c>
      <c r="K313" s="8">
        <v>8</v>
      </c>
      <c r="L313" s="8">
        <v>8</v>
      </c>
      <c r="M313" s="8">
        <v>8</v>
      </c>
      <c r="N313" s="8">
        <v>8</v>
      </c>
      <c r="O313" s="8">
        <v>8</v>
      </c>
      <c r="P313" s="8">
        <v>8</v>
      </c>
      <c r="Q313" s="8">
        <v>8</v>
      </c>
      <c r="R313" s="8">
        <v>7</v>
      </c>
      <c r="S313" s="8">
        <v>6</v>
      </c>
      <c r="T313" s="8">
        <v>6</v>
      </c>
      <c r="U313" s="8">
        <v>5</v>
      </c>
      <c r="V313" s="8">
        <v>4</v>
      </c>
      <c r="W313" s="8">
        <v>5</v>
      </c>
      <c r="X313" s="8">
        <v>5</v>
      </c>
    </row>
    <row r="315" spans="3:24" x14ac:dyDescent="0.6">
      <c r="C315" s="8" t="s">
        <v>53</v>
      </c>
      <c r="D315" s="8">
        <v>9</v>
      </c>
      <c r="E315" s="8">
        <v>9</v>
      </c>
      <c r="F315" s="8">
        <v>8</v>
      </c>
      <c r="G315" s="8">
        <v>7</v>
      </c>
      <c r="H315" s="8">
        <v>6</v>
      </c>
      <c r="I315" s="8">
        <v>5</v>
      </c>
      <c r="J315" s="8">
        <v>4</v>
      </c>
      <c r="K315" s="8">
        <v>3</v>
      </c>
      <c r="L315" s="8">
        <v>2</v>
      </c>
      <c r="M315" s="8">
        <v>2</v>
      </c>
      <c r="N315" s="8">
        <v>2</v>
      </c>
      <c r="O315" s="8">
        <v>2</v>
      </c>
      <c r="P315" s="8">
        <v>2</v>
      </c>
      <c r="Q315" s="8">
        <v>3</v>
      </c>
      <c r="R315" s="8">
        <v>4</v>
      </c>
      <c r="S315" s="8">
        <v>5</v>
      </c>
      <c r="T315" s="8">
        <v>6</v>
      </c>
      <c r="U315" s="8">
        <v>7</v>
      </c>
      <c r="V315" s="8">
        <v>8</v>
      </c>
      <c r="W315" s="8">
        <v>9</v>
      </c>
      <c r="X315" s="8">
        <v>9</v>
      </c>
    </row>
    <row r="317" spans="3:24" x14ac:dyDescent="0.6">
      <c r="C317" s="8" t="s">
        <v>54</v>
      </c>
      <c r="D317" s="8">
        <v>5</v>
      </c>
      <c r="E317" s="8">
        <v>5</v>
      </c>
      <c r="F317" s="8">
        <v>4</v>
      </c>
      <c r="G317" s="8">
        <v>5</v>
      </c>
      <c r="H317" s="8">
        <v>6</v>
      </c>
      <c r="I317" s="8">
        <v>6</v>
      </c>
      <c r="J317" s="8">
        <v>7</v>
      </c>
      <c r="K317" s="8">
        <v>8</v>
      </c>
      <c r="L317" s="8">
        <v>8</v>
      </c>
      <c r="M317" s="8">
        <v>8</v>
      </c>
      <c r="N317" s="8">
        <v>8</v>
      </c>
      <c r="O317" s="8">
        <v>8</v>
      </c>
      <c r="P317" s="8">
        <v>8</v>
      </c>
      <c r="Q317" s="8">
        <v>8</v>
      </c>
      <c r="R317" s="8">
        <v>7</v>
      </c>
      <c r="S317" s="8">
        <v>6</v>
      </c>
      <c r="T317" s="8">
        <v>6</v>
      </c>
      <c r="U317" s="8">
        <v>5</v>
      </c>
      <c r="V317" s="8">
        <v>4</v>
      </c>
      <c r="W317" s="8">
        <v>5</v>
      </c>
      <c r="X317" s="8">
        <v>5</v>
      </c>
    </row>
    <row r="319" spans="3:24" x14ac:dyDescent="0.6">
      <c r="C319" s="8" t="s">
        <v>53</v>
      </c>
      <c r="D319" s="8">
        <v>9</v>
      </c>
      <c r="E319" s="8">
        <v>9</v>
      </c>
      <c r="F319" s="8">
        <v>8</v>
      </c>
      <c r="G319" s="8">
        <v>7</v>
      </c>
      <c r="H319" s="8">
        <v>6</v>
      </c>
      <c r="I319" s="8">
        <v>5</v>
      </c>
      <c r="J319" s="8">
        <v>4</v>
      </c>
      <c r="K319" s="8">
        <v>3</v>
      </c>
      <c r="L319" s="8">
        <v>2</v>
      </c>
      <c r="M319" s="8">
        <v>2</v>
      </c>
      <c r="N319" s="8">
        <v>2</v>
      </c>
      <c r="O319" s="8">
        <v>2</v>
      </c>
      <c r="P319" s="8">
        <v>2</v>
      </c>
      <c r="Q319" s="8">
        <v>4</v>
      </c>
      <c r="R319" s="8">
        <v>4</v>
      </c>
      <c r="S319" s="8">
        <v>5</v>
      </c>
      <c r="T319" s="8">
        <v>6</v>
      </c>
      <c r="U319" s="8">
        <v>7</v>
      </c>
      <c r="V319" s="8">
        <v>8</v>
      </c>
      <c r="W319" s="8">
        <v>9</v>
      </c>
      <c r="X319" s="8">
        <v>10</v>
      </c>
    </row>
    <row r="321" spans="3:24" x14ac:dyDescent="0.6">
      <c r="C321" s="8" t="s">
        <v>54</v>
      </c>
      <c r="D321" s="8">
        <v>5</v>
      </c>
      <c r="E321" s="8">
        <v>5</v>
      </c>
      <c r="F321" s="8">
        <v>4</v>
      </c>
      <c r="G321" s="8">
        <v>5</v>
      </c>
      <c r="H321" s="8">
        <v>6</v>
      </c>
      <c r="I321" s="8">
        <v>6</v>
      </c>
      <c r="J321" s="8">
        <v>7</v>
      </c>
      <c r="K321" s="8">
        <v>8</v>
      </c>
      <c r="L321" s="8">
        <v>8</v>
      </c>
      <c r="M321" s="8">
        <v>8</v>
      </c>
      <c r="N321" s="8">
        <v>8</v>
      </c>
      <c r="O321" s="8">
        <v>8</v>
      </c>
      <c r="P321" s="8">
        <v>8</v>
      </c>
      <c r="Q321" s="8">
        <v>8</v>
      </c>
      <c r="R321" s="8">
        <v>7</v>
      </c>
      <c r="S321" s="8">
        <v>6</v>
      </c>
      <c r="T321" s="8">
        <v>6</v>
      </c>
      <c r="U321" s="8">
        <v>5</v>
      </c>
      <c r="V321" s="8">
        <v>4</v>
      </c>
      <c r="W321" s="8">
        <v>5</v>
      </c>
      <c r="X321" s="8">
        <v>5</v>
      </c>
    </row>
    <row r="323" spans="3:24" x14ac:dyDescent="0.6">
      <c r="C323" s="8" t="s">
        <v>53</v>
      </c>
      <c r="D323" s="8">
        <v>10</v>
      </c>
      <c r="E323" s="8">
        <v>9</v>
      </c>
      <c r="F323" s="8">
        <v>8</v>
      </c>
      <c r="G323" s="8">
        <v>8</v>
      </c>
      <c r="H323" s="8">
        <v>7</v>
      </c>
      <c r="I323" s="8">
        <v>6</v>
      </c>
      <c r="J323" s="8">
        <v>5</v>
      </c>
      <c r="K323" s="8">
        <v>4</v>
      </c>
      <c r="L323" s="8">
        <v>3</v>
      </c>
      <c r="M323" s="8">
        <v>2</v>
      </c>
      <c r="N323" s="8">
        <v>2</v>
      </c>
      <c r="O323" s="8">
        <v>2</v>
      </c>
      <c r="P323" s="8">
        <v>2</v>
      </c>
      <c r="Q323" s="8">
        <v>2</v>
      </c>
      <c r="R323" s="8">
        <v>2</v>
      </c>
      <c r="S323" s="8">
        <v>2</v>
      </c>
      <c r="T323" s="8">
        <v>2</v>
      </c>
      <c r="U323" s="8">
        <v>2</v>
      </c>
      <c r="V323" s="8">
        <v>2</v>
      </c>
      <c r="W323" s="8">
        <v>2</v>
      </c>
      <c r="X323" s="8">
        <v>2</v>
      </c>
    </row>
    <row r="325" spans="3:24" x14ac:dyDescent="0.6">
      <c r="C325" s="8" t="s">
        <v>54</v>
      </c>
      <c r="D325" s="8">
        <v>5</v>
      </c>
      <c r="E325" s="8">
        <v>5</v>
      </c>
      <c r="F325" s="8">
        <v>4</v>
      </c>
      <c r="G325" s="8">
        <v>5</v>
      </c>
      <c r="H325" s="8">
        <v>6</v>
      </c>
      <c r="I325" s="8">
        <v>6</v>
      </c>
      <c r="J325" s="8">
        <v>7</v>
      </c>
      <c r="K325" s="8">
        <v>8</v>
      </c>
      <c r="L325" s="8">
        <v>8</v>
      </c>
      <c r="M325" s="8">
        <v>8</v>
      </c>
      <c r="N325" s="8">
        <v>8</v>
      </c>
      <c r="O325" s="8">
        <v>8</v>
      </c>
      <c r="P325" s="8">
        <v>8</v>
      </c>
      <c r="Q325" s="8">
        <v>8</v>
      </c>
      <c r="R325" s="8">
        <v>7</v>
      </c>
      <c r="S325" s="8">
        <v>6</v>
      </c>
      <c r="T325" s="8">
        <v>6</v>
      </c>
      <c r="U325" s="8">
        <v>5</v>
      </c>
      <c r="V325" s="8">
        <v>6</v>
      </c>
      <c r="W325" s="8">
        <v>7</v>
      </c>
      <c r="X325" s="8">
        <v>7</v>
      </c>
    </row>
    <row r="327" spans="3:24" x14ac:dyDescent="0.6">
      <c r="C327" s="8" t="s">
        <v>53</v>
      </c>
      <c r="D327" s="8">
        <v>12</v>
      </c>
      <c r="E327" s="8">
        <v>11</v>
      </c>
      <c r="F327" s="8">
        <v>10</v>
      </c>
      <c r="G327" s="8">
        <v>9</v>
      </c>
      <c r="H327" s="8">
        <v>8</v>
      </c>
      <c r="I327" s="8">
        <v>7</v>
      </c>
      <c r="J327" s="8">
        <v>5</v>
      </c>
      <c r="K327" s="8">
        <v>4</v>
      </c>
      <c r="L327" s="8">
        <v>3</v>
      </c>
      <c r="M327" s="8">
        <v>2</v>
      </c>
      <c r="N327" s="8">
        <v>2</v>
      </c>
      <c r="O327" s="8">
        <v>2</v>
      </c>
      <c r="P327" s="8">
        <v>3</v>
      </c>
      <c r="Q327" s="8">
        <v>4</v>
      </c>
      <c r="R327" s="8">
        <v>5</v>
      </c>
      <c r="S327" s="8">
        <v>6</v>
      </c>
      <c r="T327" s="8">
        <v>8</v>
      </c>
      <c r="U327" s="8">
        <v>9</v>
      </c>
      <c r="V327" s="8">
        <v>10</v>
      </c>
      <c r="W327" s="8">
        <v>11</v>
      </c>
      <c r="X327" s="8">
        <v>12</v>
      </c>
    </row>
    <row r="329" spans="3:24" x14ac:dyDescent="0.6">
      <c r="C329" s="8" t="s">
        <v>54</v>
      </c>
      <c r="D329" s="8">
        <v>12</v>
      </c>
      <c r="E329" s="8">
        <v>11</v>
      </c>
      <c r="F329" s="8">
        <v>10</v>
      </c>
      <c r="G329" s="8">
        <v>9</v>
      </c>
      <c r="H329" s="8">
        <v>9</v>
      </c>
      <c r="I329" s="8">
        <v>11</v>
      </c>
      <c r="J329" s="8">
        <v>12</v>
      </c>
      <c r="K329" s="8">
        <v>13</v>
      </c>
      <c r="L329" s="8">
        <v>14</v>
      </c>
      <c r="M329" s="8">
        <v>14</v>
      </c>
      <c r="N329" s="8">
        <v>14</v>
      </c>
      <c r="O329" s="8">
        <v>14</v>
      </c>
      <c r="P329" s="8">
        <v>14</v>
      </c>
      <c r="Q329" s="8">
        <v>13</v>
      </c>
      <c r="R329" s="8">
        <v>12</v>
      </c>
      <c r="S329" s="8">
        <v>11</v>
      </c>
      <c r="T329" s="8">
        <v>9</v>
      </c>
      <c r="U329" s="8">
        <v>9</v>
      </c>
      <c r="V329" s="8">
        <v>10</v>
      </c>
      <c r="W329" s="8">
        <v>11</v>
      </c>
      <c r="X329" s="8">
        <v>12</v>
      </c>
    </row>
    <row r="331" spans="3:24" x14ac:dyDescent="0.6">
      <c r="C331" s="8" t="s">
        <v>53</v>
      </c>
      <c r="D331" s="8">
        <v>12</v>
      </c>
      <c r="E331" s="8">
        <v>11</v>
      </c>
      <c r="F331" s="8">
        <v>10</v>
      </c>
      <c r="G331" s="8">
        <v>9</v>
      </c>
      <c r="H331" s="8">
        <v>8</v>
      </c>
      <c r="I331" s="8">
        <v>7</v>
      </c>
      <c r="J331" s="8">
        <v>5</v>
      </c>
      <c r="K331" s="8">
        <v>4</v>
      </c>
      <c r="L331" s="8">
        <v>3</v>
      </c>
      <c r="M331" s="8">
        <v>2</v>
      </c>
      <c r="N331" s="8">
        <v>2</v>
      </c>
      <c r="O331" s="8">
        <v>2</v>
      </c>
      <c r="P331" s="8">
        <v>3</v>
      </c>
      <c r="Q331" s="8">
        <v>4</v>
      </c>
      <c r="R331" s="8">
        <v>5</v>
      </c>
      <c r="S331" s="8">
        <v>6</v>
      </c>
      <c r="T331" s="8">
        <v>8</v>
      </c>
      <c r="U331" s="8">
        <v>9</v>
      </c>
      <c r="V331" s="8">
        <v>10</v>
      </c>
      <c r="W331" s="8">
        <v>11</v>
      </c>
      <c r="X331" s="8">
        <v>12</v>
      </c>
    </row>
    <row r="333" spans="3:24" x14ac:dyDescent="0.6">
      <c r="C333" s="8" t="s">
        <v>54</v>
      </c>
      <c r="D333" s="8">
        <v>12</v>
      </c>
      <c r="E333" s="8">
        <v>11</v>
      </c>
      <c r="F333" s="8">
        <v>10</v>
      </c>
      <c r="G333" s="8">
        <v>9</v>
      </c>
      <c r="H333" s="8">
        <v>9</v>
      </c>
      <c r="I333" s="8">
        <v>11</v>
      </c>
      <c r="J333" s="8">
        <v>12</v>
      </c>
      <c r="K333" s="8">
        <v>13</v>
      </c>
      <c r="L333" s="8">
        <v>14</v>
      </c>
      <c r="M333" s="8">
        <v>14</v>
      </c>
      <c r="N333" s="8">
        <v>14</v>
      </c>
      <c r="O333" s="8">
        <v>14</v>
      </c>
      <c r="P333" s="8">
        <v>14</v>
      </c>
      <c r="Q333" s="8">
        <v>13</v>
      </c>
      <c r="R333" s="8">
        <v>12</v>
      </c>
      <c r="S333" s="8">
        <v>11</v>
      </c>
      <c r="T333" s="8">
        <v>9</v>
      </c>
      <c r="U333" s="8">
        <v>9</v>
      </c>
      <c r="V333" s="8">
        <v>10</v>
      </c>
      <c r="W333" s="8">
        <v>11</v>
      </c>
      <c r="X333" s="8">
        <v>12</v>
      </c>
    </row>
    <row r="335" spans="3:24" x14ac:dyDescent="0.6">
      <c r="C335" s="8" t="s">
        <v>53</v>
      </c>
      <c r="D335" s="8">
        <v>12</v>
      </c>
      <c r="E335" s="8">
        <v>11</v>
      </c>
      <c r="F335" s="8">
        <v>10</v>
      </c>
      <c r="G335" s="8">
        <v>9</v>
      </c>
      <c r="H335" s="8">
        <v>8</v>
      </c>
      <c r="I335" s="8">
        <v>7</v>
      </c>
      <c r="J335" s="8">
        <v>5</v>
      </c>
      <c r="K335" s="8">
        <v>4</v>
      </c>
      <c r="L335" s="8">
        <v>3</v>
      </c>
      <c r="M335" s="8">
        <v>2</v>
      </c>
      <c r="N335" s="8">
        <v>2</v>
      </c>
      <c r="O335" s="8">
        <v>2</v>
      </c>
      <c r="P335" s="8">
        <v>3</v>
      </c>
      <c r="Q335" s="8">
        <v>4</v>
      </c>
      <c r="R335" s="8">
        <v>5</v>
      </c>
      <c r="S335" s="8">
        <v>6</v>
      </c>
      <c r="T335" s="8">
        <v>8</v>
      </c>
      <c r="U335" s="8">
        <v>9</v>
      </c>
      <c r="V335" s="8">
        <v>10</v>
      </c>
      <c r="W335" s="8">
        <v>11</v>
      </c>
      <c r="X335" s="8">
        <v>12</v>
      </c>
    </row>
    <row r="337" spans="3:24" x14ac:dyDescent="0.6">
      <c r="C337" s="8" t="s">
        <v>54</v>
      </c>
      <c r="D337" s="8">
        <v>12</v>
      </c>
      <c r="E337" s="8">
        <v>11</v>
      </c>
      <c r="F337" s="8">
        <v>10</v>
      </c>
      <c r="G337" s="8">
        <v>9</v>
      </c>
      <c r="H337" s="8">
        <v>9</v>
      </c>
      <c r="I337" s="8">
        <v>11</v>
      </c>
      <c r="J337" s="8">
        <v>12</v>
      </c>
      <c r="K337" s="8">
        <v>13</v>
      </c>
      <c r="L337" s="8">
        <v>14</v>
      </c>
      <c r="M337" s="8">
        <v>14</v>
      </c>
      <c r="N337" s="8">
        <v>14</v>
      </c>
      <c r="O337" s="8">
        <v>14</v>
      </c>
      <c r="P337" s="8">
        <v>14</v>
      </c>
      <c r="Q337" s="8">
        <v>13</v>
      </c>
      <c r="R337" s="8">
        <v>12</v>
      </c>
      <c r="S337" s="8">
        <v>11</v>
      </c>
      <c r="T337" s="8">
        <v>9</v>
      </c>
      <c r="U337" s="8">
        <v>9</v>
      </c>
      <c r="V337" s="8">
        <v>10</v>
      </c>
      <c r="W337" s="8">
        <v>11</v>
      </c>
      <c r="X337" s="8">
        <v>12</v>
      </c>
    </row>
    <row r="339" spans="3:24" x14ac:dyDescent="0.6">
      <c r="C339" s="8" t="s">
        <v>53</v>
      </c>
      <c r="D339" s="8">
        <v>12</v>
      </c>
      <c r="E339" s="8">
        <v>11</v>
      </c>
      <c r="F339" s="8">
        <v>10</v>
      </c>
      <c r="G339" s="8">
        <v>9</v>
      </c>
      <c r="H339" s="8">
        <v>8</v>
      </c>
      <c r="I339" s="8">
        <v>7</v>
      </c>
      <c r="J339" s="8">
        <v>5</v>
      </c>
      <c r="K339" s="8">
        <v>4</v>
      </c>
      <c r="L339" s="8">
        <v>3</v>
      </c>
      <c r="M339" s="8">
        <v>2</v>
      </c>
      <c r="N339" s="8">
        <v>2</v>
      </c>
      <c r="O339" s="8">
        <v>2</v>
      </c>
      <c r="P339" s="8">
        <v>3</v>
      </c>
      <c r="Q339" s="8">
        <v>4</v>
      </c>
      <c r="R339" s="8">
        <v>5</v>
      </c>
      <c r="S339" s="8">
        <v>6</v>
      </c>
      <c r="T339" s="8">
        <v>8</v>
      </c>
      <c r="U339" s="8">
        <v>9</v>
      </c>
      <c r="V339" s="8">
        <v>10</v>
      </c>
      <c r="W339" s="8">
        <v>11</v>
      </c>
      <c r="X339" s="8">
        <v>12</v>
      </c>
    </row>
    <row r="341" spans="3:24" x14ac:dyDescent="0.6">
      <c r="C341" s="8" t="s">
        <v>54</v>
      </c>
      <c r="D341" s="8">
        <v>12</v>
      </c>
      <c r="E341" s="8">
        <v>11</v>
      </c>
      <c r="F341" s="8">
        <v>10</v>
      </c>
      <c r="G341" s="8">
        <v>9</v>
      </c>
      <c r="H341" s="8">
        <v>9</v>
      </c>
      <c r="I341" s="8">
        <v>11</v>
      </c>
      <c r="J341" s="8">
        <v>12</v>
      </c>
      <c r="K341" s="8">
        <v>13</v>
      </c>
      <c r="L341" s="8">
        <v>14</v>
      </c>
      <c r="M341" s="8">
        <v>14</v>
      </c>
      <c r="N341" s="8">
        <v>14</v>
      </c>
      <c r="O341" s="8">
        <v>14</v>
      </c>
      <c r="P341" s="8">
        <v>14</v>
      </c>
      <c r="Q341" s="8">
        <v>13</v>
      </c>
      <c r="R341" s="8">
        <v>12</v>
      </c>
      <c r="S341" s="8">
        <v>11</v>
      </c>
      <c r="T341" s="8">
        <v>9</v>
      </c>
      <c r="U341" s="8">
        <v>9</v>
      </c>
      <c r="V341" s="8">
        <v>10</v>
      </c>
      <c r="W341" s="8">
        <v>11</v>
      </c>
      <c r="X341" s="8">
        <v>12</v>
      </c>
    </row>
    <row r="343" spans="3:24" x14ac:dyDescent="0.6">
      <c r="C343" s="8" t="s">
        <v>53</v>
      </c>
      <c r="D343" s="8">
        <v>12</v>
      </c>
      <c r="E343" s="8">
        <v>11</v>
      </c>
      <c r="F343" s="8">
        <v>10</v>
      </c>
      <c r="G343" s="8">
        <v>9</v>
      </c>
      <c r="H343" s="8">
        <v>8</v>
      </c>
      <c r="I343" s="8">
        <v>7</v>
      </c>
      <c r="J343" s="8">
        <v>5</v>
      </c>
      <c r="K343" s="8">
        <v>4</v>
      </c>
      <c r="L343" s="8">
        <v>3</v>
      </c>
      <c r="M343" s="8">
        <v>2</v>
      </c>
      <c r="N343" s="8">
        <v>2</v>
      </c>
      <c r="O343" s="8">
        <v>2</v>
      </c>
      <c r="P343" s="8">
        <v>3</v>
      </c>
      <c r="Q343" s="8">
        <v>4</v>
      </c>
      <c r="R343" s="8">
        <v>5</v>
      </c>
      <c r="S343" s="8">
        <v>6</v>
      </c>
      <c r="T343" s="8">
        <v>8</v>
      </c>
      <c r="U343" s="8">
        <v>9</v>
      </c>
      <c r="V343" s="8">
        <v>10</v>
      </c>
      <c r="W343" s="8">
        <v>11</v>
      </c>
      <c r="X343" s="8">
        <v>12</v>
      </c>
    </row>
    <row r="345" spans="3:24" x14ac:dyDescent="0.6">
      <c r="C345" s="8" t="s">
        <v>54</v>
      </c>
      <c r="D345" s="8">
        <v>12</v>
      </c>
      <c r="E345" s="8">
        <v>11</v>
      </c>
      <c r="F345" s="8">
        <v>10</v>
      </c>
      <c r="G345" s="8">
        <v>9</v>
      </c>
      <c r="H345" s="8">
        <v>9</v>
      </c>
      <c r="I345" s="8">
        <v>11</v>
      </c>
      <c r="J345" s="8">
        <v>12</v>
      </c>
      <c r="K345" s="8">
        <v>13</v>
      </c>
      <c r="L345" s="8">
        <v>14</v>
      </c>
      <c r="M345" s="8">
        <v>14</v>
      </c>
      <c r="N345" s="8">
        <v>14</v>
      </c>
      <c r="O345" s="8">
        <v>14</v>
      </c>
      <c r="P345" s="8">
        <v>14</v>
      </c>
      <c r="Q345" s="8">
        <v>13</v>
      </c>
      <c r="R345" s="8">
        <v>12</v>
      </c>
      <c r="S345" s="8">
        <v>11</v>
      </c>
      <c r="T345" s="8">
        <v>9</v>
      </c>
      <c r="U345" s="8">
        <v>9</v>
      </c>
      <c r="V345" s="8">
        <v>10</v>
      </c>
      <c r="W345" s="8">
        <v>11</v>
      </c>
      <c r="X345" s="8">
        <v>12</v>
      </c>
    </row>
    <row r="347" spans="3:24" x14ac:dyDescent="0.6">
      <c r="C347" s="8" t="s">
        <v>53</v>
      </c>
      <c r="D347" s="8">
        <v>12</v>
      </c>
      <c r="E347" s="8">
        <v>11</v>
      </c>
      <c r="F347" s="8">
        <v>10</v>
      </c>
      <c r="G347" s="8">
        <v>9</v>
      </c>
      <c r="H347" s="8">
        <v>8</v>
      </c>
      <c r="I347" s="8">
        <v>7</v>
      </c>
      <c r="J347" s="8">
        <v>5</v>
      </c>
      <c r="K347" s="8">
        <v>4</v>
      </c>
      <c r="L347" s="8">
        <v>3</v>
      </c>
      <c r="M347" s="8">
        <v>2</v>
      </c>
      <c r="N347" s="8">
        <v>2</v>
      </c>
      <c r="O347" s="8">
        <v>2</v>
      </c>
      <c r="P347" s="8">
        <v>3</v>
      </c>
      <c r="Q347" s="8">
        <v>4</v>
      </c>
      <c r="R347" s="8">
        <v>5</v>
      </c>
      <c r="S347" s="8">
        <v>6</v>
      </c>
      <c r="T347" s="8">
        <v>8</v>
      </c>
      <c r="U347" s="8">
        <v>9</v>
      </c>
      <c r="V347" s="8">
        <v>10</v>
      </c>
      <c r="W347" s="8">
        <v>11</v>
      </c>
      <c r="X347" s="8">
        <v>12</v>
      </c>
    </row>
    <row r="349" spans="3:24" x14ac:dyDescent="0.6">
      <c r="C349" s="8" t="s">
        <v>54</v>
      </c>
      <c r="D349" s="8">
        <v>12</v>
      </c>
      <c r="E349" s="8">
        <v>11</v>
      </c>
      <c r="F349" s="8">
        <v>10</v>
      </c>
      <c r="G349" s="8">
        <v>9</v>
      </c>
      <c r="H349" s="8">
        <v>9</v>
      </c>
      <c r="I349" s="8">
        <v>11</v>
      </c>
      <c r="J349" s="8">
        <v>12</v>
      </c>
      <c r="K349" s="8">
        <v>13</v>
      </c>
      <c r="L349" s="8">
        <v>14</v>
      </c>
      <c r="M349" s="8">
        <v>14</v>
      </c>
      <c r="N349" s="8">
        <v>14</v>
      </c>
      <c r="O349" s="8">
        <v>14</v>
      </c>
      <c r="P349" s="8">
        <v>14</v>
      </c>
      <c r="Q349" s="8">
        <v>13</v>
      </c>
      <c r="R349" s="8">
        <v>12</v>
      </c>
      <c r="S349" s="8">
        <v>11</v>
      </c>
      <c r="T349" s="8">
        <v>9</v>
      </c>
      <c r="U349" s="8">
        <v>9</v>
      </c>
      <c r="V349" s="8">
        <v>10</v>
      </c>
      <c r="W349" s="8">
        <v>11</v>
      </c>
      <c r="X349" s="8">
        <v>12</v>
      </c>
    </row>
    <row r="351" spans="3:24" x14ac:dyDescent="0.6">
      <c r="C351" s="8" t="s">
        <v>53</v>
      </c>
      <c r="D351" s="8">
        <v>12</v>
      </c>
      <c r="E351" s="8">
        <v>11</v>
      </c>
      <c r="F351" s="8">
        <v>10</v>
      </c>
      <c r="G351" s="8">
        <v>9</v>
      </c>
      <c r="H351" s="8">
        <v>8</v>
      </c>
      <c r="I351" s="8">
        <v>7</v>
      </c>
      <c r="J351" s="8">
        <v>5</v>
      </c>
      <c r="K351" s="8">
        <v>4</v>
      </c>
      <c r="L351" s="8">
        <v>3</v>
      </c>
      <c r="M351" s="8">
        <v>2</v>
      </c>
      <c r="N351" s="8">
        <v>2</v>
      </c>
      <c r="O351" s="8">
        <v>2</v>
      </c>
      <c r="P351" s="8">
        <v>3</v>
      </c>
      <c r="Q351" s="8">
        <v>4</v>
      </c>
      <c r="R351" s="8">
        <v>5</v>
      </c>
      <c r="S351" s="8">
        <v>6</v>
      </c>
      <c r="T351" s="8">
        <v>8</v>
      </c>
      <c r="U351" s="8">
        <v>9</v>
      </c>
      <c r="V351" s="8">
        <v>10</v>
      </c>
      <c r="W351" s="8">
        <v>11</v>
      </c>
      <c r="X351" s="8">
        <v>12</v>
      </c>
    </row>
    <row r="353" spans="3:24" x14ac:dyDescent="0.6">
      <c r="C353" s="8" t="s">
        <v>54</v>
      </c>
      <c r="D353" s="8">
        <v>12</v>
      </c>
      <c r="E353" s="8">
        <v>11</v>
      </c>
      <c r="F353" s="8">
        <v>10</v>
      </c>
      <c r="G353" s="8">
        <v>9</v>
      </c>
      <c r="H353" s="8">
        <v>9</v>
      </c>
      <c r="I353" s="8">
        <v>11</v>
      </c>
      <c r="J353" s="8">
        <v>12</v>
      </c>
      <c r="K353" s="8">
        <v>13</v>
      </c>
      <c r="L353" s="8">
        <v>14</v>
      </c>
      <c r="M353" s="8">
        <v>14</v>
      </c>
      <c r="N353" s="8">
        <v>14</v>
      </c>
      <c r="O353" s="8">
        <v>14</v>
      </c>
      <c r="P353" s="8">
        <v>14</v>
      </c>
      <c r="Q353" s="8">
        <v>13</v>
      </c>
      <c r="R353" s="8">
        <v>12</v>
      </c>
      <c r="S353" s="8">
        <v>11</v>
      </c>
      <c r="T353" s="8">
        <v>9</v>
      </c>
      <c r="U353" s="8">
        <v>9</v>
      </c>
      <c r="V353" s="8">
        <v>10</v>
      </c>
      <c r="W353" s="8">
        <v>11</v>
      </c>
      <c r="X353" s="8">
        <v>12</v>
      </c>
    </row>
    <row r="355" spans="3:24" x14ac:dyDescent="0.6">
      <c r="C355" s="8" t="s">
        <v>53</v>
      </c>
      <c r="D355" s="8">
        <v>12</v>
      </c>
      <c r="E355" s="8">
        <v>11</v>
      </c>
      <c r="F355" s="8">
        <v>10</v>
      </c>
      <c r="G355" s="8">
        <v>9</v>
      </c>
      <c r="H355" s="8">
        <v>8</v>
      </c>
      <c r="I355" s="8">
        <v>7</v>
      </c>
      <c r="J355" s="8">
        <v>5</v>
      </c>
      <c r="K355" s="8">
        <v>4</v>
      </c>
      <c r="L355" s="8">
        <v>3</v>
      </c>
      <c r="M355" s="8">
        <v>2</v>
      </c>
      <c r="N355" s="8">
        <v>2</v>
      </c>
      <c r="O355" s="8">
        <v>2</v>
      </c>
      <c r="P355" s="8">
        <v>3</v>
      </c>
      <c r="Q355" s="8">
        <v>4</v>
      </c>
      <c r="R355" s="8">
        <v>5</v>
      </c>
      <c r="S355" s="8">
        <v>6</v>
      </c>
      <c r="T355" s="8">
        <v>8</v>
      </c>
      <c r="U355" s="8">
        <v>9</v>
      </c>
      <c r="V355" s="8">
        <v>10</v>
      </c>
      <c r="W355" s="8">
        <v>11</v>
      </c>
      <c r="X355" s="8">
        <v>12</v>
      </c>
    </row>
    <row r="357" spans="3:24" x14ac:dyDescent="0.6">
      <c r="C357" s="8" t="s">
        <v>54</v>
      </c>
      <c r="D357" s="8">
        <v>12</v>
      </c>
      <c r="E357" s="8">
        <v>11</v>
      </c>
      <c r="F357" s="8">
        <v>10</v>
      </c>
      <c r="G357" s="8">
        <v>9</v>
      </c>
      <c r="H357" s="8">
        <v>9</v>
      </c>
      <c r="I357" s="8">
        <v>11</v>
      </c>
      <c r="J357" s="8">
        <v>12</v>
      </c>
      <c r="K357" s="8">
        <v>13</v>
      </c>
      <c r="L357" s="8">
        <v>14</v>
      </c>
      <c r="M357" s="8">
        <v>14</v>
      </c>
      <c r="N357" s="8">
        <v>14</v>
      </c>
      <c r="O357" s="8">
        <v>14</v>
      </c>
      <c r="P357" s="8">
        <v>14</v>
      </c>
      <c r="Q357" s="8">
        <v>13</v>
      </c>
      <c r="R357" s="8">
        <v>12</v>
      </c>
      <c r="S357" s="8">
        <v>11</v>
      </c>
      <c r="T357" s="8">
        <v>9</v>
      </c>
      <c r="U357" s="8">
        <v>9</v>
      </c>
      <c r="V357" s="8">
        <v>10</v>
      </c>
      <c r="W357" s="8">
        <v>11</v>
      </c>
      <c r="X357" s="8">
        <v>12</v>
      </c>
    </row>
    <row r="359" spans="3:24" x14ac:dyDescent="0.6">
      <c r="C359" s="8" t="s">
        <v>53</v>
      </c>
      <c r="D359" s="8">
        <v>12</v>
      </c>
      <c r="E359" s="8">
        <v>11</v>
      </c>
      <c r="F359" s="8">
        <v>10</v>
      </c>
      <c r="G359" s="8">
        <v>9</v>
      </c>
      <c r="H359" s="8">
        <v>8</v>
      </c>
      <c r="I359" s="8">
        <v>7</v>
      </c>
      <c r="J359" s="8">
        <v>5</v>
      </c>
      <c r="K359" s="8">
        <v>4</v>
      </c>
      <c r="L359" s="8">
        <v>3</v>
      </c>
      <c r="M359" s="8">
        <v>2</v>
      </c>
      <c r="N359" s="8">
        <v>2</v>
      </c>
      <c r="O359" s="8">
        <v>2</v>
      </c>
      <c r="P359" s="8">
        <v>3</v>
      </c>
      <c r="Q359" s="8">
        <v>4</v>
      </c>
      <c r="R359" s="8">
        <v>5</v>
      </c>
      <c r="S359" s="8">
        <v>6</v>
      </c>
      <c r="T359" s="8">
        <v>8</v>
      </c>
      <c r="U359" s="8">
        <v>9</v>
      </c>
      <c r="V359" s="8">
        <v>10</v>
      </c>
      <c r="W359" s="8">
        <v>11</v>
      </c>
      <c r="X359" s="8">
        <v>12</v>
      </c>
    </row>
    <row r="361" spans="3:24" x14ac:dyDescent="0.6">
      <c r="C361" s="8" t="s">
        <v>54</v>
      </c>
      <c r="D361" s="8">
        <v>12</v>
      </c>
      <c r="E361" s="8">
        <v>11</v>
      </c>
      <c r="F361" s="8">
        <v>10</v>
      </c>
      <c r="G361" s="8">
        <v>9</v>
      </c>
      <c r="H361" s="8">
        <v>9</v>
      </c>
      <c r="I361" s="8">
        <v>11</v>
      </c>
      <c r="J361" s="8">
        <v>12</v>
      </c>
      <c r="K361" s="8">
        <v>13</v>
      </c>
      <c r="L361" s="8">
        <v>14</v>
      </c>
      <c r="M361" s="8">
        <v>14</v>
      </c>
      <c r="N361" s="8">
        <v>14</v>
      </c>
      <c r="O361" s="8">
        <v>14</v>
      </c>
      <c r="P361" s="8">
        <v>14</v>
      </c>
      <c r="Q361" s="8">
        <v>13</v>
      </c>
      <c r="R361" s="8">
        <v>12</v>
      </c>
      <c r="S361" s="8">
        <v>11</v>
      </c>
      <c r="T361" s="8">
        <v>9</v>
      </c>
      <c r="U361" s="8">
        <v>9</v>
      </c>
      <c r="V361" s="8">
        <v>10</v>
      </c>
      <c r="W361" s="8">
        <v>11</v>
      </c>
      <c r="X361" s="8">
        <v>12</v>
      </c>
    </row>
    <row r="363" spans="3:24" x14ac:dyDescent="0.6">
      <c r="C363" s="8" t="s">
        <v>53</v>
      </c>
      <c r="D363" s="8">
        <v>12</v>
      </c>
      <c r="E363" s="8">
        <v>11</v>
      </c>
      <c r="F363" s="8">
        <v>10</v>
      </c>
      <c r="G363" s="8">
        <v>9</v>
      </c>
      <c r="H363" s="8">
        <v>8</v>
      </c>
      <c r="I363" s="8">
        <v>7</v>
      </c>
      <c r="J363" s="8">
        <v>5</v>
      </c>
      <c r="K363" s="8">
        <v>4</v>
      </c>
      <c r="L363" s="8">
        <v>3</v>
      </c>
      <c r="M363" s="8">
        <v>2</v>
      </c>
      <c r="N363" s="8">
        <v>2</v>
      </c>
      <c r="O363" s="8">
        <v>2</v>
      </c>
      <c r="P363" s="8">
        <v>3</v>
      </c>
      <c r="Q363" s="8">
        <v>4</v>
      </c>
      <c r="R363" s="8">
        <v>5</v>
      </c>
      <c r="S363" s="8">
        <v>6</v>
      </c>
      <c r="T363" s="8">
        <v>8</v>
      </c>
      <c r="U363" s="8">
        <v>9</v>
      </c>
      <c r="V363" s="8">
        <v>10</v>
      </c>
      <c r="W363" s="8">
        <v>11</v>
      </c>
      <c r="X363" s="8">
        <v>12</v>
      </c>
    </row>
    <row r="365" spans="3:24" x14ac:dyDescent="0.6">
      <c r="C365" s="8" t="s">
        <v>54</v>
      </c>
      <c r="D365" s="8">
        <v>12</v>
      </c>
      <c r="E365" s="8">
        <v>11</v>
      </c>
      <c r="F365" s="8">
        <v>10</v>
      </c>
      <c r="G365" s="8">
        <v>9</v>
      </c>
      <c r="H365" s="8">
        <v>9</v>
      </c>
      <c r="I365" s="8">
        <v>11</v>
      </c>
      <c r="J365" s="8">
        <v>12</v>
      </c>
      <c r="K365" s="8">
        <v>13</v>
      </c>
      <c r="L365" s="8">
        <v>14</v>
      </c>
      <c r="M365" s="8">
        <v>14</v>
      </c>
      <c r="N365" s="8">
        <v>14</v>
      </c>
      <c r="O365" s="8">
        <v>14</v>
      </c>
      <c r="P365" s="8">
        <v>14</v>
      </c>
      <c r="Q365" s="8">
        <v>13</v>
      </c>
      <c r="R365" s="8">
        <v>12</v>
      </c>
      <c r="S365" s="8">
        <v>11</v>
      </c>
      <c r="T365" s="8">
        <v>9</v>
      </c>
      <c r="U365" s="8">
        <v>9</v>
      </c>
      <c r="V365" s="8">
        <v>10</v>
      </c>
      <c r="W365" s="8">
        <v>11</v>
      </c>
      <c r="X365" s="8">
        <v>12</v>
      </c>
    </row>
    <row r="367" spans="3:24" x14ac:dyDescent="0.6">
      <c r="C367" s="8" t="s">
        <v>53</v>
      </c>
      <c r="D367" s="8">
        <v>12</v>
      </c>
      <c r="E367" s="8">
        <v>11</v>
      </c>
      <c r="F367" s="8">
        <v>10</v>
      </c>
      <c r="G367" s="8">
        <v>9</v>
      </c>
      <c r="H367" s="8">
        <v>8</v>
      </c>
      <c r="I367" s="8">
        <v>7</v>
      </c>
      <c r="J367" s="8">
        <v>5</v>
      </c>
      <c r="K367" s="8">
        <v>4</v>
      </c>
      <c r="L367" s="8">
        <v>3</v>
      </c>
      <c r="M367" s="8">
        <v>2</v>
      </c>
      <c r="N367" s="8">
        <v>2</v>
      </c>
      <c r="O367" s="8">
        <v>2</v>
      </c>
      <c r="P367" s="8">
        <v>3</v>
      </c>
      <c r="Q367" s="8">
        <v>4</v>
      </c>
      <c r="R367" s="8">
        <v>5</v>
      </c>
      <c r="S367" s="8">
        <v>6</v>
      </c>
      <c r="T367" s="8">
        <v>8</v>
      </c>
      <c r="U367" s="8">
        <v>9</v>
      </c>
      <c r="V367" s="8">
        <v>10</v>
      </c>
      <c r="W367" s="8">
        <v>11</v>
      </c>
      <c r="X367" s="8">
        <v>12</v>
      </c>
    </row>
    <row r="369" spans="3:24" x14ac:dyDescent="0.6">
      <c r="C369" s="8" t="s">
        <v>54</v>
      </c>
      <c r="D369" s="8">
        <v>12</v>
      </c>
      <c r="E369" s="8">
        <v>11</v>
      </c>
      <c r="F369" s="8">
        <v>10</v>
      </c>
      <c r="G369" s="8">
        <v>9</v>
      </c>
      <c r="H369" s="8">
        <v>9</v>
      </c>
      <c r="I369" s="8">
        <v>11</v>
      </c>
      <c r="J369" s="8">
        <v>12</v>
      </c>
      <c r="K369" s="8">
        <v>13</v>
      </c>
      <c r="L369" s="8">
        <v>14</v>
      </c>
      <c r="M369" s="8">
        <v>14</v>
      </c>
      <c r="N369" s="8">
        <v>14</v>
      </c>
      <c r="O369" s="8">
        <v>14</v>
      </c>
      <c r="P369" s="8">
        <v>14</v>
      </c>
      <c r="Q369" s="8">
        <v>13</v>
      </c>
      <c r="R369" s="8">
        <v>12</v>
      </c>
      <c r="S369" s="8">
        <v>11</v>
      </c>
      <c r="T369" s="8">
        <v>9</v>
      </c>
      <c r="U369" s="8">
        <v>9</v>
      </c>
      <c r="V369" s="8">
        <v>10</v>
      </c>
      <c r="W369" s="8">
        <v>11</v>
      </c>
      <c r="X369" s="8">
        <v>12</v>
      </c>
    </row>
    <row r="371" spans="3:24" x14ac:dyDescent="0.6">
      <c r="C371" s="8" t="s">
        <v>53</v>
      </c>
      <c r="D371" s="8">
        <v>12</v>
      </c>
      <c r="E371" s="8">
        <v>11</v>
      </c>
      <c r="F371" s="8">
        <v>10</v>
      </c>
      <c r="G371" s="8">
        <v>9</v>
      </c>
      <c r="H371" s="8">
        <v>8</v>
      </c>
      <c r="I371" s="8">
        <v>7</v>
      </c>
      <c r="J371" s="8">
        <v>5</v>
      </c>
      <c r="K371" s="8">
        <v>4</v>
      </c>
      <c r="L371" s="8">
        <v>3</v>
      </c>
      <c r="M371" s="8">
        <v>2</v>
      </c>
      <c r="N371" s="8">
        <v>2</v>
      </c>
      <c r="O371" s="8">
        <v>2</v>
      </c>
      <c r="P371" s="8">
        <v>3</v>
      </c>
      <c r="Q371" s="8">
        <v>4</v>
      </c>
      <c r="R371" s="8">
        <v>5</v>
      </c>
      <c r="S371" s="8">
        <v>6</v>
      </c>
      <c r="T371" s="8">
        <v>8</v>
      </c>
      <c r="U371" s="8">
        <v>9</v>
      </c>
      <c r="V371" s="8">
        <v>10</v>
      </c>
      <c r="W371" s="8">
        <v>11</v>
      </c>
      <c r="X371" s="8">
        <v>12</v>
      </c>
    </row>
    <row r="373" spans="3:24" x14ac:dyDescent="0.6">
      <c r="C373" s="8" t="s">
        <v>54</v>
      </c>
      <c r="D373" s="8">
        <v>12</v>
      </c>
      <c r="E373" s="8">
        <v>11</v>
      </c>
      <c r="F373" s="8">
        <v>10</v>
      </c>
      <c r="G373" s="8">
        <v>9</v>
      </c>
      <c r="H373" s="8">
        <v>9</v>
      </c>
      <c r="I373" s="8">
        <v>11</v>
      </c>
      <c r="J373" s="8">
        <v>12</v>
      </c>
      <c r="K373" s="8">
        <v>13</v>
      </c>
      <c r="L373" s="8">
        <v>14</v>
      </c>
      <c r="M373" s="8">
        <v>14</v>
      </c>
      <c r="N373" s="8">
        <v>14</v>
      </c>
      <c r="O373" s="8">
        <v>14</v>
      </c>
      <c r="P373" s="8">
        <v>14</v>
      </c>
      <c r="Q373" s="8">
        <v>13</v>
      </c>
      <c r="R373" s="8">
        <v>12</v>
      </c>
      <c r="S373" s="8">
        <v>11</v>
      </c>
      <c r="T373" s="8">
        <v>9</v>
      </c>
      <c r="U373" s="8">
        <v>9</v>
      </c>
      <c r="V373" s="8">
        <v>10</v>
      </c>
      <c r="W373" s="8">
        <v>11</v>
      </c>
      <c r="X373" s="8">
        <v>12</v>
      </c>
    </row>
    <row r="375" spans="3:24" x14ac:dyDescent="0.6">
      <c r="C375" s="8" t="s">
        <v>53</v>
      </c>
      <c r="D375" s="8">
        <v>2</v>
      </c>
      <c r="E375" s="8">
        <v>2</v>
      </c>
      <c r="F375" s="8">
        <v>2</v>
      </c>
      <c r="G375" s="8">
        <v>2</v>
      </c>
      <c r="H375" s="8">
        <v>2</v>
      </c>
      <c r="I375" s="8">
        <v>2</v>
      </c>
      <c r="J375" s="8">
        <v>2</v>
      </c>
      <c r="K375" s="8">
        <v>2</v>
      </c>
      <c r="L375" s="8">
        <v>2</v>
      </c>
      <c r="M375" s="8">
        <v>2</v>
      </c>
      <c r="N375" s="8">
        <v>2</v>
      </c>
      <c r="O375" s="8">
        <v>2</v>
      </c>
      <c r="P375" s="8">
        <v>2</v>
      </c>
      <c r="Q375" s="8">
        <v>3</v>
      </c>
      <c r="R375" s="8">
        <v>3</v>
      </c>
      <c r="S375" s="8">
        <v>4</v>
      </c>
      <c r="T375" s="8">
        <v>5</v>
      </c>
      <c r="U375" s="8">
        <v>5</v>
      </c>
      <c r="V375" s="8">
        <v>6</v>
      </c>
      <c r="W375" s="8">
        <v>7</v>
      </c>
      <c r="X375" s="8">
        <v>7</v>
      </c>
    </row>
    <row r="377" spans="3:24" x14ac:dyDescent="0.6">
      <c r="C377" s="8" t="s">
        <v>54</v>
      </c>
      <c r="D377" s="8">
        <v>5</v>
      </c>
      <c r="E377" s="8">
        <v>5</v>
      </c>
      <c r="F377" s="8">
        <v>4</v>
      </c>
      <c r="G377" s="8">
        <v>4</v>
      </c>
      <c r="H377" s="8">
        <v>4</v>
      </c>
      <c r="I377" s="8">
        <v>5</v>
      </c>
      <c r="J377" s="8">
        <v>6</v>
      </c>
      <c r="K377" s="8">
        <v>6</v>
      </c>
      <c r="L377" s="8">
        <v>6</v>
      </c>
      <c r="M377" s="8">
        <v>6</v>
      </c>
      <c r="N377" s="8">
        <v>6</v>
      </c>
      <c r="O377" s="8">
        <v>6</v>
      </c>
      <c r="P377" s="8">
        <v>6</v>
      </c>
      <c r="Q377" s="8">
        <v>6</v>
      </c>
      <c r="R377" s="8">
        <v>6</v>
      </c>
      <c r="S377" s="8">
        <v>5</v>
      </c>
      <c r="T377" s="8">
        <v>4</v>
      </c>
      <c r="U377" s="8">
        <v>4</v>
      </c>
      <c r="V377" s="8">
        <v>4</v>
      </c>
      <c r="W377" s="8">
        <v>5</v>
      </c>
      <c r="X377" s="8">
        <v>5</v>
      </c>
    </row>
    <row r="379" spans="3:24" x14ac:dyDescent="0.6">
      <c r="C379" s="8" t="s">
        <v>53</v>
      </c>
      <c r="D379" s="8">
        <v>7</v>
      </c>
      <c r="E379" s="8">
        <v>7</v>
      </c>
      <c r="F379" s="8">
        <v>6</v>
      </c>
      <c r="G379" s="8">
        <v>5</v>
      </c>
      <c r="H379" s="8">
        <v>5</v>
      </c>
      <c r="I379" s="8">
        <v>4</v>
      </c>
      <c r="J379" s="8">
        <v>3</v>
      </c>
      <c r="K379" s="8">
        <v>3</v>
      </c>
      <c r="L379" s="8">
        <v>2</v>
      </c>
      <c r="M379" s="8">
        <v>2</v>
      </c>
      <c r="N379" s="8">
        <v>2</v>
      </c>
      <c r="O379" s="8">
        <v>2</v>
      </c>
      <c r="P379" s="8">
        <v>3</v>
      </c>
      <c r="Q379" s="8">
        <v>4</v>
      </c>
      <c r="R379" s="8">
        <v>5</v>
      </c>
      <c r="S379" s="8">
        <v>6</v>
      </c>
      <c r="T379" s="8">
        <v>7</v>
      </c>
      <c r="U379" s="8">
        <v>8</v>
      </c>
      <c r="V379" s="8">
        <v>9</v>
      </c>
      <c r="W379" s="8">
        <v>10</v>
      </c>
      <c r="X379" s="8">
        <v>11</v>
      </c>
    </row>
    <row r="381" spans="3:24" x14ac:dyDescent="0.6">
      <c r="C381" s="8" t="s">
        <v>54</v>
      </c>
      <c r="D381" s="8">
        <v>5</v>
      </c>
      <c r="E381" s="8">
        <v>5</v>
      </c>
      <c r="F381" s="8">
        <v>4</v>
      </c>
      <c r="G381" s="8">
        <v>4</v>
      </c>
      <c r="H381" s="8">
        <v>4</v>
      </c>
      <c r="I381" s="8">
        <v>5</v>
      </c>
      <c r="J381" s="8">
        <v>6</v>
      </c>
      <c r="K381" s="8">
        <v>6</v>
      </c>
      <c r="L381" s="8">
        <v>6</v>
      </c>
      <c r="M381" s="8">
        <v>6</v>
      </c>
      <c r="N381" s="8">
        <v>6</v>
      </c>
      <c r="O381" s="8">
        <v>6</v>
      </c>
      <c r="P381" s="8">
        <v>6</v>
      </c>
      <c r="Q381" s="8">
        <v>6</v>
      </c>
      <c r="R381" s="8">
        <v>6</v>
      </c>
      <c r="S381" s="8">
        <v>5</v>
      </c>
      <c r="T381" s="8">
        <v>4</v>
      </c>
      <c r="U381" s="8">
        <v>4</v>
      </c>
      <c r="V381" s="8">
        <v>4</v>
      </c>
      <c r="W381" s="8">
        <v>4</v>
      </c>
      <c r="X381" s="8">
        <v>4</v>
      </c>
    </row>
    <row r="383" spans="3:24" x14ac:dyDescent="0.6">
      <c r="C383" s="8" t="s">
        <v>53</v>
      </c>
      <c r="D383" s="8">
        <v>9</v>
      </c>
      <c r="E383" s="8">
        <v>9</v>
      </c>
      <c r="F383" s="8">
        <v>8</v>
      </c>
      <c r="G383" s="8">
        <v>7</v>
      </c>
      <c r="H383" s="8">
        <v>6</v>
      </c>
      <c r="I383" s="8">
        <v>5</v>
      </c>
      <c r="J383" s="8">
        <v>4</v>
      </c>
      <c r="K383" s="8">
        <v>3</v>
      </c>
      <c r="L383" s="8">
        <v>2</v>
      </c>
      <c r="M383" s="8">
        <v>2</v>
      </c>
      <c r="N383" s="8">
        <v>2</v>
      </c>
      <c r="O383" s="8">
        <v>2</v>
      </c>
      <c r="P383" s="8">
        <v>3</v>
      </c>
      <c r="Q383" s="8">
        <v>4</v>
      </c>
      <c r="R383" s="8">
        <v>5</v>
      </c>
      <c r="S383" s="8">
        <v>6</v>
      </c>
      <c r="T383" s="8">
        <v>7</v>
      </c>
      <c r="U383" s="8">
        <v>8</v>
      </c>
      <c r="V383" s="8">
        <v>9</v>
      </c>
      <c r="W383" s="8">
        <v>10</v>
      </c>
      <c r="X383" s="8">
        <v>11</v>
      </c>
    </row>
    <row r="385" spans="3:24" x14ac:dyDescent="0.6">
      <c r="C385" s="8" t="s">
        <v>54</v>
      </c>
      <c r="D385" s="8">
        <v>10</v>
      </c>
      <c r="E385" s="8">
        <v>9</v>
      </c>
      <c r="F385" s="8">
        <v>8</v>
      </c>
      <c r="G385" s="8">
        <v>8</v>
      </c>
      <c r="H385" s="8">
        <v>9</v>
      </c>
      <c r="I385" s="8">
        <v>10</v>
      </c>
      <c r="J385" s="8">
        <v>11</v>
      </c>
      <c r="K385" s="8">
        <v>12</v>
      </c>
      <c r="L385" s="8">
        <v>13</v>
      </c>
      <c r="M385" s="8">
        <v>13</v>
      </c>
      <c r="N385" s="8">
        <v>13</v>
      </c>
      <c r="O385" s="8">
        <v>13</v>
      </c>
      <c r="P385" s="8">
        <v>13</v>
      </c>
      <c r="Q385" s="8">
        <v>12</v>
      </c>
      <c r="R385" s="8">
        <v>11</v>
      </c>
      <c r="S385" s="8">
        <v>10</v>
      </c>
      <c r="T385" s="8">
        <v>9</v>
      </c>
      <c r="U385" s="8">
        <v>7</v>
      </c>
      <c r="V385" s="8">
        <v>8</v>
      </c>
      <c r="W385" s="8">
        <v>9</v>
      </c>
      <c r="X385" s="8">
        <v>10</v>
      </c>
    </row>
    <row r="387" spans="3:24" x14ac:dyDescent="0.6">
      <c r="C387" s="8" t="s">
        <v>53</v>
      </c>
      <c r="D387" s="8">
        <v>11</v>
      </c>
      <c r="E387" s="8">
        <v>10</v>
      </c>
      <c r="F387" s="8">
        <v>9</v>
      </c>
      <c r="G387" s="8">
        <v>8</v>
      </c>
      <c r="H387" s="8">
        <v>7</v>
      </c>
      <c r="I387" s="8">
        <v>6</v>
      </c>
      <c r="J387" s="8">
        <v>5</v>
      </c>
      <c r="K387" s="8">
        <v>4</v>
      </c>
      <c r="L387" s="8">
        <v>3</v>
      </c>
      <c r="M387" s="8">
        <v>2</v>
      </c>
      <c r="N387" s="8">
        <v>2</v>
      </c>
      <c r="O387" s="8">
        <v>2</v>
      </c>
      <c r="P387" s="8">
        <v>3</v>
      </c>
      <c r="Q387" s="8">
        <v>4</v>
      </c>
      <c r="R387" s="8">
        <v>5</v>
      </c>
      <c r="S387" s="8">
        <v>6</v>
      </c>
      <c r="T387" s="8">
        <v>8</v>
      </c>
      <c r="U387" s="8">
        <v>9</v>
      </c>
      <c r="V387" s="8">
        <v>10</v>
      </c>
      <c r="W387" s="8">
        <v>11</v>
      </c>
      <c r="X387" s="8">
        <v>12</v>
      </c>
    </row>
    <row r="389" spans="3:24" x14ac:dyDescent="0.6">
      <c r="C389" s="8" t="s">
        <v>54</v>
      </c>
      <c r="D389" s="8">
        <v>10</v>
      </c>
      <c r="E389" s="8">
        <v>9</v>
      </c>
      <c r="F389" s="8">
        <v>8</v>
      </c>
      <c r="G389" s="8">
        <v>8</v>
      </c>
      <c r="H389" s="8">
        <v>9</v>
      </c>
      <c r="I389" s="8">
        <v>10</v>
      </c>
      <c r="J389" s="8">
        <v>11</v>
      </c>
      <c r="K389" s="8">
        <v>12</v>
      </c>
      <c r="L389" s="8">
        <v>13</v>
      </c>
      <c r="M389" s="8">
        <v>13</v>
      </c>
      <c r="N389" s="8">
        <v>13</v>
      </c>
      <c r="O389" s="8">
        <v>13</v>
      </c>
      <c r="P389" s="8">
        <v>13</v>
      </c>
      <c r="Q389" s="8">
        <v>12</v>
      </c>
      <c r="R389" s="8">
        <v>11</v>
      </c>
      <c r="S389" s="8">
        <v>10</v>
      </c>
      <c r="T389" s="8">
        <v>9</v>
      </c>
      <c r="U389" s="8">
        <v>7</v>
      </c>
      <c r="V389" s="8">
        <v>8</v>
      </c>
      <c r="W389" s="8">
        <v>9</v>
      </c>
      <c r="X389" s="8">
        <v>10</v>
      </c>
    </row>
    <row r="391" spans="3:24" x14ac:dyDescent="0.6">
      <c r="C391" s="8" t="s">
        <v>53</v>
      </c>
      <c r="D391" s="8">
        <v>12</v>
      </c>
      <c r="E391" s="8">
        <v>11</v>
      </c>
      <c r="F391" s="8">
        <v>10</v>
      </c>
      <c r="G391" s="8">
        <v>9</v>
      </c>
      <c r="H391" s="8">
        <v>8</v>
      </c>
      <c r="I391" s="8">
        <v>7</v>
      </c>
      <c r="J391" s="8">
        <v>5</v>
      </c>
      <c r="K391" s="8">
        <v>4</v>
      </c>
      <c r="L391" s="8">
        <v>3</v>
      </c>
      <c r="M391" s="8">
        <v>2</v>
      </c>
      <c r="N391" s="8">
        <v>2</v>
      </c>
      <c r="O391" s="8">
        <v>2</v>
      </c>
      <c r="P391" s="8">
        <v>2</v>
      </c>
      <c r="Q391" s="8">
        <v>2</v>
      </c>
      <c r="R391" s="8">
        <v>2</v>
      </c>
      <c r="S391" s="8">
        <v>2</v>
      </c>
      <c r="T391" s="8">
        <v>2</v>
      </c>
      <c r="U391" s="8">
        <v>2</v>
      </c>
      <c r="V391" s="8">
        <v>2</v>
      </c>
      <c r="W391" s="8">
        <v>2</v>
      </c>
      <c r="X391" s="8">
        <v>2</v>
      </c>
    </row>
    <row r="393" spans="3:24" x14ac:dyDescent="0.6">
      <c r="C393" s="8" t="s">
        <v>54</v>
      </c>
      <c r="D393" s="8">
        <v>8</v>
      </c>
      <c r="E393" s="8">
        <v>8</v>
      </c>
      <c r="F393" s="8">
        <v>7</v>
      </c>
      <c r="G393" s="8">
        <v>7</v>
      </c>
      <c r="H393" s="8">
        <v>8</v>
      </c>
      <c r="I393" s="8">
        <v>9</v>
      </c>
      <c r="J393" s="8">
        <v>11</v>
      </c>
      <c r="K393" s="8">
        <v>11</v>
      </c>
      <c r="L393" s="8">
        <v>12</v>
      </c>
      <c r="M393" s="8">
        <v>12</v>
      </c>
      <c r="N393" s="8">
        <v>12</v>
      </c>
      <c r="O393" s="8">
        <v>12</v>
      </c>
      <c r="P393" s="8">
        <v>12</v>
      </c>
      <c r="Q393" s="8">
        <v>11</v>
      </c>
      <c r="R393" s="8">
        <v>11</v>
      </c>
      <c r="S393" s="8">
        <v>9</v>
      </c>
      <c r="T393" s="8">
        <v>8</v>
      </c>
      <c r="U393" s="8">
        <v>8</v>
      </c>
      <c r="V393" s="8">
        <v>9</v>
      </c>
      <c r="W393" s="8">
        <v>10</v>
      </c>
      <c r="X393" s="8">
        <v>11</v>
      </c>
    </row>
    <row r="395" spans="3:24" x14ac:dyDescent="0.6">
      <c r="C395" s="8" t="s">
        <v>53</v>
      </c>
      <c r="D395" s="8">
        <v>2</v>
      </c>
      <c r="E395" s="8">
        <v>2</v>
      </c>
      <c r="F395" s="8">
        <v>2</v>
      </c>
      <c r="G395" s="8">
        <v>2</v>
      </c>
      <c r="H395" s="8">
        <v>2</v>
      </c>
      <c r="I395" s="8">
        <v>2</v>
      </c>
      <c r="J395" s="8">
        <v>2</v>
      </c>
      <c r="K395" s="8">
        <v>2</v>
      </c>
      <c r="L395" s="8">
        <v>2</v>
      </c>
      <c r="M395" s="8">
        <v>2</v>
      </c>
      <c r="N395" s="8">
        <v>2</v>
      </c>
      <c r="O395" s="8">
        <v>2</v>
      </c>
      <c r="P395" s="8">
        <v>2</v>
      </c>
      <c r="Q395" s="8">
        <v>3</v>
      </c>
      <c r="R395" s="8">
        <v>3</v>
      </c>
      <c r="S395" s="8">
        <v>4</v>
      </c>
      <c r="T395" s="8">
        <v>5</v>
      </c>
      <c r="U395" s="8">
        <v>5</v>
      </c>
      <c r="V395" s="8">
        <v>6</v>
      </c>
      <c r="W395" s="8">
        <v>7</v>
      </c>
      <c r="X395" s="8">
        <v>7</v>
      </c>
    </row>
    <row r="397" spans="3:24" x14ac:dyDescent="0.6">
      <c r="C397" s="8" t="s">
        <v>54</v>
      </c>
      <c r="D397" s="8">
        <v>7</v>
      </c>
      <c r="E397" s="8">
        <v>7</v>
      </c>
      <c r="F397" s="8">
        <v>6</v>
      </c>
      <c r="G397" s="8">
        <v>5</v>
      </c>
      <c r="H397" s="8">
        <v>6</v>
      </c>
      <c r="I397" s="8">
        <v>7</v>
      </c>
      <c r="J397" s="8">
        <v>8</v>
      </c>
      <c r="K397" s="8">
        <v>9</v>
      </c>
      <c r="L397" s="8">
        <v>9</v>
      </c>
      <c r="M397" s="8">
        <v>9</v>
      </c>
      <c r="N397" s="8">
        <v>9</v>
      </c>
      <c r="O397" s="8">
        <v>9</v>
      </c>
      <c r="P397" s="8">
        <v>9</v>
      </c>
      <c r="Q397" s="8">
        <v>9</v>
      </c>
      <c r="R397" s="8">
        <v>8</v>
      </c>
      <c r="S397" s="8">
        <v>7</v>
      </c>
      <c r="T397" s="8">
        <v>6</v>
      </c>
      <c r="U397" s="8">
        <v>5</v>
      </c>
      <c r="V397" s="8">
        <v>4</v>
      </c>
      <c r="W397" s="8">
        <v>5</v>
      </c>
      <c r="X397" s="8">
        <v>5</v>
      </c>
    </row>
    <row r="399" spans="3:24" x14ac:dyDescent="0.6">
      <c r="C399" s="8" t="s">
        <v>53</v>
      </c>
      <c r="D399" s="8">
        <v>7</v>
      </c>
      <c r="E399" s="8">
        <v>7</v>
      </c>
      <c r="F399" s="8">
        <v>6</v>
      </c>
      <c r="G399" s="8">
        <v>5</v>
      </c>
      <c r="H399" s="8">
        <v>5</v>
      </c>
      <c r="I399" s="8">
        <v>4</v>
      </c>
      <c r="J399" s="8">
        <v>3</v>
      </c>
      <c r="K399" s="8">
        <v>3</v>
      </c>
      <c r="L399" s="8">
        <v>2</v>
      </c>
      <c r="M399" s="8">
        <v>2</v>
      </c>
      <c r="N399" s="8">
        <v>2</v>
      </c>
      <c r="O399" s="8">
        <v>2</v>
      </c>
      <c r="P399" s="8">
        <v>2</v>
      </c>
      <c r="Q399" s="8">
        <v>3</v>
      </c>
      <c r="R399" s="8">
        <v>4</v>
      </c>
      <c r="S399" s="8">
        <v>4</v>
      </c>
      <c r="T399" s="8">
        <v>5</v>
      </c>
      <c r="U399" s="8">
        <v>6</v>
      </c>
      <c r="V399" s="8">
        <v>7</v>
      </c>
      <c r="W399" s="8">
        <v>8</v>
      </c>
      <c r="X399" s="8">
        <v>8</v>
      </c>
    </row>
    <row r="401" spans="3:24" x14ac:dyDescent="0.6">
      <c r="C401" s="8" t="s">
        <v>54</v>
      </c>
      <c r="D401" s="8">
        <v>5</v>
      </c>
      <c r="E401" s="8">
        <v>5</v>
      </c>
      <c r="F401" s="8">
        <v>4</v>
      </c>
      <c r="G401" s="8">
        <v>4</v>
      </c>
      <c r="H401" s="8">
        <v>5</v>
      </c>
      <c r="I401" s="8">
        <v>6</v>
      </c>
      <c r="J401" s="8">
        <v>6</v>
      </c>
      <c r="K401" s="8">
        <v>7</v>
      </c>
      <c r="L401" s="8">
        <v>7</v>
      </c>
      <c r="M401" s="8">
        <v>7</v>
      </c>
      <c r="N401" s="8">
        <v>7</v>
      </c>
      <c r="O401" s="8">
        <v>7</v>
      </c>
      <c r="P401" s="8">
        <v>7</v>
      </c>
      <c r="Q401" s="8">
        <v>7</v>
      </c>
      <c r="R401" s="8">
        <v>6</v>
      </c>
      <c r="S401" s="8">
        <v>6</v>
      </c>
      <c r="T401" s="8">
        <v>5</v>
      </c>
      <c r="U401" s="8">
        <v>4</v>
      </c>
      <c r="V401" s="8">
        <v>4</v>
      </c>
      <c r="W401" s="8">
        <v>4</v>
      </c>
      <c r="X401" s="8">
        <v>4</v>
      </c>
    </row>
    <row r="403" spans="3:24" x14ac:dyDescent="0.6">
      <c r="C403" s="8" t="s">
        <v>53</v>
      </c>
      <c r="D403" s="8">
        <v>8</v>
      </c>
      <c r="E403" s="8">
        <v>8</v>
      </c>
      <c r="F403" s="8">
        <v>7</v>
      </c>
      <c r="G403" s="8">
        <v>6</v>
      </c>
      <c r="H403" s="8">
        <v>5</v>
      </c>
      <c r="I403" s="8">
        <v>5</v>
      </c>
      <c r="J403" s="8">
        <v>4</v>
      </c>
      <c r="K403" s="8">
        <v>3</v>
      </c>
      <c r="L403" s="8">
        <v>2</v>
      </c>
      <c r="M403" s="8">
        <v>2</v>
      </c>
      <c r="N403" s="8">
        <v>2</v>
      </c>
      <c r="O403" s="8">
        <v>2</v>
      </c>
      <c r="P403" s="8">
        <v>2</v>
      </c>
      <c r="Q403" s="8">
        <v>3</v>
      </c>
      <c r="R403" s="8">
        <v>3</v>
      </c>
      <c r="S403" s="8">
        <v>4</v>
      </c>
      <c r="T403" s="8">
        <v>5</v>
      </c>
      <c r="U403" s="8">
        <v>5</v>
      </c>
      <c r="V403" s="8">
        <v>6</v>
      </c>
      <c r="W403" s="8">
        <v>7</v>
      </c>
      <c r="X403" s="8">
        <v>7</v>
      </c>
    </row>
    <row r="405" spans="3:24" x14ac:dyDescent="0.6">
      <c r="C405" s="8" t="s">
        <v>54</v>
      </c>
      <c r="D405" s="8">
        <v>4</v>
      </c>
      <c r="E405" s="8">
        <v>4</v>
      </c>
      <c r="F405" s="8">
        <v>4</v>
      </c>
      <c r="G405" s="8">
        <v>4</v>
      </c>
      <c r="H405" s="8">
        <v>5</v>
      </c>
      <c r="I405" s="8">
        <v>6</v>
      </c>
      <c r="J405" s="8">
        <v>6</v>
      </c>
      <c r="K405" s="8">
        <v>7</v>
      </c>
      <c r="L405" s="8">
        <v>7</v>
      </c>
      <c r="M405" s="8">
        <v>7</v>
      </c>
      <c r="N405" s="8">
        <v>7</v>
      </c>
      <c r="O405" s="8">
        <v>7</v>
      </c>
      <c r="P405" s="8">
        <v>7</v>
      </c>
      <c r="Q405" s="8">
        <v>7</v>
      </c>
      <c r="R405" s="8">
        <v>6</v>
      </c>
      <c r="S405" s="8">
        <v>6</v>
      </c>
      <c r="T405" s="8">
        <v>5</v>
      </c>
      <c r="U405" s="8">
        <v>4</v>
      </c>
      <c r="V405" s="8">
        <v>4</v>
      </c>
      <c r="W405" s="8">
        <v>4</v>
      </c>
      <c r="X405" s="8">
        <v>4</v>
      </c>
    </row>
    <row r="407" spans="3:24" x14ac:dyDescent="0.6">
      <c r="C407" s="8" t="s">
        <v>53</v>
      </c>
      <c r="D407" s="8">
        <v>7</v>
      </c>
      <c r="E407" s="8">
        <v>7</v>
      </c>
      <c r="F407" s="8">
        <v>6</v>
      </c>
      <c r="G407" s="8">
        <v>5</v>
      </c>
      <c r="H407" s="8">
        <v>5</v>
      </c>
      <c r="I407" s="8">
        <v>4</v>
      </c>
      <c r="J407" s="8">
        <v>3</v>
      </c>
      <c r="K407" s="8">
        <v>3</v>
      </c>
      <c r="L407" s="8">
        <v>2</v>
      </c>
      <c r="M407" s="8">
        <v>2</v>
      </c>
      <c r="N407" s="8">
        <v>2</v>
      </c>
      <c r="O407" s="8">
        <v>2</v>
      </c>
      <c r="P407" s="8">
        <v>2</v>
      </c>
      <c r="Q407" s="8">
        <v>3</v>
      </c>
      <c r="R407" s="8">
        <v>4</v>
      </c>
      <c r="S407" s="8">
        <v>4</v>
      </c>
      <c r="T407" s="8">
        <v>5</v>
      </c>
      <c r="U407" s="8">
        <v>6</v>
      </c>
      <c r="V407" s="8">
        <v>7</v>
      </c>
      <c r="W407" s="8">
        <v>8</v>
      </c>
      <c r="X407" s="8">
        <v>8</v>
      </c>
    </row>
    <row r="409" spans="3:24" x14ac:dyDescent="0.6">
      <c r="C409" s="8" t="s">
        <v>54</v>
      </c>
      <c r="D409" s="8">
        <v>4</v>
      </c>
      <c r="E409" s="8">
        <v>4</v>
      </c>
      <c r="F409" s="8">
        <v>4</v>
      </c>
      <c r="G409" s="8">
        <v>4</v>
      </c>
      <c r="H409" s="8">
        <v>5</v>
      </c>
      <c r="I409" s="8">
        <v>6</v>
      </c>
      <c r="J409" s="8">
        <v>6</v>
      </c>
      <c r="K409" s="8">
        <v>7</v>
      </c>
      <c r="L409" s="8">
        <v>7</v>
      </c>
      <c r="M409" s="8">
        <v>7</v>
      </c>
      <c r="N409" s="8">
        <v>7</v>
      </c>
      <c r="O409" s="8">
        <v>7</v>
      </c>
      <c r="P409" s="8">
        <v>7</v>
      </c>
      <c r="Q409" s="8">
        <v>7</v>
      </c>
      <c r="R409" s="8">
        <v>6</v>
      </c>
      <c r="S409" s="8">
        <v>6</v>
      </c>
      <c r="T409" s="8">
        <v>5</v>
      </c>
      <c r="U409" s="8">
        <v>4</v>
      </c>
      <c r="V409" s="8">
        <v>4</v>
      </c>
      <c r="W409" s="8">
        <v>4</v>
      </c>
      <c r="X409" s="8">
        <v>4</v>
      </c>
    </row>
    <row r="411" spans="3:24" x14ac:dyDescent="0.6">
      <c r="C411" s="8" t="s">
        <v>53</v>
      </c>
      <c r="D411" s="8">
        <v>8</v>
      </c>
      <c r="E411" s="8">
        <v>8</v>
      </c>
      <c r="F411" s="8">
        <v>7</v>
      </c>
      <c r="G411" s="8">
        <v>6</v>
      </c>
      <c r="H411" s="8">
        <v>5</v>
      </c>
      <c r="I411" s="8">
        <v>5</v>
      </c>
      <c r="J411" s="8">
        <v>4</v>
      </c>
      <c r="K411" s="8">
        <v>3</v>
      </c>
      <c r="L411" s="8">
        <v>2</v>
      </c>
      <c r="M411" s="8">
        <v>2</v>
      </c>
      <c r="N411" s="8">
        <v>2</v>
      </c>
      <c r="O411" s="8">
        <v>2</v>
      </c>
      <c r="P411" s="8">
        <v>2</v>
      </c>
      <c r="Q411" s="8">
        <v>2</v>
      </c>
      <c r="R411" s="8">
        <v>2</v>
      </c>
      <c r="S411" s="8">
        <v>3</v>
      </c>
      <c r="T411" s="8">
        <v>3</v>
      </c>
      <c r="U411" s="8">
        <v>4</v>
      </c>
      <c r="V411" s="8">
        <v>4</v>
      </c>
      <c r="W411" s="8">
        <v>5</v>
      </c>
      <c r="X411" s="8">
        <v>5</v>
      </c>
    </row>
    <row r="413" spans="3:24" x14ac:dyDescent="0.6">
      <c r="C413" s="8" t="s">
        <v>54</v>
      </c>
      <c r="D413" s="8">
        <v>4</v>
      </c>
      <c r="E413" s="8">
        <v>4</v>
      </c>
      <c r="F413" s="8">
        <v>4</v>
      </c>
      <c r="G413" s="8">
        <v>4</v>
      </c>
      <c r="H413" s="8">
        <v>5</v>
      </c>
      <c r="I413" s="8">
        <v>6</v>
      </c>
      <c r="J413" s="8">
        <v>6</v>
      </c>
      <c r="K413" s="8">
        <v>7</v>
      </c>
      <c r="L413" s="8">
        <v>7</v>
      </c>
      <c r="M413" s="8">
        <v>7</v>
      </c>
      <c r="N413" s="8">
        <v>7</v>
      </c>
      <c r="O413" s="8">
        <v>7</v>
      </c>
      <c r="P413" s="8">
        <v>7</v>
      </c>
      <c r="Q413" s="8">
        <v>7</v>
      </c>
      <c r="R413" s="8">
        <v>6</v>
      </c>
      <c r="S413" s="8">
        <v>6</v>
      </c>
      <c r="T413" s="8">
        <v>5</v>
      </c>
      <c r="U413" s="8">
        <v>4</v>
      </c>
      <c r="V413" s="8">
        <v>4</v>
      </c>
      <c r="W413" s="8">
        <v>5</v>
      </c>
      <c r="X413" s="8">
        <v>5</v>
      </c>
    </row>
    <row r="415" spans="3:24" x14ac:dyDescent="0.6">
      <c r="C415" s="8" t="s">
        <v>53</v>
      </c>
      <c r="D415" s="8">
        <v>4</v>
      </c>
      <c r="E415" s="8">
        <v>4</v>
      </c>
      <c r="F415" s="8">
        <v>4</v>
      </c>
      <c r="G415" s="8">
        <v>3</v>
      </c>
      <c r="H415" s="8">
        <v>3</v>
      </c>
      <c r="I415" s="8">
        <v>3</v>
      </c>
      <c r="J415" s="8">
        <v>2</v>
      </c>
      <c r="K415" s="8">
        <v>2</v>
      </c>
      <c r="L415" s="8">
        <v>2</v>
      </c>
      <c r="M415" s="8">
        <v>2</v>
      </c>
      <c r="N415" s="8">
        <v>2</v>
      </c>
      <c r="O415" s="8">
        <v>2</v>
      </c>
      <c r="P415" s="8">
        <v>3</v>
      </c>
      <c r="Q415" s="8">
        <v>4</v>
      </c>
      <c r="R415" s="8">
        <v>5</v>
      </c>
      <c r="S415" s="8">
        <v>6</v>
      </c>
      <c r="T415" s="8">
        <v>8</v>
      </c>
      <c r="U415" s="8">
        <v>9</v>
      </c>
      <c r="V415" s="8">
        <v>10</v>
      </c>
      <c r="W415" s="8">
        <v>11</v>
      </c>
      <c r="X415" s="8">
        <v>12</v>
      </c>
    </row>
    <row r="417" spans="3:24" x14ac:dyDescent="0.6">
      <c r="C417" s="8" t="s">
        <v>54</v>
      </c>
      <c r="D417" s="8">
        <v>5</v>
      </c>
      <c r="E417" s="8">
        <v>5</v>
      </c>
      <c r="F417" s="8">
        <v>4</v>
      </c>
      <c r="G417" s="8">
        <v>5</v>
      </c>
      <c r="H417" s="8">
        <v>6</v>
      </c>
      <c r="I417" s="8">
        <v>7</v>
      </c>
      <c r="J417" s="8">
        <v>8</v>
      </c>
      <c r="K417" s="8">
        <v>9</v>
      </c>
      <c r="L417" s="8">
        <v>9</v>
      </c>
      <c r="M417" s="8">
        <v>9</v>
      </c>
      <c r="N417" s="8">
        <v>9</v>
      </c>
      <c r="O417" s="8">
        <v>9</v>
      </c>
      <c r="P417" s="8">
        <v>9</v>
      </c>
      <c r="Q417" s="8">
        <v>9</v>
      </c>
      <c r="R417" s="8">
        <v>8</v>
      </c>
      <c r="S417" s="8">
        <v>7</v>
      </c>
      <c r="T417" s="8">
        <v>6</v>
      </c>
      <c r="U417" s="8">
        <v>5</v>
      </c>
      <c r="V417" s="8">
        <v>4</v>
      </c>
      <c r="W417" s="8">
        <v>3</v>
      </c>
      <c r="X417" s="8">
        <v>3</v>
      </c>
    </row>
    <row r="419" spans="3:24" x14ac:dyDescent="0.6">
      <c r="C419" s="8" t="s">
        <v>53</v>
      </c>
      <c r="D419" s="8">
        <v>2</v>
      </c>
      <c r="E419" s="8">
        <v>2</v>
      </c>
      <c r="F419" s="8">
        <v>2</v>
      </c>
      <c r="G419" s="8">
        <v>2</v>
      </c>
      <c r="H419" s="8">
        <v>2</v>
      </c>
      <c r="I419" s="8">
        <v>2</v>
      </c>
      <c r="J419" s="8">
        <v>2</v>
      </c>
      <c r="K419" s="8">
        <v>2</v>
      </c>
      <c r="L419" s="8">
        <v>2</v>
      </c>
      <c r="M419" s="8">
        <v>2</v>
      </c>
      <c r="N419" s="8">
        <v>2</v>
      </c>
      <c r="O419" s="8">
        <v>2</v>
      </c>
      <c r="P419" s="8">
        <v>2</v>
      </c>
      <c r="Q419" s="8">
        <v>4</v>
      </c>
      <c r="R419" s="8">
        <v>4</v>
      </c>
      <c r="S419" s="8">
        <v>5</v>
      </c>
      <c r="T419" s="8">
        <v>6</v>
      </c>
      <c r="U419" s="8">
        <v>7</v>
      </c>
      <c r="V419" s="8">
        <v>8</v>
      </c>
      <c r="W419" s="8">
        <v>9</v>
      </c>
      <c r="X419" s="8">
        <v>10</v>
      </c>
    </row>
    <row r="421" spans="3:24" x14ac:dyDescent="0.6">
      <c r="C421" s="8" t="s">
        <v>54</v>
      </c>
      <c r="D421" s="8">
        <v>6</v>
      </c>
      <c r="E421" s="8">
        <v>6</v>
      </c>
      <c r="F421" s="8">
        <v>5</v>
      </c>
      <c r="G421" s="8">
        <v>5</v>
      </c>
      <c r="H421" s="8">
        <v>5</v>
      </c>
      <c r="I421" s="8">
        <v>6</v>
      </c>
      <c r="J421" s="8">
        <v>6</v>
      </c>
      <c r="K421" s="8">
        <v>7</v>
      </c>
      <c r="L421" s="8">
        <v>7</v>
      </c>
      <c r="M421" s="8">
        <v>7</v>
      </c>
      <c r="N421" s="8">
        <v>7</v>
      </c>
      <c r="O421" s="8">
        <v>7</v>
      </c>
      <c r="P421" s="8">
        <v>7</v>
      </c>
      <c r="Q421" s="8">
        <v>7</v>
      </c>
      <c r="R421" s="8">
        <v>6</v>
      </c>
      <c r="S421" s="8">
        <v>6</v>
      </c>
      <c r="T421" s="8">
        <v>5</v>
      </c>
      <c r="U421" s="8">
        <v>5</v>
      </c>
      <c r="V421" s="8">
        <v>6</v>
      </c>
      <c r="W421" s="8">
        <v>7</v>
      </c>
      <c r="X421" s="8">
        <v>7</v>
      </c>
    </row>
    <row r="423" spans="3:24" x14ac:dyDescent="0.6">
      <c r="C423" s="8" t="s">
        <v>53</v>
      </c>
      <c r="D423" s="8">
        <v>10</v>
      </c>
      <c r="E423" s="8">
        <v>9</v>
      </c>
      <c r="F423" s="8">
        <v>8</v>
      </c>
      <c r="G423" s="8">
        <v>8</v>
      </c>
      <c r="H423" s="8">
        <v>7</v>
      </c>
      <c r="I423" s="8">
        <v>6</v>
      </c>
      <c r="J423" s="8">
        <v>5</v>
      </c>
      <c r="K423" s="8">
        <v>4</v>
      </c>
      <c r="L423" s="8">
        <v>3</v>
      </c>
      <c r="M423" s="8">
        <v>2</v>
      </c>
      <c r="N423" s="8">
        <v>2</v>
      </c>
      <c r="O423" s="8">
        <v>2</v>
      </c>
      <c r="P423" s="8">
        <v>2</v>
      </c>
      <c r="Q423" s="8">
        <v>4</v>
      </c>
      <c r="R423" s="8">
        <v>4</v>
      </c>
      <c r="S423" s="8">
        <v>5</v>
      </c>
      <c r="T423" s="8">
        <v>6</v>
      </c>
      <c r="U423" s="8">
        <v>7</v>
      </c>
      <c r="V423" s="8">
        <v>8</v>
      </c>
      <c r="W423" s="8">
        <v>9</v>
      </c>
      <c r="X423" s="8">
        <v>10</v>
      </c>
    </row>
    <row r="425" spans="3:24" x14ac:dyDescent="0.6">
      <c r="C425" s="8" t="s">
        <v>54</v>
      </c>
      <c r="D425" s="8">
        <v>7</v>
      </c>
      <c r="E425" s="8">
        <v>7</v>
      </c>
      <c r="F425" s="8">
        <v>6</v>
      </c>
      <c r="G425" s="8">
        <v>5</v>
      </c>
      <c r="H425" s="8">
        <v>5</v>
      </c>
      <c r="I425" s="8">
        <v>6</v>
      </c>
      <c r="J425" s="8">
        <v>6</v>
      </c>
      <c r="K425" s="8">
        <v>7</v>
      </c>
      <c r="L425" s="8">
        <v>7</v>
      </c>
      <c r="M425" s="8">
        <v>7</v>
      </c>
      <c r="N425" s="8">
        <v>7</v>
      </c>
      <c r="O425" s="8">
        <v>7</v>
      </c>
      <c r="P425" s="8">
        <v>7</v>
      </c>
      <c r="Q425" s="8">
        <v>7</v>
      </c>
      <c r="R425" s="8">
        <v>6</v>
      </c>
      <c r="S425" s="8">
        <v>6</v>
      </c>
      <c r="T425" s="8">
        <v>5</v>
      </c>
      <c r="U425" s="8">
        <v>5</v>
      </c>
      <c r="V425" s="8">
        <v>6</v>
      </c>
      <c r="W425" s="8">
        <v>7</v>
      </c>
      <c r="X425" s="8">
        <v>7</v>
      </c>
    </row>
    <row r="427" spans="3:24" x14ac:dyDescent="0.6">
      <c r="C427" s="8" t="s">
        <v>53</v>
      </c>
      <c r="D427" s="8">
        <v>2</v>
      </c>
      <c r="E427" s="8">
        <v>2</v>
      </c>
      <c r="F427" s="8">
        <v>2</v>
      </c>
      <c r="G427" s="8">
        <v>2</v>
      </c>
      <c r="H427" s="8">
        <v>2</v>
      </c>
      <c r="I427" s="8">
        <v>2</v>
      </c>
      <c r="J427" s="8">
        <v>2</v>
      </c>
      <c r="K427" s="8">
        <v>2</v>
      </c>
      <c r="L427" s="8">
        <v>2</v>
      </c>
      <c r="M427" s="8">
        <v>2</v>
      </c>
      <c r="N427" s="8">
        <v>2</v>
      </c>
      <c r="O427" s="8">
        <v>2</v>
      </c>
      <c r="P427" s="8">
        <v>2</v>
      </c>
      <c r="Q427" s="8">
        <v>4</v>
      </c>
      <c r="R427" s="8">
        <v>4</v>
      </c>
      <c r="S427" s="8">
        <v>5</v>
      </c>
      <c r="T427" s="8">
        <v>6</v>
      </c>
      <c r="U427" s="8">
        <v>7</v>
      </c>
      <c r="V427" s="8">
        <v>8</v>
      </c>
      <c r="W427" s="8">
        <v>9</v>
      </c>
      <c r="X427" s="8">
        <v>10</v>
      </c>
    </row>
    <row r="429" spans="3:24" x14ac:dyDescent="0.6">
      <c r="C429" s="8" t="s">
        <v>54</v>
      </c>
      <c r="D429" s="8">
        <v>6</v>
      </c>
      <c r="E429" s="8">
        <v>6</v>
      </c>
      <c r="F429" s="8">
        <v>5</v>
      </c>
      <c r="G429" s="8">
        <v>5</v>
      </c>
      <c r="H429" s="8">
        <v>5</v>
      </c>
      <c r="I429" s="8">
        <v>6</v>
      </c>
      <c r="J429" s="8">
        <v>6</v>
      </c>
      <c r="K429" s="8">
        <v>7</v>
      </c>
      <c r="L429" s="8">
        <v>7</v>
      </c>
      <c r="M429" s="8">
        <v>7</v>
      </c>
      <c r="N429" s="8">
        <v>7</v>
      </c>
      <c r="O429" s="8">
        <v>7</v>
      </c>
      <c r="P429" s="8">
        <v>7</v>
      </c>
      <c r="Q429" s="8">
        <v>7</v>
      </c>
      <c r="R429" s="8">
        <v>6</v>
      </c>
      <c r="S429" s="8">
        <v>6</v>
      </c>
      <c r="T429" s="8">
        <v>5</v>
      </c>
      <c r="U429" s="8">
        <v>5</v>
      </c>
      <c r="V429" s="8">
        <v>6</v>
      </c>
      <c r="W429" s="8">
        <v>7</v>
      </c>
      <c r="X429" s="8">
        <v>7</v>
      </c>
    </row>
    <row r="431" spans="3:24" x14ac:dyDescent="0.6">
      <c r="C431" s="8" t="s">
        <v>53</v>
      </c>
      <c r="D431" s="8">
        <v>10</v>
      </c>
      <c r="E431" s="8">
        <v>9</v>
      </c>
      <c r="F431" s="8">
        <v>8</v>
      </c>
      <c r="G431" s="8">
        <v>8</v>
      </c>
      <c r="H431" s="8">
        <v>7</v>
      </c>
      <c r="I431" s="8">
        <v>6</v>
      </c>
      <c r="J431" s="8">
        <v>5</v>
      </c>
      <c r="K431" s="8">
        <v>4</v>
      </c>
      <c r="L431" s="8">
        <v>3</v>
      </c>
      <c r="M431" s="8">
        <v>2</v>
      </c>
      <c r="N431" s="8">
        <v>2</v>
      </c>
      <c r="O431" s="8">
        <v>2</v>
      </c>
      <c r="P431" s="8">
        <v>2</v>
      </c>
      <c r="Q431" s="8">
        <v>4</v>
      </c>
      <c r="R431" s="8">
        <v>4</v>
      </c>
      <c r="S431" s="8">
        <v>5</v>
      </c>
      <c r="T431" s="8">
        <v>6</v>
      </c>
      <c r="U431" s="8">
        <v>7</v>
      </c>
      <c r="V431" s="8">
        <v>8</v>
      </c>
      <c r="W431" s="8">
        <v>9</v>
      </c>
      <c r="X431" s="8">
        <v>10</v>
      </c>
    </row>
    <row r="433" spans="3:24" x14ac:dyDescent="0.6">
      <c r="C433" s="8" t="s">
        <v>54</v>
      </c>
      <c r="D433" s="8">
        <v>7</v>
      </c>
      <c r="E433" s="8">
        <v>7</v>
      </c>
      <c r="F433" s="8">
        <v>6</v>
      </c>
      <c r="G433" s="8">
        <v>5</v>
      </c>
      <c r="H433" s="8">
        <v>5</v>
      </c>
      <c r="I433" s="8">
        <v>6</v>
      </c>
      <c r="J433" s="8">
        <v>6</v>
      </c>
      <c r="K433" s="8">
        <v>7</v>
      </c>
      <c r="L433" s="8">
        <v>7</v>
      </c>
      <c r="M433" s="8">
        <v>7</v>
      </c>
      <c r="N433" s="8">
        <v>7</v>
      </c>
      <c r="O433" s="8">
        <v>7</v>
      </c>
      <c r="P433" s="8">
        <v>7</v>
      </c>
      <c r="Q433" s="8">
        <v>7</v>
      </c>
      <c r="R433" s="8">
        <v>6</v>
      </c>
      <c r="S433" s="8">
        <v>6</v>
      </c>
      <c r="T433" s="8">
        <v>5</v>
      </c>
      <c r="U433" s="8">
        <v>5</v>
      </c>
      <c r="V433" s="8">
        <v>6</v>
      </c>
      <c r="W433" s="8">
        <v>7</v>
      </c>
      <c r="X433" s="8">
        <v>7</v>
      </c>
    </row>
    <row r="435" spans="3:24" x14ac:dyDescent="0.6">
      <c r="C435" s="8" t="s">
        <v>53</v>
      </c>
      <c r="D435" s="8">
        <v>10</v>
      </c>
      <c r="E435" s="8">
        <v>9</v>
      </c>
      <c r="F435" s="8">
        <v>8</v>
      </c>
      <c r="G435" s="8">
        <v>8</v>
      </c>
      <c r="H435" s="8">
        <v>7</v>
      </c>
      <c r="I435" s="8">
        <v>6</v>
      </c>
      <c r="J435" s="8">
        <v>5</v>
      </c>
      <c r="K435" s="8">
        <v>4</v>
      </c>
      <c r="L435" s="8">
        <v>3</v>
      </c>
      <c r="M435" s="8">
        <v>2</v>
      </c>
      <c r="N435" s="8">
        <v>2</v>
      </c>
      <c r="O435" s="8">
        <v>2</v>
      </c>
      <c r="P435" s="8">
        <v>2</v>
      </c>
      <c r="Q435" s="8">
        <v>4</v>
      </c>
      <c r="R435" s="8">
        <v>4</v>
      </c>
      <c r="S435" s="8">
        <v>5</v>
      </c>
      <c r="T435" s="8">
        <v>6</v>
      </c>
      <c r="U435" s="8">
        <v>7</v>
      </c>
      <c r="V435" s="8">
        <v>8</v>
      </c>
      <c r="W435" s="8">
        <v>9</v>
      </c>
      <c r="X435" s="8">
        <v>10</v>
      </c>
    </row>
    <row r="437" spans="3:24" x14ac:dyDescent="0.6">
      <c r="C437" s="8" t="s">
        <v>54</v>
      </c>
      <c r="D437" s="8">
        <v>7</v>
      </c>
      <c r="E437" s="8">
        <v>7</v>
      </c>
      <c r="F437" s="8">
        <v>6</v>
      </c>
      <c r="G437" s="8">
        <v>5</v>
      </c>
      <c r="H437" s="8">
        <v>5</v>
      </c>
      <c r="I437" s="8">
        <v>6</v>
      </c>
      <c r="J437" s="8">
        <v>6</v>
      </c>
      <c r="K437" s="8">
        <v>7</v>
      </c>
      <c r="L437" s="8">
        <v>7</v>
      </c>
      <c r="M437" s="8">
        <v>7</v>
      </c>
      <c r="N437" s="8">
        <v>7</v>
      </c>
      <c r="O437" s="8">
        <v>7</v>
      </c>
      <c r="P437" s="8">
        <v>7</v>
      </c>
      <c r="Q437" s="8">
        <v>7</v>
      </c>
      <c r="R437" s="8">
        <v>6</v>
      </c>
      <c r="S437" s="8">
        <v>6</v>
      </c>
      <c r="T437" s="8">
        <v>5</v>
      </c>
      <c r="U437" s="8">
        <v>5</v>
      </c>
      <c r="V437" s="8">
        <v>6</v>
      </c>
      <c r="W437" s="8">
        <v>7</v>
      </c>
      <c r="X437" s="8">
        <v>7</v>
      </c>
    </row>
    <row r="439" spans="3:24" x14ac:dyDescent="0.6">
      <c r="C439" s="8" t="s">
        <v>53</v>
      </c>
      <c r="D439" s="8">
        <v>10</v>
      </c>
      <c r="E439" s="8">
        <v>9</v>
      </c>
      <c r="F439" s="8">
        <v>8</v>
      </c>
      <c r="G439" s="8">
        <v>8</v>
      </c>
      <c r="H439" s="8">
        <v>7</v>
      </c>
      <c r="I439" s="8">
        <v>6</v>
      </c>
      <c r="J439" s="8">
        <v>5</v>
      </c>
      <c r="K439" s="8">
        <v>4</v>
      </c>
      <c r="L439" s="8">
        <v>3</v>
      </c>
      <c r="M439" s="8">
        <v>2</v>
      </c>
      <c r="N439" s="8">
        <v>2</v>
      </c>
      <c r="O439" s="8">
        <v>2</v>
      </c>
      <c r="P439" s="8">
        <v>2</v>
      </c>
      <c r="Q439" s="8">
        <v>2</v>
      </c>
      <c r="R439" s="8">
        <v>3</v>
      </c>
      <c r="S439" s="8">
        <v>3</v>
      </c>
      <c r="T439" s="8">
        <v>4</v>
      </c>
      <c r="U439" s="8">
        <v>5</v>
      </c>
      <c r="V439" s="8">
        <v>5</v>
      </c>
      <c r="W439" s="8">
        <v>6</v>
      </c>
      <c r="X439" s="8">
        <v>6</v>
      </c>
    </row>
    <row r="441" spans="3:24" x14ac:dyDescent="0.6">
      <c r="C441" s="8" t="s">
        <v>54</v>
      </c>
      <c r="D441" s="8">
        <v>3</v>
      </c>
      <c r="E441" s="8">
        <v>3</v>
      </c>
      <c r="F441" s="8">
        <v>3</v>
      </c>
      <c r="G441" s="8">
        <v>3</v>
      </c>
      <c r="H441" s="8">
        <v>3</v>
      </c>
      <c r="I441" s="8">
        <v>3</v>
      </c>
      <c r="J441" s="8">
        <v>4</v>
      </c>
      <c r="K441" s="8">
        <v>4</v>
      </c>
      <c r="L441" s="8">
        <v>4</v>
      </c>
      <c r="M441" s="8">
        <v>4</v>
      </c>
      <c r="N441" s="8">
        <v>4</v>
      </c>
      <c r="O441" s="8">
        <v>4</v>
      </c>
      <c r="P441" s="8">
        <v>4</v>
      </c>
      <c r="Q441" s="8">
        <v>4</v>
      </c>
      <c r="R441" s="8">
        <v>4</v>
      </c>
      <c r="S441" s="8">
        <v>3</v>
      </c>
      <c r="T441" s="8">
        <v>3</v>
      </c>
      <c r="U441" s="8">
        <v>3</v>
      </c>
      <c r="V441" s="8">
        <v>3</v>
      </c>
      <c r="W441" s="8">
        <v>3</v>
      </c>
      <c r="X441" s="8">
        <v>3</v>
      </c>
    </row>
    <row r="443" spans="3:24" x14ac:dyDescent="0.6">
      <c r="C443" s="8" t="s">
        <v>53</v>
      </c>
      <c r="D443" s="8">
        <v>2</v>
      </c>
      <c r="E443" s="8">
        <v>2</v>
      </c>
      <c r="F443" s="8">
        <v>2</v>
      </c>
      <c r="G443" s="8">
        <v>2</v>
      </c>
      <c r="H443" s="8">
        <v>2</v>
      </c>
      <c r="I443" s="8">
        <v>2</v>
      </c>
      <c r="J443" s="8">
        <v>2</v>
      </c>
      <c r="K443" s="8">
        <v>2</v>
      </c>
      <c r="L443" s="8">
        <v>2</v>
      </c>
      <c r="M443" s="8">
        <v>2</v>
      </c>
      <c r="N443" s="8">
        <v>2</v>
      </c>
      <c r="O443" s="8">
        <v>2</v>
      </c>
      <c r="P443" s="8">
        <v>2</v>
      </c>
      <c r="Q443" s="8">
        <v>4</v>
      </c>
      <c r="R443" s="8">
        <v>4</v>
      </c>
      <c r="S443" s="8">
        <v>5</v>
      </c>
      <c r="T443" s="8">
        <v>6</v>
      </c>
      <c r="U443" s="8">
        <v>7</v>
      </c>
      <c r="V443" s="8">
        <v>8</v>
      </c>
      <c r="W443" s="8">
        <v>9</v>
      </c>
      <c r="X443" s="8">
        <v>10</v>
      </c>
    </row>
    <row r="445" spans="3:24" x14ac:dyDescent="0.6">
      <c r="C445" s="8" t="s">
        <v>54</v>
      </c>
      <c r="D445" s="8">
        <v>6</v>
      </c>
      <c r="E445" s="8">
        <v>6</v>
      </c>
      <c r="F445" s="8">
        <v>5</v>
      </c>
      <c r="G445" s="8">
        <v>5</v>
      </c>
      <c r="H445" s="8">
        <v>5</v>
      </c>
      <c r="I445" s="8">
        <v>6</v>
      </c>
      <c r="J445" s="8">
        <v>6</v>
      </c>
      <c r="K445" s="8">
        <v>7</v>
      </c>
      <c r="L445" s="8">
        <v>7</v>
      </c>
      <c r="M445" s="8">
        <v>7</v>
      </c>
      <c r="N445" s="8">
        <v>7</v>
      </c>
      <c r="O445" s="8">
        <v>7</v>
      </c>
      <c r="P445" s="8">
        <v>7</v>
      </c>
      <c r="Q445" s="8">
        <v>7</v>
      </c>
      <c r="R445" s="8">
        <v>6</v>
      </c>
      <c r="S445" s="8">
        <v>6</v>
      </c>
      <c r="T445" s="8">
        <v>5</v>
      </c>
      <c r="U445" s="8">
        <v>5</v>
      </c>
      <c r="V445" s="8">
        <v>6</v>
      </c>
      <c r="W445" s="8">
        <v>7</v>
      </c>
      <c r="X445" s="8">
        <v>7</v>
      </c>
    </row>
    <row r="447" spans="3:24" x14ac:dyDescent="0.6">
      <c r="C447" s="8" t="s">
        <v>53</v>
      </c>
      <c r="D447" s="8">
        <v>10</v>
      </c>
      <c r="E447" s="8">
        <v>9</v>
      </c>
      <c r="F447" s="8">
        <v>8</v>
      </c>
      <c r="G447" s="8">
        <v>8</v>
      </c>
      <c r="H447" s="8">
        <v>7</v>
      </c>
      <c r="I447" s="8">
        <v>6</v>
      </c>
      <c r="J447" s="8">
        <v>5</v>
      </c>
      <c r="K447" s="8">
        <v>4</v>
      </c>
      <c r="L447" s="8">
        <v>3</v>
      </c>
      <c r="M447" s="8">
        <v>2</v>
      </c>
      <c r="N447" s="8">
        <v>2</v>
      </c>
      <c r="O447" s="8">
        <v>2</v>
      </c>
      <c r="P447" s="8">
        <v>2</v>
      </c>
      <c r="Q447" s="8">
        <v>4</v>
      </c>
      <c r="R447" s="8">
        <v>4</v>
      </c>
      <c r="S447" s="8">
        <v>5</v>
      </c>
      <c r="T447" s="8">
        <v>6</v>
      </c>
      <c r="U447" s="8">
        <v>7</v>
      </c>
      <c r="V447" s="8">
        <v>8</v>
      </c>
      <c r="W447" s="8">
        <v>9</v>
      </c>
      <c r="X447" s="8">
        <v>10</v>
      </c>
    </row>
    <row r="449" spans="3:24" x14ac:dyDescent="0.6">
      <c r="C449" s="8" t="s">
        <v>54</v>
      </c>
      <c r="D449" s="8">
        <v>7</v>
      </c>
      <c r="E449" s="8">
        <v>7</v>
      </c>
      <c r="F449" s="8">
        <v>6</v>
      </c>
      <c r="G449" s="8">
        <v>5</v>
      </c>
      <c r="H449" s="8">
        <v>5</v>
      </c>
      <c r="I449" s="8">
        <v>6</v>
      </c>
      <c r="J449" s="8">
        <v>6</v>
      </c>
      <c r="K449" s="8">
        <v>7</v>
      </c>
      <c r="L449" s="8">
        <v>7</v>
      </c>
      <c r="M449" s="8">
        <v>7</v>
      </c>
      <c r="N449" s="8">
        <v>7</v>
      </c>
      <c r="O449" s="8">
        <v>7</v>
      </c>
      <c r="P449" s="8">
        <v>7</v>
      </c>
      <c r="Q449" s="8">
        <v>7</v>
      </c>
      <c r="R449" s="8">
        <v>6</v>
      </c>
      <c r="S449" s="8">
        <v>6</v>
      </c>
      <c r="T449" s="8">
        <v>5</v>
      </c>
      <c r="U449" s="8">
        <v>5</v>
      </c>
      <c r="V449" s="8">
        <v>6</v>
      </c>
      <c r="W449" s="8">
        <v>7</v>
      </c>
      <c r="X449" s="8">
        <v>7</v>
      </c>
    </row>
    <row r="451" spans="3:24" x14ac:dyDescent="0.6">
      <c r="C451" s="8" t="s">
        <v>53</v>
      </c>
      <c r="D451" s="8">
        <v>10</v>
      </c>
      <c r="E451" s="8">
        <v>9</v>
      </c>
      <c r="F451" s="8">
        <v>8</v>
      </c>
      <c r="G451" s="8">
        <v>8</v>
      </c>
      <c r="H451" s="8">
        <v>7</v>
      </c>
      <c r="I451" s="8">
        <v>6</v>
      </c>
      <c r="J451" s="8">
        <v>5</v>
      </c>
      <c r="K451" s="8">
        <v>4</v>
      </c>
      <c r="L451" s="8">
        <v>3</v>
      </c>
      <c r="M451" s="8">
        <v>2</v>
      </c>
      <c r="N451" s="8">
        <v>2</v>
      </c>
      <c r="O451" s="8">
        <v>2</v>
      </c>
      <c r="P451" s="8">
        <v>2</v>
      </c>
      <c r="Q451" s="8">
        <v>4</v>
      </c>
      <c r="R451" s="8">
        <v>4</v>
      </c>
      <c r="S451" s="8">
        <v>5</v>
      </c>
      <c r="T451" s="8">
        <v>6</v>
      </c>
      <c r="U451" s="8">
        <v>7</v>
      </c>
      <c r="V451" s="8">
        <v>8</v>
      </c>
      <c r="W451" s="8">
        <v>9</v>
      </c>
      <c r="X451" s="8">
        <v>10</v>
      </c>
    </row>
    <row r="453" spans="3:24" x14ac:dyDescent="0.6">
      <c r="C453" s="8" t="s">
        <v>54</v>
      </c>
      <c r="D453" s="8">
        <v>7</v>
      </c>
      <c r="E453" s="8">
        <v>7</v>
      </c>
      <c r="F453" s="8">
        <v>6</v>
      </c>
      <c r="G453" s="8">
        <v>5</v>
      </c>
      <c r="H453" s="8">
        <v>5</v>
      </c>
      <c r="I453" s="8">
        <v>6</v>
      </c>
      <c r="J453" s="8">
        <v>6</v>
      </c>
      <c r="K453" s="8">
        <v>7</v>
      </c>
      <c r="L453" s="8">
        <v>7</v>
      </c>
      <c r="M453" s="8">
        <v>7</v>
      </c>
      <c r="N453" s="8">
        <v>7</v>
      </c>
      <c r="O453" s="8">
        <v>7</v>
      </c>
      <c r="P453" s="8">
        <v>7</v>
      </c>
      <c r="Q453" s="8">
        <v>7</v>
      </c>
      <c r="R453" s="8">
        <v>6</v>
      </c>
      <c r="S453" s="8">
        <v>6</v>
      </c>
      <c r="T453" s="8">
        <v>5</v>
      </c>
      <c r="U453" s="8">
        <v>5</v>
      </c>
      <c r="V453" s="8">
        <v>6</v>
      </c>
      <c r="W453" s="8">
        <v>7</v>
      </c>
      <c r="X453" s="8">
        <v>7</v>
      </c>
    </row>
    <row r="455" spans="3:24" x14ac:dyDescent="0.6">
      <c r="C455" s="8" t="s">
        <v>53</v>
      </c>
      <c r="D455" s="8">
        <v>10</v>
      </c>
      <c r="E455" s="8">
        <v>9</v>
      </c>
      <c r="F455" s="8">
        <v>8</v>
      </c>
      <c r="G455" s="8">
        <v>8</v>
      </c>
      <c r="H455" s="8">
        <v>7</v>
      </c>
      <c r="I455" s="8">
        <v>6</v>
      </c>
      <c r="J455" s="8">
        <v>5</v>
      </c>
      <c r="K455" s="8">
        <v>4</v>
      </c>
      <c r="L455" s="8">
        <v>3</v>
      </c>
      <c r="M455" s="8">
        <v>2</v>
      </c>
      <c r="N455" s="8">
        <v>2</v>
      </c>
      <c r="O455" s="8">
        <v>2</v>
      </c>
      <c r="P455" s="8">
        <v>2</v>
      </c>
      <c r="Q455" s="8">
        <v>2</v>
      </c>
      <c r="R455" s="8">
        <v>3</v>
      </c>
      <c r="S455" s="8">
        <v>3</v>
      </c>
      <c r="T455" s="8">
        <v>4</v>
      </c>
      <c r="U455" s="8">
        <v>5</v>
      </c>
      <c r="V455" s="8">
        <v>5</v>
      </c>
      <c r="W455" s="8">
        <v>6</v>
      </c>
      <c r="X455" s="8">
        <v>6</v>
      </c>
    </row>
    <row r="457" spans="3:24" x14ac:dyDescent="0.6">
      <c r="C457" s="8" t="s">
        <v>54</v>
      </c>
      <c r="D457" s="8">
        <v>3</v>
      </c>
      <c r="E457" s="8">
        <v>3</v>
      </c>
      <c r="F457" s="8">
        <v>3</v>
      </c>
      <c r="G457" s="8">
        <v>3</v>
      </c>
      <c r="H457" s="8">
        <v>3</v>
      </c>
      <c r="I457" s="8">
        <v>3</v>
      </c>
      <c r="J457" s="8">
        <v>4</v>
      </c>
      <c r="K457" s="8">
        <v>4</v>
      </c>
      <c r="L457" s="8">
        <v>4</v>
      </c>
      <c r="M457" s="8">
        <v>4</v>
      </c>
      <c r="N457" s="8">
        <v>4</v>
      </c>
      <c r="O457" s="8">
        <v>4</v>
      </c>
      <c r="P457" s="8">
        <v>4</v>
      </c>
      <c r="Q457" s="8">
        <v>4</v>
      </c>
      <c r="R457" s="8">
        <v>4</v>
      </c>
      <c r="S457" s="8">
        <v>3</v>
      </c>
      <c r="T457" s="8">
        <v>3</v>
      </c>
      <c r="U457" s="8">
        <v>3</v>
      </c>
      <c r="V457" s="8">
        <v>3</v>
      </c>
      <c r="W457" s="8">
        <v>3</v>
      </c>
      <c r="X457" s="8">
        <v>3</v>
      </c>
    </row>
    <row r="459" spans="3:24" x14ac:dyDescent="0.6">
      <c r="C459" s="8" t="s">
        <v>53</v>
      </c>
      <c r="D459" s="8">
        <v>10</v>
      </c>
      <c r="E459" s="8">
        <v>9</v>
      </c>
      <c r="F459" s="8">
        <v>8</v>
      </c>
      <c r="G459" s="8">
        <v>8</v>
      </c>
      <c r="H459" s="8">
        <v>7</v>
      </c>
      <c r="I459" s="8">
        <v>6</v>
      </c>
      <c r="J459" s="8">
        <v>5</v>
      </c>
      <c r="K459" s="8">
        <v>4</v>
      </c>
      <c r="L459" s="8">
        <v>3</v>
      </c>
      <c r="M459" s="8">
        <v>2</v>
      </c>
      <c r="N459" s="8">
        <v>2</v>
      </c>
      <c r="O459" s="8">
        <v>2</v>
      </c>
      <c r="P459" s="8">
        <v>2</v>
      </c>
      <c r="Q459" s="8">
        <v>4</v>
      </c>
      <c r="R459" s="8">
        <v>4</v>
      </c>
      <c r="S459" s="8">
        <v>5</v>
      </c>
      <c r="T459" s="8">
        <v>6</v>
      </c>
      <c r="U459" s="8">
        <v>7</v>
      </c>
      <c r="V459" s="8">
        <v>8</v>
      </c>
      <c r="W459" s="8">
        <v>9</v>
      </c>
      <c r="X459" s="8">
        <v>10</v>
      </c>
    </row>
    <row r="461" spans="3:24" x14ac:dyDescent="0.6">
      <c r="C461" s="8" t="s">
        <v>54</v>
      </c>
      <c r="D461" s="8">
        <v>7</v>
      </c>
      <c r="E461" s="8">
        <v>7</v>
      </c>
      <c r="F461" s="8">
        <v>6</v>
      </c>
      <c r="G461" s="8">
        <v>5</v>
      </c>
      <c r="H461" s="8">
        <v>5</v>
      </c>
      <c r="I461" s="8">
        <v>6</v>
      </c>
      <c r="J461" s="8">
        <v>6</v>
      </c>
      <c r="K461" s="8">
        <v>7</v>
      </c>
      <c r="L461" s="8">
        <v>7</v>
      </c>
      <c r="M461" s="8">
        <v>7</v>
      </c>
      <c r="N461" s="8">
        <v>7</v>
      </c>
      <c r="O461" s="8">
        <v>7</v>
      </c>
      <c r="P461" s="8">
        <v>7</v>
      </c>
      <c r="Q461" s="8">
        <v>7</v>
      </c>
      <c r="R461" s="8">
        <v>6</v>
      </c>
      <c r="S461" s="8">
        <v>6</v>
      </c>
      <c r="T461" s="8">
        <v>5</v>
      </c>
      <c r="U461" s="8">
        <v>5</v>
      </c>
      <c r="V461" s="8">
        <v>6</v>
      </c>
      <c r="W461" s="8">
        <v>7</v>
      </c>
      <c r="X461" s="8">
        <v>7</v>
      </c>
    </row>
    <row r="463" spans="3:24" x14ac:dyDescent="0.6">
      <c r="C463" s="8" t="s">
        <v>53</v>
      </c>
      <c r="D463" s="8">
        <v>10</v>
      </c>
      <c r="E463" s="8">
        <v>9</v>
      </c>
      <c r="F463" s="8">
        <v>8</v>
      </c>
      <c r="G463" s="8">
        <v>8</v>
      </c>
      <c r="H463" s="8">
        <v>7</v>
      </c>
      <c r="I463" s="8">
        <v>6</v>
      </c>
      <c r="J463" s="8">
        <v>5</v>
      </c>
      <c r="K463" s="8">
        <v>4</v>
      </c>
      <c r="L463" s="8">
        <v>3</v>
      </c>
      <c r="M463" s="8">
        <v>2</v>
      </c>
      <c r="N463" s="8">
        <v>2</v>
      </c>
      <c r="O463" s="8">
        <v>2</v>
      </c>
      <c r="P463" s="8">
        <v>2</v>
      </c>
      <c r="Q463" s="8">
        <v>2</v>
      </c>
      <c r="R463" s="8">
        <v>3</v>
      </c>
      <c r="S463" s="8">
        <v>3</v>
      </c>
      <c r="T463" s="8">
        <v>4</v>
      </c>
      <c r="U463" s="8">
        <v>5</v>
      </c>
      <c r="V463" s="8">
        <v>5</v>
      </c>
      <c r="W463" s="8">
        <v>6</v>
      </c>
      <c r="X463" s="8">
        <v>6</v>
      </c>
    </row>
    <row r="465" spans="3:24" x14ac:dyDescent="0.6">
      <c r="C465" s="8" t="s">
        <v>54</v>
      </c>
      <c r="D465" s="8">
        <v>3</v>
      </c>
      <c r="E465" s="8">
        <v>3</v>
      </c>
      <c r="F465" s="8">
        <v>3</v>
      </c>
      <c r="G465" s="8">
        <v>3</v>
      </c>
      <c r="H465" s="8">
        <v>3</v>
      </c>
      <c r="I465" s="8">
        <v>3</v>
      </c>
      <c r="J465" s="8">
        <v>4</v>
      </c>
      <c r="K465" s="8">
        <v>4</v>
      </c>
      <c r="L465" s="8">
        <v>4</v>
      </c>
      <c r="M465" s="8">
        <v>4</v>
      </c>
      <c r="N465" s="8">
        <v>4</v>
      </c>
      <c r="O465" s="8">
        <v>4</v>
      </c>
      <c r="P465" s="8">
        <v>4</v>
      </c>
      <c r="Q465" s="8">
        <v>4</v>
      </c>
      <c r="R465" s="8">
        <v>4</v>
      </c>
      <c r="S465" s="8">
        <v>3</v>
      </c>
      <c r="T465" s="8">
        <v>3</v>
      </c>
      <c r="U465" s="8">
        <v>3</v>
      </c>
      <c r="V465" s="8">
        <v>3</v>
      </c>
      <c r="W465" s="8">
        <v>3</v>
      </c>
      <c r="X465" s="8">
        <v>3</v>
      </c>
    </row>
    <row r="467" spans="3:24" x14ac:dyDescent="0.6">
      <c r="C467" s="8" t="s">
        <v>53</v>
      </c>
      <c r="D467" s="8">
        <v>2</v>
      </c>
      <c r="E467" s="8">
        <v>2</v>
      </c>
      <c r="F467" s="8">
        <v>2</v>
      </c>
      <c r="G467" s="8">
        <v>2</v>
      </c>
      <c r="H467" s="8">
        <v>2</v>
      </c>
      <c r="I467" s="8">
        <v>2</v>
      </c>
      <c r="J467" s="8">
        <v>2</v>
      </c>
      <c r="K467" s="8">
        <v>2</v>
      </c>
      <c r="L467" s="8">
        <v>2</v>
      </c>
      <c r="M467" s="8">
        <v>2</v>
      </c>
      <c r="N467" s="8">
        <v>2</v>
      </c>
      <c r="O467" s="8">
        <v>2</v>
      </c>
      <c r="P467" s="8">
        <v>2</v>
      </c>
      <c r="Q467" s="8">
        <v>2</v>
      </c>
      <c r="R467" s="8">
        <v>2</v>
      </c>
      <c r="S467" s="8">
        <v>3</v>
      </c>
      <c r="T467" s="8">
        <v>3</v>
      </c>
      <c r="U467" s="8">
        <v>4</v>
      </c>
      <c r="V467" s="8">
        <v>4</v>
      </c>
      <c r="W467" s="8">
        <v>5</v>
      </c>
      <c r="X467" s="8">
        <v>5</v>
      </c>
    </row>
    <row r="469" spans="3:24" x14ac:dyDescent="0.6">
      <c r="C469" s="8" t="s">
        <v>54</v>
      </c>
      <c r="D469" s="8">
        <v>4</v>
      </c>
      <c r="E469" s="8">
        <v>4</v>
      </c>
      <c r="F469" s="8">
        <v>4</v>
      </c>
      <c r="G469" s="8">
        <v>3</v>
      </c>
      <c r="H469" s="8">
        <v>4</v>
      </c>
      <c r="I469" s="8">
        <v>4</v>
      </c>
      <c r="J469" s="8">
        <v>5</v>
      </c>
      <c r="K469" s="8">
        <v>5</v>
      </c>
      <c r="L469" s="8">
        <v>5</v>
      </c>
      <c r="M469" s="8">
        <v>5</v>
      </c>
      <c r="N469" s="8">
        <v>5</v>
      </c>
      <c r="O469" s="8">
        <v>5</v>
      </c>
      <c r="P469" s="8">
        <v>5</v>
      </c>
      <c r="Q469" s="8">
        <v>5</v>
      </c>
      <c r="R469" s="8">
        <v>5</v>
      </c>
      <c r="S469" s="8">
        <v>4</v>
      </c>
      <c r="T469" s="8">
        <v>4</v>
      </c>
      <c r="U469" s="8">
        <v>3</v>
      </c>
      <c r="V469" s="8">
        <v>3</v>
      </c>
      <c r="W469" s="8">
        <v>3</v>
      </c>
      <c r="X469" s="8">
        <v>3</v>
      </c>
    </row>
    <row r="471" spans="3:24" x14ac:dyDescent="0.6">
      <c r="C471" s="8" t="s">
        <v>53</v>
      </c>
      <c r="D471" s="8">
        <v>5</v>
      </c>
      <c r="E471" s="8">
        <v>5</v>
      </c>
      <c r="F471" s="8">
        <v>4</v>
      </c>
      <c r="G471" s="8">
        <v>4</v>
      </c>
      <c r="H471" s="8">
        <v>4</v>
      </c>
      <c r="I471" s="8">
        <v>3</v>
      </c>
      <c r="J471" s="8">
        <v>3</v>
      </c>
      <c r="K471" s="8">
        <v>2</v>
      </c>
      <c r="L471" s="8">
        <v>2</v>
      </c>
      <c r="M471" s="8">
        <v>2</v>
      </c>
      <c r="N471" s="8">
        <v>2</v>
      </c>
      <c r="O471" s="8">
        <v>2</v>
      </c>
      <c r="P471" s="8">
        <v>2</v>
      </c>
      <c r="Q471" s="8">
        <v>2</v>
      </c>
      <c r="R471" s="8">
        <v>2</v>
      </c>
      <c r="S471" s="8">
        <v>3</v>
      </c>
      <c r="T471" s="8">
        <v>3</v>
      </c>
      <c r="U471" s="8">
        <v>4</v>
      </c>
      <c r="V471" s="8">
        <v>4</v>
      </c>
      <c r="W471" s="8">
        <v>5</v>
      </c>
      <c r="X471" s="8">
        <v>5</v>
      </c>
    </row>
    <row r="473" spans="3:24" x14ac:dyDescent="0.6">
      <c r="C473" s="8" t="s">
        <v>54</v>
      </c>
      <c r="D473" s="8">
        <v>3</v>
      </c>
      <c r="E473" s="8">
        <v>3</v>
      </c>
      <c r="F473" s="8">
        <v>3</v>
      </c>
      <c r="G473" s="8">
        <v>3</v>
      </c>
      <c r="H473" s="8">
        <v>3</v>
      </c>
      <c r="I473" s="8">
        <v>3</v>
      </c>
      <c r="J473" s="8">
        <v>4</v>
      </c>
      <c r="K473" s="8">
        <v>4</v>
      </c>
      <c r="L473" s="8">
        <v>4</v>
      </c>
      <c r="M473" s="8">
        <v>4</v>
      </c>
      <c r="N473" s="8">
        <v>4</v>
      </c>
      <c r="O473" s="8">
        <v>4</v>
      </c>
      <c r="P473" s="8">
        <v>4</v>
      </c>
      <c r="Q473" s="8">
        <v>4</v>
      </c>
      <c r="R473" s="8">
        <v>4</v>
      </c>
      <c r="S473" s="8">
        <v>3</v>
      </c>
      <c r="T473" s="8">
        <v>3</v>
      </c>
      <c r="U473" s="8">
        <v>3</v>
      </c>
      <c r="V473" s="8">
        <v>3</v>
      </c>
      <c r="W473" s="8">
        <v>3</v>
      </c>
      <c r="X473" s="8">
        <v>3</v>
      </c>
    </row>
    <row r="475" spans="3:24" x14ac:dyDescent="0.6">
      <c r="C475" s="8" t="s">
        <v>53</v>
      </c>
      <c r="D475" s="8">
        <v>5</v>
      </c>
      <c r="E475" s="8">
        <v>5</v>
      </c>
      <c r="F475" s="8">
        <v>4</v>
      </c>
      <c r="G475" s="8">
        <v>4</v>
      </c>
      <c r="H475" s="8">
        <v>4</v>
      </c>
      <c r="I475" s="8">
        <v>3</v>
      </c>
      <c r="J475" s="8">
        <v>3</v>
      </c>
      <c r="K475" s="8">
        <v>2</v>
      </c>
      <c r="L475" s="8">
        <v>2</v>
      </c>
      <c r="M475" s="8">
        <v>2</v>
      </c>
      <c r="N475" s="8">
        <v>2</v>
      </c>
      <c r="O475" s="8">
        <v>2</v>
      </c>
      <c r="P475" s="8">
        <v>2</v>
      </c>
      <c r="Q475" s="8">
        <v>2</v>
      </c>
      <c r="R475" s="8">
        <v>2</v>
      </c>
      <c r="S475" s="8">
        <v>3</v>
      </c>
      <c r="T475" s="8">
        <v>3</v>
      </c>
      <c r="U475" s="8">
        <v>4</v>
      </c>
      <c r="V475" s="8">
        <v>4</v>
      </c>
      <c r="W475" s="8">
        <v>5</v>
      </c>
      <c r="X475" s="8">
        <v>5</v>
      </c>
    </row>
    <row r="477" spans="3:24" x14ac:dyDescent="0.6">
      <c r="C477" s="8" t="s">
        <v>54</v>
      </c>
      <c r="D477" s="8">
        <v>3</v>
      </c>
      <c r="E477" s="8">
        <v>3</v>
      </c>
      <c r="F477" s="8">
        <v>3</v>
      </c>
      <c r="G477" s="8">
        <v>3</v>
      </c>
      <c r="H477" s="8">
        <v>3</v>
      </c>
      <c r="I477" s="8">
        <v>3</v>
      </c>
      <c r="J477" s="8">
        <v>4</v>
      </c>
      <c r="K477" s="8">
        <v>4</v>
      </c>
      <c r="L477" s="8">
        <v>4</v>
      </c>
      <c r="M477" s="8">
        <v>4</v>
      </c>
      <c r="N477" s="8">
        <v>4</v>
      </c>
      <c r="O477" s="8">
        <v>4</v>
      </c>
      <c r="P477" s="8">
        <v>4</v>
      </c>
      <c r="Q477" s="8">
        <v>4</v>
      </c>
      <c r="R477" s="8">
        <v>4</v>
      </c>
      <c r="S477" s="8">
        <v>3</v>
      </c>
      <c r="T477" s="8">
        <v>3</v>
      </c>
      <c r="U477" s="8">
        <v>3</v>
      </c>
      <c r="V477" s="8">
        <v>3</v>
      </c>
      <c r="W477" s="8">
        <v>3</v>
      </c>
      <c r="X477" s="8">
        <v>3</v>
      </c>
    </row>
    <row r="479" spans="3:24" x14ac:dyDescent="0.6">
      <c r="C479" s="8" t="s">
        <v>53</v>
      </c>
      <c r="D479" s="8">
        <v>5</v>
      </c>
      <c r="E479" s="8">
        <v>5</v>
      </c>
      <c r="F479" s="8">
        <v>4</v>
      </c>
      <c r="G479" s="8">
        <v>4</v>
      </c>
      <c r="H479" s="8">
        <v>4</v>
      </c>
      <c r="I479" s="8">
        <v>3</v>
      </c>
      <c r="J479" s="8">
        <v>3</v>
      </c>
      <c r="K479" s="8">
        <v>2</v>
      </c>
      <c r="L479" s="8">
        <v>2</v>
      </c>
      <c r="M479" s="8">
        <v>2</v>
      </c>
      <c r="N479" s="8">
        <v>2</v>
      </c>
      <c r="O479" s="8">
        <v>2</v>
      </c>
      <c r="P479" s="8">
        <v>2</v>
      </c>
      <c r="Q479" s="8">
        <v>2</v>
      </c>
      <c r="R479" s="8">
        <v>2</v>
      </c>
      <c r="S479" s="8">
        <v>3</v>
      </c>
      <c r="T479" s="8">
        <v>3</v>
      </c>
      <c r="U479" s="8">
        <v>4</v>
      </c>
      <c r="V479" s="8">
        <v>4</v>
      </c>
      <c r="W479" s="8">
        <v>5</v>
      </c>
      <c r="X479" s="8">
        <v>5</v>
      </c>
    </row>
    <row r="481" spans="3:24" x14ac:dyDescent="0.6">
      <c r="C481" s="8" t="s">
        <v>54</v>
      </c>
      <c r="D481" s="8">
        <v>3</v>
      </c>
      <c r="E481" s="8">
        <v>3</v>
      </c>
      <c r="F481" s="8">
        <v>3</v>
      </c>
      <c r="G481" s="8">
        <v>3</v>
      </c>
      <c r="H481" s="8">
        <v>3</v>
      </c>
      <c r="I481" s="8">
        <v>3</v>
      </c>
      <c r="J481" s="8">
        <v>4</v>
      </c>
      <c r="K481" s="8">
        <v>4</v>
      </c>
      <c r="L481" s="8">
        <v>4</v>
      </c>
      <c r="M481" s="8">
        <v>4</v>
      </c>
      <c r="N481" s="8">
        <v>4</v>
      </c>
      <c r="O481" s="8">
        <v>4</v>
      </c>
      <c r="P481" s="8">
        <v>4</v>
      </c>
      <c r="Q481" s="8">
        <v>4</v>
      </c>
      <c r="R481" s="8">
        <v>4</v>
      </c>
      <c r="S481" s="8">
        <v>3</v>
      </c>
      <c r="T481" s="8">
        <v>3</v>
      </c>
      <c r="U481" s="8">
        <v>3</v>
      </c>
      <c r="V481" s="8">
        <v>3</v>
      </c>
      <c r="W481" s="8">
        <v>3</v>
      </c>
      <c r="X481" s="8">
        <v>3</v>
      </c>
    </row>
    <row r="483" spans="3:24" x14ac:dyDescent="0.6">
      <c r="C483" s="8" t="s">
        <v>53</v>
      </c>
      <c r="D483" s="8">
        <v>5</v>
      </c>
      <c r="E483" s="8">
        <v>5</v>
      </c>
      <c r="F483" s="8">
        <v>4</v>
      </c>
      <c r="G483" s="8">
        <v>4</v>
      </c>
      <c r="H483" s="8">
        <v>4</v>
      </c>
      <c r="I483" s="8">
        <v>3</v>
      </c>
      <c r="J483" s="8">
        <v>3</v>
      </c>
      <c r="K483" s="8">
        <v>2</v>
      </c>
      <c r="L483" s="8">
        <v>2</v>
      </c>
      <c r="M483" s="8">
        <v>2</v>
      </c>
      <c r="N483" s="8">
        <v>2</v>
      </c>
      <c r="O483" s="8">
        <v>2</v>
      </c>
      <c r="P483" s="8">
        <v>2</v>
      </c>
      <c r="Q483" s="8">
        <v>2</v>
      </c>
      <c r="R483" s="8">
        <v>2</v>
      </c>
      <c r="S483" s="8">
        <v>3</v>
      </c>
      <c r="T483" s="8">
        <v>3</v>
      </c>
      <c r="U483" s="8">
        <v>4</v>
      </c>
      <c r="V483" s="8">
        <v>4</v>
      </c>
      <c r="W483" s="8">
        <v>5</v>
      </c>
      <c r="X483" s="8">
        <v>5</v>
      </c>
    </row>
    <row r="485" spans="3:24" x14ac:dyDescent="0.6">
      <c r="C485" s="8" t="s">
        <v>54</v>
      </c>
      <c r="D485" s="8">
        <v>3</v>
      </c>
      <c r="E485" s="8">
        <v>3</v>
      </c>
      <c r="F485" s="8">
        <v>3</v>
      </c>
      <c r="G485" s="8">
        <v>3</v>
      </c>
      <c r="H485" s="8">
        <v>3</v>
      </c>
      <c r="I485" s="8">
        <v>3</v>
      </c>
      <c r="J485" s="8">
        <v>4</v>
      </c>
      <c r="K485" s="8">
        <v>4</v>
      </c>
      <c r="L485" s="8">
        <v>4</v>
      </c>
      <c r="M485" s="8">
        <v>4</v>
      </c>
      <c r="N485" s="8">
        <v>4</v>
      </c>
      <c r="O485" s="8">
        <v>4</v>
      </c>
      <c r="P485" s="8">
        <v>4</v>
      </c>
      <c r="Q485" s="8">
        <v>4</v>
      </c>
      <c r="R485" s="8">
        <v>4</v>
      </c>
      <c r="S485" s="8">
        <v>3</v>
      </c>
      <c r="T485" s="8">
        <v>3</v>
      </c>
      <c r="U485" s="8">
        <v>3</v>
      </c>
      <c r="V485" s="8">
        <v>3</v>
      </c>
      <c r="W485" s="8">
        <v>3</v>
      </c>
      <c r="X485" s="8">
        <v>3</v>
      </c>
    </row>
    <row r="487" spans="3:24" x14ac:dyDescent="0.6">
      <c r="C487" s="8" t="s">
        <v>53</v>
      </c>
      <c r="D487" s="8">
        <v>5</v>
      </c>
      <c r="E487" s="8">
        <v>5</v>
      </c>
      <c r="F487" s="8">
        <v>4</v>
      </c>
      <c r="G487" s="8">
        <v>4</v>
      </c>
      <c r="H487" s="8">
        <v>4</v>
      </c>
      <c r="I487" s="8">
        <v>3</v>
      </c>
      <c r="J487" s="8">
        <v>3</v>
      </c>
      <c r="K487" s="8">
        <v>2</v>
      </c>
      <c r="L487" s="8">
        <v>2</v>
      </c>
      <c r="M487" s="8">
        <v>2</v>
      </c>
      <c r="N487" s="8">
        <v>2</v>
      </c>
      <c r="O487" s="8">
        <v>2</v>
      </c>
      <c r="P487" s="8">
        <v>2</v>
      </c>
      <c r="Q487" s="8">
        <v>2</v>
      </c>
      <c r="R487" s="8">
        <v>2</v>
      </c>
      <c r="S487" s="8">
        <v>2</v>
      </c>
      <c r="T487" s="8">
        <v>2</v>
      </c>
      <c r="U487" s="8">
        <v>3</v>
      </c>
      <c r="V487" s="8">
        <v>3</v>
      </c>
      <c r="W487" s="8">
        <v>3</v>
      </c>
      <c r="X487" s="8">
        <v>3</v>
      </c>
    </row>
    <row r="489" spans="3:24" x14ac:dyDescent="0.6">
      <c r="C489" s="8" t="s">
        <v>54</v>
      </c>
      <c r="D489" s="8">
        <v>3</v>
      </c>
      <c r="E489" s="8">
        <v>3</v>
      </c>
      <c r="F489" s="8">
        <v>3</v>
      </c>
      <c r="G489" s="8">
        <v>3</v>
      </c>
      <c r="H489" s="8">
        <v>3</v>
      </c>
      <c r="I489" s="8">
        <v>3</v>
      </c>
      <c r="J489" s="8">
        <v>4</v>
      </c>
      <c r="K489" s="8">
        <v>4</v>
      </c>
      <c r="L489" s="8">
        <v>4</v>
      </c>
      <c r="M489" s="8">
        <v>4</v>
      </c>
      <c r="N489" s="8">
        <v>4</v>
      </c>
      <c r="O489" s="8">
        <v>4</v>
      </c>
      <c r="P489" s="8">
        <v>4</v>
      </c>
      <c r="Q489" s="8">
        <v>4</v>
      </c>
      <c r="R489" s="8">
        <v>4</v>
      </c>
      <c r="S489" s="8">
        <v>3</v>
      </c>
      <c r="T489" s="8">
        <v>3</v>
      </c>
      <c r="U489" s="8">
        <v>3</v>
      </c>
      <c r="V489" s="8">
        <v>3</v>
      </c>
      <c r="W489" s="8">
        <v>3</v>
      </c>
      <c r="X489" s="8">
        <v>3</v>
      </c>
    </row>
    <row r="491" spans="3:24" x14ac:dyDescent="0.6">
      <c r="C491" s="8" t="s">
        <v>53</v>
      </c>
      <c r="D491" s="8">
        <v>3</v>
      </c>
      <c r="E491" s="8">
        <v>3</v>
      </c>
      <c r="F491" s="8">
        <v>3</v>
      </c>
      <c r="G491" s="8">
        <v>3</v>
      </c>
      <c r="H491" s="8">
        <v>2</v>
      </c>
      <c r="I491" s="8">
        <v>2</v>
      </c>
      <c r="J491" s="8">
        <v>2</v>
      </c>
      <c r="K491" s="8">
        <v>2</v>
      </c>
      <c r="L491" s="8">
        <v>2</v>
      </c>
      <c r="M491" s="8">
        <v>2</v>
      </c>
      <c r="N491" s="8">
        <v>2</v>
      </c>
      <c r="O491" s="8">
        <v>2</v>
      </c>
      <c r="P491" s="8">
        <v>2</v>
      </c>
      <c r="Q491" s="8">
        <v>2</v>
      </c>
      <c r="R491" s="8">
        <v>2</v>
      </c>
      <c r="S491" s="8">
        <v>2</v>
      </c>
      <c r="T491" s="8">
        <v>2</v>
      </c>
      <c r="U491" s="8">
        <v>2</v>
      </c>
      <c r="V491" s="8">
        <v>2</v>
      </c>
      <c r="W491" s="8">
        <v>2</v>
      </c>
      <c r="X491" s="8">
        <v>2</v>
      </c>
    </row>
    <row r="493" spans="3:24" x14ac:dyDescent="0.6">
      <c r="C493" s="8" t="s">
        <v>54</v>
      </c>
      <c r="D493" s="8">
        <v>3</v>
      </c>
      <c r="E493" s="8">
        <v>3</v>
      </c>
      <c r="F493" s="8">
        <v>3</v>
      </c>
      <c r="G493" s="8">
        <v>3</v>
      </c>
      <c r="H493" s="8">
        <v>3</v>
      </c>
      <c r="I493" s="8">
        <v>3</v>
      </c>
      <c r="J493" s="8">
        <v>4</v>
      </c>
      <c r="K493" s="8">
        <v>4</v>
      </c>
      <c r="L493" s="8">
        <v>4</v>
      </c>
      <c r="M493" s="8">
        <v>4</v>
      </c>
      <c r="N493" s="8">
        <v>4</v>
      </c>
      <c r="O493" s="8">
        <v>4</v>
      </c>
      <c r="P493" s="8">
        <v>4</v>
      </c>
      <c r="Q493" s="8">
        <v>4</v>
      </c>
      <c r="R493" s="8">
        <v>4</v>
      </c>
      <c r="S493" s="8">
        <v>3</v>
      </c>
      <c r="T493" s="8">
        <v>3</v>
      </c>
      <c r="U493" s="8">
        <v>3</v>
      </c>
      <c r="V493" s="8">
        <v>3</v>
      </c>
      <c r="W493" s="8">
        <v>3</v>
      </c>
      <c r="X493" s="8">
        <v>3</v>
      </c>
    </row>
    <row r="495" spans="3:24" x14ac:dyDescent="0.6">
      <c r="C495" s="8" t="s">
        <v>53</v>
      </c>
      <c r="D495" s="8">
        <v>6</v>
      </c>
      <c r="E495" s="8">
        <v>6</v>
      </c>
      <c r="F495" s="8">
        <v>5</v>
      </c>
      <c r="G495" s="8">
        <v>5</v>
      </c>
      <c r="H495" s="8">
        <v>4</v>
      </c>
      <c r="I495" s="8">
        <v>4</v>
      </c>
      <c r="J495" s="8">
        <v>3</v>
      </c>
      <c r="K495" s="8">
        <v>2</v>
      </c>
      <c r="L495" s="8">
        <v>2</v>
      </c>
      <c r="M495" s="8">
        <v>2</v>
      </c>
      <c r="N495" s="8">
        <v>2</v>
      </c>
      <c r="O495" s="8">
        <v>2</v>
      </c>
      <c r="P495" s="8">
        <v>2</v>
      </c>
      <c r="Q495" s="8">
        <v>3</v>
      </c>
      <c r="R495" s="8">
        <v>4</v>
      </c>
      <c r="S495" s="8">
        <v>5</v>
      </c>
      <c r="T495" s="8">
        <v>6</v>
      </c>
      <c r="U495" s="8">
        <v>7</v>
      </c>
      <c r="V495" s="8">
        <v>8</v>
      </c>
      <c r="W495" s="8">
        <v>9</v>
      </c>
      <c r="X495" s="8">
        <v>9</v>
      </c>
    </row>
    <row r="497" spans="3:24" x14ac:dyDescent="0.6">
      <c r="C497" s="8" t="s">
        <v>54</v>
      </c>
      <c r="D497" s="8">
        <v>5</v>
      </c>
      <c r="E497" s="8">
        <v>5</v>
      </c>
      <c r="F497" s="8">
        <v>4</v>
      </c>
      <c r="G497" s="8">
        <v>4</v>
      </c>
      <c r="H497" s="8">
        <v>4</v>
      </c>
      <c r="I497" s="8">
        <v>5</v>
      </c>
      <c r="J497" s="8">
        <v>6</v>
      </c>
      <c r="K497" s="8">
        <v>6</v>
      </c>
      <c r="L497" s="8">
        <v>6</v>
      </c>
      <c r="M497" s="8">
        <v>6</v>
      </c>
      <c r="N497" s="8">
        <v>6</v>
      </c>
      <c r="O497" s="8">
        <v>6</v>
      </c>
      <c r="P497" s="8">
        <v>6</v>
      </c>
      <c r="Q497" s="8">
        <v>6</v>
      </c>
      <c r="R497" s="8">
        <v>6</v>
      </c>
      <c r="S497" s="8">
        <v>5</v>
      </c>
      <c r="T497" s="8">
        <v>4</v>
      </c>
      <c r="U497" s="8">
        <v>4</v>
      </c>
      <c r="V497" s="8">
        <v>4</v>
      </c>
      <c r="W497" s="8">
        <v>5</v>
      </c>
      <c r="X497" s="8">
        <v>5</v>
      </c>
    </row>
    <row r="499" spans="3:24" x14ac:dyDescent="0.6">
      <c r="C499" s="8" t="s">
        <v>53</v>
      </c>
      <c r="D499" s="8">
        <v>6</v>
      </c>
      <c r="E499" s="8">
        <v>6</v>
      </c>
      <c r="F499" s="8">
        <v>5</v>
      </c>
      <c r="G499" s="8">
        <v>5</v>
      </c>
      <c r="H499" s="8">
        <v>4</v>
      </c>
      <c r="I499" s="8">
        <v>4</v>
      </c>
      <c r="J499" s="8">
        <v>3</v>
      </c>
      <c r="K499" s="8">
        <v>2</v>
      </c>
      <c r="L499" s="8">
        <v>2</v>
      </c>
      <c r="M499" s="8">
        <v>2</v>
      </c>
      <c r="N499" s="8">
        <v>2</v>
      </c>
      <c r="O499" s="8">
        <v>2</v>
      </c>
      <c r="P499" s="8">
        <v>2</v>
      </c>
      <c r="Q499" s="8">
        <v>3</v>
      </c>
      <c r="R499" s="8">
        <v>4</v>
      </c>
      <c r="S499" s="8">
        <v>5</v>
      </c>
      <c r="T499" s="8">
        <v>6</v>
      </c>
      <c r="U499" s="8">
        <v>7</v>
      </c>
      <c r="V499" s="8">
        <v>8</v>
      </c>
      <c r="W499" s="8">
        <v>9</v>
      </c>
      <c r="X499" s="8">
        <v>9</v>
      </c>
    </row>
    <row r="501" spans="3:24" x14ac:dyDescent="0.6">
      <c r="C501" s="8" t="s">
        <v>54</v>
      </c>
      <c r="D501" s="8">
        <v>5</v>
      </c>
      <c r="E501" s="8">
        <v>5</v>
      </c>
      <c r="F501" s="8">
        <v>4</v>
      </c>
      <c r="G501" s="8">
        <v>4</v>
      </c>
      <c r="H501" s="8">
        <v>4</v>
      </c>
      <c r="I501" s="8">
        <v>5</v>
      </c>
      <c r="J501" s="8">
        <v>6</v>
      </c>
      <c r="K501" s="8">
        <v>6</v>
      </c>
      <c r="L501" s="8">
        <v>6</v>
      </c>
      <c r="M501" s="8">
        <v>6</v>
      </c>
      <c r="N501" s="8">
        <v>6</v>
      </c>
      <c r="O501" s="8">
        <v>6</v>
      </c>
      <c r="P501" s="8">
        <v>6</v>
      </c>
      <c r="Q501" s="8">
        <v>6</v>
      </c>
      <c r="R501" s="8">
        <v>6</v>
      </c>
      <c r="S501" s="8">
        <v>5</v>
      </c>
      <c r="T501" s="8">
        <v>4</v>
      </c>
      <c r="U501" s="8">
        <v>4</v>
      </c>
      <c r="V501" s="8">
        <v>4</v>
      </c>
      <c r="W501" s="8">
        <v>5</v>
      </c>
      <c r="X501" s="8">
        <v>5</v>
      </c>
    </row>
    <row r="503" spans="3:24" x14ac:dyDescent="0.6">
      <c r="C503" s="8" t="s">
        <v>53</v>
      </c>
      <c r="D503" s="8">
        <v>6</v>
      </c>
      <c r="E503" s="8">
        <v>6</v>
      </c>
      <c r="F503" s="8">
        <v>5</v>
      </c>
      <c r="G503" s="8">
        <v>5</v>
      </c>
      <c r="H503" s="8">
        <v>4</v>
      </c>
      <c r="I503" s="8">
        <v>4</v>
      </c>
      <c r="J503" s="8">
        <v>3</v>
      </c>
      <c r="K503" s="8">
        <v>2</v>
      </c>
      <c r="L503" s="8">
        <v>2</v>
      </c>
      <c r="M503" s="8">
        <v>2</v>
      </c>
      <c r="N503" s="8">
        <v>2</v>
      </c>
      <c r="O503" s="8">
        <v>2</v>
      </c>
      <c r="P503" s="8">
        <v>2</v>
      </c>
      <c r="Q503" s="8">
        <v>3</v>
      </c>
      <c r="R503" s="8">
        <v>4</v>
      </c>
      <c r="S503" s="8">
        <v>5</v>
      </c>
      <c r="T503" s="8">
        <v>6</v>
      </c>
      <c r="U503" s="8">
        <v>7</v>
      </c>
      <c r="V503" s="8">
        <v>8</v>
      </c>
      <c r="W503" s="8">
        <v>9</v>
      </c>
      <c r="X503" s="8">
        <v>9</v>
      </c>
    </row>
    <row r="505" spans="3:24" x14ac:dyDescent="0.6">
      <c r="C505" s="8" t="s">
        <v>54</v>
      </c>
      <c r="D505" s="8">
        <v>5</v>
      </c>
      <c r="E505" s="8">
        <v>5</v>
      </c>
      <c r="F505" s="8">
        <v>4</v>
      </c>
      <c r="G505" s="8">
        <v>4</v>
      </c>
      <c r="H505" s="8">
        <v>4</v>
      </c>
      <c r="I505" s="8">
        <v>5</v>
      </c>
      <c r="J505" s="8">
        <v>6</v>
      </c>
      <c r="K505" s="8">
        <v>6</v>
      </c>
      <c r="L505" s="8">
        <v>6</v>
      </c>
      <c r="M505" s="8">
        <v>6</v>
      </c>
      <c r="N505" s="8">
        <v>6</v>
      </c>
      <c r="O505" s="8">
        <v>6</v>
      </c>
      <c r="P505" s="8">
        <v>6</v>
      </c>
      <c r="Q505" s="8">
        <v>6</v>
      </c>
      <c r="R505" s="8">
        <v>6</v>
      </c>
      <c r="S505" s="8">
        <v>5</v>
      </c>
      <c r="T505" s="8">
        <v>4</v>
      </c>
      <c r="U505" s="8">
        <v>4</v>
      </c>
      <c r="V505" s="8">
        <v>4</v>
      </c>
      <c r="W505" s="8">
        <v>5</v>
      </c>
      <c r="X505" s="8">
        <v>5</v>
      </c>
    </row>
    <row r="507" spans="3:24" x14ac:dyDescent="0.6">
      <c r="C507" s="8" t="s">
        <v>53</v>
      </c>
      <c r="D507" s="8">
        <v>6</v>
      </c>
      <c r="E507" s="8">
        <v>6</v>
      </c>
      <c r="F507" s="8">
        <v>5</v>
      </c>
      <c r="G507" s="8">
        <v>5</v>
      </c>
      <c r="H507" s="8">
        <v>4</v>
      </c>
      <c r="I507" s="8">
        <v>4</v>
      </c>
      <c r="J507" s="8">
        <v>3</v>
      </c>
      <c r="K507" s="8">
        <v>2</v>
      </c>
      <c r="L507" s="8">
        <v>2</v>
      </c>
      <c r="M507" s="8">
        <v>2</v>
      </c>
      <c r="N507" s="8">
        <v>2</v>
      </c>
      <c r="O507" s="8">
        <v>2</v>
      </c>
      <c r="P507" s="8">
        <v>2</v>
      </c>
      <c r="Q507" s="8">
        <v>3</v>
      </c>
      <c r="R507" s="8">
        <v>4</v>
      </c>
      <c r="S507" s="8">
        <v>5</v>
      </c>
      <c r="T507" s="8">
        <v>6</v>
      </c>
      <c r="U507" s="8">
        <v>7</v>
      </c>
      <c r="V507" s="8">
        <v>8</v>
      </c>
      <c r="W507" s="8">
        <v>9</v>
      </c>
      <c r="X507" s="8">
        <v>9</v>
      </c>
    </row>
    <row r="509" spans="3:24" x14ac:dyDescent="0.6">
      <c r="C509" s="8" t="s">
        <v>54</v>
      </c>
      <c r="D509" s="8">
        <v>5</v>
      </c>
      <c r="E509" s="8">
        <v>5</v>
      </c>
      <c r="F509" s="8">
        <v>4</v>
      </c>
      <c r="G509" s="8">
        <v>4</v>
      </c>
      <c r="H509" s="8">
        <v>4</v>
      </c>
      <c r="I509" s="8">
        <v>5</v>
      </c>
      <c r="J509" s="8">
        <v>6</v>
      </c>
      <c r="K509" s="8">
        <v>6</v>
      </c>
      <c r="L509" s="8">
        <v>6</v>
      </c>
      <c r="M509" s="8">
        <v>6</v>
      </c>
      <c r="N509" s="8">
        <v>6</v>
      </c>
      <c r="O509" s="8">
        <v>6</v>
      </c>
      <c r="P509" s="8">
        <v>6</v>
      </c>
      <c r="Q509" s="8">
        <v>6</v>
      </c>
      <c r="R509" s="8">
        <v>6</v>
      </c>
      <c r="S509" s="8">
        <v>5</v>
      </c>
      <c r="T509" s="8">
        <v>4</v>
      </c>
      <c r="U509" s="8">
        <v>4</v>
      </c>
      <c r="V509" s="8">
        <v>4</v>
      </c>
      <c r="W509" s="8">
        <v>5</v>
      </c>
      <c r="X509" s="8">
        <v>5</v>
      </c>
    </row>
    <row r="511" spans="3:24" x14ac:dyDescent="0.6">
      <c r="C511" s="8" t="s">
        <v>53</v>
      </c>
      <c r="D511" s="8">
        <v>6</v>
      </c>
      <c r="E511" s="8">
        <v>6</v>
      </c>
      <c r="F511" s="8">
        <v>5</v>
      </c>
      <c r="G511" s="8">
        <v>5</v>
      </c>
      <c r="H511" s="8">
        <v>4</v>
      </c>
      <c r="I511" s="8">
        <v>4</v>
      </c>
      <c r="J511" s="8">
        <v>3</v>
      </c>
      <c r="K511" s="8">
        <v>2</v>
      </c>
      <c r="L511" s="8">
        <v>2</v>
      </c>
      <c r="M511" s="8">
        <v>2</v>
      </c>
      <c r="N511" s="8">
        <v>2</v>
      </c>
      <c r="O511" s="8">
        <v>2</v>
      </c>
      <c r="P511" s="8">
        <v>2</v>
      </c>
      <c r="Q511" s="8">
        <v>3</v>
      </c>
      <c r="R511" s="8">
        <v>4</v>
      </c>
      <c r="S511" s="8">
        <v>5</v>
      </c>
      <c r="T511" s="8">
        <v>6</v>
      </c>
      <c r="U511" s="8">
        <v>7</v>
      </c>
      <c r="V511" s="8">
        <v>8</v>
      </c>
      <c r="W511" s="8">
        <v>9</v>
      </c>
      <c r="X511" s="8">
        <v>9</v>
      </c>
    </row>
    <row r="513" spans="3:24" x14ac:dyDescent="0.6">
      <c r="C513" s="8" t="s">
        <v>54</v>
      </c>
      <c r="D513" s="8">
        <v>5</v>
      </c>
      <c r="E513" s="8">
        <v>5</v>
      </c>
      <c r="F513" s="8">
        <v>4</v>
      </c>
      <c r="G513" s="8">
        <v>4</v>
      </c>
      <c r="H513" s="8">
        <v>4</v>
      </c>
      <c r="I513" s="8">
        <v>5</v>
      </c>
      <c r="J513" s="8">
        <v>6</v>
      </c>
      <c r="K513" s="8">
        <v>6</v>
      </c>
      <c r="L513" s="8">
        <v>6</v>
      </c>
      <c r="M513" s="8">
        <v>6</v>
      </c>
      <c r="N513" s="8">
        <v>6</v>
      </c>
      <c r="O513" s="8">
        <v>6</v>
      </c>
      <c r="P513" s="8">
        <v>6</v>
      </c>
      <c r="Q513" s="8">
        <v>6</v>
      </c>
      <c r="R513" s="8">
        <v>6</v>
      </c>
      <c r="S513" s="8">
        <v>5</v>
      </c>
      <c r="T513" s="8">
        <v>4</v>
      </c>
      <c r="U513" s="8">
        <v>4</v>
      </c>
      <c r="V513" s="8">
        <v>4</v>
      </c>
      <c r="W513" s="8">
        <v>5</v>
      </c>
      <c r="X513" s="8">
        <v>5</v>
      </c>
    </row>
    <row r="515" spans="3:24" x14ac:dyDescent="0.6">
      <c r="C515" s="8" t="s">
        <v>53</v>
      </c>
      <c r="D515" s="8">
        <v>6</v>
      </c>
      <c r="E515" s="8">
        <v>6</v>
      </c>
      <c r="F515" s="8">
        <v>5</v>
      </c>
      <c r="G515" s="8">
        <v>5</v>
      </c>
      <c r="H515" s="8">
        <v>4</v>
      </c>
      <c r="I515" s="8">
        <v>4</v>
      </c>
      <c r="J515" s="8">
        <v>3</v>
      </c>
      <c r="K515" s="8">
        <v>2</v>
      </c>
      <c r="L515" s="8">
        <v>2</v>
      </c>
      <c r="M515" s="8">
        <v>2</v>
      </c>
      <c r="N515" s="8">
        <v>2</v>
      </c>
      <c r="O515" s="8">
        <v>2</v>
      </c>
      <c r="P515" s="8">
        <v>2</v>
      </c>
      <c r="Q515" s="8">
        <v>3</v>
      </c>
      <c r="R515" s="8">
        <v>4</v>
      </c>
      <c r="S515" s="8">
        <v>5</v>
      </c>
      <c r="T515" s="8">
        <v>6</v>
      </c>
      <c r="U515" s="8">
        <v>7</v>
      </c>
      <c r="V515" s="8">
        <v>8</v>
      </c>
      <c r="W515" s="8">
        <v>9</v>
      </c>
      <c r="X515" s="8">
        <v>9</v>
      </c>
    </row>
    <row r="517" spans="3:24" x14ac:dyDescent="0.6">
      <c r="C517" s="8" t="s">
        <v>54</v>
      </c>
      <c r="D517" s="8">
        <v>5</v>
      </c>
      <c r="E517" s="8">
        <v>5</v>
      </c>
      <c r="F517" s="8">
        <v>4</v>
      </c>
      <c r="G517" s="8">
        <v>4</v>
      </c>
      <c r="H517" s="8">
        <v>4</v>
      </c>
      <c r="I517" s="8">
        <v>5</v>
      </c>
      <c r="J517" s="8">
        <v>6</v>
      </c>
      <c r="K517" s="8">
        <v>6</v>
      </c>
      <c r="L517" s="8">
        <v>6</v>
      </c>
      <c r="M517" s="8">
        <v>6</v>
      </c>
      <c r="N517" s="8">
        <v>6</v>
      </c>
      <c r="O517" s="8">
        <v>6</v>
      </c>
      <c r="P517" s="8">
        <v>6</v>
      </c>
      <c r="Q517" s="8">
        <v>6</v>
      </c>
      <c r="R517" s="8">
        <v>6</v>
      </c>
      <c r="S517" s="8">
        <v>5</v>
      </c>
      <c r="T517" s="8">
        <v>4</v>
      </c>
      <c r="U517" s="8">
        <v>4</v>
      </c>
      <c r="V517" s="8">
        <v>4</v>
      </c>
      <c r="W517" s="8">
        <v>5</v>
      </c>
      <c r="X517" s="8">
        <v>5</v>
      </c>
    </row>
    <row r="519" spans="3:24" x14ac:dyDescent="0.6">
      <c r="C519" s="8" t="s">
        <v>53</v>
      </c>
      <c r="D519" s="8">
        <v>2</v>
      </c>
      <c r="E519" s="8">
        <v>2</v>
      </c>
      <c r="F519" s="8">
        <v>2</v>
      </c>
      <c r="G519" s="8">
        <v>2</v>
      </c>
      <c r="H519" s="8">
        <v>2</v>
      </c>
      <c r="I519" s="8">
        <v>2</v>
      </c>
      <c r="J519" s="8">
        <v>2</v>
      </c>
      <c r="K519" s="8">
        <v>2</v>
      </c>
      <c r="L519" s="8">
        <v>2</v>
      </c>
      <c r="M519" s="8">
        <v>2</v>
      </c>
      <c r="N519" s="8">
        <v>2</v>
      </c>
      <c r="O519" s="8">
        <v>2</v>
      </c>
      <c r="P519" s="8">
        <v>2</v>
      </c>
      <c r="Q519" s="8">
        <v>2</v>
      </c>
      <c r="R519" s="8">
        <v>2</v>
      </c>
      <c r="S519" s="8">
        <v>3</v>
      </c>
      <c r="T519" s="8">
        <v>3</v>
      </c>
      <c r="U519" s="8">
        <v>4</v>
      </c>
      <c r="V519" s="8">
        <v>4</v>
      </c>
      <c r="W519" s="8">
        <v>5</v>
      </c>
      <c r="X519" s="8">
        <v>5</v>
      </c>
    </row>
    <row r="521" spans="3:24" x14ac:dyDescent="0.6">
      <c r="C521" s="8" t="s">
        <v>54</v>
      </c>
      <c r="D521" s="8">
        <v>4</v>
      </c>
      <c r="E521" s="8">
        <v>4</v>
      </c>
      <c r="F521" s="8">
        <v>4</v>
      </c>
      <c r="G521" s="8">
        <v>3</v>
      </c>
      <c r="H521" s="8">
        <v>4</v>
      </c>
      <c r="I521" s="8">
        <v>4</v>
      </c>
      <c r="J521" s="8">
        <v>5</v>
      </c>
      <c r="K521" s="8">
        <v>5</v>
      </c>
      <c r="L521" s="8">
        <v>5</v>
      </c>
      <c r="M521" s="8">
        <v>5</v>
      </c>
      <c r="N521" s="8">
        <v>5</v>
      </c>
      <c r="O521" s="8">
        <v>5</v>
      </c>
      <c r="P521" s="8">
        <v>5</v>
      </c>
      <c r="Q521" s="8">
        <v>5</v>
      </c>
      <c r="R521" s="8">
        <v>5</v>
      </c>
      <c r="S521" s="8">
        <v>4</v>
      </c>
      <c r="T521" s="8">
        <v>4</v>
      </c>
      <c r="U521" s="8">
        <v>3</v>
      </c>
      <c r="V521" s="8">
        <v>3</v>
      </c>
      <c r="W521" s="8">
        <v>3</v>
      </c>
      <c r="X521" s="8">
        <v>3</v>
      </c>
    </row>
    <row r="523" spans="3:24" x14ac:dyDescent="0.6">
      <c r="C523" s="8" t="s">
        <v>53</v>
      </c>
      <c r="D523" s="8">
        <v>5</v>
      </c>
      <c r="E523" s="8">
        <v>5</v>
      </c>
      <c r="F523" s="8">
        <v>4</v>
      </c>
      <c r="G523" s="8">
        <v>4</v>
      </c>
      <c r="H523" s="8">
        <v>4</v>
      </c>
      <c r="I523" s="8">
        <v>3</v>
      </c>
      <c r="J523" s="8">
        <v>3</v>
      </c>
      <c r="K523" s="8">
        <v>2</v>
      </c>
      <c r="L523" s="8">
        <v>2</v>
      </c>
      <c r="M523" s="8">
        <v>2</v>
      </c>
      <c r="N523" s="8">
        <v>2</v>
      </c>
      <c r="O523" s="8">
        <v>2</v>
      </c>
      <c r="P523" s="8">
        <v>2</v>
      </c>
      <c r="Q523" s="8">
        <v>2</v>
      </c>
      <c r="R523" s="8">
        <v>2</v>
      </c>
      <c r="S523" s="8">
        <v>3</v>
      </c>
      <c r="T523" s="8">
        <v>3</v>
      </c>
      <c r="U523" s="8">
        <v>4</v>
      </c>
      <c r="V523" s="8">
        <v>4</v>
      </c>
      <c r="W523" s="8">
        <v>5</v>
      </c>
      <c r="X523" s="8">
        <v>5</v>
      </c>
    </row>
    <row r="525" spans="3:24" x14ac:dyDescent="0.6">
      <c r="C525" s="8" t="s">
        <v>54</v>
      </c>
      <c r="D525" s="8">
        <v>3</v>
      </c>
      <c r="E525" s="8">
        <v>3</v>
      </c>
      <c r="F525" s="8">
        <v>3</v>
      </c>
      <c r="G525" s="8">
        <v>3</v>
      </c>
      <c r="H525" s="8">
        <v>3</v>
      </c>
      <c r="I525" s="8">
        <v>3</v>
      </c>
      <c r="J525" s="8">
        <v>4</v>
      </c>
      <c r="K525" s="8">
        <v>4</v>
      </c>
      <c r="L525" s="8">
        <v>4</v>
      </c>
      <c r="M525" s="8">
        <v>4</v>
      </c>
      <c r="N525" s="8">
        <v>4</v>
      </c>
      <c r="O525" s="8">
        <v>4</v>
      </c>
      <c r="P525" s="8">
        <v>4</v>
      </c>
      <c r="Q525" s="8">
        <v>4</v>
      </c>
      <c r="R525" s="8">
        <v>4</v>
      </c>
      <c r="S525" s="8">
        <v>3</v>
      </c>
      <c r="T525" s="8">
        <v>3</v>
      </c>
      <c r="U525" s="8">
        <v>3</v>
      </c>
      <c r="V525" s="8">
        <v>3</v>
      </c>
      <c r="W525" s="8">
        <v>3</v>
      </c>
      <c r="X525" s="8">
        <v>3</v>
      </c>
    </row>
    <row r="527" spans="3:24" x14ac:dyDescent="0.6">
      <c r="C527" s="8" t="s">
        <v>53</v>
      </c>
      <c r="D527" s="8">
        <v>5</v>
      </c>
      <c r="E527" s="8">
        <v>5</v>
      </c>
      <c r="F527" s="8">
        <v>4</v>
      </c>
      <c r="G527" s="8">
        <v>4</v>
      </c>
      <c r="H527" s="8">
        <v>4</v>
      </c>
      <c r="I527" s="8">
        <v>3</v>
      </c>
      <c r="J527" s="8">
        <v>3</v>
      </c>
      <c r="K527" s="8">
        <v>2</v>
      </c>
      <c r="L527" s="8">
        <v>2</v>
      </c>
      <c r="M527" s="8">
        <v>2</v>
      </c>
      <c r="N527" s="8">
        <v>2</v>
      </c>
      <c r="O527" s="8">
        <v>2</v>
      </c>
      <c r="P527" s="8">
        <v>2</v>
      </c>
      <c r="Q527" s="8">
        <v>2</v>
      </c>
      <c r="R527" s="8">
        <v>2</v>
      </c>
      <c r="S527" s="8">
        <v>3</v>
      </c>
      <c r="T527" s="8">
        <v>3</v>
      </c>
      <c r="U527" s="8">
        <v>4</v>
      </c>
      <c r="V527" s="8">
        <v>4</v>
      </c>
      <c r="W527" s="8">
        <v>5</v>
      </c>
      <c r="X527" s="8">
        <v>5</v>
      </c>
    </row>
    <row r="529" spans="3:24" x14ac:dyDescent="0.6">
      <c r="C529" s="8" t="s">
        <v>54</v>
      </c>
      <c r="D529" s="8">
        <v>3</v>
      </c>
      <c r="E529" s="8">
        <v>3</v>
      </c>
      <c r="F529" s="8">
        <v>3</v>
      </c>
      <c r="G529" s="8">
        <v>3</v>
      </c>
      <c r="H529" s="8">
        <v>3</v>
      </c>
      <c r="I529" s="8">
        <v>3</v>
      </c>
      <c r="J529" s="8">
        <v>4</v>
      </c>
      <c r="K529" s="8">
        <v>4</v>
      </c>
      <c r="L529" s="8">
        <v>4</v>
      </c>
      <c r="M529" s="8">
        <v>4</v>
      </c>
      <c r="N529" s="8">
        <v>4</v>
      </c>
      <c r="O529" s="8">
        <v>4</v>
      </c>
      <c r="P529" s="8">
        <v>4</v>
      </c>
      <c r="Q529" s="8">
        <v>4</v>
      </c>
      <c r="R529" s="8">
        <v>4</v>
      </c>
      <c r="S529" s="8">
        <v>3</v>
      </c>
      <c r="T529" s="8">
        <v>3</v>
      </c>
      <c r="U529" s="8">
        <v>3</v>
      </c>
      <c r="V529" s="8">
        <v>3</v>
      </c>
      <c r="W529" s="8">
        <v>3</v>
      </c>
      <c r="X529" s="8">
        <v>3</v>
      </c>
    </row>
    <row r="531" spans="3:24" x14ac:dyDescent="0.6">
      <c r="C531" s="8" t="s">
        <v>53</v>
      </c>
      <c r="D531" s="8">
        <v>5</v>
      </c>
      <c r="E531" s="8">
        <v>5</v>
      </c>
      <c r="F531" s="8">
        <v>4</v>
      </c>
      <c r="G531" s="8">
        <v>4</v>
      </c>
      <c r="H531" s="8">
        <v>4</v>
      </c>
      <c r="I531" s="8">
        <v>3</v>
      </c>
      <c r="J531" s="8">
        <v>3</v>
      </c>
      <c r="K531" s="8">
        <v>2</v>
      </c>
      <c r="L531" s="8">
        <v>2</v>
      </c>
      <c r="M531" s="8">
        <v>2</v>
      </c>
      <c r="N531" s="8">
        <v>2</v>
      </c>
      <c r="O531" s="8">
        <v>2</v>
      </c>
      <c r="P531" s="8">
        <v>2</v>
      </c>
      <c r="Q531" s="8">
        <v>2</v>
      </c>
      <c r="R531" s="8">
        <v>2</v>
      </c>
      <c r="S531" s="8">
        <v>3</v>
      </c>
      <c r="T531" s="8">
        <v>3</v>
      </c>
      <c r="U531" s="8">
        <v>4</v>
      </c>
      <c r="V531" s="8">
        <v>4</v>
      </c>
      <c r="W531" s="8">
        <v>5</v>
      </c>
      <c r="X531" s="8">
        <v>5</v>
      </c>
    </row>
    <row r="533" spans="3:24" x14ac:dyDescent="0.6">
      <c r="C533" s="8" t="s">
        <v>54</v>
      </c>
      <c r="D533" s="8">
        <v>3</v>
      </c>
      <c r="E533" s="8">
        <v>3</v>
      </c>
      <c r="F533" s="8">
        <v>3</v>
      </c>
      <c r="G533" s="8">
        <v>3</v>
      </c>
      <c r="H533" s="8">
        <v>3</v>
      </c>
      <c r="I533" s="8">
        <v>3</v>
      </c>
      <c r="J533" s="8">
        <v>4</v>
      </c>
      <c r="K533" s="8">
        <v>4</v>
      </c>
      <c r="L533" s="8">
        <v>4</v>
      </c>
      <c r="M533" s="8">
        <v>4</v>
      </c>
      <c r="N533" s="8">
        <v>4</v>
      </c>
      <c r="O533" s="8">
        <v>4</v>
      </c>
      <c r="P533" s="8">
        <v>4</v>
      </c>
      <c r="Q533" s="8">
        <v>4</v>
      </c>
      <c r="R533" s="8">
        <v>4</v>
      </c>
      <c r="S533" s="8">
        <v>3</v>
      </c>
      <c r="T533" s="8">
        <v>3</v>
      </c>
      <c r="U533" s="8">
        <v>3</v>
      </c>
      <c r="V533" s="8">
        <v>3</v>
      </c>
      <c r="W533" s="8">
        <v>3</v>
      </c>
      <c r="X533" s="8">
        <v>3</v>
      </c>
    </row>
    <row r="535" spans="3:24" x14ac:dyDescent="0.6">
      <c r="C535" s="8" t="s">
        <v>53</v>
      </c>
      <c r="D535" s="8">
        <v>5</v>
      </c>
      <c r="E535" s="8">
        <v>5</v>
      </c>
      <c r="F535" s="8">
        <v>4</v>
      </c>
      <c r="G535" s="8">
        <v>4</v>
      </c>
      <c r="H535" s="8">
        <v>4</v>
      </c>
      <c r="I535" s="8">
        <v>3</v>
      </c>
      <c r="J535" s="8">
        <v>3</v>
      </c>
      <c r="K535" s="8">
        <v>2</v>
      </c>
      <c r="L535" s="8">
        <v>2</v>
      </c>
      <c r="M535" s="8">
        <v>2</v>
      </c>
      <c r="N535" s="8">
        <v>2</v>
      </c>
      <c r="O535" s="8">
        <v>2</v>
      </c>
      <c r="P535" s="8">
        <v>2</v>
      </c>
      <c r="Q535" s="8">
        <v>2</v>
      </c>
      <c r="R535" s="8">
        <v>2</v>
      </c>
      <c r="S535" s="8">
        <v>3</v>
      </c>
      <c r="T535" s="8">
        <v>3</v>
      </c>
      <c r="U535" s="8">
        <v>4</v>
      </c>
      <c r="V535" s="8">
        <v>4</v>
      </c>
      <c r="W535" s="8">
        <v>5</v>
      </c>
      <c r="X535" s="8">
        <v>5</v>
      </c>
    </row>
    <row r="537" spans="3:24" x14ac:dyDescent="0.6">
      <c r="C537" s="8" t="s">
        <v>54</v>
      </c>
      <c r="D537" s="8">
        <v>3</v>
      </c>
      <c r="E537" s="8">
        <v>3</v>
      </c>
      <c r="F537" s="8">
        <v>3</v>
      </c>
      <c r="G537" s="8">
        <v>3</v>
      </c>
      <c r="H537" s="8">
        <v>3</v>
      </c>
      <c r="I537" s="8">
        <v>3</v>
      </c>
      <c r="J537" s="8">
        <v>4</v>
      </c>
      <c r="K537" s="8">
        <v>4</v>
      </c>
      <c r="L537" s="8">
        <v>4</v>
      </c>
      <c r="M537" s="8">
        <v>4</v>
      </c>
      <c r="N537" s="8">
        <v>4</v>
      </c>
      <c r="O537" s="8">
        <v>4</v>
      </c>
      <c r="P537" s="8">
        <v>4</v>
      </c>
      <c r="Q537" s="8">
        <v>4</v>
      </c>
      <c r="R537" s="8">
        <v>4</v>
      </c>
      <c r="S537" s="8">
        <v>3</v>
      </c>
      <c r="T537" s="8">
        <v>3</v>
      </c>
      <c r="U537" s="8">
        <v>3</v>
      </c>
      <c r="V537" s="8">
        <v>3</v>
      </c>
      <c r="W537" s="8">
        <v>3</v>
      </c>
      <c r="X537" s="8">
        <v>3</v>
      </c>
    </row>
    <row r="539" spans="3:24" x14ac:dyDescent="0.6">
      <c r="C539" s="8" t="s">
        <v>53</v>
      </c>
      <c r="D539" s="8">
        <v>5</v>
      </c>
      <c r="E539" s="8">
        <v>5</v>
      </c>
      <c r="F539" s="8">
        <v>4</v>
      </c>
      <c r="G539" s="8">
        <v>4</v>
      </c>
      <c r="H539" s="8">
        <v>4</v>
      </c>
      <c r="I539" s="8">
        <v>3</v>
      </c>
      <c r="J539" s="8">
        <v>3</v>
      </c>
      <c r="K539" s="8">
        <v>2</v>
      </c>
      <c r="L539" s="8">
        <v>2</v>
      </c>
      <c r="M539" s="8">
        <v>2</v>
      </c>
      <c r="N539" s="8">
        <v>2</v>
      </c>
      <c r="O539" s="8">
        <v>2</v>
      </c>
      <c r="P539" s="8">
        <v>2</v>
      </c>
      <c r="Q539" s="8">
        <v>2</v>
      </c>
      <c r="R539" s="8">
        <v>2</v>
      </c>
      <c r="S539" s="8">
        <v>2</v>
      </c>
      <c r="T539" s="8">
        <v>2</v>
      </c>
      <c r="U539" s="8">
        <v>3</v>
      </c>
      <c r="V539" s="8">
        <v>3</v>
      </c>
      <c r="W539" s="8">
        <v>3</v>
      </c>
      <c r="X539" s="8">
        <v>3</v>
      </c>
    </row>
    <row r="541" spans="3:24" x14ac:dyDescent="0.6">
      <c r="C541" s="8" t="s">
        <v>54</v>
      </c>
      <c r="D541" s="8">
        <v>3</v>
      </c>
      <c r="E541" s="8">
        <v>3</v>
      </c>
      <c r="F541" s="8">
        <v>3</v>
      </c>
      <c r="G541" s="8">
        <v>3</v>
      </c>
      <c r="H541" s="8">
        <v>3</v>
      </c>
      <c r="I541" s="8">
        <v>3</v>
      </c>
      <c r="J541" s="8">
        <v>4</v>
      </c>
      <c r="K541" s="8">
        <v>4</v>
      </c>
      <c r="L541" s="8">
        <v>4</v>
      </c>
      <c r="M541" s="8">
        <v>4</v>
      </c>
      <c r="N541" s="8">
        <v>4</v>
      </c>
      <c r="O541" s="8">
        <v>4</v>
      </c>
      <c r="P541" s="8">
        <v>4</v>
      </c>
      <c r="Q541" s="8">
        <v>4</v>
      </c>
      <c r="R541" s="8">
        <v>4</v>
      </c>
      <c r="S541" s="8">
        <v>3</v>
      </c>
      <c r="T541" s="8">
        <v>3</v>
      </c>
      <c r="U541" s="8">
        <v>3</v>
      </c>
      <c r="V541" s="8">
        <v>3</v>
      </c>
      <c r="W541" s="8">
        <v>3</v>
      </c>
      <c r="X541" s="8">
        <v>3</v>
      </c>
    </row>
    <row r="543" spans="3:24" x14ac:dyDescent="0.6">
      <c r="C543" s="8" t="s">
        <v>53</v>
      </c>
      <c r="D543" s="8">
        <v>3</v>
      </c>
      <c r="E543" s="8">
        <v>3</v>
      </c>
      <c r="F543" s="8">
        <v>3</v>
      </c>
      <c r="G543" s="8">
        <v>3</v>
      </c>
      <c r="H543" s="8">
        <v>2</v>
      </c>
      <c r="I543" s="8">
        <v>2</v>
      </c>
      <c r="J543" s="8">
        <v>2</v>
      </c>
      <c r="K543" s="8">
        <v>2</v>
      </c>
      <c r="L543" s="8">
        <v>2</v>
      </c>
      <c r="M543" s="8">
        <v>2</v>
      </c>
      <c r="N543" s="8">
        <v>2</v>
      </c>
      <c r="O543" s="8">
        <v>2</v>
      </c>
      <c r="P543" s="8">
        <v>2</v>
      </c>
      <c r="Q543" s="8">
        <v>2</v>
      </c>
      <c r="R543" s="8">
        <v>2</v>
      </c>
      <c r="S543" s="8">
        <v>2</v>
      </c>
      <c r="T543" s="8">
        <v>2</v>
      </c>
      <c r="U543" s="8">
        <v>2</v>
      </c>
      <c r="V543" s="8">
        <v>2</v>
      </c>
      <c r="W543" s="8">
        <v>2</v>
      </c>
      <c r="X543" s="8">
        <v>2</v>
      </c>
    </row>
    <row r="545" spans="3:24" x14ac:dyDescent="0.6">
      <c r="C545" s="8" t="s">
        <v>54</v>
      </c>
      <c r="D545" s="8">
        <v>3</v>
      </c>
      <c r="E545" s="8">
        <v>3</v>
      </c>
      <c r="F545" s="8">
        <v>3</v>
      </c>
      <c r="G545" s="8">
        <v>3</v>
      </c>
      <c r="H545" s="8">
        <v>3</v>
      </c>
      <c r="I545" s="8">
        <v>3</v>
      </c>
      <c r="J545" s="8">
        <v>4</v>
      </c>
      <c r="K545" s="8">
        <v>4</v>
      </c>
      <c r="L545" s="8">
        <v>4</v>
      </c>
      <c r="M545" s="8">
        <v>4</v>
      </c>
      <c r="N545" s="8">
        <v>4</v>
      </c>
      <c r="O545" s="8">
        <v>4</v>
      </c>
      <c r="P545" s="8">
        <v>4</v>
      </c>
      <c r="Q545" s="8">
        <v>4</v>
      </c>
      <c r="R545" s="8">
        <v>4</v>
      </c>
      <c r="S545" s="8">
        <v>3</v>
      </c>
      <c r="T545" s="8">
        <v>3</v>
      </c>
      <c r="U545" s="8">
        <v>3</v>
      </c>
      <c r="V545" s="8">
        <v>3</v>
      </c>
      <c r="W545" s="8">
        <v>3</v>
      </c>
      <c r="X545" s="8">
        <v>3</v>
      </c>
    </row>
    <row r="547" spans="3:24" x14ac:dyDescent="0.6">
      <c r="C547" s="8" t="s">
        <v>53</v>
      </c>
      <c r="D547" s="8">
        <v>8</v>
      </c>
      <c r="E547" s="8">
        <v>8</v>
      </c>
      <c r="F547" s="8">
        <v>7</v>
      </c>
      <c r="G547" s="8">
        <v>6</v>
      </c>
      <c r="H547" s="8">
        <v>5</v>
      </c>
      <c r="I547" s="8">
        <v>5</v>
      </c>
      <c r="J547" s="8">
        <v>4</v>
      </c>
      <c r="K547" s="8">
        <v>3</v>
      </c>
      <c r="L547" s="8">
        <v>2</v>
      </c>
      <c r="M547" s="8">
        <v>2</v>
      </c>
      <c r="N547" s="8">
        <v>2</v>
      </c>
      <c r="O547" s="8">
        <v>2</v>
      </c>
      <c r="P547" s="8">
        <v>2</v>
      </c>
      <c r="Q547" s="8">
        <v>3</v>
      </c>
      <c r="R547" s="8">
        <v>4</v>
      </c>
      <c r="S547" s="8">
        <v>4</v>
      </c>
      <c r="T547" s="8">
        <v>5</v>
      </c>
      <c r="U547" s="8">
        <v>6</v>
      </c>
      <c r="V547" s="8">
        <v>7</v>
      </c>
      <c r="W547" s="8">
        <v>8</v>
      </c>
      <c r="X547" s="8">
        <v>8</v>
      </c>
    </row>
    <row r="549" spans="3:24" x14ac:dyDescent="0.6">
      <c r="C549" s="8" t="s">
        <v>54</v>
      </c>
      <c r="D549" s="8">
        <v>5</v>
      </c>
      <c r="E549" s="8">
        <v>5</v>
      </c>
      <c r="F549" s="8">
        <v>4</v>
      </c>
      <c r="G549" s="8">
        <v>4</v>
      </c>
      <c r="H549" s="8">
        <v>4</v>
      </c>
      <c r="I549" s="8">
        <v>5</v>
      </c>
      <c r="J549" s="8">
        <v>6</v>
      </c>
      <c r="K549" s="8">
        <v>6</v>
      </c>
      <c r="L549" s="8">
        <v>6</v>
      </c>
      <c r="M549" s="8">
        <v>6</v>
      </c>
      <c r="N549" s="8">
        <v>6</v>
      </c>
      <c r="O549" s="8">
        <v>6</v>
      </c>
      <c r="P549" s="8">
        <v>6</v>
      </c>
      <c r="Q549" s="8">
        <v>6</v>
      </c>
      <c r="R549" s="8">
        <v>6</v>
      </c>
      <c r="S549" s="8">
        <v>5</v>
      </c>
      <c r="T549" s="8">
        <v>4</v>
      </c>
      <c r="U549" s="8">
        <v>4</v>
      </c>
      <c r="V549" s="8">
        <v>4</v>
      </c>
      <c r="W549" s="8">
        <v>5</v>
      </c>
      <c r="X549" s="8">
        <v>5</v>
      </c>
    </row>
    <row r="551" spans="3:24" x14ac:dyDescent="0.6">
      <c r="C551" s="8" t="s">
        <v>53</v>
      </c>
      <c r="D551" s="8">
        <v>9</v>
      </c>
      <c r="E551" s="8">
        <v>9</v>
      </c>
      <c r="F551" s="8">
        <v>8</v>
      </c>
      <c r="G551" s="8">
        <v>7</v>
      </c>
      <c r="H551" s="8">
        <v>6</v>
      </c>
      <c r="I551" s="8">
        <v>5</v>
      </c>
      <c r="J551" s="8">
        <v>4</v>
      </c>
      <c r="K551" s="8">
        <v>3</v>
      </c>
      <c r="L551" s="8">
        <v>2</v>
      </c>
      <c r="M551" s="8">
        <v>2</v>
      </c>
      <c r="N551" s="8">
        <v>2</v>
      </c>
      <c r="O551" s="8">
        <v>2</v>
      </c>
      <c r="P551" s="8">
        <v>2</v>
      </c>
      <c r="Q551" s="8">
        <v>3</v>
      </c>
      <c r="R551" s="8">
        <v>4</v>
      </c>
      <c r="S551" s="8">
        <v>4</v>
      </c>
      <c r="T551" s="8">
        <v>5</v>
      </c>
      <c r="U551" s="8">
        <v>6</v>
      </c>
      <c r="V551" s="8">
        <v>7</v>
      </c>
      <c r="W551" s="8">
        <v>8</v>
      </c>
      <c r="X551" s="8">
        <v>8</v>
      </c>
    </row>
    <row r="553" spans="3:24" x14ac:dyDescent="0.6">
      <c r="C553" s="8" t="s">
        <v>54</v>
      </c>
      <c r="D553" s="8">
        <v>5</v>
      </c>
      <c r="E553" s="8">
        <v>5</v>
      </c>
      <c r="F553" s="8">
        <v>4</v>
      </c>
      <c r="G553" s="8">
        <v>4</v>
      </c>
      <c r="H553" s="8">
        <v>4</v>
      </c>
      <c r="I553" s="8">
        <v>5</v>
      </c>
      <c r="J553" s="8">
        <v>6</v>
      </c>
      <c r="K553" s="8">
        <v>6</v>
      </c>
      <c r="L553" s="8">
        <v>6</v>
      </c>
      <c r="M553" s="8">
        <v>6</v>
      </c>
      <c r="N553" s="8">
        <v>6</v>
      </c>
      <c r="O553" s="8">
        <v>6</v>
      </c>
      <c r="P553" s="8">
        <v>6</v>
      </c>
      <c r="Q553" s="8">
        <v>6</v>
      </c>
      <c r="R553" s="8">
        <v>6</v>
      </c>
      <c r="S553" s="8">
        <v>5</v>
      </c>
      <c r="T553" s="8">
        <v>4</v>
      </c>
      <c r="U553" s="8">
        <v>4</v>
      </c>
      <c r="V553" s="8">
        <v>4</v>
      </c>
      <c r="W553" s="8">
        <v>5</v>
      </c>
      <c r="X553" s="8">
        <v>5</v>
      </c>
    </row>
    <row r="555" spans="3:24" x14ac:dyDescent="0.6">
      <c r="C555" s="8" t="s">
        <v>53</v>
      </c>
      <c r="D555" s="8">
        <v>9</v>
      </c>
      <c r="E555" s="8">
        <v>9</v>
      </c>
      <c r="F555" s="8">
        <v>8</v>
      </c>
      <c r="G555" s="8">
        <v>7</v>
      </c>
      <c r="H555" s="8">
        <v>6</v>
      </c>
      <c r="I555" s="8">
        <v>5</v>
      </c>
      <c r="J555" s="8">
        <v>4</v>
      </c>
      <c r="K555" s="8">
        <v>3</v>
      </c>
      <c r="L555" s="8">
        <v>2</v>
      </c>
      <c r="M555" s="8">
        <v>2</v>
      </c>
      <c r="N555" s="8">
        <v>2</v>
      </c>
      <c r="O555" s="8">
        <v>2</v>
      </c>
      <c r="P555" s="8">
        <v>2</v>
      </c>
      <c r="Q555" s="8">
        <v>3</v>
      </c>
      <c r="R555" s="8">
        <v>4</v>
      </c>
      <c r="S555" s="8">
        <v>4</v>
      </c>
      <c r="T555" s="8">
        <v>5</v>
      </c>
      <c r="U555" s="8">
        <v>6</v>
      </c>
      <c r="V555" s="8">
        <v>7</v>
      </c>
      <c r="W555" s="8">
        <v>8</v>
      </c>
      <c r="X555" s="8">
        <v>8</v>
      </c>
    </row>
    <row r="557" spans="3:24" x14ac:dyDescent="0.6">
      <c r="C557" s="8" t="s">
        <v>54</v>
      </c>
      <c r="D557" s="8">
        <v>5</v>
      </c>
      <c r="E557" s="8">
        <v>5</v>
      </c>
      <c r="F557" s="8">
        <v>4</v>
      </c>
      <c r="G557" s="8">
        <v>4</v>
      </c>
      <c r="H557" s="8">
        <v>4</v>
      </c>
      <c r="I557" s="8">
        <v>5</v>
      </c>
      <c r="J557" s="8">
        <v>6</v>
      </c>
      <c r="K557" s="8">
        <v>6</v>
      </c>
      <c r="L557" s="8">
        <v>6</v>
      </c>
      <c r="M557" s="8">
        <v>6</v>
      </c>
      <c r="N557" s="8">
        <v>6</v>
      </c>
      <c r="O557" s="8">
        <v>6</v>
      </c>
      <c r="P557" s="8">
        <v>6</v>
      </c>
      <c r="Q557" s="8">
        <v>6</v>
      </c>
      <c r="R557" s="8">
        <v>6</v>
      </c>
      <c r="S557" s="8">
        <v>5</v>
      </c>
      <c r="T557" s="8">
        <v>4</v>
      </c>
      <c r="U557" s="8">
        <v>4</v>
      </c>
      <c r="V557" s="8">
        <v>4</v>
      </c>
      <c r="W557" s="8">
        <v>5</v>
      </c>
      <c r="X557" s="8">
        <v>5</v>
      </c>
    </row>
    <row r="559" spans="3:24" x14ac:dyDescent="0.6">
      <c r="C559" s="8" t="s">
        <v>53</v>
      </c>
      <c r="D559" s="8">
        <v>9</v>
      </c>
      <c r="E559" s="8">
        <v>9</v>
      </c>
      <c r="F559" s="8">
        <v>8</v>
      </c>
      <c r="G559" s="8">
        <v>7</v>
      </c>
      <c r="H559" s="8">
        <v>6</v>
      </c>
      <c r="I559" s="8">
        <v>5</v>
      </c>
      <c r="J559" s="8">
        <v>4</v>
      </c>
      <c r="K559" s="8">
        <v>3</v>
      </c>
      <c r="L559" s="8">
        <v>2</v>
      </c>
      <c r="M559" s="8">
        <v>2</v>
      </c>
      <c r="N559" s="8">
        <v>2</v>
      </c>
      <c r="O559" s="8">
        <v>2</v>
      </c>
      <c r="P559" s="8">
        <v>2</v>
      </c>
      <c r="Q559" s="8">
        <v>3</v>
      </c>
      <c r="R559" s="8">
        <v>4</v>
      </c>
      <c r="S559" s="8">
        <v>4</v>
      </c>
      <c r="T559" s="8">
        <v>5</v>
      </c>
      <c r="U559" s="8">
        <v>6</v>
      </c>
      <c r="V559" s="8">
        <v>7</v>
      </c>
      <c r="W559" s="8">
        <v>8</v>
      </c>
      <c r="X559" s="8">
        <v>8</v>
      </c>
    </row>
    <row r="561" spans="3:24" x14ac:dyDescent="0.6">
      <c r="C561" s="8" t="s">
        <v>54</v>
      </c>
      <c r="D561" s="8">
        <v>5</v>
      </c>
      <c r="E561" s="8">
        <v>5</v>
      </c>
      <c r="F561" s="8">
        <v>4</v>
      </c>
      <c r="G561" s="8">
        <v>4</v>
      </c>
      <c r="H561" s="8">
        <v>4</v>
      </c>
      <c r="I561" s="8">
        <v>5</v>
      </c>
      <c r="J561" s="8">
        <v>6</v>
      </c>
      <c r="K561" s="8">
        <v>6</v>
      </c>
      <c r="L561" s="8">
        <v>6</v>
      </c>
      <c r="M561" s="8">
        <v>6</v>
      </c>
      <c r="N561" s="8">
        <v>6</v>
      </c>
      <c r="O561" s="8">
        <v>6</v>
      </c>
      <c r="P561" s="8">
        <v>6</v>
      </c>
      <c r="Q561" s="8">
        <v>6</v>
      </c>
      <c r="R561" s="8">
        <v>6</v>
      </c>
      <c r="S561" s="8">
        <v>5</v>
      </c>
      <c r="T561" s="8">
        <v>4</v>
      </c>
      <c r="U561" s="8">
        <v>4</v>
      </c>
      <c r="V561" s="8">
        <v>4</v>
      </c>
      <c r="W561" s="8">
        <v>5</v>
      </c>
      <c r="X561" s="8">
        <v>5</v>
      </c>
    </row>
    <row r="563" spans="3:24" x14ac:dyDescent="0.6">
      <c r="C563" s="8" t="s">
        <v>53</v>
      </c>
      <c r="D563" s="8">
        <v>2</v>
      </c>
      <c r="E563" s="8">
        <v>2</v>
      </c>
      <c r="F563" s="8">
        <v>2</v>
      </c>
      <c r="G563" s="8">
        <v>2</v>
      </c>
      <c r="H563" s="8">
        <v>2</v>
      </c>
      <c r="I563" s="8">
        <v>2</v>
      </c>
      <c r="J563" s="8">
        <v>2</v>
      </c>
      <c r="K563" s="8">
        <v>2</v>
      </c>
      <c r="L563" s="8">
        <v>2</v>
      </c>
      <c r="M563" s="8">
        <v>2</v>
      </c>
      <c r="N563" s="8">
        <v>2</v>
      </c>
      <c r="O563" s="8">
        <v>2</v>
      </c>
      <c r="P563" s="8">
        <v>2</v>
      </c>
      <c r="Q563" s="8">
        <v>2</v>
      </c>
      <c r="R563" s="8">
        <v>2</v>
      </c>
      <c r="S563" s="8">
        <v>3</v>
      </c>
      <c r="T563" s="8">
        <v>3</v>
      </c>
      <c r="U563" s="8">
        <v>4</v>
      </c>
      <c r="V563" s="8">
        <v>4</v>
      </c>
      <c r="W563" s="8">
        <v>5</v>
      </c>
      <c r="X563" s="8">
        <v>5</v>
      </c>
    </row>
    <row r="565" spans="3:24" x14ac:dyDescent="0.6">
      <c r="C565" s="8" t="s">
        <v>54</v>
      </c>
      <c r="D565" s="8">
        <v>5</v>
      </c>
      <c r="E565" s="8">
        <v>5</v>
      </c>
      <c r="F565" s="8">
        <v>4</v>
      </c>
      <c r="G565" s="8">
        <v>4</v>
      </c>
      <c r="H565" s="8">
        <v>4</v>
      </c>
      <c r="I565" s="8">
        <v>5</v>
      </c>
      <c r="J565" s="8">
        <v>6</v>
      </c>
      <c r="K565" s="8">
        <v>6</v>
      </c>
      <c r="L565" s="8">
        <v>6</v>
      </c>
      <c r="M565" s="8">
        <v>6</v>
      </c>
      <c r="N565" s="8">
        <v>6</v>
      </c>
      <c r="O565" s="8">
        <v>6</v>
      </c>
      <c r="P565" s="8">
        <v>6</v>
      </c>
      <c r="Q565" s="8">
        <v>6</v>
      </c>
      <c r="R565" s="8">
        <v>6</v>
      </c>
      <c r="S565" s="8">
        <v>5</v>
      </c>
      <c r="T565" s="8">
        <v>4</v>
      </c>
      <c r="U565" s="8">
        <v>4</v>
      </c>
      <c r="V565" s="8">
        <v>4</v>
      </c>
      <c r="W565" s="8">
        <v>4</v>
      </c>
      <c r="X565" s="8">
        <v>4</v>
      </c>
    </row>
    <row r="567" spans="3:24" x14ac:dyDescent="0.6">
      <c r="C567" s="8" t="s">
        <v>53</v>
      </c>
      <c r="D567" s="8">
        <v>5</v>
      </c>
      <c r="E567" s="8">
        <v>5</v>
      </c>
      <c r="F567" s="8">
        <v>4</v>
      </c>
      <c r="G567" s="8">
        <v>4</v>
      </c>
      <c r="H567" s="8">
        <v>4</v>
      </c>
      <c r="I567" s="8">
        <v>3</v>
      </c>
      <c r="J567" s="8">
        <v>3</v>
      </c>
      <c r="K567" s="8">
        <v>2</v>
      </c>
      <c r="L567" s="8">
        <v>2</v>
      </c>
      <c r="M567" s="8">
        <v>2</v>
      </c>
      <c r="N567" s="8">
        <v>2</v>
      </c>
      <c r="O567" s="8">
        <v>2</v>
      </c>
      <c r="P567" s="8">
        <v>2</v>
      </c>
      <c r="Q567" s="8">
        <v>2</v>
      </c>
      <c r="R567" s="8">
        <v>2</v>
      </c>
      <c r="S567" s="8">
        <v>3</v>
      </c>
      <c r="T567" s="8">
        <v>3</v>
      </c>
      <c r="U567" s="8">
        <v>4</v>
      </c>
      <c r="V567" s="8">
        <v>4</v>
      </c>
      <c r="W567" s="8">
        <v>5</v>
      </c>
      <c r="X567" s="8">
        <v>5</v>
      </c>
    </row>
    <row r="569" spans="3:24" x14ac:dyDescent="0.6">
      <c r="C569" s="8" t="s">
        <v>54</v>
      </c>
      <c r="D569" s="8">
        <v>4</v>
      </c>
      <c r="E569" s="8">
        <v>4</v>
      </c>
      <c r="F569" s="8">
        <v>4</v>
      </c>
      <c r="G569" s="8">
        <v>3</v>
      </c>
      <c r="H569" s="8">
        <v>3</v>
      </c>
      <c r="I569" s="8">
        <v>3</v>
      </c>
      <c r="J569" s="8">
        <v>4</v>
      </c>
      <c r="K569" s="8">
        <v>4</v>
      </c>
      <c r="L569" s="8">
        <v>4</v>
      </c>
      <c r="M569" s="8">
        <v>4</v>
      </c>
      <c r="N569" s="8">
        <v>4</v>
      </c>
      <c r="O569" s="8">
        <v>4</v>
      </c>
      <c r="P569" s="8">
        <v>4</v>
      </c>
      <c r="Q569" s="8">
        <v>4</v>
      </c>
      <c r="R569" s="8">
        <v>4</v>
      </c>
      <c r="S569" s="8">
        <v>3</v>
      </c>
      <c r="T569" s="8">
        <v>3</v>
      </c>
      <c r="U569" s="8">
        <v>3</v>
      </c>
      <c r="V569" s="8">
        <v>3</v>
      </c>
      <c r="W569" s="8">
        <v>3</v>
      </c>
      <c r="X569" s="8">
        <v>3</v>
      </c>
    </row>
    <row r="571" spans="3:24" x14ac:dyDescent="0.6">
      <c r="C571" s="8" t="s">
        <v>53</v>
      </c>
      <c r="D571" s="8">
        <v>5</v>
      </c>
      <c r="E571" s="8">
        <v>5</v>
      </c>
      <c r="F571" s="8">
        <v>4</v>
      </c>
      <c r="G571" s="8">
        <v>4</v>
      </c>
      <c r="H571" s="8">
        <v>4</v>
      </c>
      <c r="I571" s="8">
        <v>3</v>
      </c>
      <c r="J571" s="8">
        <v>3</v>
      </c>
      <c r="K571" s="8">
        <v>2</v>
      </c>
      <c r="L571" s="8">
        <v>2</v>
      </c>
      <c r="M571" s="8">
        <v>2</v>
      </c>
      <c r="N571" s="8">
        <v>2</v>
      </c>
      <c r="O571" s="8">
        <v>2</v>
      </c>
      <c r="P571" s="8">
        <v>2</v>
      </c>
      <c r="Q571" s="8">
        <v>2</v>
      </c>
      <c r="R571" s="8">
        <v>2</v>
      </c>
      <c r="S571" s="8">
        <v>3</v>
      </c>
      <c r="T571" s="8">
        <v>3</v>
      </c>
      <c r="U571" s="8">
        <v>4</v>
      </c>
      <c r="V571" s="8">
        <v>4</v>
      </c>
      <c r="W571" s="8">
        <v>5</v>
      </c>
      <c r="X571" s="8">
        <v>5</v>
      </c>
    </row>
    <row r="573" spans="3:24" x14ac:dyDescent="0.6">
      <c r="C573" s="8" t="s">
        <v>54</v>
      </c>
      <c r="D573" s="8">
        <v>3</v>
      </c>
      <c r="E573" s="8">
        <v>3</v>
      </c>
      <c r="F573" s="8">
        <v>3</v>
      </c>
      <c r="G573" s="8">
        <v>3</v>
      </c>
      <c r="H573" s="8">
        <v>3</v>
      </c>
      <c r="I573" s="8">
        <v>3</v>
      </c>
      <c r="J573" s="8">
        <v>4</v>
      </c>
      <c r="K573" s="8">
        <v>4</v>
      </c>
      <c r="L573" s="8">
        <v>4</v>
      </c>
      <c r="M573" s="8">
        <v>4</v>
      </c>
      <c r="N573" s="8">
        <v>4</v>
      </c>
      <c r="O573" s="8">
        <v>4</v>
      </c>
      <c r="P573" s="8">
        <v>4</v>
      </c>
      <c r="Q573" s="8">
        <v>4</v>
      </c>
      <c r="R573" s="8">
        <v>4</v>
      </c>
      <c r="S573" s="8">
        <v>3</v>
      </c>
      <c r="T573" s="8">
        <v>3</v>
      </c>
      <c r="U573" s="8">
        <v>3</v>
      </c>
      <c r="V573" s="8">
        <v>3</v>
      </c>
      <c r="W573" s="8">
        <v>3</v>
      </c>
      <c r="X573" s="8">
        <v>3</v>
      </c>
    </row>
    <row r="575" spans="3:24" x14ac:dyDescent="0.6">
      <c r="C575" s="8" t="s">
        <v>53</v>
      </c>
      <c r="D575" s="8">
        <v>5</v>
      </c>
      <c r="E575" s="8">
        <v>5</v>
      </c>
      <c r="F575" s="8">
        <v>4</v>
      </c>
      <c r="G575" s="8">
        <v>4</v>
      </c>
      <c r="H575" s="8">
        <v>4</v>
      </c>
      <c r="I575" s="8">
        <v>3</v>
      </c>
      <c r="J575" s="8">
        <v>3</v>
      </c>
      <c r="K575" s="8">
        <v>2</v>
      </c>
      <c r="L575" s="8">
        <v>2</v>
      </c>
      <c r="M575" s="8">
        <v>2</v>
      </c>
      <c r="N575" s="8">
        <v>2</v>
      </c>
      <c r="O575" s="8">
        <v>2</v>
      </c>
      <c r="P575" s="8">
        <v>2</v>
      </c>
      <c r="Q575" s="8">
        <v>2</v>
      </c>
      <c r="R575" s="8">
        <v>2</v>
      </c>
      <c r="S575" s="8">
        <v>3</v>
      </c>
      <c r="T575" s="8">
        <v>3</v>
      </c>
      <c r="U575" s="8">
        <v>4</v>
      </c>
      <c r="V575" s="8">
        <v>4</v>
      </c>
      <c r="W575" s="8">
        <v>5</v>
      </c>
      <c r="X575" s="8">
        <v>5</v>
      </c>
    </row>
    <row r="577" spans="3:24" x14ac:dyDescent="0.6">
      <c r="C577" s="8" t="s">
        <v>54</v>
      </c>
      <c r="D577" s="8">
        <v>3</v>
      </c>
      <c r="E577" s="8">
        <v>3</v>
      </c>
      <c r="F577" s="8">
        <v>3</v>
      </c>
      <c r="G577" s="8">
        <v>3</v>
      </c>
      <c r="H577" s="8">
        <v>3</v>
      </c>
      <c r="I577" s="8">
        <v>3</v>
      </c>
      <c r="J577" s="8">
        <v>4</v>
      </c>
      <c r="K577" s="8">
        <v>4</v>
      </c>
      <c r="L577" s="8">
        <v>4</v>
      </c>
      <c r="M577" s="8">
        <v>4</v>
      </c>
      <c r="N577" s="8">
        <v>4</v>
      </c>
      <c r="O577" s="8">
        <v>4</v>
      </c>
      <c r="P577" s="8">
        <v>4</v>
      </c>
      <c r="Q577" s="8">
        <v>4</v>
      </c>
      <c r="R577" s="8">
        <v>4</v>
      </c>
      <c r="S577" s="8">
        <v>3</v>
      </c>
      <c r="T577" s="8">
        <v>3</v>
      </c>
      <c r="U577" s="8">
        <v>3</v>
      </c>
      <c r="V577" s="8">
        <v>3</v>
      </c>
      <c r="W577" s="8">
        <v>3</v>
      </c>
      <c r="X577" s="8">
        <v>3</v>
      </c>
    </row>
    <row r="579" spans="3:24" x14ac:dyDescent="0.6">
      <c r="C579" s="8" t="s">
        <v>53</v>
      </c>
      <c r="D579" s="8">
        <v>5</v>
      </c>
      <c r="E579" s="8">
        <v>5</v>
      </c>
      <c r="F579" s="8">
        <v>4</v>
      </c>
      <c r="G579" s="8">
        <v>4</v>
      </c>
      <c r="H579" s="8">
        <v>4</v>
      </c>
      <c r="I579" s="8">
        <v>3</v>
      </c>
      <c r="J579" s="8">
        <v>3</v>
      </c>
      <c r="K579" s="8">
        <v>2</v>
      </c>
      <c r="L579" s="8">
        <v>2</v>
      </c>
      <c r="M579" s="8">
        <v>2</v>
      </c>
      <c r="N579" s="8">
        <v>2</v>
      </c>
      <c r="O579" s="8">
        <v>2</v>
      </c>
      <c r="P579" s="8">
        <v>2</v>
      </c>
      <c r="Q579" s="8">
        <v>2</v>
      </c>
      <c r="R579" s="8">
        <v>2</v>
      </c>
      <c r="S579" s="8">
        <v>3</v>
      </c>
      <c r="T579" s="8">
        <v>3</v>
      </c>
      <c r="U579" s="8">
        <v>4</v>
      </c>
      <c r="V579" s="8">
        <v>4</v>
      </c>
      <c r="W579" s="8">
        <v>5</v>
      </c>
      <c r="X579" s="8">
        <v>5</v>
      </c>
    </row>
    <row r="581" spans="3:24" x14ac:dyDescent="0.6">
      <c r="C581" s="8" t="s">
        <v>54</v>
      </c>
      <c r="D581" s="8">
        <v>3</v>
      </c>
      <c r="E581" s="8">
        <v>3</v>
      </c>
      <c r="F581" s="8">
        <v>3</v>
      </c>
      <c r="G581" s="8">
        <v>3</v>
      </c>
      <c r="H581" s="8">
        <v>3</v>
      </c>
      <c r="I581" s="8">
        <v>3</v>
      </c>
      <c r="J581" s="8">
        <v>4</v>
      </c>
      <c r="K581" s="8">
        <v>4</v>
      </c>
      <c r="L581" s="8">
        <v>4</v>
      </c>
      <c r="M581" s="8">
        <v>4</v>
      </c>
      <c r="N581" s="8">
        <v>4</v>
      </c>
      <c r="O581" s="8">
        <v>4</v>
      </c>
      <c r="P581" s="8">
        <v>4</v>
      </c>
      <c r="Q581" s="8">
        <v>4</v>
      </c>
      <c r="R581" s="8">
        <v>4</v>
      </c>
      <c r="S581" s="8">
        <v>3</v>
      </c>
      <c r="T581" s="8">
        <v>3</v>
      </c>
      <c r="U581" s="8">
        <v>3</v>
      </c>
      <c r="V581" s="8">
        <v>3</v>
      </c>
      <c r="W581" s="8">
        <v>3</v>
      </c>
      <c r="X581" s="8">
        <v>3</v>
      </c>
    </row>
    <row r="583" spans="3:24" x14ac:dyDescent="0.6">
      <c r="C583" s="8" t="s">
        <v>53</v>
      </c>
      <c r="D583" s="8">
        <v>5</v>
      </c>
      <c r="E583" s="8">
        <v>5</v>
      </c>
      <c r="F583" s="8">
        <v>4</v>
      </c>
      <c r="G583" s="8">
        <v>4</v>
      </c>
      <c r="H583" s="8">
        <v>4</v>
      </c>
      <c r="I583" s="8">
        <v>3</v>
      </c>
      <c r="J583" s="8">
        <v>3</v>
      </c>
      <c r="K583" s="8">
        <v>2</v>
      </c>
      <c r="L583" s="8">
        <v>2</v>
      </c>
      <c r="M583" s="8">
        <v>2</v>
      </c>
      <c r="N583" s="8">
        <v>2</v>
      </c>
      <c r="O583" s="8">
        <v>2</v>
      </c>
      <c r="P583" s="8">
        <v>2</v>
      </c>
      <c r="Q583" s="8">
        <v>2</v>
      </c>
      <c r="R583" s="8">
        <v>2</v>
      </c>
      <c r="S583" s="8">
        <v>2</v>
      </c>
      <c r="T583" s="8">
        <v>2</v>
      </c>
      <c r="U583" s="8">
        <v>3</v>
      </c>
      <c r="V583" s="8">
        <v>3</v>
      </c>
      <c r="W583" s="8">
        <v>3</v>
      </c>
      <c r="X583" s="8">
        <v>3</v>
      </c>
    </row>
    <row r="585" spans="3:24" x14ac:dyDescent="0.6">
      <c r="C585" s="8" t="s">
        <v>54</v>
      </c>
      <c r="D585" s="8">
        <v>3</v>
      </c>
      <c r="E585" s="8">
        <v>3</v>
      </c>
      <c r="F585" s="8">
        <v>3</v>
      </c>
      <c r="G585" s="8">
        <v>3</v>
      </c>
      <c r="H585" s="8">
        <v>3</v>
      </c>
      <c r="I585" s="8">
        <v>3</v>
      </c>
      <c r="J585" s="8">
        <v>4</v>
      </c>
      <c r="K585" s="8">
        <v>4</v>
      </c>
      <c r="L585" s="8">
        <v>4</v>
      </c>
      <c r="M585" s="8">
        <v>4</v>
      </c>
      <c r="N585" s="8">
        <v>4</v>
      </c>
      <c r="O585" s="8">
        <v>4</v>
      </c>
      <c r="P585" s="8">
        <v>4</v>
      </c>
      <c r="Q585" s="8">
        <v>4</v>
      </c>
      <c r="R585" s="8">
        <v>4</v>
      </c>
      <c r="S585" s="8">
        <v>3</v>
      </c>
      <c r="T585" s="8">
        <v>3</v>
      </c>
      <c r="U585" s="8">
        <v>3</v>
      </c>
      <c r="V585" s="8">
        <v>3</v>
      </c>
      <c r="W585" s="8">
        <v>3</v>
      </c>
      <c r="X585" s="8">
        <v>3</v>
      </c>
    </row>
    <row r="587" spans="3:24" x14ac:dyDescent="0.6">
      <c r="C587" s="8" t="s">
        <v>53</v>
      </c>
      <c r="D587" s="8">
        <v>3</v>
      </c>
      <c r="E587" s="8">
        <v>3</v>
      </c>
      <c r="F587" s="8">
        <v>3</v>
      </c>
      <c r="G587" s="8">
        <v>3</v>
      </c>
      <c r="H587" s="8">
        <v>2</v>
      </c>
      <c r="I587" s="8">
        <v>2</v>
      </c>
      <c r="J587" s="8">
        <v>2</v>
      </c>
      <c r="K587" s="8">
        <v>2</v>
      </c>
      <c r="L587" s="8">
        <v>2</v>
      </c>
      <c r="M587" s="8">
        <v>2</v>
      </c>
      <c r="N587" s="8">
        <v>2</v>
      </c>
      <c r="O587" s="8">
        <v>2</v>
      </c>
      <c r="P587" s="8">
        <v>2</v>
      </c>
      <c r="Q587" s="8">
        <v>2</v>
      </c>
      <c r="R587" s="8">
        <v>2</v>
      </c>
      <c r="S587" s="8">
        <v>2</v>
      </c>
      <c r="T587" s="8">
        <v>2</v>
      </c>
      <c r="U587" s="8">
        <v>2</v>
      </c>
      <c r="V587" s="8">
        <v>2</v>
      </c>
      <c r="W587" s="8">
        <v>2</v>
      </c>
      <c r="X587" s="8">
        <v>2</v>
      </c>
    </row>
    <row r="589" spans="3:24" x14ac:dyDescent="0.6">
      <c r="C589" s="8" t="s">
        <v>54</v>
      </c>
      <c r="D589" s="8">
        <v>3</v>
      </c>
      <c r="E589" s="8">
        <v>3</v>
      </c>
      <c r="F589" s="8">
        <v>3</v>
      </c>
      <c r="G589" s="8">
        <v>3</v>
      </c>
      <c r="H589" s="8">
        <v>3</v>
      </c>
      <c r="I589" s="8">
        <v>3</v>
      </c>
      <c r="J589" s="8">
        <v>4</v>
      </c>
      <c r="K589" s="8">
        <v>4</v>
      </c>
      <c r="L589" s="8">
        <v>4</v>
      </c>
      <c r="M589" s="8">
        <v>4</v>
      </c>
      <c r="N589" s="8">
        <v>4</v>
      </c>
      <c r="O589" s="8">
        <v>4</v>
      </c>
      <c r="P589" s="8">
        <v>4</v>
      </c>
      <c r="Q589" s="8">
        <v>4</v>
      </c>
      <c r="R589" s="8">
        <v>4</v>
      </c>
      <c r="S589" s="8">
        <v>3</v>
      </c>
      <c r="T589" s="8">
        <v>3</v>
      </c>
      <c r="U589" s="8">
        <v>3</v>
      </c>
      <c r="V589" s="8">
        <v>3</v>
      </c>
      <c r="W589" s="8">
        <v>3</v>
      </c>
      <c r="X589" s="8">
        <v>3</v>
      </c>
    </row>
    <row r="591" spans="3:24" x14ac:dyDescent="0.6">
      <c r="C591" s="8" t="s">
        <v>53</v>
      </c>
      <c r="D591" s="8">
        <v>8</v>
      </c>
      <c r="E591" s="8">
        <v>8</v>
      </c>
      <c r="F591" s="8">
        <v>7</v>
      </c>
      <c r="G591" s="8">
        <v>6</v>
      </c>
      <c r="H591" s="8">
        <v>5</v>
      </c>
      <c r="I591" s="8">
        <v>5</v>
      </c>
      <c r="J591" s="8">
        <v>4</v>
      </c>
      <c r="K591" s="8">
        <v>3</v>
      </c>
      <c r="L591" s="8">
        <v>2</v>
      </c>
      <c r="M591" s="8">
        <v>2</v>
      </c>
      <c r="N591" s="8">
        <v>2</v>
      </c>
      <c r="O591" s="8">
        <v>2</v>
      </c>
      <c r="P591" s="8">
        <v>2</v>
      </c>
      <c r="Q591" s="8">
        <v>2</v>
      </c>
      <c r="R591" s="8">
        <v>2</v>
      </c>
      <c r="S591" s="8">
        <v>2</v>
      </c>
      <c r="T591" s="8">
        <v>2</v>
      </c>
      <c r="U591" s="8">
        <v>2</v>
      </c>
      <c r="V591" s="8">
        <v>2</v>
      </c>
      <c r="W591" s="8">
        <v>2</v>
      </c>
      <c r="X591" s="8">
        <v>2</v>
      </c>
    </row>
    <row r="593" spans="3:24" x14ac:dyDescent="0.6">
      <c r="C593" s="8" t="s">
        <v>54</v>
      </c>
      <c r="D593" s="8">
        <v>5</v>
      </c>
      <c r="E593" s="8">
        <v>5</v>
      </c>
      <c r="F593" s="8">
        <v>4</v>
      </c>
      <c r="G593" s="8">
        <v>4</v>
      </c>
      <c r="H593" s="8">
        <v>4</v>
      </c>
      <c r="I593" s="8">
        <v>4</v>
      </c>
      <c r="J593" s="8">
        <v>5</v>
      </c>
      <c r="K593" s="8">
        <v>5</v>
      </c>
      <c r="L593" s="8">
        <v>5</v>
      </c>
      <c r="M593" s="8">
        <v>5</v>
      </c>
      <c r="N593" s="8">
        <v>5</v>
      </c>
      <c r="O593" s="8">
        <v>5</v>
      </c>
      <c r="P593" s="8">
        <v>5</v>
      </c>
      <c r="Q593" s="8">
        <v>5</v>
      </c>
      <c r="R593" s="8">
        <v>5</v>
      </c>
      <c r="S593" s="8">
        <v>4</v>
      </c>
      <c r="T593" s="8">
        <v>4</v>
      </c>
      <c r="U593" s="8">
        <v>4</v>
      </c>
      <c r="V593" s="8">
        <v>4</v>
      </c>
      <c r="W593" s="8">
        <v>5</v>
      </c>
      <c r="X593" s="8">
        <v>5</v>
      </c>
    </row>
    <row r="595" spans="3:24" x14ac:dyDescent="0.6">
      <c r="C595" s="8" t="s">
        <v>53</v>
      </c>
      <c r="D595" s="8">
        <v>8</v>
      </c>
      <c r="E595" s="8">
        <v>8</v>
      </c>
      <c r="F595" s="8">
        <v>7</v>
      </c>
      <c r="G595" s="8">
        <v>6</v>
      </c>
      <c r="H595" s="8">
        <v>5</v>
      </c>
      <c r="I595" s="8">
        <v>5</v>
      </c>
      <c r="J595" s="8">
        <v>4</v>
      </c>
      <c r="K595" s="8">
        <v>3</v>
      </c>
      <c r="L595" s="8">
        <v>2</v>
      </c>
      <c r="M595" s="8">
        <v>2</v>
      </c>
      <c r="N595" s="8">
        <v>2</v>
      </c>
      <c r="O595" s="8">
        <v>2</v>
      </c>
      <c r="P595" s="8">
        <v>2</v>
      </c>
      <c r="Q595" s="8">
        <v>2</v>
      </c>
      <c r="R595" s="8">
        <v>2</v>
      </c>
      <c r="S595" s="8">
        <v>2</v>
      </c>
      <c r="T595" s="8">
        <v>2</v>
      </c>
      <c r="U595" s="8">
        <v>2</v>
      </c>
      <c r="V595" s="8">
        <v>2</v>
      </c>
      <c r="W595" s="8">
        <v>2</v>
      </c>
      <c r="X595" s="8">
        <v>2</v>
      </c>
    </row>
    <row r="597" spans="3:24" x14ac:dyDescent="0.6">
      <c r="C597" s="8" t="s">
        <v>54</v>
      </c>
      <c r="D597" s="8">
        <v>5</v>
      </c>
      <c r="E597" s="8">
        <v>5</v>
      </c>
      <c r="F597" s="8">
        <v>4</v>
      </c>
      <c r="G597" s="8">
        <v>4</v>
      </c>
      <c r="H597" s="8">
        <v>4</v>
      </c>
      <c r="I597" s="8">
        <v>4</v>
      </c>
      <c r="J597" s="8">
        <v>5</v>
      </c>
      <c r="K597" s="8">
        <v>5</v>
      </c>
      <c r="L597" s="8">
        <v>5</v>
      </c>
      <c r="M597" s="8">
        <v>5</v>
      </c>
      <c r="N597" s="8">
        <v>5</v>
      </c>
      <c r="O597" s="8">
        <v>5</v>
      </c>
      <c r="P597" s="8">
        <v>5</v>
      </c>
      <c r="Q597" s="8">
        <v>5</v>
      </c>
      <c r="R597" s="8">
        <v>5</v>
      </c>
      <c r="S597" s="8">
        <v>4</v>
      </c>
      <c r="T597" s="8">
        <v>4</v>
      </c>
      <c r="U597" s="8">
        <v>4</v>
      </c>
      <c r="V597" s="8">
        <v>4</v>
      </c>
      <c r="W597" s="8">
        <v>5</v>
      </c>
      <c r="X597" s="8">
        <v>5</v>
      </c>
    </row>
    <row r="599" spans="3:24" x14ac:dyDescent="0.6">
      <c r="C599" s="8" t="s">
        <v>53</v>
      </c>
      <c r="D599" s="8">
        <v>8</v>
      </c>
      <c r="E599" s="8">
        <v>8</v>
      </c>
      <c r="F599" s="8">
        <v>7</v>
      </c>
      <c r="G599" s="8">
        <v>6</v>
      </c>
      <c r="H599" s="8">
        <v>5</v>
      </c>
      <c r="I599" s="8">
        <v>5</v>
      </c>
      <c r="J599" s="8">
        <v>4</v>
      </c>
      <c r="K599" s="8">
        <v>3</v>
      </c>
      <c r="L599" s="8">
        <v>2</v>
      </c>
      <c r="M599" s="8">
        <v>2</v>
      </c>
      <c r="N599" s="8">
        <v>2</v>
      </c>
      <c r="O599" s="8">
        <v>2</v>
      </c>
      <c r="P599" s="8">
        <v>2</v>
      </c>
      <c r="Q599" s="8">
        <v>2</v>
      </c>
      <c r="R599" s="8">
        <v>2</v>
      </c>
      <c r="S599" s="8">
        <v>2</v>
      </c>
      <c r="T599" s="8">
        <v>2</v>
      </c>
      <c r="U599" s="8">
        <v>2</v>
      </c>
      <c r="V599" s="8">
        <v>2</v>
      </c>
      <c r="W599" s="8">
        <v>2</v>
      </c>
      <c r="X599" s="8">
        <v>2</v>
      </c>
    </row>
    <row r="601" spans="3:24" x14ac:dyDescent="0.6">
      <c r="C601" s="8" t="s">
        <v>54</v>
      </c>
      <c r="D601" s="8">
        <v>3</v>
      </c>
      <c r="E601" s="8">
        <v>3</v>
      </c>
      <c r="F601" s="8">
        <v>3</v>
      </c>
      <c r="G601" s="8">
        <v>3</v>
      </c>
      <c r="H601" s="8">
        <v>4</v>
      </c>
      <c r="I601" s="8">
        <v>4</v>
      </c>
      <c r="J601" s="8">
        <v>5</v>
      </c>
      <c r="K601" s="8">
        <v>5</v>
      </c>
      <c r="L601" s="8">
        <v>5</v>
      </c>
      <c r="M601" s="8">
        <v>5</v>
      </c>
      <c r="N601" s="8">
        <v>5</v>
      </c>
      <c r="O601" s="8">
        <v>5</v>
      </c>
      <c r="P601" s="8">
        <v>5</v>
      </c>
      <c r="Q601" s="8">
        <v>5</v>
      </c>
      <c r="R601" s="8">
        <v>5</v>
      </c>
      <c r="S601" s="8">
        <v>4</v>
      </c>
      <c r="T601" s="8">
        <v>4</v>
      </c>
      <c r="U601" s="8">
        <v>4</v>
      </c>
      <c r="V601" s="8">
        <v>4</v>
      </c>
      <c r="W601" s="8">
        <v>5</v>
      </c>
      <c r="X601" s="8">
        <v>5</v>
      </c>
    </row>
    <row r="603" spans="3:24" x14ac:dyDescent="0.6">
      <c r="C603" s="8" t="s">
        <v>53</v>
      </c>
      <c r="D603" s="8">
        <v>8</v>
      </c>
      <c r="E603" s="8">
        <v>8</v>
      </c>
      <c r="F603" s="8">
        <v>7</v>
      </c>
      <c r="G603" s="8">
        <v>6</v>
      </c>
      <c r="H603" s="8">
        <v>5</v>
      </c>
      <c r="I603" s="8">
        <v>5</v>
      </c>
      <c r="J603" s="8">
        <v>4</v>
      </c>
      <c r="K603" s="8">
        <v>3</v>
      </c>
      <c r="L603" s="8">
        <v>2</v>
      </c>
      <c r="M603" s="8">
        <v>2</v>
      </c>
      <c r="N603" s="8">
        <v>2</v>
      </c>
      <c r="O603" s="8">
        <v>2</v>
      </c>
      <c r="P603" s="8">
        <v>2</v>
      </c>
      <c r="Q603" s="8">
        <v>2</v>
      </c>
      <c r="R603" s="8">
        <v>2</v>
      </c>
      <c r="S603" s="8">
        <v>2</v>
      </c>
      <c r="T603" s="8">
        <v>2</v>
      </c>
      <c r="U603" s="8">
        <v>2</v>
      </c>
      <c r="V603" s="8">
        <v>2</v>
      </c>
      <c r="W603" s="8">
        <v>2</v>
      </c>
      <c r="X603" s="8">
        <v>2</v>
      </c>
    </row>
    <row r="605" spans="3:24" x14ac:dyDescent="0.6">
      <c r="C605" s="8" t="s">
        <v>54</v>
      </c>
      <c r="D605" s="8">
        <v>5</v>
      </c>
      <c r="E605" s="8">
        <v>5</v>
      </c>
      <c r="F605" s="8">
        <v>4</v>
      </c>
      <c r="G605" s="8">
        <v>4</v>
      </c>
      <c r="H605" s="8">
        <v>4</v>
      </c>
      <c r="I605" s="8">
        <v>4</v>
      </c>
      <c r="J605" s="8">
        <v>5</v>
      </c>
      <c r="K605" s="8">
        <v>5</v>
      </c>
      <c r="L605" s="8">
        <v>5</v>
      </c>
      <c r="M605" s="8">
        <v>5</v>
      </c>
      <c r="N605" s="8">
        <v>5</v>
      </c>
      <c r="O605" s="8">
        <v>5</v>
      </c>
      <c r="P605" s="8">
        <v>5</v>
      </c>
      <c r="Q605" s="8">
        <v>5</v>
      </c>
      <c r="R605" s="8">
        <v>5</v>
      </c>
      <c r="S605" s="8">
        <v>4</v>
      </c>
      <c r="T605" s="8">
        <v>4</v>
      </c>
      <c r="U605" s="8">
        <v>4</v>
      </c>
      <c r="V605" s="8">
        <v>4</v>
      </c>
      <c r="W605" s="8">
        <v>5</v>
      </c>
      <c r="X605" s="8">
        <v>5</v>
      </c>
    </row>
    <row r="607" spans="3:24" x14ac:dyDescent="0.6">
      <c r="C607" s="8" t="s">
        <v>53</v>
      </c>
      <c r="D607" s="8">
        <v>8</v>
      </c>
      <c r="E607" s="8">
        <v>8</v>
      </c>
      <c r="F607" s="8">
        <v>7</v>
      </c>
      <c r="G607" s="8">
        <v>6</v>
      </c>
      <c r="H607" s="8">
        <v>5</v>
      </c>
      <c r="I607" s="8">
        <v>5</v>
      </c>
      <c r="J607" s="8">
        <v>4</v>
      </c>
      <c r="K607" s="8">
        <v>3</v>
      </c>
      <c r="L607" s="8">
        <v>2</v>
      </c>
      <c r="M607" s="8">
        <v>2</v>
      </c>
      <c r="N607" s="8">
        <v>2</v>
      </c>
      <c r="O607" s="8">
        <v>2</v>
      </c>
      <c r="P607" s="8">
        <v>2</v>
      </c>
      <c r="Q607" s="8">
        <v>2</v>
      </c>
      <c r="R607" s="8">
        <v>2</v>
      </c>
      <c r="S607" s="8">
        <v>2</v>
      </c>
      <c r="T607" s="8">
        <v>2</v>
      </c>
      <c r="U607" s="8">
        <v>2</v>
      </c>
      <c r="V607" s="8">
        <v>2</v>
      </c>
      <c r="W607" s="8">
        <v>2</v>
      </c>
      <c r="X607" s="8">
        <v>2</v>
      </c>
    </row>
    <row r="609" spans="3:24" x14ac:dyDescent="0.6">
      <c r="C609" s="8" t="s">
        <v>54</v>
      </c>
      <c r="D609" s="8">
        <v>5</v>
      </c>
      <c r="E609" s="8">
        <v>5</v>
      </c>
      <c r="F609" s="8">
        <v>4</v>
      </c>
      <c r="G609" s="8">
        <v>4</v>
      </c>
      <c r="H609" s="8">
        <v>4</v>
      </c>
      <c r="I609" s="8">
        <v>4</v>
      </c>
      <c r="J609" s="8">
        <v>5</v>
      </c>
      <c r="K609" s="8">
        <v>5</v>
      </c>
      <c r="L609" s="8">
        <v>5</v>
      </c>
      <c r="M609" s="8">
        <v>5</v>
      </c>
      <c r="N609" s="8">
        <v>5</v>
      </c>
      <c r="O609" s="8">
        <v>5</v>
      </c>
      <c r="P609" s="8">
        <v>5</v>
      </c>
      <c r="Q609" s="8">
        <v>5</v>
      </c>
      <c r="R609" s="8">
        <v>5</v>
      </c>
      <c r="S609" s="8">
        <v>4</v>
      </c>
      <c r="T609" s="8">
        <v>4</v>
      </c>
      <c r="U609" s="8">
        <v>4</v>
      </c>
      <c r="V609" s="8">
        <v>4</v>
      </c>
      <c r="W609" s="8">
        <v>5</v>
      </c>
      <c r="X609" s="8">
        <v>5</v>
      </c>
    </row>
    <row r="611" spans="3:24" x14ac:dyDescent="0.6">
      <c r="C611" s="8" t="s">
        <v>53</v>
      </c>
      <c r="D611" s="8">
        <v>3</v>
      </c>
      <c r="E611" s="8">
        <v>3</v>
      </c>
      <c r="F611" s="8">
        <v>3</v>
      </c>
      <c r="G611" s="8">
        <v>3</v>
      </c>
      <c r="H611" s="8">
        <v>2</v>
      </c>
      <c r="I611" s="8">
        <v>2</v>
      </c>
      <c r="J611" s="8">
        <v>2</v>
      </c>
      <c r="K611" s="8">
        <v>2</v>
      </c>
      <c r="L611" s="8">
        <v>2</v>
      </c>
      <c r="M611" s="8">
        <v>2</v>
      </c>
      <c r="N611" s="8">
        <v>2</v>
      </c>
      <c r="O611" s="8">
        <v>2</v>
      </c>
      <c r="P611" s="8">
        <v>2</v>
      </c>
      <c r="Q611" s="8">
        <v>2</v>
      </c>
      <c r="R611" s="8">
        <v>3</v>
      </c>
      <c r="S611" s="8">
        <v>3</v>
      </c>
      <c r="T611" s="8">
        <v>4</v>
      </c>
      <c r="U611" s="8">
        <v>5</v>
      </c>
      <c r="V611" s="8">
        <v>5</v>
      </c>
      <c r="W611" s="8">
        <v>6</v>
      </c>
      <c r="X611" s="8">
        <v>6</v>
      </c>
    </row>
    <row r="613" spans="3:24" x14ac:dyDescent="0.6">
      <c r="C613" s="8" t="s">
        <v>54</v>
      </c>
      <c r="D613" s="8">
        <v>4</v>
      </c>
      <c r="E613" s="8">
        <v>4</v>
      </c>
      <c r="F613" s="8">
        <v>4</v>
      </c>
      <c r="G613" s="8">
        <v>3</v>
      </c>
      <c r="H613" s="8">
        <v>4</v>
      </c>
      <c r="I613" s="8">
        <v>4</v>
      </c>
      <c r="J613" s="8">
        <v>5</v>
      </c>
      <c r="K613" s="8">
        <v>5</v>
      </c>
      <c r="L613" s="8">
        <v>5</v>
      </c>
      <c r="M613" s="8">
        <v>5</v>
      </c>
      <c r="N613" s="8">
        <v>5</v>
      </c>
      <c r="O613" s="8">
        <v>5</v>
      </c>
      <c r="P613" s="8">
        <v>5</v>
      </c>
      <c r="Q613" s="8">
        <v>5</v>
      </c>
      <c r="R613" s="8">
        <v>5</v>
      </c>
      <c r="S613" s="8">
        <v>4</v>
      </c>
      <c r="T613" s="8">
        <v>4</v>
      </c>
      <c r="U613" s="8">
        <v>3</v>
      </c>
      <c r="V613" s="8">
        <v>3</v>
      </c>
      <c r="W613" s="8">
        <v>3</v>
      </c>
      <c r="X613" s="8">
        <v>3</v>
      </c>
    </row>
    <row r="615" spans="3:24" x14ac:dyDescent="0.6">
      <c r="C615" s="8" t="s">
        <v>53</v>
      </c>
      <c r="D615" s="8">
        <v>6</v>
      </c>
      <c r="E615" s="8">
        <v>6</v>
      </c>
      <c r="F615" s="8">
        <v>5</v>
      </c>
      <c r="G615" s="8">
        <v>5</v>
      </c>
      <c r="H615" s="8">
        <v>4</v>
      </c>
      <c r="I615" s="8">
        <v>4</v>
      </c>
      <c r="J615" s="8">
        <v>3</v>
      </c>
      <c r="K615" s="8">
        <v>2</v>
      </c>
      <c r="L615" s="8">
        <v>2</v>
      </c>
      <c r="M615" s="8">
        <v>2</v>
      </c>
      <c r="N615" s="8">
        <v>2</v>
      </c>
      <c r="O615" s="8">
        <v>2</v>
      </c>
      <c r="P615" s="8">
        <v>2</v>
      </c>
      <c r="Q615" s="8">
        <v>2</v>
      </c>
      <c r="R615" s="8">
        <v>2</v>
      </c>
      <c r="S615" s="8">
        <v>3</v>
      </c>
      <c r="T615" s="8">
        <v>3</v>
      </c>
      <c r="U615" s="8">
        <v>4</v>
      </c>
      <c r="V615" s="8">
        <v>4</v>
      </c>
      <c r="W615" s="8">
        <v>5</v>
      </c>
      <c r="X615" s="8">
        <v>5</v>
      </c>
    </row>
    <row r="617" spans="3:24" x14ac:dyDescent="0.6">
      <c r="C617" s="8" t="s">
        <v>54</v>
      </c>
      <c r="D617" s="8">
        <v>3</v>
      </c>
      <c r="E617" s="8">
        <v>3</v>
      </c>
      <c r="F617" s="8">
        <v>3</v>
      </c>
      <c r="G617" s="8">
        <v>3</v>
      </c>
      <c r="H617" s="8">
        <v>3</v>
      </c>
      <c r="I617" s="8">
        <v>3</v>
      </c>
      <c r="J617" s="8">
        <v>4</v>
      </c>
      <c r="K617" s="8">
        <v>4</v>
      </c>
      <c r="L617" s="8">
        <v>4</v>
      </c>
      <c r="M617" s="8">
        <v>4</v>
      </c>
      <c r="N617" s="8">
        <v>4</v>
      </c>
      <c r="O617" s="8">
        <v>4</v>
      </c>
      <c r="P617" s="8">
        <v>4</v>
      </c>
      <c r="Q617" s="8">
        <v>4</v>
      </c>
      <c r="R617" s="8">
        <v>4</v>
      </c>
      <c r="S617" s="8">
        <v>3</v>
      </c>
      <c r="T617" s="8">
        <v>3</v>
      </c>
      <c r="U617" s="8">
        <v>3</v>
      </c>
      <c r="V617" s="8">
        <v>3</v>
      </c>
      <c r="W617" s="8">
        <v>3</v>
      </c>
      <c r="X617" s="8">
        <v>3</v>
      </c>
    </row>
    <row r="619" spans="3:24" x14ac:dyDescent="0.6">
      <c r="C619" s="8" t="s">
        <v>53</v>
      </c>
      <c r="D619" s="8">
        <v>5</v>
      </c>
      <c r="E619" s="8">
        <v>5</v>
      </c>
      <c r="F619" s="8">
        <v>4</v>
      </c>
      <c r="G619" s="8">
        <v>4</v>
      </c>
      <c r="H619" s="8">
        <v>4</v>
      </c>
      <c r="I619" s="8">
        <v>3</v>
      </c>
      <c r="J619" s="8">
        <v>3</v>
      </c>
      <c r="K619" s="8">
        <v>2</v>
      </c>
      <c r="L619" s="8">
        <v>2</v>
      </c>
      <c r="M619" s="8">
        <v>2</v>
      </c>
      <c r="N619" s="8">
        <v>2</v>
      </c>
      <c r="O619" s="8">
        <v>2</v>
      </c>
      <c r="P619" s="8">
        <v>2</v>
      </c>
      <c r="Q619" s="8">
        <v>2</v>
      </c>
      <c r="R619" s="8">
        <v>2</v>
      </c>
      <c r="S619" s="8">
        <v>3</v>
      </c>
      <c r="T619" s="8">
        <v>3</v>
      </c>
      <c r="U619" s="8">
        <v>4</v>
      </c>
      <c r="V619" s="8">
        <v>4</v>
      </c>
      <c r="W619" s="8">
        <v>5</v>
      </c>
      <c r="X619" s="8">
        <v>5</v>
      </c>
    </row>
    <row r="621" spans="3:24" x14ac:dyDescent="0.6">
      <c r="C621" s="8" t="s">
        <v>54</v>
      </c>
      <c r="D621" s="8">
        <v>3</v>
      </c>
      <c r="E621" s="8">
        <v>3</v>
      </c>
      <c r="F621" s="8">
        <v>3</v>
      </c>
      <c r="G621" s="8">
        <v>3</v>
      </c>
      <c r="H621" s="8">
        <v>4</v>
      </c>
      <c r="I621" s="8">
        <v>4</v>
      </c>
      <c r="J621" s="8">
        <v>5</v>
      </c>
      <c r="K621" s="8">
        <v>5</v>
      </c>
      <c r="L621" s="8">
        <v>5</v>
      </c>
      <c r="M621" s="8">
        <v>5</v>
      </c>
      <c r="N621" s="8">
        <v>5</v>
      </c>
      <c r="O621" s="8">
        <v>5</v>
      </c>
      <c r="P621" s="8">
        <v>5</v>
      </c>
      <c r="Q621" s="8">
        <v>5</v>
      </c>
      <c r="R621" s="8">
        <v>5</v>
      </c>
      <c r="S621" s="8">
        <v>4</v>
      </c>
      <c r="T621" s="8">
        <v>4</v>
      </c>
      <c r="U621" s="8">
        <v>3</v>
      </c>
      <c r="V621" s="8">
        <v>3</v>
      </c>
      <c r="W621" s="8">
        <v>3</v>
      </c>
      <c r="X621" s="8">
        <v>3</v>
      </c>
    </row>
    <row r="623" spans="3:24" x14ac:dyDescent="0.6">
      <c r="C623" s="8" t="s">
        <v>53</v>
      </c>
      <c r="D623" s="8">
        <v>5</v>
      </c>
      <c r="E623" s="8">
        <v>5</v>
      </c>
      <c r="F623" s="8">
        <v>4</v>
      </c>
      <c r="G623" s="8">
        <v>4</v>
      </c>
      <c r="H623" s="8">
        <v>4</v>
      </c>
      <c r="I623" s="8">
        <v>3</v>
      </c>
      <c r="J623" s="8">
        <v>3</v>
      </c>
      <c r="K623" s="8">
        <v>2</v>
      </c>
      <c r="L623" s="8">
        <v>2</v>
      </c>
      <c r="M623" s="8">
        <v>2</v>
      </c>
      <c r="N623" s="8">
        <v>2</v>
      </c>
      <c r="O623" s="8">
        <v>2</v>
      </c>
      <c r="P623" s="8">
        <v>2</v>
      </c>
      <c r="Q623" s="8">
        <v>2</v>
      </c>
      <c r="R623" s="8">
        <v>3</v>
      </c>
      <c r="S623" s="8">
        <v>3</v>
      </c>
      <c r="T623" s="8">
        <v>4</v>
      </c>
      <c r="U623" s="8">
        <v>5</v>
      </c>
      <c r="V623" s="8">
        <v>5</v>
      </c>
      <c r="W623" s="8">
        <v>6</v>
      </c>
      <c r="X623" s="8">
        <v>6</v>
      </c>
    </row>
    <row r="625" spans="3:24" x14ac:dyDescent="0.6">
      <c r="C625" s="8" t="s">
        <v>54</v>
      </c>
      <c r="D625" s="8">
        <v>3</v>
      </c>
      <c r="E625" s="8">
        <v>3</v>
      </c>
      <c r="F625" s="8">
        <v>3</v>
      </c>
      <c r="G625" s="8">
        <v>3</v>
      </c>
      <c r="H625" s="8">
        <v>3</v>
      </c>
      <c r="I625" s="8">
        <v>3</v>
      </c>
      <c r="J625" s="8">
        <v>4</v>
      </c>
      <c r="K625" s="8">
        <v>4</v>
      </c>
      <c r="L625" s="8">
        <v>4</v>
      </c>
      <c r="M625" s="8">
        <v>4</v>
      </c>
      <c r="N625" s="8">
        <v>4</v>
      </c>
      <c r="O625" s="8">
        <v>4</v>
      </c>
      <c r="P625" s="8">
        <v>4</v>
      </c>
      <c r="Q625" s="8">
        <v>4</v>
      </c>
      <c r="R625" s="8">
        <v>4</v>
      </c>
      <c r="S625" s="8">
        <v>3</v>
      </c>
      <c r="T625" s="8">
        <v>3</v>
      </c>
      <c r="U625" s="8">
        <v>3</v>
      </c>
      <c r="V625" s="8">
        <v>3</v>
      </c>
      <c r="W625" s="8">
        <v>3</v>
      </c>
      <c r="X625" s="8">
        <v>3</v>
      </c>
    </row>
    <row r="627" spans="3:24" x14ac:dyDescent="0.6">
      <c r="C627" s="8" t="s">
        <v>53</v>
      </c>
      <c r="D627" s="8">
        <v>6</v>
      </c>
      <c r="E627" s="8">
        <v>6</v>
      </c>
      <c r="F627" s="8">
        <v>5</v>
      </c>
      <c r="G627" s="8">
        <v>5</v>
      </c>
      <c r="H627" s="8">
        <v>4</v>
      </c>
      <c r="I627" s="8">
        <v>4</v>
      </c>
      <c r="J627" s="8">
        <v>3</v>
      </c>
      <c r="K627" s="8">
        <v>2</v>
      </c>
      <c r="L627" s="8">
        <v>2</v>
      </c>
      <c r="M627" s="8">
        <v>2</v>
      </c>
      <c r="N627" s="8">
        <v>2</v>
      </c>
      <c r="O627" s="8">
        <v>2</v>
      </c>
      <c r="P627" s="8">
        <v>2</v>
      </c>
      <c r="Q627" s="8">
        <v>2</v>
      </c>
      <c r="R627" s="8">
        <v>2</v>
      </c>
      <c r="S627" s="8">
        <v>2</v>
      </c>
      <c r="T627" s="8">
        <v>3</v>
      </c>
      <c r="U627" s="8">
        <v>3</v>
      </c>
      <c r="V627" s="8">
        <v>4</v>
      </c>
      <c r="W627" s="8">
        <v>4</v>
      </c>
      <c r="X627" s="8">
        <v>4</v>
      </c>
    </row>
    <row r="629" spans="3:24" x14ac:dyDescent="0.6">
      <c r="C629" s="8" t="s">
        <v>54</v>
      </c>
      <c r="D629" s="8">
        <v>3</v>
      </c>
      <c r="E629" s="8">
        <v>3</v>
      </c>
      <c r="F629" s="8">
        <v>3</v>
      </c>
      <c r="G629" s="8">
        <v>3</v>
      </c>
      <c r="H629" s="8">
        <v>3</v>
      </c>
      <c r="I629" s="8">
        <v>3</v>
      </c>
      <c r="J629" s="8">
        <v>4</v>
      </c>
      <c r="K629" s="8">
        <v>4</v>
      </c>
      <c r="L629" s="8">
        <v>4</v>
      </c>
      <c r="M629" s="8">
        <v>4</v>
      </c>
      <c r="N629" s="8">
        <v>4</v>
      </c>
      <c r="O629" s="8">
        <v>4</v>
      </c>
      <c r="P629" s="8">
        <v>4</v>
      </c>
      <c r="Q629" s="8">
        <v>4</v>
      </c>
      <c r="R629" s="8">
        <v>4</v>
      </c>
      <c r="S629" s="8">
        <v>3</v>
      </c>
      <c r="T629" s="8">
        <v>3</v>
      </c>
      <c r="U629" s="8">
        <v>3</v>
      </c>
      <c r="V629" s="8">
        <v>3</v>
      </c>
      <c r="W629" s="8">
        <v>3</v>
      </c>
      <c r="X629" s="8">
        <v>3</v>
      </c>
    </row>
    <row r="631" spans="3:24" x14ac:dyDescent="0.6">
      <c r="C631" s="8" t="s">
        <v>53</v>
      </c>
      <c r="D631" s="8">
        <v>4</v>
      </c>
      <c r="E631" s="8">
        <v>4</v>
      </c>
      <c r="F631" s="8">
        <v>4</v>
      </c>
      <c r="G631" s="8">
        <v>3</v>
      </c>
      <c r="H631" s="8">
        <v>3</v>
      </c>
      <c r="I631" s="8">
        <v>3</v>
      </c>
      <c r="J631" s="8">
        <v>2</v>
      </c>
      <c r="K631" s="8">
        <v>2</v>
      </c>
      <c r="L631" s="8">
        <v>2</v>
      </c>
      <c r="M631" s="8">
        <v>2</v>
      </c>
      <c r="N631" s="8">
        <v>2</v>
      </c>
      <c r="O631" s="8">
        <v>2</v>
      </c>
      <c r="P631" s="8">
        <v>2</v>
      </c>
      <c r="Q631" s="8">
        <v>2</v>
      </c>
      <c r="R631" s="8">
        <v>2</v>
      </c>
      <c r="S631" s="8">
        <v>2</v>
      </c>
      <c r="T631" s="8">
        <v>2</v>
      </c>
      <c r="U631" s="8">
        <v>2</v>
      </c>
      <c r="V631" s="8">
        <v>2</v>
      </c>
      <c r="W631" s="8">
        <v>2</v>
      </c>
      <c r="X631" s="8">
        <v>2</v>
      </c>
    </row>
    <row r="633" spans="3:24" x14ac:dyDescent="0.6">
      <c r="C633" s="8" t="s">
        <v>54</v>
      </c>
      <c r="D633" s="8">
        <v>3</v>
      </c>
      <c r="E633" s="8">
        <v>3</v>
      </c>
      <c r="F633" s="8">
        <v>3</v>
      </c>
      <c r="G633" s="8">
        <v>3</v>
      </c>
      <c r="H633" s="8">
        <v>2</v>
      </c>
      <c r="I633" s="8">
        <v>3</v>
      </c>
      <c r="J633" s="8">
        <v>3</v>
      </c>
      <c r="K633" s="8">
        <v>3</v>
      </c>
      <c r="L633" s="8">
        <v>3</v>
      </c>
      <c r="M633" s="8">
        <v>3</v>
      </c>
      <c r="N633" s="8">
        <v>3</v>
      </c>
      <c r="O633" s="8">
        <v>3</v>
      </c>
      <c r="P633" s="8">
        <v>3</v>
      </c>
      <c r="Q633" s="8">
        <v>3</v>
      </c>
      <c r="R633" s="8">
        <v>3</v>
      </c>
      <c r="S633" s="8">
        <v>3</v>
      </c>
      <c r="T633" s="8">
        <v>2</v>
      </c>
      <c r="U633" s="8">
        <v>3</v>
      </c>
      <c r="V633" s="8">
        <v>3</v>
      </c>
      <c r="W633" s="8">
        <v>3</v>
      </c>
      <c r="X633" s="8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rgb="FF00B050"/>
  </sheetPr>
  <dimension ref="B2:C15"/>
  <sheetViews>
    <sheetView workbookViewId="0">
      <selection activeCell="B8" sqref="B8"/>
    </sheetView>
  </sheetViews>
  <sheetFormatPr defaultColWidth="8.68359375" defaultRowHeight="15.6" x14ac:dyDescent="0.6"/>
  <cols>
    <col min="1" max="1" width="8.68359375" style="1"/>
    <col min="2" max="2" width="13.68359375" style="1" customWidth="1"/>
    <col min="3" max="16384" width="8.68359375" style="1"/>
  </cols>
  <sheetData>
    <row r="2" spans="2:3" x14ac:dyDescent="0.6">
      <c r="B2" s="1" t="s">
        <v>0</v>
      </c>
      <c r="C2" s="23" t="s">
        <v>5</v>
      </c>
    </row>
    <row r="3" spans="2:3" x14ac:dyDescent="0.6">
      <c r="B3" s="1" t="s">
        <v>1</v>
      </c>
      <c r="C3" s="5">
        <v>1</v>
      </c>
    </row>
    <row r="4" spans="2:3" x14ac:dyDescent="0.6">
      <c r="B4" s="1" t="s">
        <v>2</v>
      </c>
      <c r="C4" s="5">
        <v>1</v>
      </c>
    </row>
    <row r="5" spans="2:3" x14ac:dyDescent="0.6">
      <c r="C5" s="1" t="s">
        <v>3</v>
      </c>
    </row>
    <row r="6" spans="2:3" x14ac:dyDescent="0.6">
      <c r="B6" s="2" t="s">
        <v>4</v>
      </c>
    </row>
    <row r="7" spans="2:3" s="7" customFormat="1" ht="15.9" thickBot="1" x14ac:dyDescent="0.65"/>
    <row r="8" spans="2:3" ht="15.9" thickTop="1" x14ac:dyDescent="0.6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6">
      <c r="B10" s="3"/>
    </row>
    <row r="11" spans="2:3" s="6" customFormat="1" ht="15.9" thickBot="1" x14ac:dyDescent="0.65"/>
    <row r="12" spans="2:3" s="4" customFormat="1" ht="15.9" thickTop="1" x14ac:dyDescent="0.6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6"/>
    <row r="14" spans="2:3" s="4" customFormat="1" x14ac:dyDescent="0.6">
      <c r="B14" s="3"/>
    </row>
    <row r="15" spans="2:3" s="4" customFormat="1" x14ac:dyDescent="0.6">
      <c r="B15" s="3"/>
    </row>
  </sheetData>
  <phoneticPr fontId="2" type="noConversion"/>
  <hyperlinks>
    <hyperlink ref="B6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="150" zoomScaleNormal="150" workbookViewId="0">
      <selection activeCell="K17" sqref="K15:K17"/>
    </sheetView>
  </sheetViews>
  <sheetFormatPr defaultColWidth="9" defaultRowHeight="15.6" x14ac:dyDescent="0.6"/>
  <cols>
    <col min="1" max="1" width="13" style="30" bestFit="1" customWidth="1"/>
    <col min="2" max="2" width="14.15625" style="30" bestFit="1" customWidth="1"/>
    <col min="3" max="3" width="9.68359375" style="30" bestFit="1" customWidth="1"/>
    <col min="4" max="12" width="5.47265625" style="30" bestFit="1" customWidth="1"/>
    <col min="13" max="16384" width="9" style="30"/>
  </cols>
  <sheetData>
    <row r="1" spans="1:12" x14ac:dyDescent="0.6">
      <c r="A1" s="46" t="s">
        <v>171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6">
      <c r="A2" s="38" t="s">
        <v>172</v>
      </c>
      <c r="B2" s="38"/>
      <c r="C2" s="38" t="s">
        <v>173</v>
      </c>
      <c r="D2" s="38" t="s">
        <v>174</v>
      </c>
      <c r="E2" s="38"/>
      <c r="F2" s="38"/>
      <c r="G2" s="38"/>
      <c r="H2" s="38"/>
      <c r="I2" s="38"/>
      <c r="J2" s="38"/>
      <c r="K2" s="38"/>
      <c r="L2" s="38"/>
    </row>
    <row r="3" spans="1:12" ht="18" x14ac:dyDescent="0.6">
      <c r="A3" s="31" t="s">
        <v>175</v>
      </c>
      <c r="B3" s="31" t="s">
        <v>176</v>
      </c>
      <c r="C3" s="38"/>
      <c r="D3" s="32">
        <v>10</v>
      </c>
      <c r="E3" s="32">
        <v>13</v>
      </c>
      <c r="F3" s="32">
        <v>16</v>
      </c>
      <c r="G3" s="32">
        <v>19</v>
      </c>
      <c r="H3" s="32">
        <v>22</v>
      </c>
      <c r="I3" s="32">
        <v>25</v>
      </c>
      <c r="J3" s="32">
        <v>29</v>
      </c>
      <c r="K3" s="32">
        <v>32</v>
      </c>
      <c r="L3" s="32">
        <v>36</v>
      </c>
    </row>
    <row r="4" spans="1:12" x14ac:dyDescent="0.6">
      <c r="A4" s="38">
        <v>210</v>
      </c>
      <c r="B4" s="39" t="s">
        <v>177</v>
      </c>
      <c r="C4" s="31" t="s">
        <v>178</v>
      </c>
      <c r="D4" s="33">
        <f>0.28*2800/SQRT($A4)*D$3/10*1.3*0.8</f>
        <v>56.265185446538219</v>
      </c>
      <c r="E4" s="33">
        <f t="shared" ref="E4:G4" si="0">0.28*2800/SQRT($A4)*E$3/10*1.3*0.8</f>
        <v>73.144741080499671</v>
      </c>
      <c r="F4" s="33">
        <f t="shared" si="0"/>
        <v>90.02429671446113</v>
      </c>
      <c r="G4" s="33">
        <f t="shared" si="0"/>
        <v>106.90385234842262</v>
      </c>
      <c r="H4" s="33">
        <f t="shared" ref="H4:L4" si="1">0.28*2800/SQRT($A4)*H$3/10*1.3</f>
        <v>154.72925997798006</v>
      </c>
      <c r="I4" s="33">
        <f t="shared" si="1"/>
        <v>175.82870452043193</v>
      </c>
      <c r="J4" s="33">
        <f t="shared" si="1"/>
        <v>203.96129724370098</v>
      </c>
      <c r="K4" s="33">
        <f t="shared" si="1"/>
        <v>225.06074178615282</v>
      </c>
      <c r="L4" s="33">
        <f t="shared" si="1"/>
        <v>253.19333450942196</v>
      </c>
    </row>
    <row r="5" spans="1:12" x14ac:dyDescent="0.6">
      <c r="A5" s="38"/>
      <c r="B5" s="38"/>
      <c r="C5" s="31" t="s">
        <v>179</v>
      </c>
      <c r="D5" s="33">
        <f>0.28*2800/SQRT($A4)*D$3/10*0.8</f>
        <v>43.280911881952477</v>
      </c>
      <c r="E5" s="33">
        <f t="shared" ref="E5:G5" si="2">0.28*2800/SQRT($A4)*E$3/10*0.8</f>
        <v>56.265185446538204</v>
      </c>
      <c r="F5" s="33">
        <f t="shared" si="2"/>
        <v>69.249459011123946</v>
      </c>
      <c r="G5" s="33">
        <f t="shared" si="2"/>
        <v>82.233732575709695</v>
      </c>
      <c r="H5" s="33">
        <f t="shared" ref="H5:L5" si="3">0.28*2800/SQRT($A4)*H$3/10</f>
        <v>119.02250767536927</v>
      </c>
      <c r="I5" s="33">
        <f t="shared" si="3"/>
        <v>135.25284963110147</v>
      </c>
      <c r="J5" s="33">
        <f t="shared" si="3"/>
        <v>156.89330557207768</v>
      </c>
      <c r="K5" s="33">
        <f t="shared" si="3"/>
        <v>173.12364752780985</v>
      </c>
      <c r="L5" s="33">
        <f t="shared" si="3"/>
        <v>194.76410346878612</v>
      </c>
    </row>
    <row r="6" spans="1:12" x14ac:dyDescent="0.6">
      <c r="A6" s="38"/>
      <c r="B6" s="39" t="s">
        <v>180</v>
      </c>
      <c r="C6" s="31" t="s">
        <v>178</v>
      </c>
      <c r="D6" s="33">
        <f>0.28*4200/SQRT($A4)*D$3/10*1.3*0.8</f>
        <v>84.397778169807296</v>
      </c>
      <c r="E6" s="33">
        <f t="shared" ref="E6:G6" si="4">0.28*4200/SQRT($A4)*E$3/10*1.3*0.8</f>
        <v>109.71711162074949</v>
      </c>
      <c r="F6" s="33">
        <f t="shared" si="4"/>
        <v>135.03644507169167</v>
      </c>
      <c r="G6" s="33">
        <f t="shared" si="4"/>
        <v>160.35577852263387</v>
      </c>
      <c r="H6" s="33">
        <f t="shared" ref="H6:L6" si="5">0.28*4200/SQRT($A4)*H$3/10*1.3</f>
        <v>232.09388996697007</v>
      </c>
      <c r="I6" s="33">
        <f t="shared" si="5"/>
        <v>263.74305678064781</v>
      </c>
      <c r="J6" s="33">
        <f t="shared" si="5"/>
        <v>305.94194586555142</v>
      </c>
      <c r="K6" s="33">
        <f t="shared" si="5"/>
        <v>337.59111267922918</v>
      </c>
      <c r="L6" s="33">
        <f t="shared" si="5"/>
        <v>379.79000176413285</v>
      </c>
    </row>
    <row r="7" spans="1:12" x14ac:dyDescent="0.6">
      <c r="A7" s="38"/>
      <c r="B7" s="39"/>
      <c r="C7" s="31" t="s">
        <v>179</v>
      </c>
      <c r="D7" s="33">
        <f>0.28*4200/SQRT($A4)*D$3/10*0.8</f>
        <v>64.921367822928687</v>
      </c>
      <c r="E7" s="33">
        <f t="shared" ref="E7:G7" si="6">0.28*4200/SQRT($A4)*E$3/10*0.8</f>
        <v>84.397778169807296</v>
      </c>
      <c r="F7" s="33">
        <f t="shared" si="6"/>
        <v>103.8741885166859</v>
      </c>
      <c r="G7" s="33">
        <f t="shared" si="6"/>
        <v>123.35059886356451</v>
      </c>
      <c r="H7" s="33">
        <f t="shared" ref="H7:L7" si="7">0.28*4200/SQRT($A4)*H$3/10</f>
        <v>178.53376151305389</v>
      </c>
      <c r="I7" s="33">
        <f t="shared" si="7"/>
        <v>202.87927444665215</v>
      </c>
      <c r="J7" s="33">
        <f t="shared" si="7"/>
        <v>235.33995835811646</v>
      </c>
      <c r="K7" s="33">
        <f t="shared" si="7"/>
        <v>259.68547129171475</v>
      </c>
      <c r="L7" s="33">
        <f t="shared" si="7"/>
        <v>292.14615520317909</v>
      </c>
    </row>
    <row r="8" spans="1:12" x14ac:dyDescent="0.6">
      <c r="A8" s="38">
        <v>245</v>
      </c>
      <c r="B8" s="39" t="s">
        <v>177</v>
      </c>
      <c r="C8" s="31" t="s">
        <v>178</v>
      </c>
      <c r="D8" s="33">
        <f>0.28*2800/SQRT($A8)*D$3/10*1.3*0.8</f>
        <v>52.091439603835113</v>
      </c>
      <c r="E8" s="33">
        <f t="shared" ref="E8:G8" si="8">0.28*2800/SQRT($A8)*E$3/10*1.3*0.8</f>
        <v>67.718871484985627</v>
      </c>
      <c r="F8" s="33">
        <f t="shared" si="8"/>
        <v>83.346303366136183</v>
      </c>
      <c r="G8" s="33">
        <f t="shared" si="8"/>
        <v>98.973735247286712</v>
      </c>
      <c r="H8" s="33">
        <f t="shared" ref="H8:L8" si="9">0.28*2800/SQRT($A8)*H$3/10*1.3</f>
        <v>143.25145891054655</v>
      </c>
      <c r="I8" s="33">
        <f t="shared" si="9"/>
        <v>162.78574876198471</v>
      </c>
      <c r="J8" s="33">
        <f t="shared" si="9"/>
        <v>188.83146856390226</v>
      </c>
      <c r="K8" s="33">
        <f t="shared" si="9"/>
        <v>208.36575841534045</v>
      </c>
      <c r="L8" s="33">
        <f t="shared" si="9"/>
        <v>234.41147821725798</v>
      </c>
    </row>
    <row r="9" spans="1:12" x14ac:dyDescent="0.6">
      <c r="A9" s="38"/>
      <c r="B9" s="38"/>
      <c r="C9" s="31" t="s">
        <v>179</v>
      </c>
      <c r="D9" s="33">
        <f>0.28*2800/SQRT($A8)*D$3/10*0.8</f>
        <v>40.07033815679624</v>
      </c>
      <c r="E9" s="33">
        <f t="shared" ref="E9:G9" si="10">0.28*2800/SQRT($A8)*E$3/10*0.8</f>
        <v>52.091439603835106</v>
      </c>
      <c r="F9" s="33">
        <f t="shared" si="10"/>
        <v>64.112541050873986</v>
      </c>
      <c r="G9" s="33">
        <f t="shared" si="10"/>
        <v>76.133642497912859</v>
      </c>
      <c r="H9" s="33">
        <f t="shared" ref="H9:L9" si="11">0.28*2800/SQRT($A8)*H$3/10</f>
        <v>110.19342993118964</v>
      </c>
      <c r="I9" s="33">
        <f t="shared" si="11"/>
        <v>125.21980673998823</v>
      </c>
      <c r="J9" s="33">
        <f t="shared" si="11"/>
        <v>145.25497581838636</v>
      </c>
      <c r="K9" s="33">
        <f t="shared" si="11"/>
        <v>160.28135262718496</v>
      </c>
      <c r="L9" s="33">
        <f t="shared" si="11"/>
        <v>180.31652170558306</v>
      </c>
    </row>
    <row r="10" spans="1:12" x14ac:dyDescent="0.6">
      <c r="A10" s="38"/>
      <c r="B10" s="39" t="s">
        <v>180</v>
      </c>
      <c r="C10" s="31" t="s">
        <v>178</v>
      </c>
      <c r="D10" s="33">
        <f>0.28*4200/SQRT($A8)*D$3/10*1.3*0.8</f>
        <v>78.137159405752641</v>
      </c>
      <c r="E10" s="33">
        <f t="shared" ref="E10:G10" si="12">0.28*4200/SQRT($A8)*E$3/10*1.3*0.8</f>
        <v>101.57830722747843</v>
      </c>
      <c r="F10" s="33">
        <f t="shared" si="12"/>
        <v>125.01945504920423</v>
      </c>
      <c r="G10" s="33">
        <f t="shared" si="12"/>
        <v>148.46060287093005</v>
      </c>
      <c r="H10" s="33">
        <f t="shared" ref="H10:L10" si="13">0.28*4200/SQRT($A8)*H$3/10*1.3</f>
        <v>214.87718836581976</v>
      </c>
      <c r="I10" s="33">
        <f t="shared" si="13"/>
        <v>244.17862314297699</v>
      </c>
      <c r="J10" s="33">
        <f t="shared" si="13"/>
        <v>283.24720284585334</v>
      </c>
      <c r="K10" s="33">
        <f t="shared" si="13"/>
        <v>312.54863762301056</v>
      </c>
      <c r="L10" s="33">
        <f t="shared" si="13"/>
        <v>351.61721732588694</v>
      </c>
    </row>
    <row r="11" spans="1:12" x14ac:dyDescent="0.6">
      <c r="A11" s="38"/>
      <c r="B11" s="39"/>
      <c r="C11" s="31" t="s">
        <v>179</v>
      </c>
      <c r="D11" s="33">
        <f>0.28*4200/SQRT($A8)*D$3/10*0.8</f>
        <v>60.105507235194345</v>
      </c>
      <c r="E11" s="33">
        <f t="shared" ref="E11:G11" si="14">0.28*4200/SQRT($A8)*E$3/10*0.8</f>
        <v>78.137159405752641</v>
      </c>
      <c r="F11" s="33">
        <f t="shared" si="14"/>
        <v>96.168811576310944</v>
      </c>
      <c r="G11" s="33">
        <f t="shared" si="14"/>
        <v>114.20046374686925</v>
      </c>
      <c r="H11" s="33">
        <f t="shared" ref="H11:L11" si="15">0.28*4200/SQRT($A8)*H$3/10</f>
        <v>165.29014489678443</v>
      </c>
      <c r="I11" s="33">
        <f t="shared" si="15"/>
        <v>187.8297101099823</v>
      </c>
      <c r="J11" s="33">
        <f t="shared" si="15"/>
        <v>217.88246372757948</v>
      </c>
      <c r="K11" s="33">
        <f t="shared" si="15"/>
        <v>240.42202894077735</v>
      </c>
      <c r="L11" s="33">
        <f t="shared" si="15"/>
        <v>270.47478255837456</v>
      </c>
    </row>
    <row r="12" spans="1:12" x14ac:dyDescent="0.6">
      <c r="A12" s="38">
        <v>280</v>
      </c>
      <c r="B12" s="39" t="s">
        <v>177</v>
      </c>
      <c r="C12" s="31" t="s">
        <v>178</v>
      </c>
      <c r="D12" s="33">
        <f>0.28*2800/SQRT($A12)*D$3/10*1.3*0.8</f>
        <v>48.72707994534457</v>
      </c>
      <c r="E12" s="33">
        <f t="shared" ref="E12:G12" si="16">0.28*2800/SQRT($A12)*E$3/10*1.3*0.8</f>
        <v>63.345203928947939</v>
      </c>
      <c r="F12" s="33">
        <f t="shared" si="16"/>
        <v>77.963327912551321</v>
      </c>
      <c r="G12" s="33">
        <f t="shared" si="16"/>
        <v>92.58145189615469</v>
      </c>
      <c r="H12" s="33">
        <f t="shared" ref="H12:L12" si="17">0.28*2800/SQRT($A12)*H$3/10*1.3</f>
        <v>133.99946984969756</v>
      </c>
      <c r="I12" s="33">
        <f t="shared" si="17"/>
        <v>152.27212482920177</v>
      </c>
      <c r="J12" s="33">
        <f t="shared" si="17"/>
        <v>176.6356648018741</v>
      </c>
      <c r="K12" s="33">
        <f t="shared" si="17"/>
        <v>194.90831978137828</v>
      </c>
      <c r="L12" s="33">
        <f t="shared" si="17"/>
        <v>219.27185975405058</v>
      </c>
    </row>
    <row r="13" spans="1:12" x14ac:dyDescent="0.6">
      <c r="A13" s="38"/>
      <c r="B13" s="38"/>
      <c r="C13" s="31" t="s">
        <v>179</v>
      </c>
      <c r="D13" s="33">
        <f>0.28*2800/SQRT($A12)*D$3/10*0.8</f>
        <v>37.482369188726594</v>
      </c>
      <c r="E13" s="33">
        <f t="shared" ref="E13:G13" si="18">0.28*2800/SQRT($A12)*E$3/10*0.8</f>
        <v>48.72707994534457</v>
      </c>
      <c r="F13" s="33">
        <f t="shared" si="18"/>
        <v>59.971790701962554</v>
      </c>
      <c r="G13" s="33">
        <f t="shared" si="18"/>
        <v>71.216501458580524</v>
      </c>
      <c r="H13" s="33">
        <f t="shared" ref="H13:L13" si="19">0.28*2800/SQRT($A12)*H$3/10</f>
        <v>103.07651526899812</v>
      </c>
      <c r="I13" s="33">
        <f t="shared" si="19"/>
        <v>117.13240371477059</v>
      </c>
      <c r="J13" s="33">
        <f t="shared" si="19"/>
        <v>135.87358830913391</v>
      </c>
      <c r="K13" s="33">
        <f t="shared" si="19"/>
        <v>149.92947675490637</v>
      </c>
      <c r="L13" s="33">
        <f t="shared" si="19"/>
        <v>168.67066134926966</v>
      </c>
    </row>
    <row r="14" spans="1:12" x14ac:dyDescent="0.6">
      <c r="A14" s="38"/>
      <c r="B14" s="39" t="s">
        <v>180</v>
      </c>
      <c r="C14" s="31" t="s">
        <v>178</v>
      </c>
      <c r="D14" s="33">
        <f>0.28*4200/SQRT($A12)*D$3/10*1.3*0.8</f>
        <v>73.090619918016856</v>
      </c>
      <c r="E14" s="33">
        <f t="shared" ref="E14:G14" si="20">0.28*4200/SQRT($A12)*E$3/10*1.3*0.8</f>
        <v>95.017805893421894</v>
      </c>
      <c r="F14" s="33">
        <f t="shared" si="20"/>
        <v>116.94499186882697</v>
      </c>
      <c r="G14" s="33">
        <f t="shared" si="20"/>
        <v>138.87217784423203</v>
      </c>
      <c r="H14" s="33">
        <f t="shared" ref="H14:L14" si="21">0.28*4200/SQRT($A12)*H$3/10*1.3</f>
        <v>200.99920477454631</v>
      </c>
      <c r="I14" s="33">
        <f t="shared" si="21"/>
        <v>228.40818724380264</v>
      </c>
      <c r="J14" s="33">
        <f t="shared" si="21"/>
        <v>264.95349720281109</v>
      </c>
      <c r="K14" s="33">
        <f t="shared" si="21"/>
        <v>292.36247967206742</v>
      </c>
      <c r="L14" s="33">
        <f t="shared" si="21"/>
        <v>328.90778963107579</v>
      </c>
    </row>
    <row r="15" spans="1:12" x14ac:dyDescent="0.6">
      <c r="A15" s="38"/>
      <c r="B15" s="39"/>
      <c r="C15" s="31" t="s">
        <v>179</v>
      </c>
      <c r="D15" s="33">
        <f>0.28*4200/SQRT($A12)*D$3/10*0.8</f>
        <v>56.223553783089883</v>
      </c>
      <c r="E15" s="33">
        <f t="shared" ref="E15:G15" si="22">0.28*4200/SQRT($A12)*E$3/10*0.8</f>
        <v>73.090619918016841</v>
      </c>
      <c r="F15" s="33">
        <f t="shared" si="22"/>
        <v>89.957686052943814</v>
      </c>
      <c r="G15" s="33">
        <f t="shared" si="22"/>
        <v>106.82475218787079</v>
      </c>
      <c r="H15" s="33">
        <f t="shared" ref="H15:L15" si="23">0.28*4200/SQRT($A12)*H$3/10</f>
        <v>154.61477290349717</v>
      </c>
      <c r="I15" s="33">
        <f t="shared" si="23"/>
        <v>175.69860557215588</v>
      </c>
      <c r="J15" s="33">
        <f t="shared" si="23"/>
        <v>203.81038246370082</v>
      </c>
      <c r="K15" s="33">
        <f t="shared" si="23"/>
        <v>224.89421513235953</v>
      </c>
      <c r="L15" s="33">
        <f t="shared" si="23"/>
        <v>253.00599202390444</v>
      </c>
    </row>
    <row r="16" spans="1:12" x14ac:dyDescent="0.6">
      <c r="A16" s="38">
        <v>350</v>
      </c>
      <c r="B16" s="39" t="s">
        <v>177</v>
      </c>
      <c r="C16" s="31" t="s">
        <v>178</v>
      </c>
      <c r="D16" s="33">
        <f>0.28*2800/SQRT($A16)*D$3/10*1.3*0.8</f>
        <v>43.582825241142878</v>
      </c>
      <c r="E16" s="33">
        <f t="shared" ref="E16:G16" si="24">0.28*2800/SQRT($A16)*E$3/10*1.3*0.8</f>
        <v>56.657672813485739</v>
      </c>
      <c r="F16" s="33">
        <f t="shared" si="24"/>
        <v>69.732520385828607</v>
      </c>
      <c r="G16" s="33">
        <f t="shared" si="24"/>
        <v>82.807367958171469</v>
      </c>
      <c r="H16" s="33">
        <f t="shared" ref="H16:L16" si="25">0.28*2800/SQRT($A16)*H$3/10*1.3</f>
        <v>119.85276941314292</v>
      </c>
      <c r="I16" s="33">
        <f t="shared" si="25"/>
        <v>136.19632887857151</v>
      </c>
      <c r="J16" s="33">
        <f t="shared" si="25"/>
        <v>157.98774149914291</v>
      </c>
      <c r="K16" s="33">
        <f t="shared" si="25"/>
        <v>174.33130096457151</v>
      </c>
      <c r="L16" s="33">
        <f t="shared" si="25"/>
        <v>196.12271358514292</v>
      </c>
    </row>
    <row r="17" spans="1:12" x14ac:dyDescent="0.6">
      <c r="A17" s="38"/>
      <c r="B17" s="38"/>
      <c r="C17" s="31" t="s">
        <v>179</v>
      </c>
      <c r="D17" s="33">
        <f>0.28*2800/SQRT($A16)*D$3/10*0.8</f>
        <v>33.525250185494521</v>
      </c>
      <c r="E17" s="33">
        <f t="shared" ref="E17:G17" si="26">0.28*2800/SQRT($A16)*E$3/10*0.8</f>
        <v>43.582825241142871</v>
      </c>
      <c r="F17" s="33">
        <f t="shared" si="26"/>
        <v>53.640400296791235</v>
      </c>
      <c r="G17" s="33">
        <f t="shared" si="26"/>
        <v>63.697975352439585</v>
      </c>
      <c r="H17" s="33">
        <f t="shared" ref="H17:L17" si="27">0.28*2800/SQRT($A16)*H$3/10</f>
        <v>92.194438010109934</v>
      </c>
      <c r="I17" s="33">
        <f t="shared" si="27"/>
        <v>104.76640682967039</v>
      </c>
      <c r="J17" s="33">
        <f t="shared" si="27"/>
        <v>121.52903192241763</v>
      </c>
      <c r="K17" s="33">
        <f t="shared" si="27"/>
        <v>134.10100074197808</v>
      </c>
      <c r="L17" s="33">
        <f t="shared" si="27"/>
        <v>150.86362583472533</v>
      </c>
    </row>
    <row r="18" spans="1:12" x14ac:dyDescent="0.6">
      <c r="A18" s="38"/>
      <c r="B18" s="39" t="s">
        <v>180</v>
      </c>
      <c r="C18" s="31" t="s">
        <v>178</v>
      </c>
      <c r="D18" s="33">
        <f>0.28*4200/SQRT($A16)*D$3/10*1.3*0.8</f>
        <v>65.37423786171432</v>
      </c>
      <c r="E18" s="33">
        <f t="shared" ref="E18:G18" si="28">0.28*4200/SQRT($A16)*E$3/10*1.3*0.8</f>
        <v>84.986509220228598</v>
      </c>
      <c r="F18" s="33">
        <f t="shared" si="28"/>
        <v>104.59878057874289</v>
      </c>
      <c r="G18" s="33">
        <f t="shared" si="28"/>
        <v>124.21105193725717</v>
      </c>
      <c r="H18" s="33">
        <f t="shared" ref="H18:L18" si="29">0.28*4200/SQRT($A16)*H$3/10*1.3</f>
        <v>179.77915411971429</v>
      </c>
      <c r="I18" s="33">
        <f t="shared" si="29"/>
        <v>204.29449331785716</v>
      </c>
      <c r="J18" s="33">
        <f t="shared" si="29"/>
        <v>236.98161224871436</v>
      </c>
      <c r="K18" s="33">
        <f t="shared" si="29"/>
        <v>261.49695144685722</v>
      </c>
      <c r="L18" s="33">
        <f t="shared" si="29"/>
        <v>294.18407037771436</v>
      </c>
    </row>
    <row r="19" spans="1:12" x14ac:dyDescent="0.6">
      <c r="A19" s="38"/>
      <c r="B19" s="39"/>
      <c r="C19" s="31" t="s">
        <v>179</v>
      </c>
      <c r="D19" s="33">
        <f>0.28*4200/SQRT($A16)*D$3/10*0.8</f>
        <v>50.287875278241778</v>
      </c>
      <c r="E19" s="33">
        <f t="shared" ref="E19:G19" si="30">0.28*4200/SQRT($A16)*E$3/10*0.8</f>
        <v>65.374237861714306</v>
      </c>
      <c r="F19" s="33">
        <f t="shared" si="30"/>
        <v>80.460600445186842</v>
      </c>
      <c r="G19" s="33">
        <f t="shared" si="30"/>
        <v>95.546963028659363</v>
      </c>
      <c r="H19" s="33">
        <f t="shared" ref="H19:L19" si="31">0.28*4200/SQRT($A16)*H$3/10</f>
        <v>138.29165701516484</v>
      </c>
      <c r="I19" s="33">
        <f t="shared" si="31"/>
        <v>157.14961024450551</v>
      </c>
      <c r="J19" s="33">
        <f t="shared" si="31"/>
        <v>182.29354788362642</v>
      </c>
      <c r="K19" s="33">
        <f t="shared" si="31"/>
        <v>201.15150111296708</v>
      </c>
      <c r="L19" s="33">
        <f t="shared" si="31"/>
        <v>226.29543875208796</v>
      </c>
    </row>
    <row r="20" spans="1:12" x14ac:dyDescent="0.6">
      <c r="A20" s="38">
        <v>420</v>
      </c>
      <c r="B20" s="39" t="s">
        <v>177</v>
      </c>
      <c r="C20" s="31" t="s">
        <v>178</v>
      </c>
      <c r="D20" s="33">
        <f>0.28*2800/SQRT($A20)*D$3/10*1.3*0.8</f>
        <v>39.785494173965816</v>
      </c>
      <c r="E20" s="33">
        <f t="shared" ref="E20:G20" si="32">0.28*2800/SQRT($A20)*E$3/10*1.3*0.8</f>
        <v>51.721142426155552</v>
      </c>
      <c r="F20" s="33">
        <f t="shared" si="32"/>
        <v>63.656790678345295</v>
      </c>
      <c r="G20" s="33">
        <f t="shared" si="32"/>
        <v>75.592438930535039</v>
      </c>
      <c r="H20" s="33">
        <f t="shared" ref="H20:L20" si="33">0.28*2800/SQRT($A20)*H$3/10*1.3</f>
        <v>109.41010897840597</v>
      </c>
      <c r="I20" s="33">
        <f t="shared" si="33"/>
        <v>124.32966929364315</v>
      </c>
      <c r="J20" s="33">
        <f t="shared" si="33"/>
        <v>144.22241638062607</v>
      </c>
      <c r="K20" s="33">
        <f t="shared" si="33"/>
        <v>159.14197669586324</v>
      </c>
      <c r="L20" s="33">
        <f t="shared" si="33"/>
        <v>179.03472378284616</v>
      </c>
    </row>
    <row r="21" spans="1:12" x14ac:dyDescent="0.6">
      <c r="A21" s="38"/>
      <c r="B21" s="38"/>
      <c r="C21" s="31" t="s">
        <v>179</v>
      </c>
      <c r="D21" s="33">
        <f>0.28*2800/SQRT($A20)*D$3/10*0.8</f>
        <v>30.604226287666009</v>
      </c>
      <c r="E21" s="33">
        <f t="shared" ref="E21:G21" si="34">0.28*2800/SQRT($A20)*E$3/10*0.8</f>
        <v>39.785494173965816</v>
      </c>
      <c r="F21" s="33">
        <f t="shared" si="34"/>
        <v>48.966762060265609</v>
      </c>
      <c r="G21" s="33">
        <f t="shared" si="34"/>
        <v>58.148029946565408</v>
      </c>
      <c r="H21" s="33">
        <f t="shared" ref="H21:L21" si="35">0.28*2800/SQRT($A20)*H$3/10</f>
        <v>84.161622291081514</v>
      </c>
      <c r="I21" s="33">
        <f t="shared" si="35"/>
        <v>95.638207148956269</v>
      </c>
      <c r="J21" s="33">
        <f t="shared" si="35"/>
        <v>110.94032029278928</v>
      </c>
      <c r="K21" s="33">
        <f t="shared" si="35"/>
        <v>122.41690515066402</v>
      </c>
      <c r="L21" s="33">
        <f t="shared" si="35"/>
        <v>137.71901829449703</v>
      </c>
    </row>
    <row r="22" spans="1:12" x14ac:dyDescent="0.6">
      <c r="A22" s="38"/>
      <c r="B22" s="39" t="s">
        <v>180</v>
      </c>
      <c r="C22" s="31" t="s">
        <v>178</v>
      </c>
      <c r="D22" s="33">
        <f>0.28*4200/SQRT($A20)*D$3/10*1.3*0.8</f>
        <v>59.678241260948703</v>
      </c>
      <c r="E22" s="33">
        <f t="shared" ref="E22:G22" si="36">0.28*4200/SQRT($A20)*E$3/10*1.3*0.8</f>
        <v>77.581713639233328</v>
      </c>
      <c r="F22" s="33">
        <f t="shared" si="36"/>
        <v>95.485186017517947</v>
      </c>
      <c r="G22" s="33">
        <f t="shared" si="36"/>
        <v>113.38865839580254</v>
      </c>
      <c r="H22" s="33">
        <f t="shared" ref="H22:L22" si="37">0.28*4200/SQRT($A20)*H$3/10*1.3</f>
        <v>164.11516346760894</v>
      </c>
      <c r="I22" s="33">
        <f t="shared" si="37"/>
        <v>186.49450394046468</v>
      </c>
      <c r="J22" s="33">
        <f t="shared" si="37"/>
        <v>216.33362457093907</v>
      </c>
      <c r="K22" s="33">
        <f t="shared" si="37"/>
        <v>238.71296504379484</v>
      </c>
      <c r="L22" s="33">
        <f t="shared" si="37"/>
        <v>268.55208567426916</v>
      </c>
    </row>
    <row r="23" spans="1:12" x14ac:dyDescent="0.6">
      <c r="A23" s="38"/>
      <c r="B23" s="39"/>
      <c r="C23" s="31" t="s">
        <v>179</v>
      </c>
      <c r="D23" s="33">
        <f>0.28*4200/SQRT($A20)*D$3/10*0.8</f>
        <v>45.906339431498999</v>
      </c>
      <c r="E23" s="33">
        <f t="shared" ref="E23:G23" si="38">0.28*4200/SQRT($A20)*E$3/10*0.8</f>
        <v>59.67824126094871</v>
      </c>
      <c r="F23" s="33">
        <f t="shared" si="38"/>
        <v>73.450143090398413</v>
      </c>
      <c r="G23" s="33">
        <f t="shared" si="38"/>
        <v>87.222044919848102</v>
      </c>
      <c r="H23" s="33">
        <f t="shared" ref="H23:L23" si="39">0.28*4200/SQRT($A20)*H$3/10</f>
        <v>126.24243343662226</v>
      </c>
      <c r="I23" s="33">
        <f t="shared" si="39"/>
        <v>143.45731072343438</v>
      </c>
      <c r="J23" s="33">
        <f t="shared" si="39"/>
        <v>166.41048043918389</v>
      </c>
      <c r="K23" s="33">
        <f t="shared" si="39"/>
        <v>183.62535772599603</v>
      </c>
      <c r="L23" s="33">
        <f t="shared" si="39"/>
        <v>206.57852744174551</v>
      </c>
    </row>
    <row r="24" spans="1:12" x14ac:dyDescent="0.6">
      <c r="A24" s="38">
        <v>490</v>
      </c>
      <c r="B24" s="39" t="s">
        <v>177</v>
      </c>
      <c r="C24" s="31" t="s">
        <v>178</v>
      </c>
      <c r="D24" s="33">
        <f>0.28*2800/SQRT($A24)*D$3/10*1.3*0.8</f>
        <v>36.83421018564129</v>
      </c>
      <c r="E24" s="33">
        <f t="shared" ref="E24:G24" si="40">0.28*2800/SQRT($A24)*E$3/10*1.3*0.8</f>
        <v>47.88447324133368</v>
      </c>
      <c r="F24" s="33">
        <f t="shared" si="40"/>
        <v>58.934736297026063</v>
      </c>
      <c r="G24" s="33">
        <f t="shared" si="40"/>
        <v>69.984999352718461</v>
      </c>
      <c r="H24" s="33">
        <f t="shared" ref="H24:L24" si="41">0.28*2800/SQRT($A24)*H$3/10*1.3</f>
        <v>101.29407801051354</v>
      </c>
      <c r="I24" s="33">
        <f t="shared" si="41"/>
        <v>115.10690683012905</v>
      </c>
      <c r="J24" s="33">
        <f t="shared" si="41"/>
        <v>133.52401192294968</v>
      </c>
      <c r="K24" s="33">
        <f t="shared" si="41"/>
        <v>147.33684074256516</v>
      </c>
      <c r="L24" s="33">
        <f t="shared" si="41"/>
        <v>165.75394583538582</v>
      </c>
    </row>
    <row r="25" spans="1:12" x14ac:dyDescent="0.6">
      <c r="A25" s="38"/>
      <c r="B25" s="38"/>
      <c r="C25" s="31" t="s">
        <v>179</v>
      </c>
      <c r="D25" s="33">
        <f>0.28*2800/SQRT($A24)*D$3/10*0.8</f>
        <v>28.334007835108686</v>
      </c>
      <c r="E25" s="33">
        <f t="shared" ref="E25:G25" si="42">0.28*2800/SQRT($A24)*E$3/10*0.8</f>
        <v>36.83421018564129</v>
      </c>
      <c r="F25" s="33">
        <f t="shared" si="42"/>
        <v>45.3344125361739</v>
      </c>
      <c r="G25" s="33">
        <f t="shared" si="42"/>
        <v>53.834614886706504</v>
      </c>
      <c r="H25" s="33">
        <f t="shared" ref="H25:L25" si="43">0.28*2800/SQRT($A24)*H$3/10</f>
        <v>77.918521546548874</v>
      </c>
      <c r="I25" s="33">
        <f t="shared" si="43"/>
        <v>88.543774484714646</v>
      </c>
      <c r="J25" s="33">
        <f t="shared" si="43"/>
        <v>102.71077840226899</v>
      </c>
      <c r="K25" s="33">
        <f t="shared" si="43"/>
        <v>113.33603134043474</v>
      </c>
      <c r="L25" s="33">
        <f t="shared" si="43"/>
        <v>127.50303525798908</v>
      </c>
    </row>
    <row r="26" spans="1:12" x14ac:dyDescent="0.6">
      <c r="A26" s="38"/>
      <c r="B26" s="39" t="s">
        <v>180</v>
      </c>
      <c r="C26" s="31" t="s">
        <v>178</v>
      </c>
      <c r="D26" s="33">
        <f>0.28*4200/SQRT($A24)*D$3/10*1.3*0.8</f>
        <v>55.251315278461931</v>
      </c>
      <c r="E26" s="33">
        <f t="shared" ref="E26:G26" si="44">0.28*4200/SQRT($A24)*E$3/10*1.3*0.8</f>
        <v>71.826709862000513</v>
      </c>
      <c r="F26" s="33">
        <f t="shared" si="44"/>
        <v>88.402104445539081</v>
      </c>
      <c r="G26" s="33">
        <f t="shared" si="44"/>
        <v>104.97749902907768</v>
      </c>
      <c r="H26" s="33">
        <f t="shared" ref="H26:L26" si="45">0.28*4200/SQRT($A24)*H$3/10*1.3</f>
        <v>151.94111701577032</v>
      </c>
      <c r="I26" s="33">
        <f t="shared" si="45"/>
        <v>172.66036024519352</v>
      </c>
      <c r="J26" s="33">
        <f t="shared" si="45"/>
        <v>200.28601788442452</v>
      </c>
      <c r="K26" s="33">
        <f t="shared" si="45"/>
        <v>221.00526111384769</v>
      </c>
      <c r="L26" s="33">
        <f t="shared" si="45"/>
        <v>248.63091875307867</v>
      </c>
    </row>
    <row r="27" spans="1:12" x14ac:dyDescent="0.6">
      <c r="A27" s="38"/>
      <c r="B27" s="39"/>
      <c r="C27" s="31" t="s">
        <v>179</v>
      </c>
      <c r="D27" s="33">
        <f>0.28*4200/SQRT($A24)*D$3/10*0.8</f>
        <v>42.501011752663018</v>
      </c>
      <c r="E27" s="33">
        <f t="shared" ref="E27:G27" si="46">0.28*4200/SQRT($A24)*E$3/10*0.8</f>
        <v>55.251315278461931</v>
      </c>
      <c r="F27" s="33">
        <f t="shared" si="46"/>
        <v>68.001618804260829</v>
      </c>
      <c r="G27" s="33">
        <f t="shared" si="46"/>
        <v>80.751922330059756</v>
      </c>
      <c r="H27" s="33">
        <f t="shared" ref="H27:L27" si="47">0.28*4200/SQRT($A24)*H$3/10</f>
        <v>116.87778231982331</v>
      </c>
      <c r="I27" s="33">
        <f t="shared" si="47"/>
        <v>132.81566172707193</v>
      </c>
      <c r="J27" s="33">
        <f t="shared" si="47"/>
        <v>154.06616760340347</v>
      </c>
      <c r="K27" s="33">
        <f t="shared" si="47"/>
        <v>170.00404701065207</v>
      </c>
      <c r="L27" s="33">
        <f t="shared" si="47"/>
        <v>191.25455288698359</v>
      </c>
    </row>
    <row r="28" spans="1:12" ht="16.5" customHeight="1" x14ac:dyDescent="0.6">
      <c r="A28" s="40" t="s">
        <v>181</v>
      </c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2"/>
    </row>
    <row r="29" spans="1:12" ht="16.5" customHeight="1" x14ac:dyDescent="0.6">
      <c r="A29" s="43" t="s">
        <v>182</v>
      </c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5"/>
    </row>
  </sheetData>
  <mergeCells count="24">
    <mergeCell ref="A1:L1"/>
    <mergeCell ref="A2:B2"/>
    <mergeCell ref="C2:C3"/>
    <mergeCell ref="D2:L2"/>
    <mergeCell ref="A4:A7"/>
    <mergeCell ref="B4:B5"/>
    <mergeCell ref="B6:B7"/>
    <mergeCell ref="A8:A11"/>
    <mergeCell ref="B8:B9"/>
    <mergeCell ref="B10:B11"/>
    <mergeCell ref="A12:A15"/>
    <mergeCell ref="B12:B13"/>
    <mergeCell ref="B14:B15"/>
    <mergeCell ref="A16:A19"/>
    <mergeCell ref="B16:B17"/>
    <mergeCell ref="B18:B19"/>
    <mergeCell ref="A20:A23"/>
    <mergeCell ref="B20:B21"/>
    <mergeCell ref="B22:B23"/>
    <mergeCell ref="A24:A27"/>
    <mergeCell ref="B24:B25"/>
    <mergeCell ref="B26:B27"/>
    <mergeCell ref="A28:L28"/>
    <mergeCell ref="A29:L2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6" x14ac:dyDescent="0.6"/>
  <cols>
    <col min="1" max="1" width="9.83984375" style="24" bestFit="1" customWidth="1"/>
    <col min="2" max="2" width="15.83984375" style="26" bestFit="1" customWidth="1"/>
    <col min="3" max="3" width="14.15625" style="26" bestFit="1" customWidth="1"/>
    <col min="4" max="4" width="15.3125" style="26" bestFit="1" customWidth="1"/>
    <col min="5" max="5" width="12.68359375" style="26" bestFit="1" customWidth="1"/>
    <col min="6" max="6" width="13.83984375" style="26" bestFit="1" customWidth="1"/>
    <col min="7" max="7" width="13.83984375" style="24" bestFit="1" customWidth="1"/>
    <col min="8" max="8" width="14.68359375" style="26" bestFit="1" customWidth="1"/>
    <col min="9" max="9" width="16.83984375" style="26" bestFit="1" customWidth="1"/>
    <col min="10" max="10" width="19.83984375" style="24" bestFit="1" customWidth="1"/>
    <col min="11" max="16384" width="9" style="26"/>
  </cols>
  <sheetData>
    <row r="1" spans="1:10" x14ac:dyDescent="0.6">
      <c r="A1" s="24" t="s">
        <v>55</v>
      </c>
      <c r="B1" s="25" t="s">
        <v>56</v>
      </c>
      <c r="C1" s="26" t="s">
        <v>57</v>
      </c>
      <c r="D1" s="26" t="s">
        <v>58</v>
      </c>
      <c r="E1" s="26" t="s">
        <v>59</v>
      </c>
      <c r="F1" s="26" t="s">
        <v>60</v>
      </c>
      <c r="G1" s="24" t="s">
        <v>61</v>
      </c>
      <c r="H1" s="26" t="s">
        <v>62</v>
      </c>
      <c r="I1" s="26" t="s">
        <v>63</v>
      </c>
      <c r="J1" s="24" t="s">
        <v>64</v>
      </c>
    </row>
    <row r="2" spans="1:10" x14ac:dyDescent="0.6">
      <c r="A2" s="24" t="s">
        <v>65</v>
      </c>
      <c r="B2" s="26" t="s">
        <v>66</v>
      </c>
      <c r="C2" s="26">
        <v>0.376</v>
      </c>
      <c r="D2" s="26">
        <v>0.56100000000000005</v>
      </c>
      <c r="E2" s="26" t="s">
        <v>67</v>
      </c>
      <c r="F2" s="26">
        <v>9.5250000000000004</v>
      </c>
      <c r="G2" s="24">
        <f>F2/10</f>
        <v>0.95250000000000001</v>
      </c>
      <c r="H2" s="26">
        <v>0.11</v>
      </c>
      <c r="I2" s="26">
        <v>71</v>
      </c>
      <c r="J2" s="24">
        <f>I2/100</f>
        <v>0.71</v>
      </c>
    </row>
    <row r="3" spans="1:10" x14ac:dyDescent="0.6">
      <c r="A3" s="24" t="s">
        <v>68</v>
      </c>
      <c r="B3" s="26" t="s">
        <v>69</v>
      </c>
      <c r="C3" s="26">
        <v>0.66800000000000004</v>
      </c>
      <c r="D3" s="26">
        <v>0.996</v>
      </c>
      <c r="E3" s="26" t="s">
        <v>70</v>
      </c>
      <c r="F3" s="26">
        <v>12.7</v>
      </c>
      <c r="G3" s="24">
        <f t="shared" ref="G3:G13" si="0">F3/10</f>
        <v>1.27</v>
      </c>
      <c r="H3" s="26">
        <v>0.2</v>
      </c>
      <c r="I3" s="26">
        <v>127</v>
      </c>
      <c r="J3" s="24">
        <f t="shared" ref="J3:J13" si="1">I3/100</f>
        <v>1.27</v>
      </c>
    </row>
    <row r="4" spans="1:10" x14ac:dyDescent="0.6">
      <c r="A4" s="24" t="s">
        <v>71</v>
      </c>
      <c r="B4" s="26" t="s">
        <v>72</v>
      </c>
      <c r="C4" s="26">
        <v>1.0429999999999999</v>
      </c>
      <c r="D4" s="26">
        <v>1.556</v>
      </c>
      <c r="E4" s="26" t="s">
        <v>73</v>
      </c>
      <c r="F4" s="26">
        <v>15.875</v>
      </c>
      <c r="G4" s="24">
        <f t="shared" si="0"/>
        <v>1.5874999999999999</v>
      </c>
      <c r="H4" s="26">
        <v>0.31</v>
      </c>
      <c r="I4" s="26">
        <v>200</v>
      </c>
      <c r="J4" s="24">
        <f t="shared" si="1"/>
        <v>2</v>
      </c>
    </row>
    <row r="5" spans="1:10" x14ac:dyDescent="0.6">
      <c r="A5" s="24" t="s">
        <v>74</v>
      </c>
      <c r="B5" s="26" t="s">
        <v>75</v>
      </c>
      <c r="C5" s="26">
        <v>1.502</v>
      </c>
      <c r="D5" s="26">
        <v>2.2400000000000002</v>
      </c>
      <c r="E5" s="26" t="s">
        <v>76</v>
      </c>
      <c r="F5" s="26">
        <v>19.05</v>
      </c>
      <c r="G5" s="24">
        <f t="shared" si="0"/>
        <v>1.905</v>
      </c>
      <c r="H5" s="26">
        <v>0.44</v>
      </c>
      <c r="I5" s="26">
        <v>284</v>
      </c>
      <c r="J5" s="24">
        <f t="shared" si="1"/>
        <v>2.84</v>
      </c>
    </row>
    <row r="6" spans="1:10" x14ac:dyDescent="0.6">
      <c r="A6" s="24" t="s">
        <v>77</v>
      </c>
      <c r="B6" s="26" t="s">
        <v>78</v>
      </c>
      <c r="C6" s="26">
        <v>2.044</v>
      </c>
      <c r="D6" s="26">
        <v>3.0489999999999999</v>
      </c>
      <c r="E6" s="26" t="s">
        <v>79</v>
      </c>
      <c r="F6" s="26">
        <v>22.225000000000001</v>
      </c>
      <c r="G6" s="24">
        <f t="shared" si="0"/>
        <v>2.2225000000000001</v>
      </c>
      <c r="H6" s="26">
        <v>0.6</v>
      </c>
      <c r="I6" s="26">
        <v>387</v>
      </c>
      <c r="J6" s="24">
        <f t="shared" si="1"/>
        <v>3.87</v>
      </c>
    </row>
    <row r="7" spans="1:10" x14ac:dyDescent="0.6">
      <c r="A7" s="24" t="s">
        <v>80</v>
      </c>
      <c r="B7" s="26" t="s">
        <v>81</v>
      </c>
      <c r="C7" s="26">
        <v>2.67</v>
      </c>
      <c r="D7" s="26">
        <v>3.9820000000000002</v>
      </c>
      <c r="E7" s="26" t="s">
        <v>82</v>
      </c>
      <c r="F7" s="26">
        <v>25.4</v>
      </c>
      <c r="G7" s="24">
        <f t="shared" si="0"/>
        <v>2.54</v>
      </c>
      <c r="H7" s="26">
        <v>0.79</v>
      </c>
      <c r="I7" s="26">
        <v>509</v>
      </c>
      <c r="J7" s="24">
        <f t="shared" si="1"/>
        <v>5.09</v>
      </c>
    </row>
    <row r="8" spans="1:10" x14ac:dyDescent="0.6">
      <c r="A8" s="24" t="s">
        <v>83</v>
      </c>
      <c r="B8" s="26" t="s">
        <v>84</v>
      </c>
      <c r="C8" s="26">
        <v>3.4</v>
      </c>
      <c r="D8" s="26">
        <v>5.0709999999999997</v>
      </c>
      <c r="E8" s="26">
        <v>1.1279999999999999</v>
      </c>
      <c r="F8" s="26">
        <v>28.65</v>
      </c>
      <c r="G8" s="24">
        <f t="shared" si="0"/>
        <v>2.8649999999999998</v>
      </c>
      <c r="H8" s="26">
        <v>1</v>
      </c>
      <c r="I8" s="26">
        <v>645</v>
      </c>
      <c r="J8" s="24">
        <f t="shared" si="1"/>
        <v>6.45</v>
      </c>
    </row>
    <row r="9" spans="1:10" x14ac:dyDescent="0.6">
      <c r="A9" s="24" t="s">
        <v>66</v>
      </c>
      <c r="B9" s="26" t="s">
        <v>85</v>
      </c>
      <c r="C9" s="26">
        <v>4.3029999999999999</v>
      </c>
      <c r="D9" s="26">
        <v>6.4180000000000001</v>
      </c>
      <c r="E9" s="26">
        <v>1.27</v>
      </c>
      <c r="F9" s="26">
        <v>32.26</v>
      </c>
      <c r="G9" s="24">
        <f t="shared" si="0"/>
        <v>3.226</v>
      </c>
      <c r="H9" s="26">
        <v>1.27</v>
      </c>
      <c r="I9" s="26">
        <v>819</v>
      </c>
      <c r="J9" s="24">
        <f t="shared" si="1"/>
        <v>8.19</v>
      </c>
    </row>
    <row r="10" spans="1:10" x14ac:dyDescent="0.6">
      <c r="A10" s="24" t="s">
        <v>86</v>
      </c>
      <c r="B10" s="26" t="s">
        <v>87</v>
      </c>
      <c r="C10" s="26">
        <v>5.3129999999999997</v>
      </c>
      <c r="D10" s="26">
        <v>7.9240000000000004</v>
      </c>
      <c r="E10" s="26">
        <v>1.41</v>
      </c>
      <c r="F10" s="26">
        <v>35.81</v>
      </c>
      <c r="G10" s="24">
        <f t="shared" si="0"/>
        <v>3.5810000000000004</v>
      </c>
      <c r="H10" s="26">
        <v>1.56</v>
      </c>
      <c r="I10" s="26">
        <v>1006</v>
      </c>
      <c r="J10" s="24">
        <f t="shared" si="1"/>
        <v>10.06</v>
      </c>
    </row>
    <row r="11" spans="1:10" x14ac:dyDescent="0.6">
      <c r="A11" s="24" t="s">
        <v>88</v>
      </c>
      <c r="B11" s="26" t="s">
        <v>89</v>
      </c>
      <c r="C11" s="26">
        <v>6.4240000000000004</v>
      </c>
      <c r="D11" s="26">
        <v>9.6189999999999998</v>
      </c>
      <c r="E11" s="26">
        <v>1.5</v>
      </c>
      <c r="F11" s="26">
        <v>38.1</v>
      </c>
      <c r="G11" s="24">
        <f t="shared" si="0"/>
        <v>3.81</v>
      </c>
      <c r="H11" s="26">
        <v>1.76</v>
      </c>
      <c r="I11" s="26">
        <v>1140</v>
      </c>
      <c r="J11" s="24">
        <f t="shared" si="1"/>
        <v>11.4</v>
      </c>
    </row>
    <row r="12" spans="1:10" x14ac:dyDescent="0.6">
      <c r="A12" s="24" t="s">
        <v>90</v>
      </c>
      <c r="B12" s="26" t="s">
        <v>91</v>
      </c>
      <c r="C12" s="26">
        <v>7.65</v>
      </c>
      <c r="D12" s="26">
        <v>11.41</v>
      </c>
      <c r="E12" s="26">
        <v>1.6930000000000001</v>
      </c>
      <c r="F12" s="26">
        <v>43</v>
      </c>
      <c r="G12" s="24">
        <f t="shared" si="0"/>
        <v>4.3</v>
      </c>
      <c r="H12" s="26">
        <v>2.25</v>
      </c>
      <c r="I12" s="26">
        <v>1452</v>
      </c>
      <c r="J12" s="24">
        <f t="shared" si="1"/>
        <v>14.52</v>
      </c>
    </row>
    <row r="13" spans="1:10" x14ac:dyDescent="0.6">
      <c r="A13" s="24" t="s">
        <v>92</v>
      </c>
      <c r="B13" s="26" t="s">
        <v>93</v>
      </c>
      <c r="C13" s="26">
        <v>13.6</v>
      </c>
      <c r="D13" s="26">
        <v>20.283999999999999</v>
      </c>
      <c r="E13" s="26">
        <v>2.2570000000000001</v>
      </c>
      <c r="F13" s="26">
        <v>57.33</v>
      </c>
      <c r="G13" s="24">
        <f t="shared" si="0"/>
        <v>5.7329999999999997</v>
      </c>
      <c r="H13" s="26">
        <v>4</v>
      </c>
      <c r="I13" s="26">
        <v>2581</v>
      </c>
      <c r="J13" s="24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 Information</vt:lpstr>
      <vt:lpstr>小梁配筋</vt:lpstr>
      <vt:lpstr>最佳化斷筋點</vt:lpstr>
      <vt:lpstr>版本資訊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2018-02-23T10:25:47Z</dcterms:modified>
</cp:coreProperties>
</file>